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Data Analysis\Projects\Credit Risk Analysis\github_repo_files\github_repo\"/>
    </mc:Choice>
  </mc:AlternateContent>
  <xr:revisionPtr revIDLastSave="0" documentId="13_ncr:1_{C7B36EDF-70DA-440B-80EB-D9C426C9E46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ummary Dashboard" sheetId="1" r:id="rId1"/>
    <sheet name="Customer Data" sheetId="2" r:id="rId2"/>
    <sheet name="Raw Data (Unclean)" sheetId="3" r:id="rId3"/>
  </sheets>
  <definedNames>
    <definedName name="_xlnm._FilterDatabase" localSheetId="1" hidden="1">'Customer Data'!$A$1:$AS$1001</definedName>
    <definedName name="_xlnm._FilterDatabase" localSheetId="2" hidden="1">'Raw Data (Unclean)'!$A$1:$AH$1049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L5" i="2" l="1"/>
  <c r="U5" i="2"/>
  <c r="Y5" i="2"/>
  <c r="AA5" i="2" s="1"/>
  <c r="AQ1001" i="2"/>
  <c r="AM1001" i="2"/>
  <c r="AG1001" i="2"/>
  <c r="Y1001" i="2"/>
  <c r="Z1001" i="2" s="1"/>
  <c r="AK1001" i="2" s="1"/>
  <c r="AL1001" i="2" s="1"/>
  <c r="AN1001" i="2" s="1"/>
  <c r="AO1001" i="2" s="1"/>
  <c r="U1001" i="2"/>
  <c r="AA1001" i="2" s="1"/>
  <c r="AQ1000" i="2"/>
  <c r="AM1000" i="2"/>
  <c r="AG1000" i="2"/>
  <c r="U1000" i="2"/>
  <c r="AQ999" i="2"/>
  <c r="AM999" i="2"/>
  <c r="AG999" i="2"/>
  <c r="AA999" i="2"/>
  <c r="U999" i="2"/>
  <c r="Y999" i="2" s="1"/>
  <c r="Z999" i="2" s="1"/>
  <c r="AK999" i="2" s="1"/>
  <c r="AL999" i="2" s="1"/>
  <c r="AN999" i="2" s="1"/>
  <c r="AO999" i="2" s="1"/>
  <c r="AQ998" i="2"/>
  <c r="AM998" i="2"/>
  <c r="AG998" i="2"/>
  <c r="AA998" i="2"/>
  <c r="Z998" i="2"/>
  <c r="AK998" i="2" s="1"/>
  <c r="AL998" i="2" s="1"/>
  <c r="AN998" i="2" s="1"/>
  <c r="AO998" i="2" s="1"/>
  <c r="Y998" i="2"/>
  <c r="U998" i="2"/>
  <c r="AQ997" i="2"/>
  <c r="AM997" i="2"/>
  <c r="AG997" i="2"/>
  <c r="Z997" i="2"/>
  <c r="AK997" i="2" s="1"/>
  <c r="AL997" i="2" s="1"/>
  <c r="AN997" i="2" s="1"/>
  <c r="AO997" i="2" s="1"/>
  <c r="Y997" i="2"/>
  <c r="U997" i="2"/>
  <c r="AA997" i="2" s="1"/>
  <c r="AQ996" i="2"/>
  <c r="AM996" i="2"/>
  <c r="AG996" i="2"/>
  <c r="U996" i="2"/>
  <c r="AQ995" i="2"/>
  <c r="AM995" i="2"/>
  <c r="AG995" i="2"/>
  <c r="U995" i="2"/>
  <c r="AQ994" i="2"/>
  <c r="AM994" i="2"/>
  <c r="AG994" i="2"/>
  <c r="AA994" i="2"/>
  <c r="Z994" i="2"/>
  <c r="AK994" i="2" s="1"/>
  <c r="AL994" i="2" s="1"/>
  <c r="AN994" i="2" s="1"/>
  <c r="AO994" i="2" s="1"/>
  <c r="Y994" i="2"/>
  <c r="U994" i="2"/>
  <c r="AQ993" i="2"/>
  <c r="AM993" i="2"/>
  <c r="AG993" i="2"/>
  <c r="Y993" i="2"/>
  <c r="Z993" i="2" s="1"/>
  <c r="AK993" i="2" s="1"/>
  <c r="AL993" i="2" s="1"/>
  <c r="AN993" i="2" s="1"/>
  <c r="AO993" i="2" s="1"/>
  <c r="U993" i="2"/>
  <c r="AQ992" i="2"/>
  <c r="AM992" i="2"/>
  <c r="AG992" i="2"/>
  <c r="Y992" i="2"/>
  <c r="Z992" i="2" s="1"/>
  <c r="AK992" i="2" s="1"/>
  <c r="AL992" i="2" s="1"/>
  <c r="AN992" i="2" s="1"/>
  <c r="AO992" i="2" s="1"/>
  <c r="U992" i="2"/>
  <c r="AQ991" i="2"/>
  <c r="AM991" i="2"/>
  <c r="AG991" i="2"/>
  <c r="AA991" i="2"/>
  <c r="U991" i="2"/>
  <c r="Y991" i="2" s="1"/>
  <c r="Z991" i="2" s="1"/>
  <c r="AK991" i="2" s="1"/>
  <c r="AL991" i="2" s="1"/>
  <c r="AN991" i="2" s="1"/>
  <c r="AO991" i="2" s="1"/>
  <c r="AQ990" i="2"/>
  <c r="AM990" i="2"/>
  <c r="AL990" i="2"/>
  <c r="AN990" i="2" s="1"/>
  <c r="AO990" i="2" s="1"/>
  <c r="AG990" i="2"/>
  <c r="AA990" i="2"/>
  <c r="Z990" i="2"/>
  <c r="AK990" i="2" s="1"/>
  <c r="Y990" i="2"/>
  <c r="U990" i="2"/>
  <c r="AQ989" i="2"/>
  <c r="AM989" i="2"/>
  <c r="AK989" i="2"/>
  <c r="AL989" i="2" s="1"/>
  <c r="AN989" i="2" s="1"/>
  <c r="AO989" i="2" s="1"/>
  <c r="AG989" i="2"/>
  <c r="Z989" i="2"/>
  <c r="Y989" i="2"/>
  <c r="U989" i="2"/>
  <c r="AA989" i="2" s="1"/>
  <c r="AQ988" i="2"/>
  <c r="AM988" i="2"/>
  <c r="AG988" i="2"/>
  <c r="U988" i="2"/>
  <c r="AQ987" i="2"/>
  <c r="AM987" i="2"/>
  <c r="AG987" i="2"/>
  <c r="U987" i="2"/>
  <c r="AQ986" i="2"/>
  <c r="AM986" i="2"/>
  <c r="AG986" i="2"/>
  <c r="AA986" i="2"/>
  <c r="Z986" i="2"/>
  <c r="AK986" i="2" s="1"/>
  <c r="AL986" i="2" s="1"/>
  <c r="AN986" i="2" s="1"/>
  <c r="AO986" i="2" s="1"/>
  <c r="Y986" i="2"/>
  <c r="U986" i="2"/>
  <c r="AQ985" i="2"/>
  <c r="AM985" i="2"/>
  <c r="AG985" i="2"/>
  <c r="Y985" i="2"/>
  <c r="Z985" i="2" s="1"/>
  <c r="AK985" i="2" s="1"/>
  <c r="AL985" i="2" s="1"/>
  <c r="AN985" i="2" s="1"/>
  <c r="AO985" i="2" s="1"/>
  <c r="U985" i="2"/>
  <c r="AQ984" i="2"/>
  <c r="AM984" i="2"/>
  <c r="AK984" i="2"/>
  <c r="AL984" i="2" s="1"/>
  <c r="AN984" i="2" s="1"/>
  <c r="AO984" i="2" s="1"/>
  <c r="AG984" i="2"/>
  <c r="Y984" i="2"/>
  <c r="Z984" i="2" s="1"/>
  <c r="U984" i="2"/>
  <c r="AQ983" i="2"/>
  <c r="AM983" i="2"/>
  <c r="AG983" i="2"/>
  <c r="AA983" i="2"/>
  <c r="U983" i="2"/>
  <c r="Y983" i="2" s="1"/>
  <c r="Z983" i="2" s="1"/>
  <c r="AK983" i="2" s="1"/>
  <c r="AL983" i="2" s="1"/>
  <c r="AN983" i="2" s="1"/>
  <c r="AO983" i="2" s="1"/>
  <c r="AQ982" i="2"/>
  <c r="AM982" i="2"/>
  <c r="AG982" i="2"/>
  <c r="AA982" i="2"/>
  <c r="Z982" i="2"/>
  <c r="AK982" i="2" s="1"/>
  <c r="AL982" i="2" s="1"/>
  <c r="AN982" i="2" s="1"/>
  <c r="AO982" i="2" s="1"/>
  <c r="Y982" i="2"/>
  <c r="U982" i="2"/>
  <c r="AQ981" i="2"/>
  <c r="AM981" i="2"/>
  <c r="AK981" i="2"/>
  <c r="AL981" i="2" s="1"/>
  <c r="AN981" i="2" s="1"/>
  <c r="AO981" i="2" s="1"/>
  <c r="AG981" i="2"/>
  <c r="Z981" i="2"/>
  <c r="Y981" i="2"/>
  <c r="U981" i="2"/>
  <c r="AA981" i="2" s="1"/>
  <c r="AQ980" i="2"/>
  <c r="AM980" i="2"/>
  <c r="AG980" i="2"/>
  <c r="U980" i="2"/>
  <c r="AQ979" i="2"/>
  <c r="AM979" i="2"/>
  <c r="AG979" i="2"/>
  <c r="U979" i="2"/>
  <c r="AQ978" i="2"/>
  <c r="AM978" i="2"/>
  <c r="AG978" i="2"/>
  <c r="AA978" i="2"/>
  <c r="Z978" i="2"/>
  <c r="AK978" i="2" s="1"/>
  <c r="AL978" i="2" s="1"/>
  <c r="AN978" i="2" s="1"/>
  <c r="AO978" i="2" s="1"/>
  <c r="Y978" i="2"/>
  <c r="U978" i="2"/>
  <c r="AQ977" i="2"/>
  <c r="AM977" i="2"/>
  <c r="AG977" i="2"/>
  <c r="Y977" i="2"/>
  <c r="Z977" i="2" s="1"/>
  <c r="AK977" i="2" s="1"/>
  <c r="AL977" i="2" s="1"/>
  <c r="AN977" i="2" s="1"/>
  <c r="AO977" i="2" s="1"/>
  <c r="U977" i="2"/>
  <c r="AQ976" i="2"/>
  <c r="AM976" i="2"/>
  <c r="AK976" i="2"/>
  <c r="AL976" i="2" s="1"/>
  <c r="AN976" i="2" s="1"/>
  <c r="AO976" i="2" s="1"/>
  <c r="AG976" i="2"/>
  <c r="Y976" i="2"/>
  <c r="Z976" i="2" s="1"/>
  <c r="U976" i="2"/>
  <c r="AQ975" i="2"/>
  <c r="AM975" i="2"/>
  <c r="AG975" i="2"/>
  <c r="AA975" i="2"/>
  <c r="U975" i="2"/>
  <c r="Y975" i="2" s="1"/>
  <c r="Z975" i="2" s="1"/>
  <c r="AK975" i="2" s="1"/>
  <c r="AL975" i="2" s="1"/>
  <c r="AN975" i="2" s="1"/>
  <c r="AO975" i="2" s="1"/>
  <c r="AQ974" i="2"/>
  <c r="AM974" i="2"/>
  <c r="AG974" i="2"/>
  <c r="AA974" i="2"/>
  <c r="Z974" i="2"/>
  <c r="AK974" i="2" s="1"/>
  <c r="AL974" i="2" s="1"/>
  <c r="AN974" i="2" s="1"/>
  <c r="AO974" i="2" s="1"/>
  <c r="Y974" i="2"/>
  <c r="U974" i="2"/>
  <c r="AQ973" i="2"/>
  <c r="AM973" i="2"/>
  <c r="AG973" i="2"/>
  <c r="Z973" i="2"/>
  <c r="AK973" i="2" s="1"/>
  <c r="AL973" i="2" s="1"/>
  <c r="AN973" i="2" s="1"/>
  <c r="AO973" i="2" s="1"/>
  <c r="Y973" i="2"/>
  <c r="U973" i="2"/>
  <c r="AA973" i="2" s="1"/>
  <c r="AQ972" i="2"/>
  <c r="AM972" i="2"/>
  <c r="AG972" i="2"/>
  <c r="U972" i="2"/>
  <c r="AQ971" i="2"/>
  <c r="AM971" i="2"/>
  <c r="AG971" i="2"/>
  <c r="U971" i="2"/>
  <c r="AQ970" i="2"/>
  <c r="AM970" i="2"/>
  <c r="AG970" i="2"/>
  <c r="AA970" i="2"/>
  <c r="Z970" i="2"/>
  <c r="AK970" i="2" s="1"/>
  <c r="AL970" i="2" s="1"/>
  <c r="AN970" i="2" s="1"/>
  <c r="AO970" i="2" s="1"/>
  <c r="U970" i="2"/>
  <c r="Y970" i="2" s="1"/>
  <c r="AQ969" i="2"/>
  <c r="AM969" i="2"/>
  <c r="AG969" i="2"/>
  <c r="Z969" i="2"/>
  <c r="AK969" i="2" s="1"/>
  <c r="AL969" i="2" s="1"/>
  <c r="AN969" i="2" s="1"/>
  <c r="AO969" i="2" s="1"/>
  <c r="Y969" i="2"/>
  <c r="AA969" i="2" s="1"/>
  <c r="U969" i="2"/>
  <c r="AQ968" i="2"/>
  <c r="AM968" i="2"/>
  <c r="AG968" i="2"/>
  <c r="U968" i="2"/>
  <c r="AQ967" i="2"/>
  <c r="AM967" i="2"/>
  <c r="AG967" i="2"/>
  <c r="U967" i="2"/>
  <c r="AQ966" i="2"/>
  <c r="AM966" i="2"/>
  <c r="AG966" i="2"/>
  <c r="Z966" i="2"/>
  <c r="AK966" i="2" s="1"/>
  <c r="AL966" i="2" s="1"/>
  <c r="AN966" i="2" s="1"/>
  <c r="AO966" i="2" s="1"/>
  <c r="U966" i="2"/>
  <c r="Y966" i="2" s="1"/>
  <c r="AA966" i="2" s="1"/>
  <c r="AQ965" i="2"/>
  <c r="AM965" i="2"/>
  <c r="AK965" i="2"/>
  <c r="AL965" i="2" s="1"/>
  <c r="AN965" i="2" s="1"/>
  <c r="AO965" i="2" s="1"/>
  <c r="AG965" i="2"/>
  <c r="Y965" i="2"/>
  <c r="Z965" i="2" s="1"/>
  <c r="U965" i="2"/>
  <c r="AQ964" i="2"/>
  <c r="AM964" i="2"/>
  <c r="AL964" i="2"/>
  <c r="AN964" i="2" s="1"/>
  <c r="AO964" i="2" s="1"/>
  <c r="AG964" i="2"/>
  <c r="Y964" i="2"/>
  <c r="Z964" i="2" s="1"/>
  <c r="AK964" i="2" s="1"/>
  <c r="U964" i="2"/>
  <c r="AQ963" i="2"/>
  <c r="AM963" i="2"/>
  <c r="AK963" i="2"/>
  <c r="AL963" i="2" s="1"/>
  <c r="AN963" i="2" s="1"/>
  <c r="AO963" i="2" s="1"/>
  <c r="AG963" i="2"/>
  <c r="AA963" i="2"/>
  <c r="U963" i="2"/>
  <c r="Y963" i="2" s="1"/>
  <c r="Z963" i="2" s="1"/>
  <c r="AQ962" i="2"/>
  <c r="AM962" i="2"/>
  <c r="AG962" i="2"/>
  <c r="U962" i="2"/>
  <c r="Y962" i="2" s="1"/>
  <c r="Z962" i="2" s="1"/>
  <c r="AK962" i="2" s="1"/>
  <c r="AL962" i="2" s="1"/>
  <c r="AN962" i="2" s="1"/>
  <c r="AO962" i="2" s="1"/>
  <c r="AQ961" i="2"/>
  <c r="AM961" i="2"/>
  <c r="AG961" i="2"/>
  <c r="AA961" i="2"/>
  <c r="Z961" i="2"/>
  <c r="AK961" i="2" s="1"/>
  <c r="AL961" i="2" s="1"/>
  <c r="AN961" i="2" s="1"/>
  <c r="AO961" i="2" s="1"/>
  <c r="Y961" i="2"/>
  <c r="U961" i="2"/>
  <c r="AQ960" i="2"/>
  <c r="AM960" i="2"/>
  <c r="AG960" i="2"/>
  <c r="U960" i="2"/>
  <c r="AQ959" i="2"/>
  <c r="AM959" i="2"/>
  <c r="AG959" i="2"/>
  <c r="Y959" i="2"/>
  <c r="U959" i="2"/>
  <c r="AQ958" i="2"/>
  <c r="AM958" i="2"/>
  <c r="AG958" i="2"/>
  <c r="AA958" i="2"/>
  <c r="Z958" i="2"/>
  <c r="AK958" i="2" s="1"/>
  <c r="AL958" i="2" s="1"/>
  <c r="AN958" i="2" s="1"/>
  <c r="AO958" i="2" s="1"/>
  <c r="U958" i="2"/>
  <c r="Y958" i="2" s="1"/>
  <c r="AQ957" i="2"/>
  <c r="AM957" i="2"/>
  <c r="AK957" i="2"/>
  <c r="AL957" i="2" s="1"/>
  <c r="AN957" i="2" s="1"/>
  <c r="AO957" i="2" s="1"/>
  <c r="AG957" i="2"/>
  <c r="Y957" i="2"/>
  <c r="Z957" i="2" s="1"/>
  <c r="U957" i="2"/>
  <c r="AQ956" i="2"/>
  <c r="AM956" i="2"/>
  <c r="AG956" i="2"/>
  <c r="Y956" i="2"/>
  <c r="Z956" i="2" s="1"/>
  <c r="AK956" i="2" s="1"/>
  <c r="AL956" i="2" s="1"/>
  <c r="AN956" i="2" s="1"/>
  <c r="AO956" i="2" s="1"/>
  <c r="U956" i="2"/>
  <c r="AQ955" i="2"/>
  <c r="AM955" i="2"/>
  <c r="AK955" i="2"/>
  <c r="AL955" i="2" s="1"/>
  <c r="AN955" i="2" s="1"/>
  <c r="AO955" i="2" s="1"/>
  <c r="AG955" i="2"/>
  <c r="AA955" i="2"/>
  <c r="U955" i="2"/>
  <c r="Y955" i="2" s="1"/>
  <c r="Z955" i="2" s="1"/>
  <c r="AQ954" i="2"/>
  <c r="AM954" i="2"/>
  <c r="AG954" i="2"/>
  <c r="U954" i="2"/>
  <c r="Y954" i="2" s="1"/>
  <c r="Z954" i="2" s="1"/>
  <c r="AK954" i="2" s="1"/>
  <c r="AL954" i="2" s="1"/>
  <c r="AN954" i="2" s="1"/>
  <c r="AO954" i="2" s="1"/>
  <c r="AQ953" i="2"/>
  <c r="AM953" i="2"/>
  <c r="AG953" i="2"/>
  <c r="Z953" i="2"/>
  <c r="AK953" i="2" s="1"/>
  <c r="AL953" i="2" s="1"/>
  <c r="AN953" i="2" s="1"/>
  <c r="AO953" i="2" s="1"/>
  <c r="Y953" i="2"/>
  <c r="AA953" i="2" s="1"/>
  <c r="U953" i="2"/>
  <c r="AQ952" i="2"/>
  <c r="AM952" i="2"/>
  <c r="AG952" i="2"/>
  <c r="U952" i="2"/>
  <c r="AQ951" i="2"/>
  <c r="AM951" i="2"/>
  <c r="AG951" i="2"/>
  <c r="Y951" i="2"/>
  <c r="Z951" i="2" s="1"/>
  <c r="AK951" i="2" s="1"/>
  <c r="AL951" i="2" s="1"/>
  <c r="AN951" i="2" s="1"/>
  <c r="AO951" i="2" s="1"/>
  <c r="U951" i="2"/>
  <c r="AQ950" i="2"/>
  <c r="AM950" i="2"/>
  <c r="AG950" i="2"/>
  <c r="Z950" i="2"/>
  <c r="AK950" i="2" s="1"/>
  <c r="AL950" i="2" s="1"/>
  <c r="AN950" i="2" s="1"/>
  <c r="AO950" i="2" s="1"/>
  <c r="U950" i="2"/>
  <c r="Y950" i="2" s="1"/>
  <c r="AQ949" i="2"/>
  <c r="AM949" i="2"/>
  <c r="AG949" i="2"/>
  <c r="AA949" i="2"/>
  <c r="Y949" i="2"/>
  <c r="Z949" i="2" s="1"/>
  <c r="AK949" i="2" s="1"/>
  <c r="AL949" i="2" s="1"/>
  <c r="AN949" i="2" s="1"/>
  <c r="AO949" i="2" s="1"/>
  <c r="U949" i="2"/>
  <c r="AQ948" i="2"/>
  <c r="AM948" i="2"/>
  <c r="AG948" i="2"/>
  <c r="U948" i="2"/>
  <c r="AQ947" i="2"/>
  <c r="AM947" i="2"/>
  <c r="AG947" i="2"/>
  <c r="Y947" i="2"/>
  <c r="U947" i="2"/>
  <c r="AQ946" i="2"/>
  <c r="AM946" i="2"/>
  <c r="AG946" i="2"/>
  <c r="U946" i="2"/>
  <c r="AQ945" i="2"/>
  <c r="AM945" i="2"/>
  <c r="AG945" i="2"/>
  <c r="Y945" i="2"/>
  <c r="Z945" i="2" s="1"/>
  <c r="AK945" i="2" s="1"/>
  <c r="AL945" i="2" s="1"/>
  <c r="AN945" i="2" s="1"/>
  <c r="AO945" i="2" s="1"/>
  <c r="U945" i="2"/>
  <c r="AQ944" i="2"/>
  <c r="AM944" i="2"/>
  <c r="AG944" i="2"/>
  <c r="U944" i="2"/>
  <c r="AQ943" i="2"/>
  <c r="AM943" i="2"/>
  <c r="AK943" i="2"/>
  <c r="AL943" i="2" s="1"/>
  <c r="AN943" i="2" s="1"/>
  <c r="AO943" i="2" s="1"/>
  <c r="AG943" i="2"/>
  <c r="AA943" i="2"/>
  <c r="Y943" i="2"/>
  <c r="Z943" i="2" s="1"/>
  <c r="U943" i="2"/>
  <c r="AQ942" i="2"/>
  <c r="AM942" i="2"/>
  <c r="AG942" i="2"/>
  <c r="U942" i="2"/>
  <c r="AQ941" i="2"/>
  <c r="AM941" i="2"/>
  <c r="AG941" i="2"/>
  <c r="Y941" i="2"/>
  <c r="U941" i="2"/>
  <c r="AQ940" i="2"/>
  <c r="AM940" i="2"/>
  <c r="AG940" i="2"/>
  <c r="U940" i="2"/>
  <c r="AQ939" i="2"/>
  <c r="AM939" i="2"/>
  <c r="AG939" i="2"/>
  <c r="AA939" i="2"/>
  <c r="Y939" i="2"/>
  <c r="Z939" i="2" s="1"/>
  <c r="AK939" i="2" s="1"/>
  <c r="AL939" i="2" s="1"/>
  <c r="AN939" i="2" s="1"/>
  <c r="AO939" i="2" s="1"/>
  <c r="U939" i="2"/>
  <c r="AQ938" i="2"/>
  <c r="AM938" i="2"/>
  <c r="AG938" i="2"/>
  <c r="AA938" i="2"/>
  <c r="Z938" i="2"/>
  <c r="AK938" i="2" s="1"/>
  <c r="AL938" i="2" s="1"/>
  <c r="AN938" i="2" s="1"/>
  <c r="AO938" i="2" s="1"/>
  <c r="U938" i="2"/>
  <c r="Y938" i="2" s="1"/>
  <c r="AQ937" i="2"/>
  <c r="AM937" i="2"/>
  <c r="AG937" i="2"/>
  <c r="AA937" i="2"/>
  <c r="Y937" i="2"/>
  <c r="Z937" i="2" s="1"/>
  <c r="AK937" i="2" s="1"/>
  <c r="AL937" i="2" s="1"/>
  <c r="AN937" i="2" s="1"/>
  <c r="AO937" i="2" s="1"/>
  <c r="U937" i="2"/>
  <c r="AQ936" i="2"/>
  <c r="AM936" i="2"/>
  <c r="AG936" i="2"/>
  <c r="Y936" i="2"/>
  <c r="Z936" i="2" s="1"/>
  <c r="AK936" i="2" s="1"/>
  <c r="AL936" i="2" s="1"/>
  <c r="AN936" i="2" s="1"/>
  <c r="AO936" i="2" s="1"/>
  <c r="U936" i="2"/>
  <c r="AQ935" i="2"/>
  <c r="AM935" i="2"/>
  <c r="AG935" i="2"/>
  <c r="AA935" i="2"/>
  <c r="U935" i="2"/>
  <c r="Y935" i="2" s="1"/>
  <c r="Z935" i="2" s="1"/>
  <c r="AK935" i="2" s="1"/>
  <c r="AL935" i="2" s="1"/>
  <c r="AN935" i="2" s="1"/>
  <c r="AO935" i="2" s="1"/>
  <c r="AQ934" i="2"/>
  <c r="AM934" i="2"/>
  <c r="AG934" i="2"/>
  <c r="AA934" i="2"/>
  <c r="U934" i="2"/>
  <c r="Y934" i="2" s="1"/>
  <c r="Z934" i="2" s="1"/>
  <c r="AK934" i="2" s="1"/>
  <c r="AL934" i="2" s="1"/>
  <c r="AN934" i="2" s="1"/>
  <c r="AO934" i="2" s="1"/>
  <c r="AQ933" i="2"/>
  <c r="AM933" i="2"/>
  <c r="AG933" i="2"/>
  <c r="Y933" i="2"/>
  <c r="U933" i="2"/>
  <c r="AQ932" i="2"/>
  <c r="AM932" i="2"/>
  <c r="AG932" i="2"/>
  <c r="U932" i="2"/>
  <c r="AQ931" i="2"/>
  <c r="AM931" i="2"/>
  <c r="AG931" i="2"/>
  <c r="Y931" i="2"/>
  <c r="Z931" i="2" s="1"/>
  <c r="AK931" i="2" s="1"/>
  <c r="AL931" i="2" s="1"/>
  <c r="AN931" i="2" s="1"/>
  <c r="AO931" i="2" s="1"/>
  <c r="U931" i="2"/>
  <c r="AQ930" i="2"/>
  <c r="AM930" i="2"/>
  <c r="AG930" i="2"/>
  <c r="U930" i="2"/>
  <c r="AQ929" i="2"/>
  <c r="AM929" i="2"/>
  <c r="AG929" i="2"/>
  <c r="Y929" i="2"/>
  <c r="Z929" i="2" s="1"/>
  <c r="AK929" i="2" s="1"/>
  <c r="AL929" i="2" s="1"/>
  <c r="AN929" i="2" s="1"/>
  <c r="AO929" i="2" s="1"/>
  <c r="U929" i="2"/>
  <c r="AQ928" i="2"/>
  <c r="AM928" i="2"/>
  <c r="AG928" i="2"/>
  <c r="U928" i="2"/>
  <c r="AQ927" i="2"/>
  <c r="AM927" i="2"/>
  <c r="AG927" i="2"/>
  <c r="AA927" i="2"/>
  <c r="Z927" i="2"/>
  <c r="AK927" i="2" s="1"/>
  <c r="AL927" i="2" s="1"/>
  <c r="AN927" i="2" s="1"/>
  <c r="AO927" i="2" s="1"/>
  <c r="Y927" i="2"/>
  <c r="U927" i="2"/>
  <c r="AQ926" i="2"/>
  <c r="AM926" i="2"/>
  <c r="AG926" i="2"/>
  <c r="U926" i="2"/>
  <c r="AQ925" i="2"/>
  <c r="AM925" i="2"/>
  <c r="AG925" i="2"/>
  <c r="AA925" i="2"/>
  <c r="Y925" i="2"/>
  <c r="Z925" i="2" s="1"/>
  <c r="AK925" i="2" s="1"/>
  <c r="AL925" i="2" s="1"/>
  <c r="AN925" i="2" s="1"/>
  <c r="AO925" i="2" s="1"/>
  <c r="U925" i="2"/>
  <c r="AQ924" i="2"/>
  <c r="AM924" i="2"/>
  <c r="AG924" i="2"/>
  <c r="AA924" i="2"/>
  <c r="Z924" i="2"/>
  <c r="AK924" i="2" s="1"/>
  <c r="AL924" i="2" s="1"/>
  <c r="AN924" i="2" s="1"/>
  <c r="AO924" i="2" s="1"/>
  <c r="U924" i="2"/>
  <c r="Y924" i="2" s="1"/>
  <c r="AQ923" i="2"/>
  <c r="AM923" i="2"/>
  <c r="AG923" i="2"/>
  <c r="AA923" i="2"/>
  <c r="Z923" i="2"/>
  <c r="AK923" i="2" s="1"/>
  <c r="AL923" i="2" s="1"/>
  <c r="AN923" i="2" s="1"/>
  <c r="AO923" i="2" s="1"/>
  <c r="Y923" i="2"/>
  <c r="U923" i="2"/>
  <c r="AQ922" i="2"/>
  <c r="AM922" i="2"/>
  <c r="AG922" i="2"/>
  <c r="Y922" i="2"/>
  <c r="Z922" i="2" s="1"/>
  <c r="AK922" i="2" s="1"/>
  <c r="AL922" i="2" s="1"/>
  <c r="AN922" i="2" s="1"/>
  <c r="AO922" i="2" s="1"/>
  <c r="U922" i="2"/>
  <c r="AQ921" i="2"/>
  <c r="AM921" i="2"/>
  <c r="AG921" i="2"/>
  <c r="AA921" i="2"/>
  <c r="Y921" i="2"/>
  <c r="Z921" i="2" s="1"/>
  <c r="AK921" i="2" s="1"/>
  <c r="AL921" i="2" s="1"/>
  <c r="AN921" i="2" s="1"/>
  <c r="AO921" i="2" s="1"/>
  <c r="U921" i="2"/>
  <c r="AQ920" i="2"/>
  <c r="AM920" i="2"/>
  <c r="AG920" i="2"/>
  <c r="AA920" i="2"/>
  <c r="Z920" i="2"/>
  <c r="AK920" i="2" s="1"/>
  <c r="AL920" i="2" s="1"/>
  <c r="AN920" i="2" s="1"/>
  <c r="AO920" i="2" s="1"/>
  <c r="U920" i="2"/>
  <c r="Y920" i="2" s="1"/>
  <c r="AQ919" i="2"/>
  <c r="AM919" i="2"/>
  <c r="AG919" i="2"/>
  <c r="Y919" i="2"/>
  <c r="U919" i="2"/>
  <c r="AQ918" i="2"/>
  <c r="AM918" i="2"/>
  <c r="AG918" i="2"/>
  <c r="Z918" i="2"/>
  <c r="AK918" i="2" s="1"/>
  <c r="AL918" i="2" s="1"/>
  <c r="AN918" i="2" s="1"/>
  <c r="AO918" i="2" s="1"/>
  <c r="Y918" i="2"/>
  <c r="U918" i="2"/>
  <c r="AQ917" i="2"/>
  <c r="AM917" i="2"/>
  <c r="AG917" i="2"/>
  <c r="U917" i="2"/>
  <c r="AQ916" i="2"/>
  <c r="AM916" i="2"/>
  <c r="AG916" i="2"/>
  <c r="U916" i="2"/>
  <c r="AQ915" i="2"/>
  <c r="AM915" i="2"/>
  <c r="AG915" i="2"/>
  <c r="Y915" i="2"/>
  <c r="AA915" i="2" s="1"/>
  <c r="U915" i="2"/>
  <c r="AQ914" i="2"/>
  <c r="AM914" i="2"/>
  <c r="AG914" i="2"/>
  <c r="U914" i="2"/>
  <c r="AQ913" i="2"/>
  <c r="AM913" i="2"/>
  <c r="AG913" i="2"/>
  <c r="Y913" i="2"/>
  <c r="Z913" i="2" s="1"/>
  <c r="AK913" i="2" s="1"/>
  <c r="AL913" i="2" s="1"/>
  <c r="AN913" i="2" s="1"/>
  <c r="AO913" i="2" s="1"/>
  <c r="U913" i="2"/>
  <c r="AQ912" i="2"/>
  <c r="AM912" i="2"/>
  <c r="AG912" i="2"/>
  <c r="U912" i="2"/>
  <c r="AQ911" i="2"/>
  <c r="AM911" i="2"/>
  <c r="AG911" i="2"/>
  <c r="AA911" i="2"/>
  <c r="Z911" i="2"/>
  <c r="AK911" i="2" s="1"/>
  <c r="AL911" i="2" s="1"/>
  <c r="AN911" i="2" s="1"/>
  <c r="AO911" i="2" s="1"/>
  <c r="Y911" i="2"/>
  <c r="U911" i="2"/>
  <c r="AQ910" i="2"/>
  <c r="AM910" i="2"/>
  <c r="AG910" i="2"/>
  <c r="U910" i="2"/>
  <c r="AQ909" i="2"/>
  <c r="AM909" i="2"/>
  <c r="AG909" i="2"/>
  <c r="AA909" i="2"/>
  <c r="Y909" i="2"/>
  <c r="Z909" i="2" s="1"/>
  <c r="AK909" i="2" s="1"/>
  <c r="AL909" i="2" s="1"/>
  <c r="AN909" i="2" s="1"/>
  <c r="AO909" i="2" s="1"/>
  <c r="U909" i="2"/>
  <c r="AQ908" i="2"/>
  <c r="AM908" i="2"/>
  <c r="AG908" i="2"/>
  <c r="AA908" i="2"/>
  <c r="Z908" i="2"/>
  <c r="AK908" i="2" s="1"/>
  <c r="AL908" i="2" s="1"/>
  <c r="AN908" i="2" s="1"/>
  <c r="AO908" i="2" s="1"/>
  <c r="U908" i="2"/>
  <c r="Y908" i="2" s="1"/>
  <c r="AQ907" i="2"/>
  <c r="AM907" i="2"/>
  <c r="AG907" i="2"/>
  <c r="AA907" i="2"/>
  <c r="Z907" i="2"/>
  <c r="AK907" i="2" s="1"/>
  <c r="AL907" i="2" s="1"/>
  <c r="AN907" i="2" s="1"/>
  <c r="AO907" i="2" s="1"/>
  <c r="Y907" i="2"/>
  <c r="U907" i="2"/>
  <c r="AQ906" i="2"/>
  <c r="AM906" i="2"/>
  <c r="AG906" i="2"/>
  <c r="Y906" i="2"/>
  <c r="Z906" i="2" s="1"/>
  <c r="AK906" i="2" s="1"/>
  <c r="AL906" i="2" s="1"/>
  <c r="AN906" i="2" s="1"/>
  <c r="AO906" i="2" s="1"/>
  <c r="U906" i="2"/>
  <c r="AQ905" i="2"/>
  <c r="AM905" i="2"/>
  <c r="AG905" i="2"/>
  <c r="AA905" i="2"/>
  <c r="Y905" i="2"/>
  <c r="Z905" i="2" s="1"/>
  <c r="AK905" i="2" s="1"/>
  <c r="AL905" i="2" s="1"/>
  <c r="AN905" i="2" s="1"/>
  <c r="AO905" i="2" s="1"/>
  <c r="U905" i="2"/>
  <c r="AQ904" i="2"/>
  <c r="AM904" i="2"/>
  <c r="AG904" i="2"/>
  <c r="AA904" i="2"/>
  <c r="Z904" i="2"/>
  <c r="AK904" i="2" s="1"/>
  <c r="AL904" i="2" s="1"/>
  <c r="AN904" i="2" s="1"/>
  <c r="AO904" i="2" s="1"/>
  <c r="U904" i="2"/>
  <c r="Y904" i="2" s="1"/>
  <c r="AQ903" i="2"/>
  <c r="AM903" i="2"/>
  <c r="AG903" i="2"/>
  <c r="Y903" i="2"/>
  <c r="U903" i="2"/>
  <c r="AQ902" i="2"/>
  <c r="AM902" i="2"/>
  <c r="AG902" i="2"/>
  <c r="Z902" i="2"/>
  <c r="AK902" i="2" s="1"/>
  <c r="AL902" i="2" s="1"/>
  <c r="AN902" i="2" s="1"/>
  <c r="AO902" i="2" s="1"/>
  <c r="Y902" i="2"/>
  <c r="U902" i="2"/>
  <c r="AQ901" i="2"/>
  <c r="AM901" i="2"/>
  <c r="AG901" i="2"/>
  <c r="U901" i="2"/>
  <c r="AQ900" i="2"/>
  <c r="AM900" i="2"/>
  <c r="AG900" i="2"/>
  <c r="U900" i="2"/>
  <c r="AQ899" i="2"/>
  <c r="AM899" i="2"/>
  <c r="AG899" i="2"/>
  <c r="Y899" i="2"/>
  <c r="U899" i="2"/>
  <c r="AQ898" i="2"/>
  <c r="AM898" i="2"/>
  <c r="AG898" i="2"/>
  <c r="U898" i="2"/>
  <c r="AQ897" i="2"/>
  <c r="AM897" i="2"/>
  <c r="AG897" i="2"/>
  <c r="U897" i="2"/>
  <c r="AQ896" i="2"/>
  <c r="AM896" i="2"/>
  <c r="AG896" i="2"/>
  <c r="U896" i="2"/>
  <c r="AQ895" i="2"/>
  <c r="AM895" i="2"/>
  <c r="AL895" i="2"/>
  <c r="AN895" i="2" s="1"/>
  <c r="AO895" i="2" s="1"/>
  <c r="AG895" i="2"/>
  <c r="AA895" i="2"/>
  <c r="Z895" i="2"/>
  <c r="AK895" i="2" s="1"/>
  <c r="Y895" i="2"/>
  <c r="U895" i="2"/>
  <c r="AQ894" i="2"/>
  <c r="AM894" i="2"/>
  <c r="AG894" i="2"/>
  <c r="U894" i="2"/>
  <c r="AQ893" i="2"/>
  <c r="AM893" i="2"/>
  <c r="AG893" i="2"/>
  <c r="U893" i="2"/>
  <c r="AQ892" i="2"/>
  <c r="AM892" i="2"/>
  <c r="AG892" i="2"/>
  <c r="U892" i="2"/>
  <c r="AQ891" i="2"/>
  <c r="AM891" i="2"/>
  <c r="AL891" i="2"/>
  <c r="AN891" i="2" s="1"/>
  <c r="AO891" i="2" s="1"/>
  <c r="AG891" i="2"/>
  <c r="AA891" i="2"/>
  <c r="Z891" i="2"/>
  <c r="AK891" i="2" s="1"/>
  <c r="Y891" i="2"/>
  <c r="U891" i="2"/>
  <c r="AQ890" i="2"/>
  <c r="AM890" i="2"/>
  <c r="AG890" i="2"/>
  <c r="Y890" i="2"/>
  <c r="Z890" i="2" s="1"/>
  <c r="AK890" i="2" s="1"/>
  <c r="AL890" i="2" s="1"/>
  <c r="AN890" i="2" s="1"/>
  <c r="AO890" i="2" s="1"/>
  <c r="U890" i="2"/>
  <c r="AQ889" i="2"/>
  <c r="AM889" i="2"/>
  <c r="AG889" i="2"/>
  <c r="Y889" i="2"/>
  <c r="U889" i="2"/>
  <c r="AQ888" i="2"/>
  <c r="AM888" i="2"/>
  <c r="AG888" i="2"/>
  <c r="AA888" i="2"/>
  <c r="Z888" i="2"/>
  <c r="AK888" i="2" s="1"/>
  <c r="AL888" i="2" s="1"/>
  <c r="AN888" i="2" s="1"/>
  <c r="AO888" i="2" s="1"/>
  <c r="U888" i="2"/>
  <c r="Y888" i="2" s="1"/>
  <c r="AQ887" i="2"/>
  <c r="AM887" i="2"/>
  <c r="AG887" i="2"/>
  <c r="Y887" i="2"/>
  <c r="U887" i="2"/>
  <c r="AQ886" i="2"/>
  <c r="AM886" i="2"/>
  <c r="AG886" i="2"/>
  <c r="Y886" i="2"/>
  <c r="Z886" i="2" s="1"/>
  <c r="AK886" i="2" s="1"/>
  <c r="AL886" i="2" s="1"/>
  <c r="AN886" i="2" s="1"/>
  <c r="AO886" i="2" s="1"/>
  <c r="U886" i="2"/>
  <c r="AQ885" i="2"/>
  <c r="AM885" i="2"/>
  <c r="AG885" i="2"/>
  <c r="AA885" i="2"/>
  <c r="U885" i="2"/>
  <c r="Y885" i="2" s="1"/>
  <c r="Z885" i="2" s="1"/>
  <c r="AK885" i="2" s="1"/>
  <c r="AL885" i="2" s="1"/>
  <c r="AN885" i="2" s="1"/>
  <c r="AO885" i="2" s="1"/>
  <c r="AQ884" i="2"/>
  <c r="AM884" i="2"/>
  <c r="AG884" i="2"/>
  <c r="U884" i="2"/>
  <c r="AQ883" i="2"/>
  <c r="AM883" i="2"/>
  <c r="AG883" i="2"/>
  <c r="Y883" i="2"/>
  <c r="U883" i="2"/>
  <c r="AQ882" i="2"/>
  <c r="AM882" i="2"/>
  <c r="AG882" i="2"/>
  <c r="U882" i="2"/>
  <c r="AQ881" i="2"/>
  <c r="AM881" i="2"/>
  <c r="AG881" i="2"/>
  <c r="U881" i="2"/>
  <c r="AQ880" i="2"/>
  <c r="AM880" i="2"/>
  <c r="AG880" i="2"/>
  <c r="U880" i="2"/>
  <c r="AQ879" i="2"/>
  <c r="AM879" i="2"/>
  <c r="AG879" i="2"/>
  <c r="AA879" i="2"/>
  <c r="Z879" i="2"/>
  <c r="AK879" i="2" s="1"/>
  <c r="AL879" i="2" s="1"/>
  <c r="AN879" i="2" s="1"/>
  <c r="AO879" i="2" s="1"/>
  <c r="Y879" i="2"/>
  <c r="U879" i="2"/>
  <c r="AQ878" i="2"/>
  <c r="AM878" i="2"/>
  <c r="AG878" i="2"/>
  <c r="U878" i="2"/>
  <c r="AQ877" i="2"/>
  <c r="AM877" i="2"/>
  <c r="AG877" i="2"/>
  <c r="U877" i="2"/>
  <c r="AQ876" i="2"/>
  <c r="AM876" i="2"/>
  <c r="AG876" i="2"/>
  <c r="U876" i="2"/>
  <c r="AQ875" i="2"/>
  <c r="AM875" i="2"/>
  <c r="AG875" i="2"/>
  <c r="Y875" i="2"/>
  <c r="U875" i="2"/>
  <c r="AQ874" i="2"/>
  <c r="AM874" i="2"/>
  <c r="AG874" i="2"/>
  <c r="U874" i="2"/>
  <c r="AQ873" i="2"/>
  <c r="AM873" i="2"/>
  <c r="AG873" i="2"/>
  <c r="U873" i="2"/>
  <c r="AQ872" i="2"/>
  <c r="AM872" i="2"/>
  <c r="AG872" i="2"/>
  <c r="U872" i="2"/>
  <c r="AQ871" i="2"/>
  <c r="AM871" i="2"/>
  <c r="AG871" i="2"/>
  <c r="Y871" i="2"/>
  <c r="U871" i="2"/>
  <c r="AQ870" i="2"/>
  <c r="AM870" i="2"/>
  <c r="AG870" i="2"/>
  <c r="U870" i="2"/>
  <c r="AQ869" i="2"/>
  <c r="AM869" i="2"/>
  <c r="AG869" i="2"/>
  <c r="U869" i="2"/>
  <c r="AQ868" i="2"/>
  <c r="AM868" i="2"/>
  <c r="AG868" i="2"/>
  <c r="U868" i="2"/>
  <c r="AQ867" i="2"/>
  <c r="AM867" i="2"/>
  <c r="AL867" i="2"/>
  <c r="AN867" i="2" s="1"/>
  <c r="AO867" i="2" s="1"/>
  <c r="AG867" i="2"/>
  <c r="AA867" i="2"/>
  <c r="Z867" i="2"/>
  <c r="AK867" i="2" s="1"/>
  <c r="Y867" i="2"/>
  <c r="U867" i="2"/>
  <c r="AQ866" i="2"/>
  <c r="AM866" i="2"/>
  <c r="AG866" i="2"/>
  <c r="U866" i="2"/>
  <c r="AQ865" i="2"/>
  <c r="AM865" i="2"/>
  <c r="AG865" i="2"/>
  <c r="Y865" i="2"/>
  <c r="Z865" i="2" s="1"/>
  <c r="AK865" i="2" s="1"/>
  <c r="AL865" i="2" s="1"/>
  <c r="AN865" i="2" s="1"/>
  <c r="AO865" i="2" s="1"/>
  <c r="U865" i="2"/>
  <c r="AQ864" i="2"/>
  <c r="AM864" i="2"/>
  <c r="AG864" i="2"/>
  <c r="AA864" i="2"/>
  <c r="Z864" i="2"/>
  <c r="AK864" i="2" s="1"/>
  <c r="AL864" i="2" s="1"/>
  <c r="AN864" i="2" s="1"/>
  <c r="AO864" i="2" s="1"/>
  <c r="U864" i="2"/>
  <c r="Y864" i="2" s="1"/>
  <c r="AQ863" i="2"/>
  <c r="AM863" i="2"/>
  <c r="AG863" i="2"/>
  <c r="AA863" i="2"/>
  <c r="Y863" i="2"/>
  <c r="Z863" i="2" s="1"/>
  <c r="AK863" i="2" s="1"/>
  <c r="AL863" i="2" s="1"/>
  <c r="AN863" i="2" s="1"/>
  <c r="AO863" i="2" s="1"/>
  <c r="U863" i="2"/>
  <c r="AQ862" i="2"/>
  <c r="AM862" i="2"/>
  <c r="AL862" i="2"/>
  <c r="AN862" i="2" s="1"/>
  <c r="AO862" i="2" s="1"/>
  <c r="AG862" i="2"/>
  <c r="Y862" i="2"/>
  <c r="Z862" i="2" s="1"/>
  <c r="AK862" i="2" s="1"/>
  <c r="U862" i="2"/>
  <c r="AQ861" i="2"/>
  <c r="AM861" i="2"/>
  <c r="AG861" i="2"/>
  <c r="U861" i="2"/>
  <c r="Y861" i="2" s="1"/>
  <c r="AQ860" i="2"/>
  <c r="AM860" i="2"/>
  <c r="AG860" i="2"/>
  <c r="AA860" i="2"/>
  <c r="U860" i="2"/>
  <c r="Y860" i="2" s="1"/>
  <c r="Z860" i="2" s="1"/>
  <c r="AK860" i="2" s="1"/>
  <c r="AL860" i="2" s="1"/>
  <c r="AN860" i="2" s="1"/>
  <c r="AO860" i="2" s="1"/>
  <c r="AQ859" i="2"/>
  <c r="AM859" i="2"/>
  <c r="AG859" i="2"/>
  <c r="Y859" i="2"/>
  <c r="U859" i="2"/>
  <c r="AQ858" i="2"/>
  <c r="AM858" i="2"/>
  <c r="AG858" i="2"/>
  <c r="U858" i="2"/>
  <c r="AQ857" i="2"/>
  <c r="AM857" i="2"/>
  <c r="AG857" i="2"/>
  <c r="U857" i="2"/>
  <c r="AQ856" i="2"/>
  <c r="AM856" i="2"/>
  <c r="AG856" i="2"/>
  <c r="Y856" i="2"/>
  <c r="U856" i="2"/>
  <c r="AQ855" i="2"/>
  <c r="AM855" i="2"/>
  <c r="AG855" i="2"/>
  <c r="Y855" i="2"/>
  <c r="Z855" i="2" s="1"/>
  <c r="AK855" i="2" s="1"/>
  <c r="AL855" i="2" s="1"/>
  <c r="AN855" i="2" s="1"/>
  <c r="AO855" i="2" s="1"/>
  <c r="U855" i="2"/>
  <c r="AQ854" i="2"/>
  <c r="AM854" i="2"/>
  <c r="AG854" i="2"/>
  <c r="U854" i="2"/>
  <c r="Y854" i="2" s="1"/>
  <c r="Z854" i="2" s="1"/>
  <c r="AK854" i="2" s="1"/>
  <c r="AL854" i="2" s="1"/>
  <c r="AN854" i="2" s="1"/>
  <c r="AO854" i="2" s="1"/>
  <c r="AQ853" i="2"/>
  <c r="AM853" i="2"/>
  <c r="AG853" i="2"/>
  <c r="AA853" i="2"/>
  <c r="Z853" i="2"/>
  <c r="AK853" i="2" s="1"/>
  <c r="AL853" i="2" s="1"/>
  <c r="AN853" i="2" s="1"/>
  <c r="AO853" i="2" s="1"/>
  <c r="U853" i="2"/>
  <c r="Y853" i="2" s="1"/>
  <c r="AQ852" i="2"/>
  <c r="AM852" i="2"/>
  <c r="AG852" i="2"/>
  <c r="Z852" i="2"/>
  <c r="AK852" i="2" s="1"/>
  <c r="AL852" i="2" s="1"/>
  <c r="AN852" i="2" s="1"/>
  <c r="AO852" i="2" s="1"/>
  <c r="Y852" i="2"/>
  <c r="AA852" i="2" s="1"/>
  <c r="U852" i="2"/>
  <c r="AQ851" i="2"/>
  <c r="AM851" i="2"/>
  <c r="AG851" i="2"/>
  <c r="U851" i="2"/>
  <c r="AQ850" i="2"/>
  <c r="AM850" i="2"/>
  <c r="AG850" i="2"/>
  <c r="AA850" i="2"/>
  <c r="U850" i="2"/>
  <c r="Y850" i="2" s="1"/>
  <c r="Z850" i="2" s="1"/>
  <c r="AK850" i="2" s="1"/>
  <c r="AL850" i="2" s="1"/>
  <c r="AN850" i="2" s="1"/>
  <c r="AO850" i="2" s="1"/>
  <c r="AQ849" i="2"/>
  <c r="AM849" i="2"/>
  <c r="AG849" i="2"/>
  <c r="U849" i="2"/>
  <c r="Y849" i="2" s="1"/>
  <c r="AQ848" i="2"/>
  <c r="AM848" i="2"/>
  <c r="AG848" i="2"/>
  <c r="Y848" i="2"/>
  <c r="U848" i="2"/>
  <c r="AQ847" i="2"/>
  <c r="AM847" i="2"/>
  <c r="AG847" i="2"/>
  <c r="U847" i="2"/>
  <c r="AQ846" i="2"/>
  <c r="AM846" i="2"/>
  <c r="AG846" i="2"/>
  <c r="U846" i="2"/>
  <c r="Y846" i="2" s="1"/>
  <c r="Z846" i="2" s="1"/>
  <c r="AK846" i="2" s="1"/>
  <c r="AL846" i="2" s="1"/>
  <c r="AN846" i="2" s="1"/>
  <c r="AO846" i="2" s="1"/>
  <c r="AQ845" i="2"/>
  <c r="AM845" i="2"/>
  <c r="AG845" i="2"/>
  <c r="AA845" i="2"/>
  <c r="Z845" i="2"/>
  <c r="AK845" i="2" s="1"/>
  <c r="AL845" i="2" s="1"/>
  <c r="AN845" i="2" s="1"/>
  <c r="AO845" i="2" s="1"/>
  <c r="U845" i="2"/>
  <c r="Y845" i="2" s="1"/>
  <c r="AQ844" i="2"/>
  <c r="AM844" i="2"/>
  <c r="AG844" i="2"/>
  <c r="Z844" i="2"/>
  <c r="AK844" i="2" s="1"/>
  <c r="AL844" i="2" s="1"/>
  <c r="AN844" i="2" s="1"/>
  <c r="AO844" i="2" s="1"/>
  <c r="Y844" i="2"/>
  <c r="AA844" i="2" s="1"/>
  <c r="U844" i="2"/>
  <c r="AQ843" i="2"/>
  <c r="AM843" i="2"/>
  <c r="AG843" i="2"/>
  <c r="U843" i="2"/>
  <c r="AQ842" i="2"/>
  <c r="AM842" i="2"/>
  <c r="AG842" i="2"/>
  <c r="U842" i="2"/>
  <c r="Y842" i="2" s="1"/>
  <c r="Z842" i="2" s="1"/>
  <c r="AK842" i="2" s="1"/>
  <c r="AL842" i="2" s="1"/>
  <c r="AN842" i="2" s="1"/>
  <c r="AO842" i="2" s="1"/>
  <c r="AQ841" i="2"/>
  <c r="AM841" i="2"/>
  <c r="AG841" i="2"/>
  <c r="U841" i="2"/>
  <c r="Y841" i="2" s="1"/>
  <c r="AQ840" i="2"/>
  <c r="AM840" i="2"/>
  <c r="AG840" i="2"/>
  <c r="Y840" i="2"/>
  <c r="U840" i="2"/>
  <c r="AQ839" i="2"/>
  <c r="AM839" i="2"/>
  <c r="AG839" i="2"/>
  <c r="U839" i="2"/>
  <c r="AQ838" i="2"/>
  <c r="AM838" i="2"/>
  <c r="AG838" i="2"/>
  <c r="U838" i="2"/>
  <c r="Y838" i="2" s="1"/>
  <c r="Z838" i="2" s="1"/>
  <c r="AK838" i="2" s="1"/>
  <c r="AL838" i="2" s="1"/>
  <c r="AN838" i="2" s="1"/>
  <c r="AO838" i="2" s="1"/>
  <c r="AQ837" i="2"/>
  <c r="AM837" i="2"/>
  <c r="AG837" i="2"/>
  <c r="AA837" i="2"/>
  <c r="Z837" i="2"/>
  <c r="AK837" i="2" s="1"/>
  <c r="AL837" i="2" s="1"/>
  <c r="AN837" i="2" s="1"/>
  <c r="AO837" i="2" s="1"/>
  <c r="U837" i="2"/>
  <c r="Y837" i="2" s="1"/>
  <c r="AQ836" i="2"/>
  <c r="AM836" i="2"/>
  <c r="AG836" i="2"/>
  <c r="Z836" i="2"/>
  <c r="AK836" i="2" s="1"/>
  <c r="AL836" i="2" s="1"/>
  <c r="AN836" i="2" s="1"/>
  <c r="AO836" i="2" s="1"/>
  <c r="Y836" i="2"/>
  <c r="AA836" i="2" s="1"/>
  <c r="U836" i="2"/>
  <c r="AQ835" i="2"/>
  <c r="AM835" i="2"/>
  <c r="AG835" i="2"/>
  <c r="U835" i="2"/>
  <c r="AQ834" i="2"/>
  <c r="AM834" i="2"/>
  <c r="AG834" i="2"/>
  <c r="U834" i="2"/>
  <c r="AQ833" i="2"/>
  <c r="AM833" i="2"/>
  <c r="AG833" i="2"/>
  <c r="U833" i="2"/>
  <c r="Y833" i="2" s="1"/>
  <c r="AQ832" i="2"/>
  <c r="AM832" i="2"/>
  <c r="AG832" i="2"/>
  <c r="Y832" i="2"/>
  <c r="U832" i="2"/>
  <c r="AQ831" i="2"/>
  <c r="AM831" i="2"/>
  <c r="AG831" i="2"/>
  <c r="Y831" i="2"/>
  <c r="Z831" i="2" s="1"/>
  <c r="AK831" i="2" s="1"/>
  <c r="AL831" i="2" s="1"/>
  <c r="AN831" i="2" s="1"/>
  <c r="AO831" i="2" s="1"/>
  <c r="U831" i="2"/>
  <c r="AQ830" i="2"/>
  <c r="AM830" i="2"/>
  <c r="AG830" i="2"/>
  <c r="U830" i="2"/>
  <c r="Y830" i="2" s="1"/>
  <c r="Z830" i="2" s="1"/>
  <c r="AK830" i="2" s="1"/>
  <c r="AL830" i="2" s="1"/>
  <c r="AN830" i="2" s="1"/>
  <c r="AO830" i="2" s="1"/>
  <c r="AQ829" i="2"/>
  <c r="AM829" i="2"/>
  <c r="AG829" i="2"/>
  <c r="AA829" i="2"/>
  <c r="Z829" i="2"/>
  <c r="AK829" i="2" s="1"/>
  <c r="AL829" i="2" s="1"/>
  <c r="AN829" i="2" s="1"/>
  <c r="AO829" i="2" s="1"/>
  <c r="U829" i="2"/>
  <c r="Y829" i="2" s="1"/>
  <c r="AQ828" i="2"/>
  <c r="AM828" i="2"/>
  <c r="AG828" i="2"/>
  <c r="Z828" i="2"/>
  <c r="AK828" i="2" s="1"/>
  <c r="AL828" i="2" s="1"/>
  <c r="AN828" i="2" s="1"/>
  <c r="AO828" i="2" s="1"/>
  <c r="Y828" i="2"/>
  <c r="AA828" i="2" s="1"/>
  <c r="U828" i="2"/>
  <c r="AQ827" i="2"/>
  <c r="AM827" i="2"/>
  <c r="AG827" i="2"/>
  <c r="U827" i="2"/>
  <c r="AQ826" i="2"/>
  <c r="AM826" i="2"/>
  <c r="AG826" i="2"/>
  <c r="U826" i="2"/>
  <c r="Y826" i="2" s="1"/>
  <c r="Z826" i="2" s="1"/>
  <c r="AK826" i="2" s="1"/>
  <c r="AL826" i="2" s="1"/>
  <c r="AN826" i="2" s="1"/>
  <c r="AO826" i="2" s="1"/>
  <c r="AQ825" i="2"/>
  <c r="AM825" i="2"/>
  <c r="AG825" i="2"/>
  <c r="U825" i="2"/>
  <c r="Y825" i="2" s="1"/>
  <c r="AQ824" i="2"/>
  <c r="AM824" i="2"/>
  <c r="AG824" i="2"/>
  <c r="Y824" i="2"/>
  <c r="U824" i="2"/>
  <c r="AQ823" i="2"/>
  <c r="AM823" i="2"/>
  <c r="AG823" i="2"/>
  <c r="Y823" i="2"/>
  <c r="Z823" i="2" s="1"/>
  <c r="AK823" i="2" s="1"/>
  <c r="AL823" i="2" s="1"/>
  <c r="AN823" i="2" s="1"/>
  <c r="AO823" i="2" s="1"/>
  <c r="U823" i="2"/>
  <c r="AQ822" i="2"/>
  <c r="AM822" i="2"/>
  <c r="AG822" i="2"/>
  <c r="U822" i="2"/>
  <c r="Y822" i="2" s="1"/>
  <c r="Z822" i="2" s="1"/>
  <c r="AK822" i="2" s="1"/>
  <c r="AL822" i="2" s="1"/>
  <c r="AN822" i="2" s="1"/>
  <c r="AO822" i="2" s="1"/>
  <c r="AQ821" i="2"/>
  <c r="AM821" i="2"/>
  <c r="AG821" i="2"/>
  <c r="AA821" i="2"/>
  <c r="Z821" i="2"/>
  <c r="AK821" i="2" s="1"/>
  <c r="AL821" i="2" s="1"/>
  <c r="AN821" i="2" s="1"/>
  <c r="AO821" i="2" s="1"/>
  <c r="U821" i="2"/>
  <c r="Y821" i="2" s="1"/>
  <c r="AQ820" i="2"/>
  <c r="AM820" i="2"/>
  <c r="AG820" i="2"/>
  <c r="Z820" i="2"/>
  <c r="AK820" i="2" s="1"/>
  <c r="AL820" i="2" s="1"/>
  <c r="AN820" i="2" s="1"/>
  <c r="AO820" i="2" s="1"/>
  <c r="Y820" i="2"/>
  <c r="AA820" i="2" s="1"/>
  <c r="U820" i="2"/>
  <c r="AQ819" i="2"/>
  <c r="AM819" i="2"/>
  <c r="AG819" i="2"/>
  <c r="U819" i="2"/>
  <c r="AQ818" i="2"/>
  <c r="AM818" i="2"/>
  <c r="AG818" i="2"/>
  <c r="AA818" i="2"/>
  <c r="U818" i="2"/>
  <c r="Y818" i="2" s="1"/>
  <c r="Z818" i="2" s="1"/>
  <c r="AK818" i="2" s="1"/>
  <c r="AL818" i="2" s="1"/>
  <c r="AN818" i="2" s="1"/>
  <c r="AO818" i="2" s="1"/>
  <c r="AQ817" i="2"/>
  <c r="AM817" i="2"/>
  <c r="AG817" i="2"/>
  <c r="U817" i="2"/>
  <c r="Y817" i="2" s="1"/>
  <c r="AQ816" i="2"/>
  <c r="AM816" i="2"/>
  <c r="AG816" i="2"/>
  <c r="Y816" i="2"/>
  <c r="U816" i="2"/>
  <c r="AQ815" i="2"/>
  <c r="AM815" i="2"/>
  <c r="AG815" i="2"/>
  <c r="U815" i="2"/>
  <c r="AQ814" i="2"/>
  <c r="AM814" i="2"/>
  <c r="AG814" i="2"/>
  <c r="U814" i="2"/>
  <c r="Y814" i="2" s="1"/>
  <c r="Z814" i="2" s="1"/>
  <c r="AK814" i="2" s="1"/>
  <c r="AL814" i="2" s="1"/>
  <c r="AN814" i="2" s="1"/>
  <c r="AO814" i="2" s="1"/>
  <c r="AQ813" i="2"/>
  <c r="AM813" i="2"/>
  <c r="AG813" i="2"/>
  <c r="AA813" i="2"/>
  <c r="Z813" i="2"/>
  <c r="AK813" i="2" s="1"/>
  <c r="AL813" i="2" s="1"/>
  <c r="AN813" i="2" s="1"/>
  <c r="AO813" i="2" s="1"/>
  <c r="U813" i="2"/>
  <c r="Y813" i="2" s="1"/>
  <c r="AQ812" i="2"/>
  <c r="AM812" i="2"/>
  <c r="AG812" i="2"/>
  <c r="Z812" i="2"/>
  <c r="AK812" i="2" s="1"/>
  <c r="AL812" i="2" s="1"/>
  <c r="AN812" i="2" s="1"/>
  <c r="AO812" i="2" s="1"/>
  <c r="Y812" i="2"/>
  <c r="AA812" i="2" s="1"/>
  <c r="U812" i="2"/>
  <c r="AQ811" i="2"/>
  <c r="AM811" i="2"/>
  <c r="AG811" i="2"/>
  <c r="U811" i="2"/>
  <c r="AQ810" i="2"/>
  <c r="AM810" i="2"/>
  <c r="AG810" i="2"/>
  <c r="U810" i="2"/>
  <c r="AQ809" i="2"/>
  <c r="AM809" i="2"/>
  <c r="AG809" i="2"/>
  <c r="U809" i="2"/>
  <c r="Y809" i="2" s="1"/>
  <c r="AQ808" i="2"/>
  <c r="AM808" i="2"/>
  <c r="AG808" i="2"/>
  <c r="Y808" i="2"/>
  <c r="U808" i="2"/>
  <c r="AQ807" i="2"/>
  <c r="AM807" i="2"/>
  <c r="AG807" i="2"/>
  <c r="U807" i="2"/>
  <c r="AQ806" i="2"/>
  <c r="AM806" i="2"/>
  <c r="AG806" i="2"/>
  <c r="U806" i="2"/>
  <c r="Y806" i="2" s="1"/>
  <c r="Z806" i="2" s="1"/>
  <c r="AK806" i="2" s="1"/>
  <c r="AL806" i="2" s="1"/>
  <c r="AN806" i="2" s="1"/>
  <c r="AO806" i="2" s="1"/>
  <c r="AQ805" i="2"/>
  <c r="AM805" i="2"/>
  <c r="AG805" i="2"/>
  <c r="AA805" i="2"/>
  <c r="Z805" i="2"/>
  <c r="AK805" i="2" s="1"/>
  <c r="AL805" i="2" s="1"/>
  <c r="AN805" i="2" s="1"/>
  <c r="AO805" i="2" s="1"/>
  <c r="U805" i="2"/>
  <c r="Y805" i="2" s="1"/>
  <c r="AQ804" i="2"/>
  <c r="AM804" i="2"/>
  <c r="AG804" i="2"/>
  <c r="Z804" i="2"/>
  <c r="AK804" i="2" s="1"/>
  <c r="AL804" i="2" s="1"/>
  <c r="AN804" i="2" s="1"/>
  <c r="AO804" i="2" s="1"/>
  <c r="Y804" i="2"/>
  <c r="AA804" i="2" s="1"/>
  <c r="U804" i="2"/>
  <c r="AQ803" i="2"/>
  <c r="AM803" i="2"/>
  <c r="AG803" i="2"/>
  <c r="U803" i="2"/>
  <c r="AQ802" i="2"/>
  <c r="AM802" i="2"/>
  <c r="AG802" i="2"/>
  <c r="U802" i="2"/>
  <c r="AQ801" i="2"/>
  <c r="AM801" i="2"/>
  <c r="AG801" i="2"/>
  <c r="U801" i="2"/>
  <c r="AQ800" i="2"/>
  <c r="AM800" i="2"/>
  <c r="AG800" i="2"/>
  <c r="AA800" i="2"/>
  <c r="Z800" i="2"/>
  <c r="AK800" i="2" s="1"/>
  <c r="AL800" i="2" s="1"/>
  <c r="AN800" i="2" s="1"/>
  <c r="AO800" i="2" s="1"/>
  <c r="Y800" i="2"/>
  <c r="U800" i="2"/>
  <c r="AQ799" i="2"/>
  <c r="AM799" i="2"/>
  <c r="AG799" i="2"/>
  <c r="Y799" i="2"/>
  <c r="Z799" i="2" s="1"/>
  <c r="AK799" i="2" s="1"/>
  <c r="AL799" i="2" s="1"/>
  <c r="AN799" i="2" s="1"/>
  <c r="AO799" i="2" s="1"/>
  <c r="U799" i="2"/>
  <c r="AQ798" i="2"/>
  <c r="AM798" i="2"/>
  <c r="AG798" i="2"/>
  <c r="Y798" i="2"/>
  <c r="U798" i="2"/>
  <c r="AQ797" i="2"/>
  <c r="AM797" i="2"/>
  <c r="AG797" i="2"/>
  <c r="AA797" i="2"/>
  <c r="Z797" i="2"/>
  <c r="AK797" i="2" s="1"/>
  <c r="AL797" i="2" s="1"/>
  <c r="AN797" i="2" s="1"/>
  <c r="AO797" i="2" s="1"/>
  <c r="U797" i="2"/>
  <c r="Y797" i="2" s="1"/>
  <c r="AQ796" i="2"/>
  <c r="AM796" i="2"/>
  <c r="AG796" i="2"/>
  <c r="AA796" i="2"/>
  <c r="Y796" i="2"/>
  <c r="Z796" i="2" s="1"/>
  <c r="AK796" i="2" s="1"/>
  <c r="AL796" i="2" s="1"/>
  <c r="AN796" i="2" s="1"/>
  <c r="AO796" i="2" s="1"/>
  <c r="U796" i="2"/>
  <c r="AQ795" i="2"/>
  <c r="AM795" i="2"/>
  <c r="AG795" i="2"/>
  <c r="Y795" i="2"/>
  <c r="Z795" i="2" s="1"/>
  <c r="AK795" i="2" s="1"/>
  <c r="AL795" i="2" s="1"/>
  <c r="AN795" i="2" s="1"/>
  <c r="AO795" i="2" s="1"/>
  <c r="U795" i="2"/>
  <c r="AQ794" i="2"/>
  <c r="AM794" i="2"/>
  <c r="AG794" i="2"/>
  <c r="U794" i="2"/>
  <c r="Y794" i="2" s="1"/>
  <c r="AQ793" i="2"/>
  <c r="AM793" i="2"/>
  <c r="AG793" i="2"/>
  <c r="AA793" i="2"/>
  <c r="U793" i="2"/>
  <c r="Y793" i="2" s="1"/>
  <c r="Z793" i="2" s="1"/>
  <c r="AK793" i="2" s="1"/>
  <c r="AL793" i="2" s="1"/>
  <c r="AN793" i="2" s="1"/>
  <c r="AO793" i="2" s="1"/>
  <c r="AQ792" i="2"/>
  <c r="AM792" i="2"/>
  <c r="AG792" i="2"/>
  <c r="Y792" i="2"/>
  <c r="U792" i="2"/>
  <c r="AQ791" i="2"/>
  <c r="AM791" i="2"/>
  <c r="AG791" i="2"/>
  <c r="U791" i="2"/>
  <c r="AQ790" i="2"/>
  <c r="AM790" i="2"/>
  <c r="AG790" i="2"/>
  <c r="U790" i="2"/>
  <c r="AQ789" i="2"/>
  <c r="AM789" i="2"/>
  <c r="AG789" i="2"/>
  <c r="U789" i="2"/>
  <c r="AQ788" i="2"/>
  <c r="AM788" i="2"/>
  <c r="AG788" i="2"/>
  <c r="Z788" i="2"/>
  <c r="AK788" i="2" s="1"/>
  <c r="AL788" i="2" s="1"/>
  <c r="AN788" i="2" s="1"/>
  <c r="AO788" i="2" s="1"/>
  <c r="Y788" i="2"/>
  <c r="AA788" i="2" s="1"/>
  <c r="U788" i="2"/>
  <c r="AQ787" i="2"/>
  <c r="AM787" i="2"/>
  <c r="AG787" i="2"/>
  <c r="U787" i="2"/>
  <c r="AQ786" i="2"/>
  <c r="AM786" i="2"/>
  <c r="AG786" i="2"/>
  <c r="U786" i="2"/>
  <c r="Y786" i="2" s="1"/>
  <c r="AQ785" i="2"/>
  <c r="AM785" i="2"/>
  <c r="AG785" i="2"/>
  <c r="Z785" i="2"/>
  <c r="AK785" i="2" s="1"/>
  <c r="AL785" i="2" s="1"/>
  <c r="AN785" i="2" s="1"/>
  <c r="AO785" i="2" s="1"/>
  <c r="Y785" i="2"/>
  <c r="AA785" i="2" s="1"/>
  <c r="U785" i="2"/>
  <c r="AQ784" i="2"/>
  <c r="AM784" i="2"/>
  <c r="AG784" i="2"/>
  <c r="Y784" i="2"/>
  <c r="Z784" i="2" s="1"/>
  <c r="AK784" i="2" s="1"/>
  <c r="AL784" i="2" s="1"/>
  <c r="AN784" i="2" s="1"/>
  <c r="AO784" i="2" s="1"/>
  <c r="U784" i="2"/>
  <c r="AQ783" i="2"/>
  <c r="AM783" i="2"/>
  <c r="AG783" i="2"/>
  <c r="U783" i="2"/>
  <c r="AQ782" i="2"/>
  <c r="AM782" i="2"/>
  <c r="AG782" i="2"/>
  <c r="AA782" i="2"/>
  <c r="Z782" i="2"/>
  <c r="AK782" i="2" s="1"/>
  <c r="AL782" i="2" s="1"/>
  <c r="AN782" i="2" s="1"/>
  <c r="AO782" i="2" s="1"/>
  <c r="U782" i="2"/>
  <c r="Y782" i="2" s="1"/>
  <c r="AQ781" i="2"/>
  <c r="AM781" i="2"/>
  <c r="AK781" i="2"/>
  <c r="AL781" i="2" s="1"/>
  <c r="AN781" i="2" s="1"/>
  <c r="AO781" i="2" s="1"/>
  <c r="AG781" i="2"/>
  <c r="Z781" i="2"/>
  <c r="Y781" i="2"/>
  <c r="AA781" i="2" s="1"/>
  <c r="U781" i="2"/>
  <c r="AQ780" i="2"/>
  <c r="AM780" i="2"/>
  <c r="AG780" i="2"/>
  <c r="U780" i="2"/>
  <c r="AQ779" i="2"/>
  <c r="AM779" i="2"/>
  <c r="AG779" i="2"/>
  <c r="AA779" i="2"/>
  <c r="U779" i="2"/>
  <c r="Y779" i="2" s="1"/>
  <c r="Z779" i="2" s="1"/>
  <c r="AK779" i="2" s="1"/>
  <c r="AL779" i="2" s="1"/>
  <c r="AN779" i="2" s="1"/>
  <c r="AO779" i="2" s="1"/>
  <c r="AQ778" i="2"/>
  <c r="AM778" i="2"/>
  <c r="AG778" i="2"/>
  <c r="Z778" i="2"/>
  <c r="AK778" i="2" s="1"/>
  <c r="AL778" i="2" s="1"/>
  <c r="AN778" i="2" s="1"/>
  <c r="AO778" i="2" s="1"/>
  <c r="U778" i="2"/>
  <c r="Y778" i="2" s="1"/>
  <c r="AA778" i="2" s="1"/>
  <c r="AQ777" i="2"/>
  <c r="AM777" i="2"/>
  <c r="AG777" i="2"/>
  <c r="Y777" i="2"/>
  <c r="AA777" i="2" s="1"/>
  <c r="U777" i="2"/>
  <c r="AQ776" i="2"/>
  <c r="AM776" i="2"/>
  <c r="AG776" i="2"/>
  <c r="Y776" i="2"/>
  <c r="Z776" i="2" s="1"/>
  <c r="AK776" i="2" s="1"/>
  <c r="AL776" i="2" s="1"/>
  <c r="AN776" i="2" s="1"/>
  <c r="AO776" i="2" s="1"/>
  <c r="U776" i="2"/>
  <c r="AQ775" i="2"/>
  <c r="AM775" i="2"/>
  <c r="AG775" i="2"/>
  <c r="U775" i="2"/>
  <c r="AQ774" i="2"/>
  <c r="AM774" i="2"/>
  <c r="AG774" i="2"/>
  <c r="AA774" i="2"/>
  <c r="Z774" i="2"/>
  <c r="AK774" i="2" s="1"/>
  <c r="AL774" i="2" s="1"/>
  <c r="AN774" i="2" s="1"/>
  <c r="AO774" i="2" s="1"/>
  <c r="U774" i="2"/>
  <c r="Y774" i="2" s="1"/>
  <c r="AQ773" i="2"/>
  <c r="AM773" i="2"/>
  <c r="AK773" i="2"/>
  <c r="AL773" i="2" s="1"/>
  <c r="AN773" i="2" s="1"/>
  <c r="AO773" i="2" s="1"/>
  <c r="AG773" i="2"/>
  <c r="Z773" i="2"/>
  <c r="Y773" i="2"/>
  <c r="AA773" i="2" s="1"/>
  <c r="U773" i="2"/>
  <c r="AQ772" i="2"/>
  <c r="AM772" i="2"/>
  <c r="AG772" i="2"/>
  <c r="U772" i="2"/>
  <c r="AQ771" i="2"/>
  <c r="AM771" i="2"/>
  <c r="AG771" i="2"/>
  <c r="AA771" i="2"/>
  <c r="U771" i="2"/>
  <c r="Y771" i="2" s="1"/>
  <c r="Z771" i="2" s="1"/>
  <c r="AK771" i="2" s="1"/>
  <c r="AL771" i="2" s="1"/>
  <c r="AN771" i="2" s="1"/>
  <c r="AO771" i="2" s="1"/>
  <c r="AQ770" i="2"/>
  <c r="AM770" i="2"/>
  <c r="AL770" i="2"/>
  <c r="AN770" i="2" s="1"/>
  <c r="AO770" i="2" s="1"/>
  <c r="AG770" i="2"/>
  <c r="Z770" i="2"/>
  <c r="AK770" i="2" s="1"/>
  <c r="U770" i="2"/>
  <c r="Y770" i="2" s="1"/>
  <c r="AA770" i="2" s="1"/>
  <c r="AQ769" i="2"/>
  <c r="AM769" i="2"/>
  <c r="AG769" i="2"/>
  <c r="Y769" i="2"/>
  <c r="U769" i="2"/>
  <c r="AQ768" i="2"/>
  <c r="AM768" i="2"/>
  <c r="AG768" i="2"/>
  <c r="Y768" i="2"/>
  <c r="Z768" i="2" s="1"/>
  <c r="AK768" i="2" s="1"/>
  <c r="AL768" i="2" s="1"/>
  <c r="AN768" i="2" s="1"/>
  <c r="AO768" i="2" s="1"/>
  <c r="U768" i="2"/>
  <c r="AQ767" i="2"/>
  <c r="AM767" i="2"/>
  <c r="AG767" i="2"/>
  <c r="U767" i="2"/>
  <c r="AQ766" i="2"/>
  <c r="AM766" i="2"/>
  <c r="AG766" i="2"/>
  <c r="AA766" i="2"/>
  <c r="Z766" i="2"/>
  <c r="AK766" i="2" s="1"/>
  <c r="AL766" i="2" s="1"/>
  <c r="AN766" i="2" s="1"/>
  <c r="AO766" i="2" s="1"/>
  <c r="U766" i="2"/>
  <c r="Y766" i="2" s="1"/>
  <c r="AQ765" i="2"/>
  <c r="AM765" i="2"/>
  <c r="AK765" i="2"/>
  <c r="AL765" i="2" s="1"/>
  <c r="AN765" i="2" s="1"/>
  <c r="AO765" i="2" s="1"/>
  <c r="AG765" i="2"/>
  <c r="Z765" i="2"/>
  <c r="Y765" i="2"/>
  <c r="AA765" i="2" s="1"/>
  <c r="U765" i="2"/>
  <c r="AQ764" i="2"/>
  <c r="AM764" i="2"/>
  <c r="AG764" i="2"/>
  <c r="U764" i="2"/>
  <c r="AQ763" i="2"/>
  <c r="AM763" i="2"/>
  <c r="AG763" i="2"/>
  <c r="AA763" i="2"/>
  <c r="U763" i="2"/>
  <c r="Y763" i="2" s="1"/>
  <c r="Z763" i="2" s="1"/>
  <c r="AK763" i="2" s="1"/>
  <c r="AL763" i="2" s="1"/>
  <c r="AN763" i="2" s="1"/>
  <c r="AO763" i="2" s="1"/>
  <c r="AQ762" i="2"/>
  <c r="AM762" i="2"/>
  <c r="AG762" i="2"/>
  <c r="U762" i="2"/>
  <c r="Y762" i="2" s="1"/>
  <c r="AA762" i="2" s="1"/>
  <c r="AQ761" i="2"/>
  <c r="AM761" i="2"/>
  <c r="AG761" i="2"/>
  <c r="Z761" i="2"/>
  <c r="AK761" i="2" s="1"/>
  <c r="AL761" i="2" s="1"/>
  <c r="AN761" i="2" s="1"/>
  <c r="AO761" i="2" s="1"/>
  <c r="Y761" i="2"/>
  <c r="AA761" i="2" s="1"/>
  <c r="U761" i="2"/>
  <c r="AQ760" i="2"/>
  <c r="AM760" i="2"/>
  <c r="AG760" i="2"/>
  <c r="Y760" i="2"/>
  <c r="Z760" i="2" s="1"/>
  <c r="AK760" i="2" s="1"/>
  <c r="AL760" i="2" s="1"/>
  <c r="AN760" i="2" s="1"/>
  <c r="AO760" i="2" s="1"/>
  <c r="U760" i="2"/>
  <c r="AQ759" i="2"/>
  <c r="AM759" i="2"/>
  <c r="AG759" i="2"/>
  <c r="U759" i="2"/>
  <c r="AQ758" i="2"/>
  <c r="AM758" i="2"/>
  <c r="AG758" i="2"/>
  <c r="AA758" i="2"/>
  <c r="Z758" i="2"/>
  <c r="AK758" i="2" s="1"/>
  <c r="AL758" i="2" s="1"/>
  <c r="AN758" i="2" s="1"/>
  <c r="AO758" i="2" s="1"/>
  <c r="U758" i="2"/>
  <c r="Y758" i="2" s="1"/>
  <c r="AQ757" i="2"/>
  <c r="AM757" i="2"/>
  <c r="AK757" i="2"/>
  <c r="AL757" i="2" s="1"/>
  <c r="AN757" i="2" s="1"/>
  <c r="AO757" i="2" s="1"/>
  <c r="AG757" i="2"/>
  <c r="Z757" i="2"/>
  <c r="Y757" i="2"/>
  <c r="AA757" i="2" s="1"/>
  <c r="U757" i="2"/>
  <c r="AQ756" i="2"/>
  <c r="AM756" i="2"/>
  <c r="AG756" i="2"/>
  <c r="U756" i="2"/>
  <c r="AQ755" i="2"/>
  <c r="AM755" i="2"/>
  <c r="AG755" i="2"/>
  <c r="AA755" i="2"/>
  <c r="U755" i="2"/>
  <c r="Y755" i="2" s="1"/>
  <c r="Z755" i="2" s="1"/>
  <c r="AK755" i="2" s="1"/>
  <c r="AL755" i="2" s="1"/>
  <c r="AN755" i="2" s="1"/>
  <c r="AO755" i="2" s="1"/>
  <c r="AQ754" i="2"/>
  <c r="AM754" i="2"/>
  <c r="AG754" i="2"/>
  <c r="U754" i="2"/>
  <c r="Y754" i="2" s="1"/>
  <c r="AQ753" i="2"/>
  <c r="AM753" i="2"/>
  <c r="AL753" i="2"/>
  <c r="AN753" i="2" s="1"/>
  <c r="AO753" i="2" s="1"/>
  <c r="AG753" i="2"/>
  <c r="Z753" i="2"/>
  <c r="AK753" i="2" s="1"/>
  <c r="Y753" i="2"/>
  <c r="AA753" i="2" s="1"/>
  <c r="U753" i="2"/>
  <c r="AQ752" i="2"/>
  <c r="AM752" i="2"/>
  <c r="AG752" i="2"/>
  <c r="Y752" i="2"/>
  <c r="Z752" i="2" s="1"/>
  <c r="AK752" i="2" s="1"/>
  <c r="AL752" i="2" s="1"/>
  <c r="AN752" i="2" s="1"/>
  <c r="AO752" i="2" s="1"/>
  <c r="U752" i="2"/>
  <c r="AQ751" i="2"/>
  <c r="AM751" i="2"/>
  <c r="AG751" i="2"/>
  <c r="U751" i="2"/>
  <c r="AQ750" i="2"/>
  <c r="AM750" i="2"/>
  <c r="AG750" i="2"/>
  <c r="AA750" i="2"/>
  <c r="Z750" i="2"/>
  <c r="AK750" i="2" s="1"/>
  <c r="AL750" i="2" s="1"/>
  <c r="AN750" i="2" s="1"/>
  <c r="AO750" i="2" s="1"/>
  <c r="U750" i="2"/>
  <c r="Y750" i="2" s="1"/>
  <c r="AQ749" i="2"/>
  <c r="AM749" i="2"/>
  <c r="AK749" i="2"/>
  <c r="AL749" i="2" s="1"/>
  <c r="AN749" i="2" s="1"/>
  <c r="AO749" i="2" s="1"/>
  <c r="AG749" i="2"/>
  <c r="Z749" i="2"/>
  <c r="Y749" i="2"/>
  <c r="AA749" i="2" s="1"/>
  <c r="U749" i="2"/>
  <c r="AQ748" i="2"/>
  <c r="AM748" i="2"/>
  <c r="AG748" i="2"/>
  <c r="U748" i="2"/>
  <c r="AQ747" i="2"/>
  <c r="AM747" i="2"/>
  <c r="AG747" i="2"/>
  <c r="AA747" i="2"/>
  <c r="U747" i="2"/>
  <c r="Y747" i="2" s="1"/>
  <c r="Z747" i="2" s="1"/>
  <c r="AK747" i="2" s="1"/>
  <c r="AL747" i="2" s="1"/>
  <c r="AN747" i="2" s="1"/>
  <c r="AO747" i="2" s="1"/>
  <c r="AQ746" i="2"/>
  <c r="AM746" i="2"/>
  <c r="AG746" i="2"/>
  <c r="Z746" i="2"/>
  <c r="AK746" i="2" s="1"/>
  <c r="AL746" i="2" s="1"/>
  <c r="AN746" i="2" s="1"/>
  <c r="AO746" i="2" s="1"/>
  <c r="U746" i="2"/>
  <c r="Y746" i="2" s="1"/>
  <c r="AA746" i="2" s="1"/>
  <c r="AQ745" i="2"/>
  <c r="AM745" i="2"/>
  <c r="AG745" i="2"/>
  <c r="Y745" i="2"/>
  <c r="AA745" i="2" s="1"/>
  <c r="U745" i="2"/>
  <c r="AQ744" i="2"/>
  <c r="AM744" i="2"/>
  <c r="AG744" i="2"/>
  <c r="Y744" i="2"/>
  <c r="Z744" i="2" s="1"/>
  <c r="AK744" i="2" s="1"/>
  <c r="AL744" i="2" s="1"/>
  <c r="AN744" i="2" s="1"/>
  <c r="AO744" i="2" s="1"/>
  <c r="U744" i="2"/>
  <c r="AQ743" i="2"/>
  <c r="AM743" i="2"/>
  <c r="AG743" i="2"/>
  <c r="U743" i="2"/>
  <c r="AQ742" i="2"/>
  <c r="AM742" i="2"/>
  <c r="AG742" i="2"/>
  <c r="AA742" i="2"/>
  <c r="Z742" i="2"/>
  <c r="AK742" i="2" s="1"/>
  <c r="AL742" i="2" s="1"/>
  <c r="AN742" i="2" s="1"/>
  <c r="AO742" i="2" s="1"/>
  <c r="U742" i="2"/>
  <c r="Y742" i="2" s="1"/>
  <c r="AQ741" i="2"/>
  <c r="AM741" i="2"/>
  <c r="AK741" i="2"/>
  <c r="AL741" i="2" s="1"/>
  <c r="AN741" i="2" s="1"/>
  <c r="AO741" i="2" s="1"/>
  <c r="AG741" i="2"/>
  <c r="Z741" i="2"/>
  <c r="Y741" i="2"/>
  <c r="AA741" i="2" s="1"/>
  <c r="U741" i="2"/>
  <c r="AQ740" i="2"/>
  <c r="AM740" i="2"/>
  <c r="AG740" i="2"/>
  <c r="U740" i="2"/>
  <c r="AQ739" i="2"/>
  <c r="AM739" i="2"/>
  <c r="AG739" i="2"/>
  <c r="AA739" i="2"/>
  <c r="U739" i="2"/>
  <c r="Y739" i="2" s="1"/>
  <c r="Z739" i="2" s="1"/>
  <c r="AK739" i="2" s="1"/>
  <c r="AL739" i="2" s="1"/>
  <c r="AN739" i="2" s="1"/>
  <c r="AO739" i="2" s="1"/>
  <c r="AQ738" i="2"/>
  <c r="AM738" i="2"/>
  <c r="AG738" i="2"/>
  <c r="Z738" i="2"/>
  <c r="AK738" i="2" s="1"/>
  <c r="AL738" i="2" s="1"/>
  <c r="AN738" i="2" s="1"/>
  <c r="AO738" i="2" s="1"/>
  <c r="U738" i="2"/>
  <c r="Y738" i="2" s="1"/>
  <c r="AA738" i="2" s="1"/>
  <c r="AQ737" i="2"/>
  <c r="AM737" i="2"/>
  <c r="AG737" i="2"/>
  <c r="Y737" i="2"/>
  <c r="U737" i="2"/>
  <c r="AQ736" i="2"/>
  <c r="AM736" i="2"/>
  <c r="AG736" i="2"/>
  <c r="Y736" i="2"/>
  <c r="Z736" i="2" s="1"/>
  <c r="AK736" i="2" s="1"/>
  <c r="AL736" i="2" s="1"/>
  <c r="AN736" i="2" s="1"/>
  <c r="AO736" i="2" s="1"/>
  <c r="U736" i="2"/>
  <c r="AQ735" i="2"/>
  <c r="AM735" i="2"/>
  <c r="AG735" i="2"/>
  <c r="U735" i="2"/>
  <c r="AQ734" i="2"/>
  <c r="AM734" i="2"/>
  <c r="AG734" i="2"/>
  <c r="AA734" i="2"/>
  <c r="Z734" i="2"/>
  <c r="AK734" i="2" s="1"/>
  <c r="AL734" i="2" s="1"/>
  <c r="AN734" i="2" s="1"/>
  <c r="AO734" i="2" s="1"/>
  <c r="U734" i="2"/>
  <c r="Y734" i="2" s="1"/>
  <c r="AQ733" i="2"/>
  <c r="AM733" i="2"/>
  <c r="AK733" i="2"/>
  <c r="AL733" i="2" s="1"/>
  <c r="AN733" i="2" s="1"/>
  <c r="AO733" i="2" s="1"/>
  <c r="AG733" i="2"/>
  <c r="Z733" i="2"/>
  <c r="Y733" i="2"/>
  <c r="AA733" i="2" s="1"/>
  <c r="U733" i="2"/>
  <c r="AQ732" i="2"/>
  <c r="AM732" i="2"/>
  <c r="AG732" i="2"/>
  <c r="U732" i="2"/>
  <c r="AQ731" i="2"/>
  <c r="AM731" i="2"/>
  <c r="AG731" i="2"/>
  <c r="AA731" i="2"/>
  <c r="U731" i="2"/>
  <c r="Y731" i="2" s="1"/>
  <c r="Z731" i="2" s="1"/>
  <c r="AK731" i="2" s="1"/>
  <c r="AL731" i="2" s="1"/>
  <c r="AN731" i="2" s="1"/>
  <c r="AO731" i="2" s="1"/>
  <c r="AQ730" i="2"/>
  <c r="AM730" i="2"/>
  <c r="AG730" i="2"/>
  <c r="U730" i="2"/>
  <c r="Y730" i="2" s="1"/>
  <c r="AA730" i="2" s="1"/>
  <c r="AQ729" i="2"/>
  <c r="AM729" i="2"/>
  <c r="AG729" i="2"/>
  <c r="Z729" i="2"/>
  <c r="AK729" i="2" s="1"/>
  <c r="AL729" i="2" s="1"/>
  <c r="AN729" i="2" s="1"/>
  <c r="AO729" i="2" s="1"/>
  <c r="Y729" i="2"/>
  <c r="AA729" i="2" s="1"/>
  <c r="U729" i="2"/>
  <c r="AQ728" i="2"/>
  <c r="AM728" i="2"/>
  <c r="AG728" i="2"/>
  <c r="Y728" i="2"/>
  <c r="Z728" i="2" s="1"/>
  <c r="AK728" i="2" s="1"/>
  <c r="AL728" i="2" s="1"/>
  <c r="AN728" i="2" s="1"/>
  <c r="AO728" i="2" s="1"/>
  <c r="U728" i="2"/>
  <c r="AQ727" i="2"/>
  <c r="AM727" i="2"/>
  <c r="AG727" i="2"/>
  <c r="U727" i="2"/>
  <c r="AQ726" i="2"/>
  <c r="AM726" i="2"/>
  <c r="AG726" i="2"/>
  <c r="AA726" i="2"/>
  <c r="Z726" i="2"/>
  <c r="AK726" i="2" s="1"/>
  <c r="AL726" i="2" s="1"/>
  <c r="AN726" i="2" s="1"/>
  <c r="AO726" i="2" s="1"/>
  <c r="U726" i="2"/>
  <c r="Y726" i="2" s="1"/>
  <c r="AQ725" i="2"/>
  <c r="AM725" i="2"/>
  <c r="AK725" i="2"/>
  <c r="AL725" i="2" s="1"/>
  <c r="AN725" i="2" s="1"/>
  <c r="AO725" i="2" s="1"/>
  <c r="AG725" i="2"/>
  <c r="Z725" i="2"/>
  <c r="Y725" i="2"/>
  <c r="AA725" i="2" s="1"/>
  <c r="U725" i="2"/>
  <c r="AQ724" i="2"/>
  <c r="AM724" i="2"/>
  <c r="AG724" i="2"/>
  <c r="U724" i="2"/>
  <c r="AQ723" i="2"/>
  <c r="AM723" i="2"/>
  <c r="AG723" i="2"/>
  <c r="AA723" i="2"/>
  <c r="U723" i="2"/>
  <c r="Y723" i="2" s="1"/>
  <c r="Z723" i="2" s="1"/>
  <c r="AK723" i="2" s="1"/>
  <c r="AL723" i="2" s="1"/>
  <c r="AN723" i="2" s="1"/>
  <c r="AO723" i="2" s="1"/>
  <c r="AQ722" i="2"/>
  <c r="AM722" i="2"/>
  <c r="AG722" i="2"/>
  <c r="U722" i="2"/>
  <c r="Y722" i="2" s="1"/>
  <c r="AQ721" i="2"/>
  <c r="AM721" i="2"/>
  <c r="AG721" i="2"/>
  <c r="Z721" i="2"/>
  <c r="AK721" i="2" s="1"/>
  <c r="AL721" i="2" s="1"/>
  <c r="AN721" i="2" s="1"/>
  <c r="AO721" i="2" s="1"/>
  <c r="Y721" i="2"/>
  <c r="AA721" i="2" s="1"/>
  <c r="U721" i="2"/>
  <c r="AQ720" i="2"/>
  <c r="AM720" i="2"/>
  <c r="AG720" i="2"/>
  <c r="Y720" i="2"/>
  <c r="Z720" i="2" s="1"/>
  <c r="AK720" i="2" s="1"/>
  <c r="AL720" i="2" s="1"/>
  <c r="AN720" i="2" s="1"/>
  <c r="AO720" i="2" s="1"/>
  <c r="U720" i="2"/>
  <c r="AQ719" i="2"/>
  <c r="AM719" i="2"/>
  <c r="AG719" i="2"/>
  <c r="U719" i="2"/>
  <c r="AQ718" i="2"/>
  <c r="AM718" i="2"/>
  <c r="AG718" i="2"/>
  <c r="AA718" i="2"/>
  <c r="Z718" i="2"/>
  <c r="AK718" i="2" s="1"/>
  <c r="AL718" i="2" s="1"/>
  <c r="AN718" i="2" s="1"/>
  <c r="AO718" i="2" s="1"/>
  <c r="U718" i="2"/>
  <c r="Y718" i="2" s="1"/>
  <c r="AQ717" i="2"/>
  <c r="AM717" i="2"/>
  <c r="AK717" i="2"/>
  <c r="AL717" i="2" s="1"/>
  <c r="AN717" i="2" s="1"/>
  <c r="AO717" i="2" s="1"/>
  <c r="AG717" i="2"/>
  <c r="Z717" i="2"/>
  <c r="Y717" i="2"/>
  <c r="AA717" i="2" s="1"/>
  <c r="U717" i="2"/>
  <c r="AQ716" i="2"/>
  <c r="AM716" i="2"/>
  <c r="AG716" i="2"/>
  <c r="U716" i="2"/>
  <c r="AQ715" i="2"/>
  <c r="AM715" i="2"/>
  <c r="AG715" i="2"/>
  <c r="AA715" i="2"/>
  <c r="U715" i="2"/>
  <c r="Y715" i="2" s="1"/>
  <c r="Z715" i="2" s="1"/>
  <c r="AK715" i="2" s="1"/>
  <c r="AL715" i="2" s="1"/>
  <c r="AN715" i="2" s="1"/>
  <c r="AO715" i="2" s="1"/>
  <c r="AQ714" i="2"/>
  <c r="AM714" i="2"/>
  <c r="AG714" i="2"/>
  <c r="Z714" i="2"/>
  <c r="AK714" i="2" s="1"/>
  <c r="AL714" i="2" s="1"/>
  <c r="AN714" i="2" s="1"/>
  <c r="AO714" i="2" s="1"/>
  <c r="U714" i="2"/>
  <c r="Y714" i="2" s="1"/>
  <c r="AA714" i="2" s="1"/>
  <c r="AQ713" i="2"/>
  <c r="AM713" i="2"/>
  <c r="AG713" i="2"/>
  <c r="Y713" i="2"/>
  <c r="AA713" i="2" s="1"/>
  <c r="U713" i="2"/>
  <c r="AQ712" i="2"/>
  <c r="AM712" i="2"/>
  <c r="AG712" i="2"/>
  <c r="Y712" i="2"/>
  <c r="Z712" i="2" s="1"/>
  <c r="AK712" i="2" s="1"/>
  <c r="AL712" i="2" s="1"/>
  <c r="AN712" i="2" s="1"/>
  <c r="AO712" i="2" s="1"/>
  <c r="U712" i="2"/>
  <c r="AQ711" i="2"/>
  <c r="AM711" i="2"/>
  <c r="AG711" i="2"/>
  <c r="U711" i="2"/>
  <c r="AQ710" i="2"/>
  <c r="AM710" i="2"/>
  <c r="AG710" i="2"/>
  <c r="AA710" i="2"/>
  <c r="Z710" i="2"/>
  <c r="AK710" i="2" s="1"/>
  <c r="AL710" i="2" s="1"/>
  <c r="AN710" i="2" s="1"/>
  <c r="AO710" i="2" s="1"/>
  <c r="U710" i="2"/>
  <c r="Y710" i="2" s="1"/>
  <c r="AQ709" i="2"/>
  <c r="AM709" i="2"/>
  <c r="AK709" i="2"/>
  <c r="AL709" i="2" s="1"/>
  <c r="AN709" i="2" s="1"/>
  <c r="AO709" i="2" s="1"/>
  <c r="AG709" i="2"/>
  <c r="Z709" i="2"/>
  <c r="Y709" i="2"/>
  <c r="AA709" i="2" s="1"/>
  <c r="U709" i="2"/>
  <c r="AQ708" i="2"/>
  <c r="AM708" i="2"/>
  <c r="AG708" i="2"/>
  <c r="U708" i="2"/>
  <c r="AQ707" i="2"/>
  <c r="AM707" i="2"/>
  <c r="AG707" i="2"/>
  <c r="AA707" i="2"/>
  <c r="U707" i="2"/>
  <c r="Y707" i="2" s="1"/>
  <c r="Z707" i="2" s="1"/>
  <c r="AK707" i="2" s="1"/>
  <c r="AL707" i="2" s="1"/>
  <c r="AN707" i="2" s="1"/>
  <c r="AO707" i="2" s="1"/>
  <c r="AQ706" i="2"/>
  <c r="AM706" i="2"/>
  <c r="AG706" i="2"/>
  <c r="Z706" i="2"/>
  <c r="AK706" i="2" s="1"/>
  <c r="AL706" i="2" s="1"/>
  <c r="AN706" i="2" s="1"/>
  <c r="AO706" i="2" s="1"/>
  <c r="U706" i="2"/>
  <c r="Y706" i="2" s="1"/>
  <c r="AA706" i="2" s="1"/>
  <c r="AQ705" i="2"/>
  <c r="AM705" i="2"/>
  <c r="AG705" i="2"/>
  <c r="Y705" i="2"/>
  <c r="U705" i="2"/>
  <c r="AQ704" i="2"/>
  <c r="AM704" i="2"/>
  <c r="AG704" i="2"/>
  <c r="Y704" i="2"/>
  <c r="Z704" i="2" s="1"/>
  <c r="AK704" i="2" s="1"/>
  <c r="AL704" i="2" s="1"/>
  <c r="AN704" i="2" s="1"/>
  <c r="AO704" i="2" s="1"/>
  <c r="U704" i="2"/>
  <c r="AQ703" i="2"/>
  <c r="AM703" i="2"/>
  <c r="AG703" i="2"/>
  <c r="U703" i="2"/>
  <c r="AQ702" i="2"/>
  <c r="AM702" i="2"/>
  <c r="AG702" i="2"/>
  <c r="AA702" i="2"/>
  <c r="Z702" i="2"/>
  <c r="AK702" i="2" s="1"/>
  <c r="AL702" i="2" s="1"/>
  <c r="AN702" i="2" s="1"/>
  <c r="AO702" i="2" s="1"/>
  <c r="U702" i="2"/>
  <c r="Y702" i="2" s="1"/>
  <c r="AQ701" i="2"/>
  <c r="AM701" i="2"/>
  <c r="AK701" i="2"/>
  <c r="AL701" i="2" s="1"/>
  <c r="AN701" i="2" s="1"/>
  <c r="AO701" i="2" s="1"/>
  <c r="AG701" i="2"/>
  <c r="Z701" i="2"/>
  <c r="Y701" i="2"/>
  <c r="AA701" i="2" s="1"/>
  <c r="U701" i="2"/>
  <c r="AQ700" i="2"/>
  <c r="AM700" i="2"/>
  <c r="AG700" i="2"/>
  <c r="U700" i="2"/>
  <c r="AQ699" i="2"/>
  <c r="AM699" i="2"/>
  <c r="AG699" i="2"/>
  <c r="AA699" i="2"/>
  <c r="U699" i="2"/>
  <c r="Y699" i="2" s="1"/>
  <c r="Z699" i="2" s="1"/>
  <c r="AK699" i="2" s="1"/>
  <c r="AL699" i="2" s="1"/>
  <c r="AN699" i="2" s="1"/>
  <c r="AO699" i="2" s="1"/>
  <c r="AQ698" i="2"/>
  <c r="AM698" i="2"/>
  <c r="AG698" i="2"/>
  <c r="U698" i="2"/>
  <c r="Y698" i="2" s="1"/>
  <c r="AA698" i="2" s="1"/>
  <c r="AQ697" i="2"/>
  <c r="AM697" i="2"/>
  <c r="AK697" i="2"/>
  <c r="AL697" i="2" s="1"/>
  <c r="AN697" i="2" s="1"/>
  <c r="AO697" i="2" s="1"/>
  <c r="AG697" i="2"/>
  <c r="Z697" i="2"/>
  <c r="Y697" i="2"/>
  <c r="AA697" i="2" s="1"/>
  <c r="U697" i="2"/>
  <c r="AQ696" i="2"/>
  <c r="AM696" i="2"/>
  <c r="AG696" i="2"/>
  <c r="Y696" i="2"/>
  <c r="Z696" i="2" s="1"/>
  <c r="AK696" i="2" s="1"/>
  <c r="AL696" i="2" s="1"/>
  <c r="AN696" i="2" s="1"/>
  <c r="AO696" i="2" s="1"/>
  <c r="U696" i="2"/>
  <c r="AQ695" i="2"/>
  <c r="AM695" i="2"/>
  <c r="AG695" i="2"/>
  <c r="U695" i="2"/>
  <c r="AQ694" i="2"/>
  <c r="AM694" i="2"/>
  <c r="AG694" i="2"/>
  <c r="AA694" i="2"/>
  <c r="Z694" i="2"/>
  <c r="AK694" i="2" s="1"/>
  <c r="AL694" i="2" s="1"/>
  <c r="AN694" i="2" s="1"/>
  <c r="AO694" i="2" s="1"/>
  <c r="U694" i="2"/>
  <c r="Y694" i="2" s="1"/>
  <c r="AQ693" i="2"/>
  <c r="AM693" i="2"/>
  <c r="AG693" i="2"/>
  <c r="Z693" i="2"/>
  <c r="AK693" i="2" s="1"/>
  <c r="AL693" i="2" s="1"/>
  <c r="AN693" i="2" s="1"/>
  <c r="AO693" i="2" s="1"/>
  <c r="Y693" i="2"/>
  <c r="AA693" i="2" s="1"/>
  <c r="U693" i="2"/>
  <c r="AQ692" i="2"/>
  <c r="AM692" i="2"/>
  <c r="AG692" i="2"/>
  <c r="U692" i="2"/>
  <c r="AQ691" i="2"/>
  <c r="AM691" i="2"/>
  <c r="AG691" i="2"/>
  <c r="AA691" i="2"/>
  <c r="U691" i="2"/>
  <c r="Y691" i="2" s="1"/>
  <c r="Z691" i="2" s="1"/>
  <c r="AK691" i="2" s="1"/>
  <c r="AL691" i="2" s="1"/>
  <c r="AN691" i="2" s="1"/>
  <c r="AO691" i="2" s="1"/>
  <c r="AQ690" i="2"/>
  <c r="AM690" i="2"/>
  <c r="AG690" i="2"/>
  <c r="U690" i="2"/>
  <c r="Y690" i="2" s="1"/>
  <c r="AA690" i="2" s="1"/>
  <c r="AQ689" i="2"/>
  <c r="AM689" i="2"/>
  <c r="AG689" i="2"/>
  <c r="Z689" i="2"/>
  <c r="AK689" i="2" s="1"/>
  <c r="AL689" i="2" s="1"/>
  <c r="AN689" i="2" s="1"/>
  <c r="AO689" i="2" s="1"/>
  <c r="Y689" i="2"/>
  <c r="AA689" i="2" s="1"/>
  <c r="U689" i="2"/>
  <c r="AQ688" i="2"/>
  <c r="AM688" i="2"/>
  <c r="AG688" i="2"/>
  <c r="Y688" i="2"/>
  <c r="Z688" i="2" s="1"/>
  <c r="AK688" i="2" s="1"/>
  <c r="AL688" i="2" s="1"/>
  <c r="AN688" i="2" s="1"/>
  <c r="AO688" i="2" s="1"/>
  <c r="U688" i="2"/>
  <c r="AQ687" i="2"/>
  <c r="AM687" i="2"/>
  <c r="AG687" i="2"/>
  <c r="U687" i="2"/>
  <c r="AQ686" i="2"/>
  <c r="AM686" i="2"/>
  <c r="AG686" i="2"/>
  <c r="AA686" i="2"/>
  <c r="Z686" i="2"/>
  <c r="AK686" i="2" s="1"/>
  <c r="AL686" i="2" s="1"/>
  <c r="AN686" i="2" s="1"/>
  <c r="AO686" i="2" s="1"/>
  <c r="U686" i="2"/>
  <c r="Y686" i="2" s="1"/>
  <c r="AQ685" i="2"/>
  <c r="AM685" i="2"/>
  <c r="AK685" i="2"/>
  <c r="AL685" i="2" s="1"/>
  <c r="AN685" i="2" s="1"/>
  <c r="AO685" i="2" s="1"/>
  <c r="AG685" i="2"/>
  <c r="Z685" i="2"/>
  <c r="Y685" i="2"/>
  <c r="AA685" i="2" s="1"/>
  <c r="U685" i="2"/>
  <c r="AQ684" i="2"/>
  <c r="AM684" i="2"/>
  <c r="AG684" i="2"/>
  <c r="U684" i="2"/>
  <c r="AQ683" i="2"/>
  <c r="AM683" i="2"/>
  <c r="AG683" i="2"/>
  <c r="AA683" i="2"/>
  <c r="U683" i="2"/>
  <c r="Y683" i="2" s="1"/>
  <c r="Z683" i="2" s="1"/>
  <c r="AK683" i="2" s="1"/>
  <c r="AL683" i="2" s="1"/>
  <c r="AN683" i="2" s="1"/>
  <c r="AO683" i="2" s="1"/>
  <c r="AQ682" i="2"/>
  <c r="AM682" i="2"/>
  <c r="AG682" i="2"/>
  <c r="U682" i="2"/>
  <c r="Y682" i="2" s="1"/>
  <c r="AA682" i="2" s="1"/>
  <c r="AQ681" i="2"/>
  <c r="AM681" i="2"/>
  <c r="AG681" i="2"/>
  <c r="Z681" i="2"/>
  <c r="AK681" i="2" s="1"/>
  <c r="AL681" i="2" s="1"/>
  <c r="AN681" i="2" s="1"/>
  <c r="AO681" i="2" s="1"/>
  <c r="Y681" i="2"/>
  <c r="AA681" i="2" s="1"/>
  <c r="U681" i="2"/>
  <c r="AQ680" i="2"/>
  <c r="AM680" i="2"/>
  <c r="AG680" i="2"/>
  <c r="Y680" i="2"/>
  <c r="Z680" i="2" s="1"/>
  <c r="AK680" i="2" s="1"/>
  <c r="AL680" i="2" s="1"/>
  <c r="AN680" i="2" s="1"/>
  <c r="AO680" i="2" s="1"/>
  <c r="U680" i="2"/>
  <c r="AQ679" i="2"/>
  <c r="AM679" i="2"/>
  <c r="AG679" i="2"/>
  <c r="U679" i="2"/>
  <c r="AQ678" i="2"/>
  <c r="AM678" i="2"/>
  <c r="AG678" i="2"/>
  <c r="AA678" i="2"/>
  <c r="Z678" i="2"/>
  <c r="AK678" i="2" s="1"/>
  <c r="AL678" i="2" s="1"/>
  <c r="AN678" i="2" s="1"/>
  <c r="AO678" i="2" s="1"/>
  <c r="U678" i="2"/>
  <c r="Y678" i="2" s="1"/>
  <c r="AQ677" i="2"/>
  <c r="AM677" i="2"/>
  <c r="AK677" i="2"/>
  <c r="AL677" i="2" s="1"/>
  <c r="AN677" i="2" s="1"/>
  <c r="AO677" i="2" s="1"/>
  <c r="AG677" i="2"/>
  <c r="Z677" i="2"/>
  <c r="Y677" i="2"/>
  <c r="AA677" i="2" s="1"/>
  <c r="U677" i="2"/>
  <c r="AQ676" i="2"/>
  <c r="AM676" i="2"/>
  <c r="AG676" i="2"/>
  <c r="U676" i="2"/>
  <c r="AQ675" i="2"/>
  <c r="AM675" i="2"/>
  <c r="AG675" i="2"/>
  <c r="AA675" i="2"/>
  <c r="U675" i="2"/>
  <c r="Y675" i="2" s="1"/>
  <c r="Z675" i="2" s="1"/>
  <c r="AK675" i="2" s="1"/>
  <c r="AL675" i="2" s="1"/>
  <c r="AN675" i="2" s="1"/>
  <c r="AO675" i="2" s="1"/>
  <c r="AQ674" i="2"/>
  <c r="AM674" i="2"/>
  <c r="AG674" i="2"/>
  <c r="U674" i="2"/>
  <c r="Y674" i="2" s="1"/>
  <c r="AA674" i="2" s="1"/>
  <c r="AQ673" i="2"/>
  <c r="AM673" i="2"/>
  <c r="AG673" i="2"/>
  <c r="Z673" i="2"/>
  <c r="AK673" i="2" s="1"/>
  <c r="AL673" i="2" s="1"/>
  <c r="AN673" i="2" s="1"/>
  <c r="AO673" i="2" s="1"/>
  <c r="Y673" i="2"/>
  <c r="AA673" i="2" s="1"/>
  <c r="U673" i="2"/>
  <c r="AQ672" i="2"/>
  <c r="AM672" i="2"/>
  <c r="AG672" i="2"/>
  <c r="U672" i="2"/>
  <c r="AQ671" i="2"/>
  <c r="AM671" i="2"/>
  <c r="AG671" i="2"/>
  <c r="Y671" i="2"/>
  <c r="Z671" i="2" s="1"/>
  <c r="AK671" i="2" s="1"/>
  <c r="AL671" i="2" s="1"/>
  <c r="AN671" i="2" s="1"/>
  <c r="AO671" i="2" s="1"/>
  <c r="U671" i="2"/>
  <c r="AQ670" i="2"/>
  <c r="AM670" i="2"/>
  <c r="AG670" i="2"/>
  <c r="U670" i="2"/>
  <c r="AQ669" i="2"/>
  <c r="AM669" i="2"/>
  <c r="AG669" i="2"/>
  <c r="Y669" i="2"/>
  <c r="U669" i="2"/>
  <c r="AQ668" i="2"/>
  <c r="AM668" i="2"/>
  <c r="AG668" i="2"/>
  <c r="Y668" i="2"/>
  <c r="Z668" i="2" s="1"/>
  <c r="AK668" i="2" s="1"/>
  <c r="AL668" i="2" s="1"/>
  <c r="AN668" i="2" s="1"/>
  <c r="AO668" i="2" s="1"/>
  <c r="U668" i="2"/>
  <c r="AQ667" i="2"/>
  <c r="AM667" i="2"/>
  <c r="AG667" i="2"/>
  <c r="AA667" i="2"/>
  <c r="Y667" i="2"/>
  <c r="Z667" i="2" s="1"/>
  <c r="AK667" i="2" s="1"/>
  <c r="AL667" i="2" s="1"/>
  <c r="AN667" i="2" s="1"/>
  <c r="AO667" i="2" s="1"/>
  <c r="U667" i="2"/>
  <c r="AQ666" i="2"/>
  <c r="AM666" i="2"/>
  <c r="AG666" i="2"/>
  <c r="AA666" i="2"/>
  <c r="Z666" i="2"/>
  <c r="AK666" i="2" s="1"/>
  <c r="AL666" i="2" s="1"/>
  <c r="AN666" i="2" s="1"/>
  <c r="AO666" i="2" s="1"/>
  <c r="U666" i="2"/>
  <c r="Y666" i="2" s="1"/>
  <c r="AQ665" i="2"/>
  <c r="AM665" i="2"/>
  <c r="AG665" i="2"/>
  <c r="AA665" i="2"/>
  <c r="Z665" i="2"/>
  <c r="AK665" i="2" s="1"/>
  <c r="AL665" i="2" s="1"/>
  <c r="AN665" i="2" s="1"/>
  <c r="AO665" i="2" s="1"/>
  <c r="Y665" i="2"/>
  <c r="U665" i="2"/>
  <c r="AQ664" i="2"/>
  <c r="AM664" i="2"/>
  <c r="AG664" i="2"/>
  <c r="U664" i="2"/>
  <c r="AQ663" i="2"/>
  <c r="AM663" i="2"/>
  <c r="AG663" i="2"/>
  <c r="Y663" i="2"/>
  <c r="Z663" i="2" s="1"/>
  <c r="AK663" i="2" s="1"/>
  <c r="AL663" i="2" s="1"/>
  <c r="AN663" i="2" s="1"/>
  <c r="AO663" i="2" s="1"/>
  <c r="U663" i="2"/>
  <c r="AQ662" i="2"/>
  <c r="AM662" i="2"/>
  <c r="AG662" i="2"/>
  <c r="AA662" i="2"/>
  <c r="Z662" i="2"/>
  <c r="AK662" i="2" s="1"/>
  <c r="AL662" i="2" s="1"/>
  <c r="AN662" i="2" s="1"/>
  <c r="AO662" i="2" s="1"/>
  <c r="U662" i="2"/>
  <c r="Y662" i="2" s="1"/>
  <c r="AQ661" i="2"/>
  <c r="AM661" i="2"/>
  <c r="AK661" i="2"/>
  <c r="AL661" i="2" s="1"/>
  <c r="AN661" i="2" s="1"/>
  <c r="AO661" i="2" s="1"/>
  <c r="AG661" i="2"/>
  <c r="AA661" i="2"/>
  <c r="Y661" i="2"/>
  <c r="Z661" i="2" s="1"/>
  <c r="U661" i="2"/>
  <c r="AQ660" i="2"/>
  <c r="AM660" i="2"/>
  <c r="AG660" i="2"/>
  <c r="Z660" i="2"/>
  <c r="AK660" i="2" s="1"/>
  <c r="AL660" i="2" s="1"/>
  <c r="AN660" i="2" s="1"/>
  <c r="AO660" i="2" s="1"/>
  <c r="Y660" i="2"/>
  <c r="U660" i="2"/>
  <c r="AQ659" i="2"/>
  <c r="AM659" i="2"/>
  <c r="AK659" i="2"/>
  <c r="AL659" i="2" s="1"/>
  <c r="AN659" i="2" s="1"/>
  <c r="AO659" i="2" s="1"/>
  <c r="AG659" i="2"/>
  <c r="U659" i="2"/>
  <c r="Y659" i="2" s="1"/>
  <c r="Z659" i="2" s="1"/>
  <c r="AQ658" i="2"/>
  <c r="AM658" i="2"/>
  <c r="AG658" i="2"/>
  <c r="AA658" i="2"/>
  <c r="U658" i="2"/>
  <c r="Y658" i="2" s="1"/>
  <c r="Z658" i="2" s="1"/>
  <c r="AK658" i="2" s="1"/>
  <c r="AL658" i="2" s="1"/>
  <c r="AN658" i="2" s="1"/>
  <c r="AO658" i="2" s="1"/>
  <c r="AQ657" i="2"/>
  <c r="AM657" i="2"/>
  <c r="AG657" i="2"/>
  <c r="Z657" i="2"/>
  <c r="AK657" i="2" s="1"/>
  <c r="AL657" i="2" s="1"/>
  <c r="AN657" i="2" s="1"/>
  <c r="AO657" i="2" s="1"/>
  <c r="Y657" i="2"/>
  <c r="AA657" i="2" s="1"/>
  <c r="U657" i="2"/>
  <c r="AQ656" i="2"/>
  <c r="AM656" i="2"/>
  <c r="AG656" i="2"/>
  <c r="U656" i="2"/>
  <c r="AQ655" i="2"/>
  <c r="AM655" i="2"/>
  <c r="AG655" i="2"/>
  <c r="Y655" i="2"/>
  <c r="Z655" i="2" s="1"/>
  <c r="AK655" i="2" s="1"/>
  <c r="AL655" i="2" s="1"/>
  <c r="AN655" i="2" s="1"/>
  <c r="AO655" i="2" s="1"/>
  <c r="U655" i="2"/>
  <c r="AQ654" i="2"/>
  <c r="AM654" i="2"/>
  <c r="AG654" i="2"/>
  <c r="U654" i="2"/>
  <c r="AQ653" i="2"/>
  <c r="AM653" i="2"/>
  <c r="AG653" i="2"/>
  <c r="Y653" i="2"/>
  <c r="U653" i="2"/>
  <c r="AQ652" i="2"/>
  <c r="AM652" i="2"/>
  <c r="AG652" i="2"/>
  <c r="Y652" i="2"/>
  <c r="Z652" i="2" s="1"/>
  <c r="AK652" i="2" s="1"/>
  <c r="AL652" i="2" s="1"/>
  <c r="AN652" i="2" s="1"/>
  <c r="AO652" i="2" s="1"/>
  <c r="U652" i="2"/>
  <c r="AQ651" i="2"/>
  <c r="AM651" i="2"/>
  <c r="AG651" i="2"/>
  <c r="AA651" i="2"/>
  <c r="Y651" i="2"/>
  <c r="Z651" i="2" s="1"/>
  <c r="AK651" i="2" s="1"/>
  <c r="AL651" i="2" s="1"/>
  <c r="AN651" i="2" s="1"/>
  <c r="AO651" i="2" s="1"/>
  <c r="U651" i="2"/>
  <c r="AQ650" i="2"/>
  <c r="AM650" i="2"/>
  <c r="AG650" i="2"/>
  <c r="U650" i="2"/>
  <c r="Y650" i="2" s="1"/>
  <c r="AQ649" i="2"/>
  <c r="AM649" i="2"/>
  <c r="AG649" i="2"/>
  <c r="AA649" i="2"/>
  <c r="U649" i="2"/>
  <c r="Y649" i="2" s="1"/>
  <c r="Z649" i="2" s="1"/>
  <c r="AK649" i="2" s="1"/>
  <c r="AL649" i="2" s="1"/>
  <c r="AN649" i="2" s="1"/>
  <c r="AO649" i="2" s="1"/>
  <c r="AQ648" i="2"/>
  <c r="AM648" i="2"/>
  <c r="AG648" i="2"/>
  <c r="Y648" i="2"/>
  <c r="U648" i="2"/>
  <c r="AQ647" i="2"/>
  <c r="AM647" i="2"/>
  <c r="AG647" i="2"/>
  <c r="U647" i="2"/>
  <c r="AQ646" i="2"/>
  <c r="AM646" i="2"/>
  <c r="AG646" i="2"/>
  <c r="U646" i="2"/>
  <c r="AQ645" i="2"/>
  <c r="AM645" i="2"/>
  <c r="AG645" i="2"/>
  <c r="U645" i="2"/>
  <c r="AQ644" i="2"/>
  <c r="AM644" i="2"/>
  <c r="AG644" i="2"/>
  <c r="Z644" i="2"/>
  <c r="AK644" i="2" s="1"/>
  <c r="AL644" i="2" s="1"/>
  <c r="AN644" i="2" s="1"/>
  <c r="AO644" i="2" s="1"/>
  <c r="Y644" i="2"/>
  <c r="AA644" i="2" s="1"/>
  <c r="U644" i="2"/>
  <c r="AQ643" i="2"/>
  <c r="AM643" i="2"/>
  <c r="AG643" i="2"/>
  <c r="U643" i="2"/>
  <c r="AQ642" i="2"/>
  <c r="AM642" i="2"/>
  <c r="AG642" i="2"/>
  <c r="Y642" i="2"/>
  <c r="Z642" i="2" s="1"/>
  <c r="AK642" i="2" s="1"/>
  <c r="AL642" i="2" s="1"/>
  <c r="AN642" i="2" s="1"/>
  <c r="AO642" i="2" s="1"/>
  <c r="U642" i="2"/>
  <c r="AQ641" i="2"/>
  <c r="AM641" i="2"/>
  <c r="AG641" i="2"/>
  <c r="Z641" i="2"/>
  <c r="AK641" i="2" s="1"/>
  <c r="AL641" i="2" s="1"/>
  <c r="AN641" i="2" s="1"/>
  <c r="AO641" i="2" s="1"/>
  <c r="U641" i="2"/>
  <c r="Y641" i="2" s="1"/>
  <c r="AQ640" i="2"/>
  <c r="AM640" i="2"/>
  <c r="AG640" i="2"/>
  <c r="AA640" i="2"/>
  <c r="Z640" i="2"/>
  <c r="AK640" i="2" s="1"/>
  <c r="AL640" i="2" s="1"/>
  <c r="AN640" i="2" s="1"/>
  <c r="AO640" i="2" s="1"/>
  <c r="Y640" i="2"/>
  <c r="U640" i="2"/>
  <c r="AQ639" i="2"/>
  <c r="AM639" i="2"/>
  <c r="AL639" i="2"/>
  <c r="AN639" i="2" s="1"/>
  <c r="AO639" i="2" s="1"/>
  <c r="AG639" i="2"/>
  <c r="Y639" i="2"/>
  <c r="Z639" i="2" s="1"/>
  <c r="AK639" i="2" s="1"/>
  <c r="U639" i="2"/>
  <c r="AQ638" i="2"/>
  <c r="AM638" i="2"/>
  <c r="AG638" i="2"/>
  <c r="AA638" i="2"/>
  <c r="Y638" i="2"/>
  <c r="Z638" i="2" s="1"/>
  <c r="AK638" i="2" s="1"/>
  <c r="AL638" i="2" s="1"/>
  <c r="AN638" i="2" s="1"/>
  <c r="AO638" i="2" s="1"/>
  <c r="U638" i="2"/>
  <c r="AQ637" i="2"/>
  <c r="AM637" i="2"/>
  <c r="AG637" i="2"/>
  <c r="AA637" i="2"/>
  <c r="Z637" i="2"/>
  <c r="AK637" i="2" s="1"/>
  <c r="AL637" i="2" s="1"/>
  <c r="AN637" i="2" s="1"/>
  <c r="AO637" i="2" s="1"/>
  <c r="U637" i="2"/>
  <c r="Y637" i="2" s="1"/>
  <c r="AQ636" i="2"/>
  <c r="AM636" i="2"/>
  <c r="AG636" i="2"/>
  <c r="AA636" i="2"/>
  <c r="Y636" i="2"/>
  <c r="Z636" i="2" s="1"/>
  <c r="AK636" i="2" s="1"/>
  <c r="AL636" i="2" s="1"/>
  <c r="AN636" i="2" s="1"/>
  <c r="AO636" i="2" s="1"/>
  <c r="U636" i="2"/>
  <c r="AQ635" i="2"/>
  <c r="AM635" i="2"/>
  <c r="AG635" i="2"/>
  <c r="Z635" i="2"/>
  <c r="AK635" i="2" s="1"/>
  <c r="AL635" i="2" s="1"/>
  <c r="AN635" i="2" s="1"/>
  <c r="AO635" i="2" s="1"/>
  <c r="Y635" i="2"/>
  <c r="U635" i="2"/>
  <c r="AQ634" i="2"/>
  <c r="AM634" i="2"/>
  <c r="AG634" i="2"/>
  <c r="U634" i="2"/>
  <c r="Y634" i="2" s="1"/>
  <c r="AQ633" i="2"/>
  <c r="AM633" i="2"/>
  <c r="AG633" i="2"/>
  <c r="AA633" i="2"/>
  <c r="U633" i="2"/>
  <c r="Y633" i="2" s="1"/>
  <c r="Z633" i="2" s="1"/>
  <c r="AK633" i="2" s="1"/>
  <c r="AL633" i="2" s="1"/>
  <c r="AN633" i="2" s="1"/>
  <c r="AO633" i="2" s="1"/>
  <c r="AQ632" i="2"/>
  <c r="AM632" i="2"/>
  <c r="AG632" i="2"/>
  <c r="Y632" i="2"/>
  <c r="U632" i="2"/>
  <c r="AQ631" i="2"/>
  <c r="AM631" i="2"/>
  <c r="AG631" i="2"/>
  <c r="U631" i="2"/>
  <c r="AQ630" i="2"/>
  <c r="AM630" i="2"/>
  <c r="AG630" i="2"/>
  <c r="U630" i="2"/>
  <c r="AQ629" i="2"/>
  <c r="AM629" i="2"/>
  <c r="AG629" i="2"/>
  <c r="U629" i="2"/>
  <c r="AQ628" i="2"/>
  <c r="AM628" i="2"/>
  <c r="AL628" i="2"/>
  <c r="AN628" i="2" s="1"/>
  <c r="AO628" i="2" s="1"/>
  <c r="AG628" i="2"/>
  <c r="Z628" i="2"/>
  <c r="AK628" i="2" s="1"/>
  <c r="Y628" i="2"/>
  <c r="AA628" i="2" s="1"/>
  <c r="U628" i="2"/>
  <c r="AQ627" i="2"/>
  <c r="AM627" i="2"/>
  <c r="AG627" i="2"/>
  <c r="U627" i="2"/>
  <c r="AQ626" i="2"/>
  <c r="AM626" i="2"/>
  <c r="AG626" i="2"/>
  <c r="Y626" i="2"/>
  <c r="Z626" i="2" s="1"/>
  <c r="AK626" i="2" s="1"/>
  <c r="AL626" i="2" s="1"/>
  <c r="AN626" i="2" s="1"/>
  <c r="AO626" i="2" s="1"/>
  <c r="U626" i="2"/>
  <c r="AQ625" i="2"/>
  <c r="AM625" i="2"/>
  <c r="AG625" i="2"/>
  <c r="U625" i="2"/>
  <c r="AQ624" i="2"/>
  <c r="AM624" i="2"/>
  <c r="AL624" i="2"/>
  <c r="AN624" i="2" s="1"/>
  <c r="AO624" i="2" s="1"/>
  <c r="AG624" i="2"/>
  <c r="AA624" i="2"/>
  <c r="Z624" i="2"/>
  <c r="AK624" i="2" s="1"/>
  <c r="Y624" i="2"/>
  <c r="U624" i="2"/>
  <c r="AQ623" i="2"/>
  <c r="AM623" i="2"/>
  <c r="AG623" i="2"/>
  <c r="U623" i="2"/>
  <c r="AQ622" i="2"/>
  <c r="AM622" i="2"/>
  <c r="AG622" i="2"/>
  <c r="AA622" i="2"/>
  <c r="Y622" i="2"/>
  <c r="Z622" i="2" s="1"/>
  <c r="AK622" i="2" s="1"/>
  <c r="AL622" i="2" s="1"/>
  <c r="AN622" i="2" s="1"/>
  <c r="AO622" i="2" s="1"/>
  <c r="U622" i="2"/>
  <c r="AQ621" i="2"/>
  <c r="AM621" i="2"/>
  <c r="AG621" i="2"/>
  <c r="AA621" i="2"/>
  <c r="Z621" i="2"/>
  <c r="AK621" i="2" s="1"/>
  <c r="AL621" i="2" s="1"/>
  <c r="AN621" i="2" s="1"/>
  <c r="AO621" i="2" s="1"/>
  <c r="U621" i="2"/>
  <c r="Y621" i="2" s="1"/>
  <c r="AQ620" i="2"/>
  <c r="AM620" i="2"/>
  <c r="AG620" i="2"/>
  <c r="AA620" i="2"/>
  <c r="Y620" i="2"/>
  <c r="Z620" i="2" s="1"/>
  <c r="AK620" i="2" s="1"/>
  <c r="AL620" i="2" s="1"/>
  <c r="AN620" i="2" s="1"/>
  <c r="AO620" i="2" s="1"/>
  <c r="U620" i="2"/>
  <c r="AQ619" i="2"/>
  <c r="AM619" i="2"/>
  <c r="AG619" i="2"/>
  <c r="Y619" i="2"/>
  <c r="Z619" i="2" s="1"/>
  <c r="AK619" i="2" s="1"/>
  <c r="AL619" i="2" s="1"/>
  <c r="AN619" i="2" s="1"/>
  <c r="AO619" i="2" s="1"/>
  <c r="U619" i="2"/>
  <c r="AQ618" i="2"/>
  <c r="AM618" i="2"/>
  <c r="AG618" i="2"/>
  <c r="U618" i="2"/>
  <c r="Y618" i="2" s="1"/>
  <c r="Z618" i="2" s="1"/>
  <c r="AK618" i="2" s="1"/>
  <c r="AL618" i="2" s="1"/>
  <c r="AN618" i="2" s="1"/>
  <c r="AO618" i="2" s="1"/>
  <c r="AQ617" i="2"/>
  <c r="AM617" i="2"/>
  <c r="AG617" i="2"/>
  <c r="AA617" i="2"/>
  <c r="U617" i="2"/>
  <c r="Y617" i="2" s="1"/>
  <c r="Z617" i="2" s="1"/>
  <c r="AK617" i="2" s="1"/>
  <c r="AL617" i="2" s="1"/>
  <c r="AN617" i="2" s="1"/>
  <c r="AO617" i="2" s="1"/>
  <c r="AQ616" i="2"/>
  <c r="AM616" i="2"/>
  <c r="AG616" i="2"/>
  <c r="Y616" i="2"/>
  <c r="U616" i="2"/>
  <c r="AQ615" i="2"/>
  <c r="AM615" i="2"/>
  <c r="AG615" i="2"/>
  <c r="U615" i="2"/>
  <c r="AQ614" i="2"/>
  <c r="AM614" i="2"/>
  <c r="AG614" i="2"/>
  <c r="U614" i="2"/>
  <c r="AQ613" i="2"/>
  <c r="AM613" i="2"/>
  <c r="AG613" i="2"/>
  <c r="U613" i="2"/>
  <c r="AQ612" i="2"/>
  <c r="AM612" i="2"/>
  <c r="AG612" i="2"/>
  <c r="Y612" i="2"/>
  <c r="AA612" i="2" s="1"/>
  <c r="U612" i="2"/>
  <c r="AQ611" i="2"/>
  <c r="AM611" i="2"/>
  <c r="AG611" i="2"/>
  <c r="U611" i="2"/>
  <c r="AQ610" i="2"/>
  <c r="AM610" i="2"/>
  <c r="AG610" i="2"/>
  <c r="Y610" i="2"/>
  <c r="Z610" i="2" s="1"/>
  <c r="AK610" i="2" s="1"/>
  <c r="AL610" i="2" s="1"/>
  <c r="AN610" i="2" s="1"/>
  <c r="AO610" i="2" s="1"/>
  <c r="U610" i="2"/>
  <c r="AQ609" i="2"/>
  <c r="AM609" i="2"/>
  <c r="AG609" i="2"/>
  <c r="U609" i="2"/>
  <c r="AQ608" i="2"/>
  <c r="AM608" i="2"/>
  <c r="AG608" i="2"/>
  <c r="AA608" i="2"/>
  <c r="Z608" i="2"/>
  <c r="AK608" i="2" s="1"/>
  <c r="AL608" i="2" s="1"/>
  <c r="AN608" i="2" s="1"/>
  <c r="AO608" i="2" s="1"/>
  <c r="Y608" i="2"/>
  <c r="U608" i="2"/>
  <c r="AQ607" i="2"/>
  <c r="AM607" i="2"/>
  <c r="AG607" i="2"/>
  <c r="U607" i="2"/>
  <c r="AQ606" i="2"/>
  <c r="AM606" i="2"/>
  <c r="AG606" i="2"/>
  <c r="AA606" i="2"/>
  <c r="Y606" i="2"/>
  <c r="Z606" i="2" s="1"/>
  <c r="AK606" i="2" s="1"/>
  <c r="AL606" i="2" s="1"/>
  <c r="AN606" i="2" s="1"/>
  <c r="AO606" i="2" s="1"/>
  <c r="U606" i="2"/>
  <c r="AQ605" i="2"/>
  <c r="AM605" i="2"/>
  <c r="AG605" i="2"/>
  <c r="AA605" i="2"/>
  <c r="Z605" i="2"/>
  <c r="AK605" i="2" s="1"/>
  <c r="AL605" i="2" s="1"/>
  <c r="AN605" i="2" s="1"/>
  <c r="AO605" i="2" s="1"/>
  <c r="U605" i="2"/>
  <c r="Y605" i="2" s="1"/>
  <c r="AQ604" i="2"/>
  <c r="AM604" i="2"/>
  <c r="AG604" i="2"/>
  <c r="AA604" i="2"/>
  <c r="Y604" i="2"/>
  <c r="Z604" i="2" s="1"/>
  <c r="AK604" i="2" s="1"/>
  <c r="AL604" i="2" s="1"/>
  <c r="AN604" i="2" s="1"/>
  <c r="AO604" i="2" s="1"/>
  <c r="U604" i="2"/>
  <c r="AQ603" i="2"/>
  <c r="AM603" i="2"/>
  <c r="AG603" i="2"/>
  <c r="Y603" i="2"/>
  <c r="Z603" i="2" s="1"/>
  <c r="AK603" i="2" s="1"/>
  <c r="AL603" i="2" s="1"/>
  <c r="AN603" i="2" s="1"/>
  <c r="AO603" i="2" s="1"/>
  <c r="U603" i="2"/>
  <c r="AQ602" i="2"/>
  <c r="AM602" i="2"/>
  <c r="AG602" i="2"/>
  <c r="U602" i="2"/>
  <c r="Y602" i="2" s="1"/>
  <c r="Z602" i="2" s="1"/>
  <c r="AK602" i="2" s="1"/>
  <c r="AL602" i="2" s="1"/>
  <c r="AN602" i="2" s="1"/>
  <c r="AO602" i="2" s="1"/>
  <c r="AQ601" i="2"/>
  <c r="AM601" i="2"/>
  <c r="AG601" i="2"/>
  <c r="AA601" i="2"/>
  <c r="U601" i="2"/>
  <c r="Y601" i="2" s="1"/>
  <c r="Z601" i="2" s="1"/>
  <c r="AK601" i="2" s="1"/>
  <c r="AL601" i="2" s="1"/>
  <c r="AN601" i="2" s="1"/>
  <c r="AO601" i="2" s="1"/>
  <c r="AQ600" i="2"/>
  <c r="AM600" i="2"/>
  <c r="AG600" i="2"/>
  <c r="Y600" i="2"/>
  <c r="U600" i="2"/>
  <c r="AQ599" i="2"/>
  <c r="AM599" i="2"/>
  <c r="AG599" i="2"/>
  <c r="U599" i="2"/>
  <c r="AQ598" i="2"/>
  <c r="AM598" i="2"/>
  <c r="AG598" i="2"/>
  <c r="U598" i="2"/>
  <c r="AQ597" i="2"/>
  <c r="AM597" i="2"/>
  <c r="AG597" i="2"/>
  <c r="U597" i="2"/>
  <c r="AQ596" i="2"/>
  <c r="AM596" i="2"/>
  <c r="AG596" i="2"/>
  <c r="Y596" i="2"/>
  <c r="AA596" i="2" s="1"/>
  <c r="U596" i="2"/>
  <c r="AQ595" i="2"/>
  <c r="AM595" i="2"/>
  <c r="AG595" i="2"/>
  <c r="U595" i="2"/>
  <c r="AQ594" i="2"/>
  <c r="AM594" i="2"/>
  <c r="AG594" i="2"/>
  <c r="Y594" i="2"/>
  <c r="Z594" i="2" s="1"/>
  <c r="AK594" i="2" s="1"/>
  <c r="AL594" i="2" s="1"/>
  <c r="AN594" i="2" s="1"/>
  <c r="AO594" i="2" s="1"/>
  <c r="U594" i="2"/>
  <c r="AQ593" i="2"/>
  <c r="AM593" i="2"/>
  <c r="AG593" i="2"/>
  <c r="U593" i="2"/>
  <c r="AQ592" i="2"/>
  <c r="AM592" i="2"/>
  <c r="AL592" i="2"/>
  <c r="AN592" i="2" s="1"/>
  <c r="AO592" i="2" s="1"/>
  <c r="AG592" i="2"/>
  <c r="AA592" i="2"/>
  <c r="Z592" i="2"/>
  <c r="AK592" i="2" s="1"/>
  <c r="Y592" i="2"/>
  <c r="U592" i="2"/>
  <c r="AQ591" i="2"/>
  <c r="AM591" i="2"/>
  <c r="AG591" i="2"/>
  <c r="U591" i="2"/>
  <c r="AQ590" i="2"/>
  <c r="AM590" i="2"/>
  <c r="AG590" i="2"/>
  <c r="AA590" i="2"/>
  <c r="Y590" i="2"/>
  <c r="Z590" i="2" s="1"/>
  <c r="AK590" i="2" s="1"/>
  <c r="AL590" i="2" s="1"/>
  <c r="AN590" i="2" s="1"/>
  <c r="AO590" i="2" s="1"/>
  <c r="U590" i="2"/>
  <c r="AQ589" i="2"/>
  <c r="AM589" i="2"/>
  <c r="AG589" i="2"/>
  <c r="AA589" i="2"/>
  <c r="Z589" i="2"/>
  <c r="AK589" i="2" s="1"/>
  <c r="AL589" i="2" s="1"/>
  <c r="AN589" i="2" s="1"/>
  <c r="AO589" i="2" s="1"/>
  <c r="U589" i="2"/>
  <c r="Y589" i="2" s="1"/>
  <c r="AQ588" i="2"/>
  <c r="AM588" i="2"/>
  <c r="AG588" i="2"/>
  <c r="AA588" i="2"/>
  <c r="Y588" i="2"/>
  <c r="Z588" i="2" s="1"/>
  <c r="AK588" i="2" s="1"/>
  <c r="AL588" i="2" s="1"/>
  <c r="AN588" i="2" s="1"/>
  <c r="AO588" i="2" s="1"/>
  <c r="U588" i="2"/>
  <c r="AQ587" i="2"/>
  <c r="AM587" i="2"/>
  <c r="AG587" i="2"/>
  <c r="Y587" i="2"/>
  <c r="Z587" i="2" s="1"/>
  <c r="AK587" i="2" s="1"/>
  <c r="AL587" i="2" s="1"/>
  <c r="AN587" i="2" s="1"/>
  <c r="AO587" i="2" s="1"/>
  <c r="U587" i="2"/>
  <c r="AQ586" i="2"/>
  <c r="AM586" i="2"/>
  <c r="AG586" i="2"/>
  <c r="U586" i="2"/>
  <c r="Y586" i="2" s="1"/>
  <c r="Z586" i="2" s="1"/>
  <c r="AK586" i="2" s="1"/>
  <c r="AL586" i="2" s="1"/>
  <c r="AN586" i="2" s="1"/>
  <c r="AO586" i="2" s="1"/>
  <c r="AQ585" i="2"/>
  <c r="AM585" i="2"/>
  <c r="AG585" i="2"/>
  <c r="AA585" i="2"/>
  <c r="U585" i="2"/>
  <c r="Y585" i="2" s="1"/>
  <c r="Z585" i="2" s="1"/>
  <c r="AK585" i="2" s="1"/>
  <c r="AL585" i="2" s="1"/>
  <c r="AN585" i="2" s="1"/>
  <c r="AO585" i="2" s="1"/>
  <c r="AQ584" i="2"/>
  <c r="AM584" i="2"/>
  <c r="AG584" i="2"/>
  <c r="Y584" i="2"/>
  <c r="U584" i="2"/>
  <c r="AQ583" i="2"/>
  <c r="AM583" i="2"/>
  <c r="AG583" i="2"/>
  <c r="U583" i="2"/>
  <c r="AQ582" i="2"/>
  <c r="AM582" i="2"/>
  <c r="AG582" i="2"/>
  <c r="U582" i="2"/>
  <c r="AQ581" i="2"/>
  <c r="AM581" i="2"/>
  <c r="AG581" i="2"/>
  <c r="U581" i="2"/>
  <c r="AQ580" i="2"/>
  <c r="AM580" i="2"/>
  <c r="AG580" i="2"/>
  <c r="Y580" i="2"/>
  <c r="AA580" i="2" s="1"/>
  <c r="U580" i="2"/>
  <c r="AQ579" i="2"/>
  <c r="AM579" i="2"/>
  <c r="AG579" i="2"/>
  <c r="U579" i="2"/>
  <c r="AQ578" i="2"/>
  <c r="AM578" i="2"/>
  <c r="AG578" i="2"/>
  <c r="Y578" i="2"/>
  <c r="Z578" i="2" s="1"/>
  <c r="AK578" i="2" s="1"/>
  <c r="AL578" i="2" s="1"/>
  <c r="AN578" i="2" s="1"/>
  <c r="AO578" i="2" s="1"/>
  <c r="U578" i="2"/>
  <c r="AQ577" i="2"/>
  <c r="AM577" i="2"/>
  <c r="AG577" i="2"/>
  <c r="U577" i="2"/>
  <c r="AQ576" i="2"/>
  <c r="AM576" i="2"/>
  <c r="AG576" i="2"/>
  <c r="AA576" i="2"/>
  <c r="Z576" i="2"/>
  <c r="AK576" i="2" s="1"/>
  <c r="AL576" i="2" s="1"/>
  <c r="AN576" i="2" s="1"/>
  <c r="AO576" i="2" s="1"/>
  <c r="Y576" i="2"/>
  <c r="U576" i="2"/>
  <c r="AQ575" i="2"/>
  <c r="AM575" i="2"/>
  <c r="AG575" i="2"/>
  <c r="U575" i="2"/>
  <c r="AQ574" i="2"/>
  <c r="AM574" i="2"/>
  <c r="AG574" i="2"/>
  <c r="AA574" i="2"/>
  <c r="Y574" i="2"/>
  <c r="Z574" i="2" s="1"/>
  <c r="AK574" i="2" s="1"/>
  <c r="AL574" i="2" s="1"/>
  <c r="AN574" i="2" s="1"/>
  <c r="AO574" i="2" s="1"/>
  <c r="U574" i="2"/>
  <c r="AQ573" i="2"/>
  <c r="AM573" i="2"/>
  <c r="AG573" i="2"/>
  <c r="AA573" i="2"/>
  <c r="Z573" i="2"/>
  <c r="AK573" i="2" s="1"/>
  <c r="AL573" i="2" s="1"/>
  <c r="AN573" i="2" s="1"/>
  <c r="AO573" i="2" s="1"/>
  <c r="U573" i="2"/>
  <c r="Y573" i="2" s="1"/>
  <c r="AQ572" i="2"/>
  <c r="AM572" i="2"/>
  <c r="AG572" i="2"/>
  <c r="Y572" i="2"/>
  <c r="Z572" i="2" s="1"/>
  <c r="AK572" i="2" s="1"/>
  <c r="AL572" i="2" s="1"/>
  <c r="AN572" i="2" s="1"/>
  <c r="AO572" i="2" s="1"/>
  <c r="U572" i="2"/>
  <c r="AQ571" i="2"/>
  <c r="AM571" i="2"/>
  <c r="AG571" i="2"/>
  <c r="Y571" i="2"/>
  <c r="Z571" i="2" s="1"/>
  <c r="AK571" i="2" s="1"/>
  <c r="AL571" i="2" s="1"/>
  <c r="AN571" i="2" s="1"/>
  <c r="AO571" i="2" s="1"/>
  <c r="U571" i="2"/>
  <c r="AQ570" i="2"/>
  <c r="AM570" i="2"/>
  <c r="AG570" i="2"/>
  <c r="U570" i="2"/>
  <c r="AQ569" i="2"/>
  <c r="AM569" i="2"/>
  <c r="AL569" i="2"/>
  <c r="AN569" i="2" s="1"/>
  <c r="AO569" i="2" s="1"/>
  <c r="AG569" i="2"/>
  <c r="U569" i="2"/>
  <c r="Y569" i="2" s="1"/>
  <c r="Z569" i="2" s="1"/>
  <c r="AK569" i="2" s="1"/>
  <c r="AQ568" i="2"/>
  <c r="AM568" i="2"/>
  <c r="AG568" i="2"/>
  <c r="Y568" i="2"/>
  <c r="AA568" i="2" s="1"/>
  <c r="U568" i="2"/>
  <c r="AQ567" i="2"/>
  <c r="AM567" i="2"/>
  <c r="AG567" i="2"/>
  <c r="U567" i="2"/>
  <c r="AQ566" i="2"/>
  <c r="AM566" i="2"/>
  <c r="AG566" i="2"/>
  <c r="U566" i="2"/>
  <c r="AQ565" i="2"/>
  <c r="AM565" i="2"/>
  <c r="AG565" i="2"/>
  <c r="U565" i="2"/>
  <c r="AQ564" i="2"/>
  <c r="AM564" i="2"/>
  <c r="AG564" i="2"/>
  <c r="AA564" i="2"/>
  <c r="Z564" i="2"/>
  <c r="AK564" i="2" s="1"/>
  <c r="AL564" i="2" s="1"/>
  <c r="AN564" i="2" s="1"/>
  <c r="AO564" i="2" s="1"/>
  <c r="Y564" i="2"/>
  <c r="U564" i="2"/>
  <c r="AQ563" i="2"/>
  <c r="AM563" i="2"/>
  <c r="AG563" i="2"/>
  <c r="U563" i="2"/>
  <c r="AQ562" i="2"/>
  <c r="AM562" i="2"/>
  <c r="AG562" i="2"/>
  <c r="U562" i="2"/>
  <c r="AQ561" i="2"/>
  <c r="AM561" i="2"/>
  <c r="AG561" i="2"/>
  <c r="U561" i="2"/>
  <c r="AQ560" i="2"/>
  <c r="AM560" i="2"/>
  <c r="AG560" i="2"/>
  <c r="Y560" i="2"/>
  <c r="AA560" i="2" s="1"/>
  <c r="U560" i="2"/>
  <c r="AQ559" i="2"/>
  <c r="AM559" i="2"/>
  <c r="AG559" i="2"/>
  <c r="U559" i="2"/>
  <c r="AQ558" i="2"/>
  <c r="AM558" i="2"/>
  <c r="AG558" i="2"/>
  <c r="Y558" i="2"/>
  <c r="Z558" i="2" s="1"/>
  <c r="AK558" i="2" s="1"/>
  <c r="AL558" i="2" s="1"/>
  <c r="AN558" i="2" s="1"/>
  <c r="AO558" i="2" s="1"/>
  <c r="U558" i="2"/>
  <c r="AQ557" i="2"/>
  <c r="AM557" i="2"/>
  <c r="AG557" i="2"/>
  <c r="U557" i="2"/>
  <c r="AQ556" i="2"/>
  <c r="AM556" i="2"/>
  <c r="AG556" i="2"/>
  <c r="AA556" i="2"/>
  <c r="Z556" i="2"/>
  <c r="AK556" i="2" s="1"/>
  <c r="AL556" i="2" s="1"/>
  <c r="AN556" i="2" s="1"/>
  <c r="AO556" i="2" s="1"/>
  <c r="Y556" i="2"/>
  <c r="U556" i="2"/>
  <c r="AQ555" i="2"/>
  <c r="AM555" i="2"/>
  <c r="AG555" i="2"/>
  <c r="U555" i="2"/>
  <c r="AQ554" i="2"/>
  <c r="AM554" i="2"/>
  <c r="AG554" i="2"/>
  <c r="AA554" i="2"/>
  <c r="Y554" i="2"/>
  <c r="Z554" i="2" s="1"/>
  <c r="AK554" i="2" s="1"/>
  <c r="AL554" i="2" s="1"/>
  <c r="AN554" i="2" s="1"/>
  <c r="AO554" i="2" s="1"/>
  <c r="U554" i="2"/>
  <c r="AQ553" i="2"/>
  <c r="AM553" i="2"/>
  <c r="AG553" i="2"/>
  <c r="AA553" i="2"/>
  <c r="Z553" i="2"/>
  <c r="AK553" i="2" s="1"/>
  <c r="AL553" i="2" s="1"/>
  <c r="AN553" i="2" s="1"/>
  <c r="AO553" i="2" s="1"/>
  <c r="U553" i="2"/>
  <c r="Y553" i="2" s="1"/>
  <c r="AQ552" i="2"/>
  <c r="AM552" i="2"/>
  <c r="AG552" i="2"/>
  <c r="AA552" i="2"/>
  <c r="Y552" i="2"/>
  <c r="Z552" i="2" s="1"/>
  <c r="AK552" i="2" s="1"/>
  <c r="AL552" i="2" s="1"/>
  <c r="AN552" i="2" s="1"/>
  <c r="AO552" i="2" s="1"/>
  <c r="U552" i="2"/>
  <c r="AQ551" i="2"/>
  <c r="AM551" i="2"/>
  <c r="AG551" i="2"/>
  <c r="Z551" i="2"/>
  <c r="AK551" i="2" s="1"/>
  <c r="AL551" i="2" s="1"/>
  <c r="AN551" i="2" s="1"/>
  <c r="AO551" i="2" s="1"/>
  <c r="Y551" i="2"/>
  <c r="U551" i="2"/>
  <c r="AQ550" i="2"/>
  <c r="AM550" i="2"/>
  <c r="AG550" i="2"/>
  <c r="AA550" i="2"/>
  <c r="U550" i="2"/>
  <c r="Y550" i="2" s="1"/>
  <c r="Z550" i="2" s="1"/>
  <c r="AK550" i="2" s="1"/>
  <c r="AL550" i="2" s="1"/>
  <c r="AN550" i="2" s="1"/>
  <c r="AO550" i="2" s="1"/>
  <c r="AQ549" i="2"/>
  <c r="AM549" i="2"/>
  <c r="AG549" i="2"/>
  <c r="AA549" i="2"/>
  <c r="U549" i="2"/>
  <c r="Y549" i="2" s="1"/>
  <c r="Z549" i="2" s="1"/>
  <c r="AK549" i="2" s="1"/>
  <c r="AL549" i="2" s="1"/>
  <c r="AN549" i="2" s="1"/>
  <c r="AO549" i="2" s="1"/>
  <c r="AQ548" i="2"/>
  <c r="AM548" i="2"/>
  <c r="AG548" i="2"/>
  <c r="Y548" i="2"/>
  <c r="U548" i="2"/>
  <c r="AQ547" i="2"/>
  <c r="AM547" i="2"/>
  <c r="AG547" i="2"/>
  <c r="U547" i="2"/>
  <c r="AQ546" i="2"/>
  <c r="AM546" i="2"/>
  <c r="AG546" i="2"/>
  <c r="U546" i="2"/>
  <c r="AQ545" i="2"/>
  <c r="AM545" i="2"/>
  <c r="AG545" i="2"/>
  <c r="U545" i="2"/>
  <c r="AQ544" i="2"/>
  <c r="AM544" i="2"/>
  <c r="AG544" i="2"/>
  <c r="Y544" i="2"/>
  <c r="AA544" i="2" s="1"/>
  <c r="U544" i="2"/>
  <c r="AQ543" i="2"/>
  <c r="AM543" i="2"/>
  <c r="AG543" i="2"/>
  <c r="U543" i="2"/>
  <c r="AQ542" i="2"/>
  <c r="AM542" i="2"/>
  <c r="AG542" i="2"/>
  <c r="Y542" i="2"/>
  <c r="Z542" i="2" s="1"/>
  <c r="AK542" i="2" s="1"/>
  <c r="AL542" i="2" s="1"/>
  <c r="AN542" i="2" s="1"/>
  <c r="AO542" i="2" s="1"/>
  <c r="U542" i="2"/>
  <c r="AQ541" i="2"/>
  <c r="AM541" i="2"/>
  <c r="AG541" i="2"/>
  <c r="U541" i="2"/>
  <c r="AQ540" i="2"/>
  <c r="AM540" i="2"/>
  <c r="AG540" i="2"/>
  <c r="AA540" i="2"/>
  <c r="Z540" i="2"/>
  <c r="AK540" i="2" s="1"/>
  <c r="AL540" i="2" s="1"/>
  <c r="AN540" i="2" s="1"/>
  <c r="AO540" i="2" s="1"/>
  <c r="Y540" i="2"/>
  <c r="U540" i="2"/>
  <c r="AQ539" i="2"/>
  <c r="AM539" i="2"/>
  <c r="AG539" i="2"/>
  <c r="U539" i="2"/>
  <c r="AQ538" i="2"/>
  <c r="AM538" i="2"/>
  <c r="AG538" i="2"/>
  <c r="AA538" i="2"/>
  <c r="Y538" i="2"/>
  <c r="Z538" i="2" s="1"/>
  <c r="AK538" i="2" s="1"/>
  <c r="AL538" i="2" s="1"/>
  <c r="AN538" i="2" s="1"/>
  <c r="AO538" i="2" s="1"/>
  <c r="U538" i="2"/>
  <c r="AQ537" i="2"/>
  <c r="AM537" i="2"/>
  <c r="AG537" i="2"/>
  <c r="AA537" i="2"/>
  <c r="Z537" i="2"/>
  <c r="AK537" i="2" s="1"/>
  <c r="AL537" i="2" s="1"/>
  <c r="AN537" i="2" s="1"/>
  <c r="AO537" i="2" s="1"/>
  <c r="U537" i="2"/>
  <c r="Y537" i="2" s="1"/>
  <c r="AQ536" i="2"/>
  <c r="AM536" i="2"/>
  <c r="AG536" i="2"/>
  <c r="AA536" i="2"/>
  <c r="Y536" i="2"/>
  <c r="Z536" i="2" s="1"/>
  <c r="AK536" i="2" s="1"/>
  <c r="AL536" i="2" s="1"/>
  <c r="AN536" i="2" s="1"/>
  <c r="AO536" i="2" s="1"/>
  <c r="U536" i="2"/>
  <c r="AQ535" i="2"/>
  <c r="AM535" i="2"/>
  <c r="AG535" i="2"/>
  <c r="Z535" i="2"/>
  <c r="AK535" i="2" s="1"/>
  <c r="AL535" i="2" s="1"/>
  <c r="AN535" i="2" s="1"/>
  <c r="AO535" i="2" s="1"/>
  <c r="Y535" i="2"/>
  <c r="U535" i="2"/>
  <c r="AQ534" i="2"/>
  <c r="AM534" i="2"/>
  <c r="AG534" i="2"/>
  <c r="AA534" i="2"/>
  <c r="U534" i="2"/>
  <c r="Y534" i="2" s="1"/>
  <c r="Z534" i="2" s="1"/>
  <c r="AK534" i="2" s="1"/>
  <c r="AL534" i="2" s="1"/>
  <c r="AN534" i="2" s="1"/>
  <c r="AO534" i="2" s="1"/>
  <c r="AQ533" i="2"/>
  <c r="AM533" i="2"/>
  <c r="AG533" i="2"/>
  <c r="AA533" i="2"/>
  <c r="U533" i="2"/>
  <c r="Y533" i="2" s="1"/>
  <c r="Z533" i="2" s="1"/>
  <c r="AK533" i="2" s="1"/>
  <c r="AL533" i="2" s="1"/>
  <c r="AN533" i="2" s="1"/>
  <c r="AO533" i="2" s="1"/>
  <c r="AQ532" i="2"/>
  <c r="AM532" i="2"/>
  <c r="AG532" i="2"/>
  <c r="Y532" i="2"/>
  <c r="U532" i="2"/>
  <c r="AQ531" i="2"/>
  <c r="AM531" i="2"/>
  <c r="AG531" i="2"/>
  <c r="U531" i="2"/>
  <c r="AQ530" i="2"/>
  <c r="AM530" i="2"/>
  <c r="AG530" i="2"/>
  <c r="U530" i="2"/>
  <c r="AQ529" i="2"/>
  <c r="AM529" i="2"/>
  <c r="AG529" i="2"/>
  <c r="U529" i="2"/>
  <c r="AQ528" i="2"/>
  <c r="AM528" i="2"/>
  <c r="AG528" i="2"/>
  <c r="Y528" i="2"/>
  <c r="AA528" i="2" s="1"/>
  <c r="U528" i="2"/>
  <c r="AQ527" i="2"/>
  <c r="AM527" i="2"/>
  <c r="AG527" i="2"/>
  <c r="U527" i="2"/>
  <c r="AQ526" i="2"/>
  <c r="AM526" i="2"/>
  <c r="AG526" i="2"/>
  <c r="AA526" i="2"/>
  <c r="U526" i="2"/>
  <c r="Y526" i="2" s="1"/>
  <c r="Z526" i="2" s="1"/>
  <c r="AK526" i="2" s="1"/>
  <c r="AL526" i="2" s="1"/>
  <c r="AN526" i="2" s="1"/>
  <c r="AO526" i="2" s="1"/>
  <c r="AQ525" i="2"/>
  <c r="AM525" i="2"/>
  <c r="AG525" i="2"/>
  <c r="AA525" i="2"/>
  <c r="Z525" i="2"/>
  <c r="AK525" i="2" s="1"/>
  <c r="AL525" i="2" s="1"/>
  <c r="AN525" i="2" s="1"/>
  <c r="AO525" i="2" s="1"/>
  <c r="U525" i="2"/>
  <c r="Y525" i="2" s="1"/>
  <c r="AQ524" i="2"/>
  <c r="AM524" i="2"/>
  <c r="AG524" i="2"/>
  <c r="Z524" i="2"/>
  <c r="AK524" i="2" s="1"/>
  <c r="AL524" i="2" s="1"/>
  <c r="AN524" i="2" s="1"/>
  <c r="AO524" i="2" s="1"/>
  <c r="Y524" i="2"/>
  <c r="AA524" i="2" s="1"/>
  <c r="U524" i="2"/>
  <c r="AQ523" i="2"/>
  <c r="AM523" i="2"/>
  <c r="AK523" i="2"/>
  <c r="AL523" i="2" s="1"/>
  <c r="AN523" i="2" s="1"/>
  <c r="AO523" i="2" s="1"/>
  <c r="AG523" i="2"/>
  <c r="Y523" i="2"/>
  <c r="Z523" i="2" s="1"/>
  <c r="U523" i="2"/>
  <c r="AQ522" i="2"/>
  <c r="AM522" i="2"/>
  <c r="AG522" i="2"/>
  <c r="U522" i="2"/>
  <c r="AQ521" i="2"/>
  <c r="AM521" i="2"/>
  <c r="AG521" i="2"/>
  <c r="U521" i="2"/>
  <c r="Y521" i="2" s="1"/>
  <c r="AA521" i="2" s="1"/>
  <c r="AQ520" i="2"/>
  <c r="AM520" i="2"/>
  <c r="AG520" i="2"/>
  <c r="Y520" i="2"/>
  <c r="AA520" i="2" s="1"/>
  <c r="U520" i="2"/>
  <c r="AQ519" i="2"/>
  <c r="AM519" i="2"/>
  <c r="AG519" i="2"/>
  <c r="U519" i="2"/>
  <c r="AQ518" i="2"/>
  <c r="AM518" i="2"/>
  <c r="AG518" i="2"/>
  <c r="AA518" i="2"/>
  <c r="U518" i="2"/>
  <c r="Y518" i="2" s="1"/>
  <c r="Z518" i="2" s="1"/>
  <c r="AK518" i="2" s="1"/>
  <c r="AL518" i="2" s="1"/>
  <c r="AN518" i="2" s="1"/>
  <c r="AO518" i="2" s="1"/>
  <c r="AQ517" i="2"/>
  <c r="AM517" i="2"/>
  <c r="AG517" i="2"/>
  <c r="AA517" i="2"/>
  <c r="Z517" i="2"/>
  <c r="AK517" i="2" s="1"/>
  <c r="AL517" i="2" s="1"/>
  <c r="AN517" i="2" s="1"/>
  <c r="AO517" i="2" s="1"/>
  <c r="U517" i="2"/>
  <c r="Y517" i="2" s="1"/>
  <c r="AQ516" i="2"/>
  <c r="AM516" i="2"/>
  <c r="AG516" i="2"/>
  <c r="Z516" i="2"/>
  <c r="AK516" i="2" s="1"/>
  <c r="AL516" i="2" s="1"/>
  <c r="AN516" i="2" s="1"/>
  <c r="AO516" i="2" s="1"/>
  <c r="Y516" i="2"/>
  <c r="AA516" i="2" s="1"/>
  <c r="U516" i="2"/>
  <c r="AQ515" i="2"/>
  <c r="AM515" i="2"/>
  <c r="AK515" i="2"/>
  <c r="AL515" i="2" s="1"/>
  <c r="AN515" i="2" s="1"/>
  <c r="AO515" i="2" s="1"/>
  <c r="AG515" i="2"/>
  <c r="Y515" i="2"/>
  <c r="Z515" i="2" s="1"/>
  <c r="U515" i="2"/>
  <c r="AQ514" i="2"/>
  <c r="AM514" i="2"/>
  <c r="AG514" i="2"/>
  <c r="U514" i="2"/>
  <c r="AQ513" i="2"/>
  <c r="AM513" i="2"/>
  <c r="AG513" i="2"/>
  <c r="U513" i="2"/>
  <c r="Y513" i="2" s="1"/>
  <c r="AA513" i="2" s="1"/>
  <c r="AQ512" i="2"/>
  <c r="AM512" i="2"/>
  <c r="AG512" i="2"/>
  <c r="Y512" i="2"/>
  <c r="AA512" i="2" s="1"/>
  <c r="U512" i="2"/>
  <c r="AQ511" i="2"/>
  <c r="AM511" i="2"/>
  <c r="AG511" i="2"/>
  <c r="U511" i="2"/>
  <c r="AQ510" i="2"/>
  <c r="AM510" i="2"/>
  <c r="AG510" i="2"/>
  <c r="AA510" i="2"/>
  <c r="U510" i="2"/>
  <c r="Y510" i="2" s="1"/>
  <c r="Z510" i="2" s="1"/>
  <c r="AK510" i="2" s="1"/>
  <c r="AL510" i="2" s="1"/>
  <c r="AN510" i="2" s="1"/>
  <c r="AO510" i="2" s="1"/>
  <c r="AQ509" i="2"/>
  <c r="AM509" i="2"/>
  <c r="AG509" i="2"/>
  <c r="AA509" i="2"/>
  <c r="Z509" i="2"/>
  <c r="AK509" i="2" s="1"/>
  <c r="AL509" i="2" s="1"/>
  <c r="AN509" i="2" s="1"/>
  <c r="AO509" i="2" s="1"/>
  <c r="U509" i="2"/>
  <c r="Y509" i="2" s="1"/>
  <c r="AQ508" i="2"/>
  <c r="AM508" i="2"/>
  <c r="AG508" i="2"/>
  <c r="Z508" i="2"/>
  <c r="AK508" i="2" s="1"/>
  <c r="AL508" i="2" s="1"/>
  <c r="AN508" i="2" s="1"/>
  <c r="AO508" i="2" s="1"/>
  <c r="Y508" i="2"/>
  <c r="AA508" i="2" s="1"/>
  <c r="U508" i="2"/>
  <c r="AQ507" i="2"/>
  <c r="AM507" i="2"/>
  <c r="AK507" i="2"/>
  <c r="AL507" i="2" s="1"/>
  <c r="AN507" i="2" s="1"/>
  <c r="AO507" i="2" s="1"/>
  <c r="AG507" i="2"/>
  <c r="Y507" i="2"/>
  <c r="Z507" i="2" s="1"/>
  <c r="U507" i="2"/>
  <c r="AQ506" i="2"/>
  <c r="AM506" i="2"/>
  <c r="AG506" i="2"/>
  <c r="U506" i="2"/>
  <c r="AQ505" i="2"/>
  <c r="AM505" i="2"/>
  <c r="AG505" i="2"/>
  <c r="U505" i="2"/>
  <c r="Y505" i="2" s="1"/>
  <c r="AA505" i="2" s="1"/>
  <c r="AQ504" i="2"/>
  <c r="AM504" i="2"/>
  <c r="AG504" i="2"/>
  <c r="Y504" i="2"/>
  <c r="AA504" i="2" s="1"/>
  <c r="U504" i="2"/>
  <c r="AQ503" i="2"/>
  <c r="AM503" i="2"/>
  <c r="AG503" i="2"/>
  <c r="U503" i="2"/>
  <c r="AQ502" i="2"/>
  <c r="AM502" i="2"/>
  <c r="AG502" i="2"/>
  <c r="AA502" i="2"/>
  <c r="U502" i="2"/>
  <c r="Y502" i="2" s="1"/>
  <c r="Z502" i="2" s="1"/>
  <c r="AK502" i="2" s="1"/>
  <c r="AL502" i="2" s="1"/>
  <c r="AN502" i="2" s="1"/>
  <c r="AO502" i="2" s="1"/>
  <c r="AQ501" i="2"/>
  <c r="AM501" i="2"/>
  <c r="AG501" i="2"/>
  <c r="AA501" i="2"/>
  <c r="Z501" i="2"/>
  <c r="AK501" i="2" s="1"/>
  <c r="AL501" i="2" s="1"/>
  <c r="AN501" i="2" s="1"/>
  <c r="AO501" i="2" s="1"/>
  <c r="U501" i="2"/>
  <c r="Y501" i="2" s="1"/>
  <c r="AQ500" i="2"/>
  <c r="AM500" i="2"/>
  <c r="AG500" i="2"/>
  <c r="Z500" i="2"/>
  <c r="AK500" i="2" s="1"/>
  <c r="AL500" i="2" s="1"/>
  <c r="AN500" i="2" s="1"/>
  <c r="AO500" i="2" s="1"/>
  <c r="Y500" i="2"/>
  <c r="AA500" i="2" s="1"/>
  <c r="U500" i="2"/>
  <c r="AQ499" i="2"/>
  <c r="AM499" i="2"/>
  <c r="AK499" i="2"/>
  <c r="AL499" i="2" s="1"/>
  <c r="AN499" i="2" s="1"/>
  <c r="AO499" i="2" s="1"/>
  <c r="AG499" i="2"/>
  <c r="Y499" i="2"/>
  <c r="Z499" i="2" s="1"/>
  <c r="U499" i="2"/>
  <c r="AQ498" i="2"/>
  <c r="AM498" i="2"/>
  <c r="AG498" i="2"/>
  <c r="U498" i="2"/>
  <c r="AQ497" i="2"/>
  <c r="AM497" i="2"/>
  <c r="AG497" i="2"/>
  <c r="U497" i="2"/>
  <c r="Y497" i="2" s="1"/>
  <c r="AA497" i="2" s="1"/>
  <c r="AQ496" i="2"/>
  <c r="AM496" i="2"/>
  <c r="AG496" i="2"/>
  <c r="Y496" i="2"/>
  <c r="AA496" i="2" s="1"/>
  <c r="U496" i="2"/>
  <c r="AQ495" i="2"/>
  <c r="AM495" i="2"/>
  <c r="AG495" i="2"/>
  <c r="U495" i="2"/>
  <c r="AQ494" i="2"/>
  <c r="AM494" i="2"/>
  <c r="AG494" i="2"/>
  <c r="AA494" i="2"/>
  <c r="U494" i="2"/>
  <c r="Y494" i="2" s="1"/>
  <c r="Z494" i="2" s="1"/>
  <c r="AK494" i="2" s="1"/>
  <c r="AL494" i="2" s="1"/>
  <c r="AN494" i="2" s="1"/>
  <c r="AO494" i="2" s="1"/>
  <c r="AQ493" i="2"/>
  <c r="AM493" i="2"/>
  <c r="AG493" i="2"/>
  <c r="AA493" i="2"/>
  <c r="Z493" i="2"/>
  <c r="AK493" i="2" s="1"/>
  <c r="AL493" i="2" s="1"/>
  <c r="AN493" i="2" s="1"/>
  <c r="AO493" i="2" s="1"/>
  <c r="U493" i="2"/>
  <c r="Y493" i="2" s="1"/>
  <c r="AQ492" i="2"/>
  <c r="AM492" i="2"/>
  <c r="AG492" i="2"/>
  <c r="Z492" i="2"/>
  <c r="AK492" i="2" s="1"/>
  <c r="AL492" i="2" s="1"/>
  <c r="AN492" i="2" s="1"/>
  <c r="AO492" i="2" s="1"/>
  <c r="Y492" i="2"/>
  <c r="AA492" i="2" s="1"/>
  <c r="U492" i="2"/>
  <c r="AQ491" i="2"/>
  <c r="AM491" i="2"/>
  <c r="AK491" i="2"/>
  <c r="AL491" i="2" s="1"/>
  <c r="AN491" i="2" s="1"/>
  <c r="AO491" i="2" s="1"/>
  <c r="AG491" i="2"/>
  <c r="Y491" i="2"/>
  <c r="Z491" i="2" s="1"/>
  <c r="U491" i="2"/>
  <c r="AQ490" i="2"/>
  <c r="AM490" i="2"/>
  <c r="AG490" i="2"/>
  <c r="U490" i="2"/>
  <c r="AQ489" i="2"/>
  <c r="AM489" i="2"/>
  <c r="AG489" i="2"/>
  <c r="U489" i="2"/>
  <c r="Y489" i="2" s="1"/>
  <c r="AA489" i="2" s="1"/>
  <c r="AQ488" i="2"/>
  <c r="AM488" i="2"/>
  <c r="AG488" i="2"/>
  <c r="Y488" i="2"/>
  <c r="AA488" i="2" s="1"/>
  <c r="U488" i="2"/>
  <c r="AQ487" i="2"/>
  <c r="AM487" i="2"/>
  <c r="AG487" i="2"/>
  <c r="U487" i="2"/>
  <c r="AQ486" i="2"/>
  <c r="AM486" i="2"/>
  <c r="AG486" i="2"/>
  <c r="AA486" i="2"/>
  <c r="U486" i="2"/>
  <c r="Y486" i="2" s="1"/>
  <c r="Z486" i="2" s="1"/>
  <c r="AK486" i="2" s="1"/>
  <c r="AL486" i="2" s="1"/>
  <c r="AN486" i="2" s="1"/>
  <c r="AO486" i="2" s="1"/>
  <c r="AQ485" i="2"/>
  <c r="AM485" i="2"/>
  <c r="AG485" i="2"/>
  <c r="AA485" i="2"/>
  <c r="Z485" i="2"/>
  <c r="AK485" i="2" s="1"/>
  <c r="AL485" i="2" s="1"/>
  <c r="AN485" i="2" s="1"/>
  <c r="AO485" i="2" s="1"/>
  <c r="U485" i="2"/>
  <c r="Y485" i="2" s="1"/>
  <c r="AQ484" i="2"/>
  <c r="AM484" i="2"/>
  <c r="AG484" i="2"/>
  <c r="Z484" i="2"/>
  <c r="AK484" i="2" s="1"/>
  <c r="AL484" i="2" s="1"/>
  <c r="AN484" i="2" s="1"/>
  <c r="AO484" i="2" s="1"/>
  <c r="Y484" i="2"/>
  <c r="AA484" i="2" s="1"/>
  <c r="U484" i="2"/>
  <c r="AQ483" i="2"/>
  <c r="AM483" i="2"/>
  <c r="AK483" i="2"/>
  <c r="AL483" i="2" s="1"/>
  <c r="AN483" i="2" s="1"/>
  <c r="AO483" i="2" s="1"/>
  <c r="AG483" i="2"/>
  <c r="Y483" i="2"/>
  <c r="Z483" i="2" s="1"/>
  <c r="U483" i="2"/>
  <c r="AQ482" i="2"/>
  <c r="AM482" i="2"/>
  <c r="AG482" i="2"/>
  <c r="U482" i="2"/>
  <c r="AQ481" i="2"/>
  <c r="AM481" i="2"/>
  <c r="AG481" i="2"/>
  <c r="U481" i="2"/>
  <c r="Y481" i="2" s="1"/>
  <c r="AA481" i="2" s="1"/>
  <c r="AQ480" i="2"/>
  <c r="AM480" i="2"/>
  <c r="AG480" i="2"/>
  <c r="Y480" i="2"/>
  <c r="AA480" i="2" s="1"/>
  <c r="U480" i="2"/>
  <c r="AQ479" i="2"/>
  <c r="AM479" i="2"/>
  <c r="AG479" i="2"/>
  <c r="U479" i="2"/>
  <c r="AQ478" i="2"/>
  <c r="AM478" i="2"/>
  <c r="AG478" i="2"/>
  <c r="AA478" i="2"/>
  <c r="U478" i="2"/>
  <c r="Y478" i="2" s="1"/>
  <c r="Z478" i="2" s="1"/>
  <c r="AK478" i="2" s="1"/>
  <c r="AL478" i="2" s="1"/>
  <c r="AN478" i="2" s="1"/>
  <c r="AO478" i="2" s="1"/>
  <c r="AQ477" i="2"/>
  <c r="AM477" i="2"/>
  <c r="AG477" i="2"/>
  <c r="AA477" i="2"/>
  <c r="Z477" i="2"/>
  <c r="AK477" i="2" s="1"/>
  <c r="AL477" i="2" s="1"/>
  <c r="AN477" i="2" s="1"/>
  <c r="AO477" i="2" s="1"/>
  <c r="U477" i="2"/>
  <c r="Y477" i="2" s="1"/>
  <c r="AQ476" i="2"/>
  <c r="AM476" i="2"/>
  <c r="AG476" i="2"/>
  <c r="Z476" i="2"/>
  <c r="AK476" i="2" s="1"/>
  <c r="AL476" i="2" s="1"/>
  <c r="AN476" i="2" s="1"/>
  <c r="AO476" i="2" s="1"/>
  <c r="Y476" i="2"/>
  <c r="AA476" i="2" s="1"/>
  <c r="U476" i="2"/>
  <c r="AQ475" i="2"/>
  <c r="AM475" i="2"/>
  <c r="AK475" i="2"/>
  <c r="AL475" i="2" s="1"/>
  <c r="AN475" i="2" s="1"/>
  <c r="AO475" i="2" s="1"/>
  <c r="AG475" i="2"/>
  <c r="Y475" i="2"/>
  <c r="Z475" i="2" s="1"/>
  <c r="U475" i="2"/>
  <c r="AQ474" i="2"/>
  <c r="AM474" i="2"/>
  <c r="AG474" i="2"/>
  <c r="U474" i="2"/>
  <c r="AQ473" i="2"/>
  <c r="AM473" i="2"/>
  <c r="AG473" i="2"/>
  <c r="U473" i="2"/>
  <c r="Y473" i="2" s="1"/>
  <c r="AA473" i="2" s="1"/>
  <c r="AQ472" i="2"/>
  <c r="AM472" i="2"/>
  <c r="AG472" i="2"/>
  <c r="Y472" i="2"/>
  <c r="AA472" i="2" s="1"/>
  <c r="U472" i="2"/>
  <c r="AQ471" i="2"/>
  <c r="AM471" i="2"/>
  <c r="AG471" i="2"/>
  <c r="U471" i="2"/>
  <c r="AQ470" i="2"/>
  <c r="AM470" i="2"/>
  <c r="AG470" i="2"/>
  <c r="AA470" i="2"/>
  <c r="U470" i="2"/>
  <c r="Y470" i="2" s="1"/>
  <c r="Z470" i="2" s="1"/>
  <c r="AK470" i="2" s="1"/>
  <c r="AL470" i="2" s="1"/>
  <c r="AN470" i="2" s="1"/>
  <c r="AO470" i="2" s="1"/>
  <c r="AQ469" i="2"/>
  <c r="AM469" i="2"/>
  <c r="AG469" i="2"/>
  <c r="AA469" i="2"/>
  <c r="Z469" i="2"/>
  <c r="AK469" i="2" s="1"/>
  <c r="AL469" i="2" s="1"/>
  <c r="AN469" i="2" s="1"/>
  <c r="AO469" i="2" s="1"/>
  <c r="U469" i="2"/>
  <c r="Y469" i="2" s="1"/>
  <c r="AQ468" i="2"/>
  <c r="AM468" i="2"/>
  <c r="AG468" i="2"/>
  <c r="Z468" i="2"/>
  <c r="AK468" i="2" s="1"/>
  <c r="AL468" i="2" s="1"/>
  <c r="AN468" i="2" s="1"/>
  <c r="AO468" i="2" s="1"/>
  <c r="Y468" i="2"/>
  <c r="AA468" i="2" s="1"/>
  <c r="U468" i="2"/>
  <c r="AQ467" i="2"/>
  <c r="AM467" i="2"/>
  <c r="AK467" i="2"/>
  <c r="AL467" i="2" s="1"/>
  <c r="AN467" i="2" s="1"/>
  <c r="AO467" i="2" s="1"/>
  <c r="AG467" i="2"/>
  <c r="Y467" i="2"/>
  <c r="Z467" i="2" s="1"/>
  <c r="U467" i="2"/>
  <c r="AQ466" i="2"/>
  <c r="AM466" i="2"/>
  <c r="AG466" i="2"/>
  <c r="U466" i="2"/>
  <c r="AQ465" i="2"/>
  <c r="AM465" i="2"/>
  <c r="AG465" i="2"/>
  <c r="U465" i="2"/>
  <c r="Y465" i="2" s="1"/>
  <c r="AA465" i="2" s="1"/>
  <c r="AQ464" i="2"/>
  <c r="AM464" i="2"/>
  <c r="AG464" i="2"/>
  <c r="Y464" i="2"/>
  <c r="AA464" i="2" s="1"/>
  <c r="U464" i="2"/>
  <c r="AQ463" i="2"/>
  <c r="AM463" i="2"/>
  <c r="AG463" i="2"/>
  <c r="U463" i="2"/>
  <c r="AQ462" i="2"/>
  <c r="AM462" i="2"/>
  <c r="AG462" i="2"/>
  <c r="AA462" i="2"/>
  <c r="U462" i="2"/>
  <c r="Y462" i="2" s="1"/>
  <c r="Z462" i="2" s="1"/>
  <c r="AK462" i="2" s="1"/>
  <c r="AL462" i="2" s="1"/>
  <c r="AN462" i="2" s="1"/>
  <c r="AO462" i="2" s="1"/>
  <c r="AQ461" i="2"/>
  <c r="AM461" i="2"/>
  <c r="AG461" i="2"/>
  <c r="AA461" i="2"/>
  <c r="Z461" i="2"/>
  <c r="AK461" i="2" s="1"/>
  <c r="AL461" i="2" s="1"/>
  <c r="AN461" i="2" s="1"/>
  <c r="AO461" i="2" s="1"/>
  <c r="U461" i="2"/>
  <c r="Y461" i="2" s="1"/>
  <c r="AQ460" i="2"/>
  <c r="AM460" i="2"/>
  <c r="AG460" i="2"/>
  <c r="Z460" i="2"/>
  <c r="AK460" i="2" s="1"/>
  <c r="AL460" i="2" s="1"/>
  <c r="AN460" i="2" s="1"/>
  <c r="AO460" i="2" s="1"/>
  <c r="Y460" i="2"/>
  <c r="AA460" i="2" s="1"/>
  <c r="U460" i="2"/>
  <c r="AQ459" i="2"/>
  <c r="AM459" i="2"/>
  <c r="AK459" i="2"/>
  <c r="AL459" i="2" s="1"/>
  <c r="AN459" i="2" s="1"/>
  <c r="AO459" i="2" s="1"/>
  <c r="AG459" i="2"/>
  <c r="Y459" i="2"/>
  <c r="Z459" i="2" s="1"/>
  <c r="U459" i="2"/>
  <c r="AQ458" i="2"/>
  <c r="AM458" i="2"/>
  <c r="AG458" i="2"/>
  <c r="U458" i="2"/>
  <c r="AQ457" i="2"/>
  <c r="AM457" i="2"/>
  <c r="AG457" i="2"/>
  <c r="U457" i="2"/>
  <c r="Y457" i="2" s="1"/>
  <c r="AA457" i="2" s="1"/>
  <c r="AQ456" i="2"/>
  <c r="AM456" i="2"/>
  <c r="AG456" i="2"/>
  <c r="Y456" i="2"/>
  <c r="AA456" i="2" s="1"/>
  <c r="U456" i="2"/>
  <c r="AQ455" i="2"/>
  <c r="AM455" i="2"/>
  <c r="AG455" i="2"/>
  <c r="U455" i="2"/>
  <c r="AQ454" i="2"/>
  <c r="AM454" i="2"/>
  <c r="AG454" i="2"/>
  <c r="AA454" i="2"/>
  <c r="U454" i="2"/>
  <c r="Y454" i="2" s="1"/>
  <c r="Z454" i="2" s="1"/>
  <c r="AK454" i="2" s="1"/>
  <c r="AL454" i="2" s="1"/>
  <c r="AN454" i="2" s="1"/>
  <c r="AO454" i="2" s="1"/>
  <c r="AQ453" i="2"/>
  <c r="AM453" i="2"/>
  <c r="AG453" i="2"/>
  <c r="AA453" i="2"/>
  <c r="Z453" i="2"/>
  <c r="AK453" i="2" s="1"/>
  <c r="AL453" i="2" s="1"/>
  <c r="AN453" i="2" s="1"/>
  <c r="AO453" i="2" s="1"/>
  <c r="U453" i="2"/>
  <c r="Y453" i="2" s="1"/>
  <c r="AQ452" i="2"/>
  <c r="AM452" i="2"/>
  <c r="AG452" i="2"/>
  <c r="Z452" i="2"/>
  <c r="AK452" i="2" s="1"/>
  <c r="AL452" i="2" s="1"/>
  <c r="AN452" i="2" s="1"/>
  <c r="AO452" i="2" s="1"/>
  <c r="Y452" i="2"/>
  <c r="AA452" i="2" s="1"/>
  <c r="U452" i="2"/>
  <c r="AQ451" i="2"/>
  <c r="AM451" i="2"/>
  <c r="AK451" i="2"/>
  <c r="AL451" i="2" s="1"/>
  <c r="AN451" i="2" s="1"/>
  <c r="AO451" i="2" s="1"/>
  <c r="AG451" i="2"/>
  <c r="Y451" i="2"/>
  <c r="Z451" i="2" s="1"/>
  <c r="U451" i="2"/>
  <c r="AQ450" i="2"/>
  <c r="AM450" i="2"/>
  <c r="AG450" i="2"/>
  <c r="U450" i="2"/>
  <c r="AQ449" i="2"/>
  <c r="AM449" i="2"/>
  <c r="AG449" i="2"/>
  <c r="U449" i="2"/>
  <c r="Y449" i="2" s="1"/>
  <c r="AA449" i="2" s="1"/>
  <c r="AQ448" i="2"/>
  <c r="AM448" i="2"/>
  <c r="AG448" i="2"/>
  <c r="Y448" i="2"/>
  <c r="AA448" i="2" s="1"/>
  <c r="U448" i="2"/>
  <c r="AQ447" i="2"/>
  <c r="AM447" i="2"/>
  <c r="AG447" i="2"/>
  <c r="U447" i="2"/>
  <c r="AQ446" i="2"/>
  <c r="AM446" i="2"/>
  <c r="AG446" i="2"/>
  <c r="AA446" i="2"/>
  <c r="U446" i="2"/>
  <c r="Y446" i="2" s="1"/>
  <c r="Z446" i="2" s="1"/>
  <c r="AK446" i="2" s="1"/>
  <c r="AL446" i="2" s="1"/>
  <c r="AN446" i="2" s="1"/>
  <c r="AO446" i="2" s="1"/>
  <c r="AQ445" i="2"/>
  <c r="AM445" i="2"/>
  <c r="AG445" i="2"/>
  <c r="AA445" i="2"/>
  <c r="Z445" i="2"/>
  <c r="AK445" i="2" s="1"/>
  <c r="AL445" i="2" s="1"/>
  <c r="AN445" i="2" s="1"/>
  <c r="AO445" i="2" s="1"/>
  <c r="U445" i="2"/>
  <c r="Y445" i="2" s="1"/>
  <c r="AQ444" i="2"/>
  <c r="AM444" i="2"/>
  <c r="AG444" i="2"/>
  <c r="Z444" i="2"/>
  <c r="AK444" i="2" s="1"/>
  <c r="AL444" i="2" s="1"/>
  <c r="AN444" i="2" s="1"/>
  <c r="AO444" i="2" s="1"/>
  <c r="Y444" i="2"/>
  <c r="AA444" i="2" s="1"/>
  <c r="U444" i="2"/>
  <c r="AQ443" i="2"/>
  <c r="AM443" i="2"/>
  <c r="AK443" i="2"/>
  <c r="AL443" i="2" s="1"/>
  <c r="AN443" i="2" s="1"/>
  <c r="AO443" i="2" s="1"/>
  <c r="AG443" i="2"/>
  <c r="Y443" i="2"/>
  <c r="Z443" i="2" s="1"/>
  <c r="U443" i="2"/>
  <c r="AQ442" i="2"/>
  <c r="AM442" i="2"/>
  <c r="AG442" i="2"/>
  <c r="U442" i="2"/>
  <c r="AQ441" i="2"/>
  <c r="AM441" i="2"/>
  <c r="AG441" i="2"/>
  <c r="U441" i="2"/>
  <c r="Y441" i="2" s="1"/>
  <c r="AA441" i="2" s="1"/>
  <c r="AQ440" i="2"/>
  <c r="AM440" i="2"/>
  <c r="AG440" i="2"/>
  <c r="Y440" i="2"/>
  <c r="AA440" i="2" s="1"/>
  <c r="U440" i="2"/>
  <c r="AQ439" i="2"/>
  <c r="AM439" i="2"/>
  <c r="AG439" i="2"/>
  <c r="U439" i="2"/>
  <c r="AQ438" i="2"/>
  <c r="AM438" i="2"/>
  <c r="AG438" i="2"/>
  <c r="AA438" i="2"/>
  <c r="U438" i="2"/>
  <c r="Y438" i="2" s="1"/>
  <c r="Z438" i="2" s="1"/>
  <c r="AK438" i="2" s="1"/>
  <c r="AL438" i="2" s="1"/>
  <c r="AN438" i="2" s="1"/>
  <c r="AO438" i="2" s="1"/>
  <c r="AQ437" i="2"/>
  <c r="AM437" i="2"/>
  <c r="AG437" i="2"/>
  <c r="AA437" i="2"/>
  <c r="Z437" i="2"/>
  <c r="AK437" i="2" s="1"/>
  <c r="AL437" i="2" s="1"/>
  <c r="AN437" i="2" s="1"/>
  <c r="AO437" i="2" s="1"/>
  <c r="U437" i="2"/>
  <c r="Y437" i="2" s="1"/>
  <c r="AQ436" i="2"/>
  <c r="AM436" i="2"/>
  <c r="AG436" i="2"/>
  <c r="Z436" i="2"/>
  <c r="AK436" i="2" s="1"/>
  <c r="AL436" i="2" s="1"/>
  <c r="AN436" i="2" s="1"/>
  <c r="AO436" i="2" s="1"/>
  <c r="Y436" i="2"/>
  <c r="AA436" i="2" s="1"/>
  <c r="U436" i="2"/>
  <c r="AQ435" i="2"/>
  <c r="AM435" i="2"/>
  <c r="AK435" i="2"/>
  <c r="AL435" i="2" s="1"/>
  <c r="AN435" i="2" s="1"/>
  <c r="AO435" i="2" s="1"/>
  <c r="AG435" i="2"/>
  <c r="Y435" i="2"/>
  <c r="Z435" i="2" s="1"/>
  <c r="U435" i="2"/>
  <c r="AQ434" i="2"/>
  <c r="AM434" i="2"/>
  <c r="AG434" i="2"/>
  <c r="U434" i="2"/>
  <c r="AQ433" i="2"/>
  <c r="AM433" i="2"/>
  <c r="AG433" i="2"/>
  <c r="U433" i="2"/>
  <c r="Y433" i="2" s="1"/>
  <c r="AA433" i="2" s="1"/>
  <c r="AQ432" i="2"/>
  <c r="AM432" i="2"/>
  <c r="AG432" i="2"/>
  <c r="Y432" i="2"/>
  <c r="AA432" i="2" s="1"/>
  <c r="U432" i="2"/>
  <c r="AQ431" i="2"/>
  <c r="AM431" i="2"/>
  <c r="AG431" i="2"/>
  <c r="U431" i="2"/>
  <c r="AQ430" i="2"/>
  <c r="AM430" i="2"/>
  <c r="AG430" i="2"/>
  <c r="AA430" i="2"/>
  <c r="U430" i="2"/>
  <c r="Y430" i="2" s="1"/>
  <c r="Z430" i="2" s="1"/>
  <c r="AK430" i="2" s="1"/>
  <c r="AL430" i="2" s="1"/>
  <c r="AN430" i="2" s="1"/>
  <c r="AO430" i="2" s="1"/>
  <c r="AQ429" i="2"/>
  <c r="AM429" i="2"/>
  <c r="AG429" i="2"/>
  <c r="AA429" i="2"/>
  <c r="Z429" i="2"/>
  <c r="AK429" i="2" s="1"/>
  <c r="AL429" i="2" s="1"/>
  <c r="AN429" i="2" s="1"/>
  <c r="AO429" i="2" s="1"/>
  <c r="U429" i="2"/>
  <c r="Y429" i="2" s="1"/>
  <c r="AQ428" i="2"/>
  <c r="AM428" i="2"/>
  <c r="AG428" i="2"/>
  <c r="Z428" i="2"/>
  <c r="AK428" i="2" s="1"/>
  <c r="AL428" i="2" s="1"/>
  <c r="AN428" i="2" s="1"/>
  <c r="AO428" i="2" s="1"/>
  <c r="Y428" i="2"/>
  <c r="AA428" i="2" s="1"/>
  <c r="U428" i="2"/>
  <c r="AQ427" i="2"/>
  <c r="AM427" i="2"/>
  <c r="AK427" i="2"/>
  <c r="AL427" i="2" s="1"/>
  <c r="AN427" i="2" s="1"/>
  <c r="AO427" i="2" s="1"/>
  <c r="AG427" i="2"/>
  <c r="Y427" i="2"/>
  <c r="Z427" i="2" s="1"/>
  <c r="U427" i="2"/>
  <c r="AQ426" i="2"/>
  <c r="AM426" i="2"/>
  <c r="AG426" i="2"/>
  <c r="U426" i="2"/>
  <c r="AQ425" i="2"/>
  <c r="AM425" i="2"/>
  <c r="AG425" i="2"/>
  <c r="U425" i="2"/>
  <c r="Y425" i="2" s="1"/>
  <c r="AA425" i="2" s="1"/>
  <c r="AQ424" i="2"/>
  <c r="AM424" i="2"/>
  <c r="AG424" i="2"/>
  <c r="Y424" i="2"/>
  <c r="AA424" i="2" s="1"/>
  <c r="U424" i="2"/>
  <c r="AQ423" i="2"/>
  <c r="AM423" i="2"/>
  <c r="AG423" i="2"/>
  <c r="U423" i="2"/>
  <c r="AQ422" i="2"/>
  <c r="AM422" i="2"/>
  <c r="AG422" i="2"/>
  <c r="AA422" i="2"/>
  <c r="U422" i="2"/>
  <c r="Y422" i="2" s="1"/>
  <c r="Z422" i="2" s="1"/>
  <c r="AK422" i="2" s="1"/>
  <c r="AL422" i="2" s="1"/>
  <c r="AN422" i="2" s="1"/>
  <c r="AO422" i="2" s="1"/>
  <c r="AQ421" i="2"/>
  <c r="AM421" i="2"/>
  <c r="AG421" i="2"/>
  <c r="AA421" i="2"/>
  <c r="Z421" i="2"/>
  <c r="AK421" i="2" s="1"/>
  <c r="AL421" i="2" s="1"/>
  <c r="AN421" i="2" s="1"/>
  <c r="AO421" i="2" s="1"/>
  <c r="U421" i="2"/>
  <c r="Y421" i="2" s="1"/>
  <c r="AQ420" i="2"/>
  <c r="AM420" i="2"/>
  <c r="AG420" i="2"/>
  <c r="Z420" i="2"/>
  <c r="AK420" i="2" s="1"/>
  <c r="AL420" i="2" s="1"/>
  <c r="AN420" i="2" s="1"/>
  <c r="AO420" i="2" s="1"/>
  <c r="Y420" i="2"/>
  <c r="AA420" i="2" s="1"/>
  <c r="U420" i="2"/>
  <c r="AQ419" i="2"/>
  <c r="AM419" i="2"/>
  <c r="AK419" i="2"/>
  <c r="AL419" i="2" s="1"/>
  <c r="AN419" i="2" s="1"/>
  <c r="AO419" i="2" s="1"/>
  <c r="AG419" i="2"/>
  <c r="Y419" i="2"/>
  <c r="Z419" i="2" s="1"/>
  <c r="U419" i="2"/>
  <c r="AQ418" i="2"/>
  <c r="AM418" i="2"/>
  <c r="AG418" i="2"/>
  <c r="U418" i="2"/>
  <c r="AQ417" i="2"/>
  <c r="AM417" i="2"/>
  <c r="AG417" i="2"/>
  <c r="U417" i="2"/>
  <c r="Y417" i="2" s="1"/>
  <c r="AA417" i="2" s="1"/>
  <c r="AQ416" i="2"/>
  <c r="AM416" i="2"/>
  <c r="AG416" i="2"/>
  <c r="Y416" i="2"/>
  <c r="AA416" i="2" s="1"/>
  <c r="U416" i="2"/>
  <c r="AQ415" i="2"/>
  <c r="AM415" i="2"/>
  <c r="AG415" i="2"/>
  <c r="U415" i="2"/>
  <c r="AQ414" i="2"/>
  <c r="AM414" i="2"/>
  <c r="AG414" i="2"/>
  <c r="AA414" i="2"/>
  <c r="U414" i="2"/>
  <c r="Y414" i="2" s="1"/>
  <c r="Z414" i="2" s="1"/>
  <c r="AK414" i="2" s="1"/>
  <c r="AL414" i="2" s="1"/>
  <c r="AN414" i="2" s="1"/>
  <c r="AO414" i="2" s="1"/>
  <c r="AQ413" i="2"/>
  <c r="AM413" i="2"/>
  <c r="AG413" i="2"/>
  <c r="AA413" i="2"/>
  <c r="Z413" i="2"/>
  <c r="AK413" i="2" s="1"/>
  <c r="AL413" i="2" s="1"/>
  <c r="AN413" i="2" s="1"/>
  <c r="AO413" i="2" s="1"/>
  <c r="U413" i="2"/>
  <c r="Y413" i="2" s="1"/>
  <c r="AQ412" i="2"/>
  <c r="AM412" i="2"/>
  <c r="AG412" i="2"/>
  <c r="Z412" i="2"/>
  <c r="AK412" i="2" s="1"/>
  <c r="AL412" i="2" s="1"/>
  <c r="AN412" i="2" s="1"/>
  <c r="AO412" i="2" s="1"/>
  <c r="Y412" i="2"/>
  <c r="AA412" i="2" s="1"/>
  <c r="U412" i="2"/>
  <c r="AQ411" i="2"/>
  <c r="AM411" i="2"/>
  <c r="AK411" i="2"/>
  <c r="AL411" i="2" s="1"/>
  <c r="AN411" i="2" s="1"/>
  <c r="AO411" i="2" s="1"/>
  <c r="AG411" i="2"/>
  <c r="Y411" i="2"/>
  <c r="Z411" i="2" s="1"/>
  <c r="U411" i="2"/>
  <c r="AQ410" i="2"/>
  <c r="AM410" i="2"/>
  <c r="AG410" i="2"/>
  <c r="U410" i="2"/>
  <c r="AQ409" i="2"/>
  <c r="AM409" i="2"/>
  <c r="AG409" i="2"/>
  <c r="U409" i="2"/>
  <c r="Y409" i="2" s="1"/>
  <c r="AA409" i="2" s="1"/>
  <c r="AQ408" i="2"/>
  <c r="AM408" i="2"/>
  <c r="AG408" i="2"/>
  <c r="Y408" i="2"/>
  <c r="AA408" i="2" s="1"/>
  <c r="U408" i="2"/>
  <c r="AQ407" i="2"/>
  <c r="AM407" i="2"/>
  <c r="AG407" i="2"/>
  <c r="U407" i="2"/>
  <c r="AQ406" i="2"/>
  <c r="AM406" i="2"/>
  <c r="AG406" i="2"/>
  <c r="AA406" i="2"/>
  <c r="U406" i="2"/>
  <c r="Y406" i="2" s="1"/>
  <c r="Z406" i="2" s="1"/>
  <c r="AK406" i="2" s="1"/>
  <c r="AL406" i="2" s="1"/>
  <c r="AN406" i="2" s="1"/>
  <c r="AO406" i="2" s="1"/>
  <c r="AQ405" i="2"/>
  <c r="AM405" i="2"/>
  <c r="AG405" i="2"/>
  <c r="AA405" i="2"/>
  <c r="Z405" i="2"/>
  <c r="AK405" i="2" s="1"/>
  <c r="AL405" i="2" s="1"/>
  <c r="AN405" i="2" s="1"/>
  <c r="AO405" i="2" s="1"/>
  <c r="U405" i="2"/>
  <c r="Y405" i="2" s="1"/>
  <c r="AQ404" i="2"/>
  <c r="AM404" i="2"/>
  <c r="AG404" i="2"/>
  <c r="Z404" i="2"/>
  <c r="AK404" i="2" s="1"/>
  <c r="AL404" i="2" s="1"/>
  <c r="AN404" i="2" s="1"/>
  <c r="AO404" i="2" s="1"/>
  <c r="Y404" i="2"/>
  <c r="AA404" i="2" s="1"/>
  <c r="U404" i="2"/>
  <c r="AQ403" i="2"/>
  <c r="AM403" i="2"/>
  <c r="AK403" i="2"/>
  <c r="AL403" i="2" s="1"/>
  <c r="AN403" i="2" s="1"/>
  <c r="AO403" i="2" s="1"/>
  <c r="AG403" i="2"/>
  <c r="Y403" i="2"/>
  <c r="Z403" i="2" s="1"/>
  <c r="U403" i="2"/>
  <c r="AQ402" i="2"/>
  <c r="AM402" i="2"/>
  <c r="AG402" i="2"/>
  <c r="U402" i="2"/>
  <c r="AQ401" i="2"/>
  <c r="AM401" i="2"/>
  <c r="AG401" i="2"/>
  <c r="U401" i="2"/>
  <c r="Y401" i="2" s="1"/>
  <c r="AA401" i="2" s="1"/>
  <c r="AQ400" i="2"/>
  <c r="AM400" i="2"/>
  <c r="AG400" i="2"/>
  <c r="Y400" i="2"/>
  <c r="AA400" i="2" s="1"/>
  <c r="U400" i="2"/>
  <c r="AQ399" i="2"/>
  <c r="AM399" i="2"/>
  <c r="AG399" i="2"/>
  <c r="U399" i="2"/>
  <c r="AQ398" i="2"/>
  <c r="AM398" i="2"/>
  <c r="AG398" i="2"/>
  <c r="AA398" i="2"/>
  <c r="U398" i="2"/>
  <c r="Y398" i="2" s="1"/>
  <c r="Z398" i="2" s="1"/>
  <c r="AK398" i="2" s="1"/>
  <c r="AL398" i="2" s="1"/>
  <c r="AN398" i="2" s="1"/>
  <c r="AO398" i="2" s="1"/>
  <c r="AQ397" i="2"/>
  <c r="AM397" i="2"/>
  <c r="AG397" i="2"/>
  <c r="AA397" i="2"/>
  <c r="Z397" i="2"/>
  <c r="AK397" i="2" s="1"/>
  <c r="AL397" i="2" s="1"/>
  <c r="AN397" i="2" s="1"/>
  <c r="AO397" i="2" s="1"/>
  <c r="U397" i="2"/>
  <c r="Y397" i="2" s="1"/>
  <c r="AQ396" i="2"/>
  <c r="AM396" i="2"/>
  <c r="AG396" i="2"/>
  <c r="Z396" i="2"/>
  <c r="AK396" i="2" s="1"/>
  <c r="AL396" i="2" s="1"/>
  <c r="AN396" i="2" s="1"/>
  <c r="AO396" i="2" s="1"/>
  <c r="Y396" i="2"/>
  <c r="AA396" i="2" s="1"/>
  <c r="U396" i="2"/>
  <c r="AQ395" i="2"/>
  <c r="AM395" i="2"/>
  <c r="AK395" i="2"/>
  <c r="AL395" i="2" s="1"/>
  <c r="AN395" i="2" s="1"/>
  <c r="AO395" i="2" s="1"/>
  <c r="AG395" i="2"/>
  <c r="Y395" i="2"/>
  <c r="Z395" i="2" s="1"/>
  <c r="U395" i="2"/>
  <c r="AQ394" i="2"/>
  <c r="AM394" i="2"/>
  <c r="AG394" i="2"/>
  <c r="U394" i="2"/>
  <c r="AQ393" i="2"/>
  <c r="AM393" i="2"/>
  <c r="AG393" i="2"/>
  <c r="U393" i="2"/>
  <c r="Y393" i="2" s="1"/>
  <c r="AA393" i="2" s="1"/>
  <c r="AQ392" i="2"/>
  <c r="AM392" i="2"/>
  <c r="AG392" i="2"/>
  <c r="Y392" i="2"/>
  <c r="AA392" i="2" s="1"/>
  <c r="U392" i="2"/>
  <c r="AQ391" i="2"/>
  <c r="AM391" i="2"/>
  <c r="AG391" i="2"/>
  <c r="U391" i="2"/>
  <c r="AQ390" i="2"/>
  <c r="AM390" i="2"/>
  <c r="AG390" i="2"/>
  <c r="AA390" i="2"/>
  <c r="U390" i="2"/>
  <c r="Y390" i="2" s="1"/>
  <c r="Z390" i="2" s="1"/>
  <c r="AK390" i="2" s="1"/>
  <c r="AL390" i="2" s="1"/>
  <c r="AN390" i="2" s="1"/>
  <c r="AO390" i="2" s="1"/>
  <c r="AQ389" i="2"/>
  <c r="AM389" i="2"/>
  <c r="AG389" i="2"/>
  <c r="AA389" i="2"/>
  <c r="Z389" i="2"/>
  <c r="AK389" i="2" s="1"/>
  <c r="AL389" i="2" s="1"/>
  <c r="AN389" i="2" s="1"/>
  <c r="AO389" i="2" s="1"/>
  <c r="U389" i="2"/>
  <c r="Y389" i="2" s="1"/>
  <c r="AQ388" i="2"/>
  <c r="AM388" i="2"/>
  <c r="AG388" i="2"/>
  <c r="Z388" i="2"/>
  <c r="AK388" i="2" s="1"/>
  <c r="AL388" i="2" s="1"/>
  <c r="AN388" i="2" s="1"/>
  <c r="AO388" i="2" s="1"/>
  <c r="Y388" i="2"/>
  <c r="AA388" i="2" s="1"/>
  <c r="U388" i="2"/>
  <c r="AQ387" i="2"/>
  <c r="AM387" i="2"/>
  <c r="AK387" i="2"/>
  <c r="AL387" i="2" s="1"/>
  <c r="AN387" i="2" s="1"/>
  <c r="AO387" i="2" s="1"/>
  <c r="AG387" i="2"/>
  <c r="Y387" i="2"/>
  <c r="Z387" i="2" s="1"/>
  <c r="U387" i="2"/>
  <c r="AQ386" i="2"/>
  <c r="AM386" i="2"/>
  <c r="AG386" i="2"/>
  <c r="U386" i="2"/>
  <c r="AQ385" i="2"/>
  <c r="AM385" i="2"/>
  <c r="AG385" i="2"/>
  <c r="U385" i="2"/>
  <c r="Y385" i="2" s="1"/>
  <c r="AA385" i="2" s="1"/>
  <c r="AQ384" i="2"/>
  <c r="AM384" i="2"/>
  <c r="AG384" i="2"/>
  <c r="Y384" i="2"/>
  <c r="AA384" i="2" s="1"/>
  <c r="U384" i="2"/>
  <c r="AQ383" i="2"/>
  <c r="AM383" i="2"/>
  <c r="AG383" i="2"/>
  <c r="U383" i="2"/>
  <c r="AQ382" i="2"/>
  <c r="AM382" i="2"/>
  <c r="AG382" i="2"/>
  <c r="AA382" i="2"/>
  <c r="U382" i="2"/>
  <c r="Y382" i="2" s="1"/>
  <c r="Z382" i="2" s="1"/>
  <c r="AK382" i="2" s="1"/>
  <c r="AL382" i="2" s="1"/>
  <c r="AN382" i="2" s="1"/>
  <c r="AO382" i="2" s="1"/>
  <c r="AQ381" i="2"/>
  <c r="AM381" i="2"/>
  <c r="AG381" i="2"/>
  <c r="AA381" i="2"/>
  <c r="Z381" i="2"/>
  <c r="AK381" i="2" s="1"/>
  <c r="AL381" i="2" s="1"/>
  <c r="AN381" i="2" s="1"/>
  <c r="AO381" i="2" s="1"/>
  <c r="U381" i="2"/>
  <c r="Y381" i="2" s="1"/>
  <c r="AQ380" i="2"/>
  <c r="AM380" i="2"/>
  <c r="AG380" i="2"/>
  <c r="Z380" i="2"/>
  <c r="AK380" i="2" s="1"/>
  <c r="AL380" i="2" s="1"/>
  <c r="AN380" i="2" s="1"/>
  <c r="AO380" i="2" s="1"/>
  <c r="Y380" i="2"/>
  <c r="AA380" i="2" s="1"/>
  <c r="U380" i="2"/>
  <c r="AQ379" i="2"/>
  <c r="AM379" i="2"/>
  <c r="AK379" i="2"/>
  <c r="AL379" i="2" s="1"/>
  <c r="AN379" i="2" s="1"/>
  <c r="AO379" i="2" s="1"/>
  <c r="AG379" i="2"/>
  <c r="Y379" i="2"/>
  <c r="Z379" i="2" s="1"/>
  <c r="U379" i="2"/>
  <c r="AQ378" i="2"/>
  <c r="AM378" i="2"/>
  <c r="AG378" i="2"/>
  <c r="U378" i="2"/>
  <c r="AQ377" i="2"/>
  <c r="AM377" i="2"/>
  <c r="AG377" i="2"/>
  <c r="U377" i="2"/>
  <c r="Y377" i="2" s="1"/>
  <c r="AA377" i="2" s="1"/>
  <c r="AQ376" i="2"/>
  <c r="AM376" i="2"/>
  <c r="AG376" i="2"/>
  <c r="Y376" i="2"/>
  <c r="AA376" i="2" s="1"/>
  <c r="U376" i="2"/>
  <c r="AQ375" i="2"/>
  <c r="AM375" i="2"/>
  <c r="AG375" i="2"/>
  <c r="U375" i="2"/>
  <c r="AQ374" i="2"/>
  <c r="AM374" i="2"/>
  <c r="AG374" i="2"/>
  <c r="AA374" i="2"/>
  <c r="U374" i="2"/>
  <c r="Y374" i="2" s="1"/>
  <c r="Z374" i="2" s="1"/>
  <c r="AK374" i="2" s="1"/>
  <c r="AL374" i="2" s="1"/>
  <c r="AN374" i="2" s="1"/>
  <c r="AO374" i="2" s="1"/>
  <c r="AQ373" i="2"/>
  <c r="AM373" i="2"/>
  <c r="AG373" i="2"/>
  <c r="AA373" i="2"/>
  <c r="Z373" i="2"/>
  <c r="AK373" i="2" s="1"/>
  <c r="AL373" i="2" s="1"/>
  <c r="AN373" i="2" s="1"/>
  <c r="AO373" i="2" s="1"/>
  <c r="U373" i="2"/>
  <c r="Y373" i="2" s="1"/>
  <c r="AQ372" i="2"/>
  <c r="AM372" i="2"/>
  <c r="AG372" i="2"/>
  <c r="Z372" i="2"/>
  <c r="AK372" i="2" s="1"/>
  <c r="AL372" i="2" s="1"/>
  <c r="AN372" i="2" s="1"/>
  <c r="AO372" i="2" s="1"/>
  <c r="Y372" i="2"/>
  <c r="AA372" i="2" s="1"/>
  <c r="U372" i="2"/>
  <c r="AQ371" i="2"/>
  <c r="AM371" i="2"/>
  <c r="AK371" i="2"/>
  <c r="AL371" i="2" s="1"/>
  <c r="AN371" i="2" s="1"/>
  <c r="AO371" i="2" s="1"/>
  <c r="AG371" i="2"/>
  <c r="Y371" i="2"/>
  <c r="Z371" i="2" s="1"/>
  <c r="U371" i="2"/>
  <c r="AQ370" i="2"/>
  <c r="AM370" i="2"/>
  <c r="AG370" i="2"/>
  <c r="U370" i="2"/>
  <c r="AQ369" i="2"/>
  <c r="AM369" i="2"/>
  <c r="AG369" i="2"/>
  <c r="AA369" i="2"/>
  <c r="Z369" i="2"/>
  <c r="AK369" i="2" s="1"/>
  <c r="AL369" i="2" s="1"/>
  <c r="AN369" i="2" s="1"/>
  <c r="AO369" i="2" s="1"/>
  <c r="Y369" i="2"/>
  <c r="U369" i="2"/>
  <c r="AQ368" i="2"/>
  <c r="AM368" i="2"/>
  <c r="AG368" i="2"/>
  <c r="Y368" i="2"/>
  <c r="Z368" i="2" s="1"/>
  <c r="AK368" i="2" s="1"/>
  <c r="AL368" i="2" s="1"/>
  <c r="AN368" i="2" s="1"/>
  <c r="AO368" i="2" s="1"/>
  <c r="U368" i="2"/>
  <c r="AQ367" i="2"/>
  <c r="AM367" i="2"/>
  <c r="AG367" i="2"/>
  <c r="Y367" i="2"/>
  <c r="Z367" i="2" s="1"/>
  <c r="AK367" i="2" s="1"/>
  <c r="AL367" i="2" s="1"/>
  <c r="AN367" i="2" s="1"/>
  <c r="AO367" i="2" s="1"/>
  <c r="U367" i="2"/>
  <c r="AQ366" i="2"/>
  <c r="AM366" i="2"/>
  <c r="AG366" i="2"/>
  <c r="U366" i="2"/>
  <c r="Y366" i="2" s="1"/>
  <c r="Z366" i="2" s="1"/>
  <c r="AK366" i="2" s="1"/>
  <c r="AL366" i="2" s="1"/>
  <c r="AN366" i="2" s="1"/>
  <c r="AO366" i="2" s="1"/>
  <c r="AQ365" i="2"/>
  <c r="AM365" i="2"/>
  <c r="AG365" i="2"/>
  <c r="AA365" i="2"/>
  <c r="Z365" i="2"/>
  <c r="AK365" i="2" s="1"/>
  <c r="AL365" i="2" s="1"/>
  <c r="AN365" i="2" s="1"/>
  <c r="AO365" i="2" s="1"/>
  <c r="U365" i="2"/>
  <c r="Y365" i="2" s="1"/>
  <c r="AQ364" i="2"/>
  <c r="AM364" i="2"/>
  <c r="AK364" i="2"/>
  <c r="AL364" i="2" s="1"/>
  <c r="AN364" i="2" s="1"/>
  <c r="AO364" i="2" s="1"/>
  <c r="AG364" i="2"/>
  <c r="Z364" i="2"/>
  <c r="Y364" i="2"/>
  <c r="U364" i="2"/>
  <c r="AA364" i="2" s="1"/>
  <c r="AQ363" i="2"/>
  <c r="AM363" i="2"/>
  <c r="AG363" i="2"/>
  <c r="U363" i="2"/>
  <c r="AQ362" i="2"/>
  <c r="AM362" i="2"/>
  <c r="AG362" i="2"/>
  <c r="AA362" i="2"/>
  <c r="U362" i="2"/>
  <c r="Y362" i="2" s="1"/>
  <c r="Z362" i="2" s="1"/>
  <c r="AK362" i="2" s="1"/>
  <c r="AL362" i="2" s="1"/>
  <c r="AN362" i="2" s="1"/>
  <c r="AO362" i="2" s="1"/>
  <c r="AQ361" i="2"/>
  <c r="AM361" i="2"/>
  <c r="AG361" i="2"/>
  <c r="U361" i="2"/>
  <c r="Y361" i="2" s="1"/>
  <c r="AQ360" i="2"/>
  <c r="AM360" i="2"/>
  <c r="AG360" i="2"/>
  <c r="Y360" i="2"/>
  <c r="Z360" i="2" s="1"/>
  <c r="AK360" i="2" s="1"/>
  <c r="AL360" i="2" s="1"/>
  <c r="AN360" i="2" s="1"/>
  <c r="AO360" i="2" s="1"/>
  <c r="U360" i="2"/>
  <c r="AQ359" i="2"/>
  <c r="AM359" i="2"/>
  <c r="AG359" i="2"/>
  <c r="Y359" i="2"/>
  <c r="Z359" i="2" s="1"/>
  <c r="AK359" i="2" s="1"/>
  <c r="AL359" i="2" s="1"/>
  <c r="AN359" i="2" s="1"/>
  <c r="AO359" i="2" s="1"/>
  <c r="U359" i="2"/>
  <c r="AQ358" i="2"/>
  <c r="AM358" i="2"/>
  <c r="AG358" i="2"/>
  <c r="U358" i="2"/>
  <c r="Y358" i="2" s="1"/>
  <c r="Z358" i="2" s="1"/>
  <c r="AK358" i="2" s="1"/>
  <c r="AL358" i="2" s="1"/>
  <c r="AN358" i="2" s="1"/>
  <c r="AO358" i="2" s="1"/>
  <c r="AQ357" i="2"/>
  <c r="AM357" i="2"/>
  <c r="AG357" i="2"/>
  <c r="AA357" i="2"/>
  <c r="Z357" i="2"/>
  <c r="AK357" i="2" s="1"/>
  <c r="AL357" i="2" s="1"/>
  <c r="AN357" i="2" s="1"/>
  <c r="AO357" i="2" s="1"/>
  <c r="U357" i="2"/>
  <c r="Y357" i="2" s="1"/>
  <c r="AQ356" i="2"/>
  <c r="AM356" i="2"/>
  <c r="AK356" i="2"/>
  <c r="AL356" i="2" s="1"/>
  <c r="AN356" i="2" s="1"/>
  <c r="AO356" i="2" s="1"/>
  <c r="AG356" i="2"/>
  <c r="Z356" i="2"/>
  <c r="Y356" i="2"/>
  <c r="U356" i="2"/>
  <c r="AA356" i="2" s="1"/>
  <c r="AQ355" i="2"/>
  <c r="AM355" i="2"/>
  <c r="AG355" i="2"/>
  <c r="U355" i="2"/>
  <c r="AQ354" i="2"/>
  <c r="AM354" i="2"/>
  <c r="AG354" i="2"/>
  <c r="AA354" i="2"/>
  <c r="U354" i="2"/>
  <c r="Y354" i="2" s="1"/>
  <c r="Z354" i="2" s="1"/>
  <c r="AK354" i="2" s="1"/>
  <c r="AL354" i="2" s="1"/>
  <c r="AN354" i="2" s="1"/>
  <c r="AO354" i="2" s="1"/>
  <c r="AQ353" i="2"/>
  <c r="AM353" i="2"/>
  <c r="AG353" i="2"/>
  <c r="U353" i="2"/>
  <c r="Y353" i="2" s="1"/>
  <c r="AQ352" i="2"/>
  <c r="AM352" i="2"/>
  <c r="AG352" i="2"/>
  <c r="Y352" i="2"/>
  <c r="Z352" i="2" s="1"/>
  <c r="AK352" i="2" s="1"/>
  <c r="AL352" i="2" s="1"/>
  <c r="AN352" i="2" s="1"/>
  <c r="AO352" i="2" s="1"/>
  <c r="U352" i="2"/>
  <c r="AQ351" i="2"/>
  <c r="AM351" i="2"/>
  <c r="AG351" i="2"/>
  <c r="Y351" i="2"/>
  <c r="Z351" i="2" s="1"/>
  <c r="AK351" i="2" s="1"/>
  <c r="AL351" i="2" s="1"/>
  <c r="AN351" i="2" s="1"/>
  <c r="AO351" i="2" s="1"/>
  <c r="U351" i="2"/>
  <c r="AQ350" i="2"/>
  <c r="AM350" i="2"/>
  <c r="AG350" i="2"/>
  <c r="U350" i="2"/>
  <c r="Y350" i="2" s="1"/>
  <c r="Z350" i="2" s="1"/>
  <c r="AK350" i="2" s="1"/>
  <c r="AL350" i="2" s="1"/>
  <c r="AN350" i="2" s="1"/>
  <c r="AO350" i="2" s="1"/>
  <c r="AQ349" i="2"/>
  <c r="AM349" i="2"/>
  <c r="AG349" i="2"/>
  <c r="AA349" i="2"/>
  <c r="Z349" i="2"/>
  <c r="AK349" i="2" s="1"/>
  <c r="AL349" i="2" s="1"/>
  <c r="AN349" i="2" s="1"/>
  <c r="AO349" i="2" s="1"/>
  <c r="U349" i="2"/>
  <c r="Y349" i="2" s="1"/>
  <c r="AQ348" i="2"/>
  <c r="AM348" i="2"/>
  <c r="AK348" i="2"/>
  <c r="AL348" i="2" s="1"/>
  <c r="AN348" i="2" s="1"/>
  <c r="AO348" i="2" s="1"/>
  <c r="AG348" i="2"/>
  <c r="Z348" i="2"/>
  <c r="Y348" i="2"/>
  <c r="AA348" i="2" s="1"/>
  <c r="U348" i="2"/>
  <c r="AQ347" i="2"/>
  <c r="AM347" i="2"/>
  <c r="AG347" i="2"/>
  <c r="U347" i="2"/>
  <c r="AQ346" i="2"/>
  <c r="AM346" i="2"/>
  <c r="AG346" i="2"/>
  <c r="AA346" i="2"/>
  <c r="U346" i="2"/>
  <c r="Y346" i="2" s="1"/>
  <c r="Z346" i="2" s="1"/>
  <c r="AK346" i="2" s="1"/>
  <c r="AL346" i="2" s="1"/>
  <c r="AN346" i="2" s="1"/>
  <c r="AO346" i="2" s="1"/>
  <c r="AQ345" i="2"/>
  <c r="AM345" i="2"/>
  <c r="AG345" i="2"/>
  <c r="U345" i="2"/>
  <c r="Y345" i="2" s="1"/>
  <c r="AQ344" i="2"/>
  <c r="AM344" i="2"/>
  <c r="AG344" i="2"/>
  <c r="Y344" i="2"/>
  <c r="U344" i="2"/>
  <c r="AQ343" i="2"/>
  <c r="AM343" i="2"/>
  <c r="AG343" i="2"/>
  <c r="Y343" i="2"/>
  <c r="Z343" i="2" s="1"/>
  <c r="AK343" i="2" s="1"/>
  <c r="AL343" i="2" s="1"/>
  <c r="AN343" i="2" s="1"/>
  <c r="AO343" i="2" s="1"/>
  <c r="U343" i="2"/>
  <c r="AQ342" i="2"/>
  <c r="AM342" i="2"/>
  <c r="AG342" i="2"/>
  <c r="U342" i="2"/>
  <c r="Y342" i="2" s="1"/>
  <c r="Z342" i="2" s="1"/>
  <c r="AK342" i="2" s="1"/>
  <c r="AL342" i="2" s="1"/>
  <c r="AN342" i="2" s="1"/>
  <c r="AO342" i="2" s="1"/>
  <c r="AQ341" i="2"/>
  <c r="AM341" i="2"/>
  <c r="AG341" i="2"/>
  <c r="AA341" i="2"/>
  <c r="Z341" i="2"/>
  <c r="AK341" i="2" s="1"/>
  <c r="AL341" i="2" s="1"/>
  <c r="AN341" i="2" s="1"/>
  <c r="AO341" i="2" s="1"/>
  <c r="U341" i="2"/>
  <c r="Y341" i="2" s="1"/>
  <c r="AQ340" i="2"/>
  <c r="AM340" i="2"/>
  <c r="AK340" i="2"/>
  <c r="AL340" i="2" s="1"/>
  <c r="AN340" i="2" s="1"/>
  <c r="AO340" i="2" s="1"/>
  <c r="AG340" i="2"/>
  <c r="Z340" i="2"/>
  <c r="Y340" i="2"/>
  <c r="AA340" i="2" s="1"/>
  <c r="U340" i="2"/>
  <c r="AQ339" i="2"/>
  <c r="AM339" i="2"/>
  <c r="AG339" i="2"/>
  <c r="U339" i="2"/>
  <c r="AQ338" i="2"/>
  <c r="AM338" i="2"/>
  <c r="AG338" i="2"/>
  <c r="AA338" i="2"/>
  <c r="U338" i="2"/>
  <c r="Y338" i="2" s="1"/>
  <c r="Z338" i="2" s="1"/>
  <c r="AK338" i="2" s="1"/>
  <c r="AL338" i="2" s="1"/>
  <c r="AN338" i="2" s="1"/>
  <c r="AO338" i="2" s="1"/>
  <c r="AQ337" i="2"/>
  <c r="AM337" i="2"/>
  <c r="AG337" i="2"/>
  <c r="U337" i="2"/>
  <c r="Y337" i="2" s="1"/>
  <c r="AQ336" i="2"/>
  <c r="AM336" i="2"/>
  <c r="AG336" i="2"/>
  <c r="Y336" i="2"/>
  <c r="U336" i="2"/>
  <c r="AQ335" i="2"/>
  <c r="AM335" i="2"/>
  <c r="AG335" i="2"/>
  <c r="Y335" i="2"/>
  <c r="Z335" i="2" s="1"/>
  <c r="AK335" i="2" s="1"/>
  <c r="AL335" i="2" s="1"/>
  <c r="AN335" i="2" s="1"/>
  <c r="AO335" i="2" s="1"/>
  <c r="U335" i="2"/>
  <c r="AQ334" i="2"/>
  <c r="AM334" i="2"/>
  <c r="AG334" i="2"/>
  <c r="U334" i="2"/>
  <c r="Y334" i="2" s="1"/>
  <c r="Z334" i="2" s="1"/>
  <c r="AK334" i="2" s="1"/>
  <c r="AL334" i="2" s="1"/>
  <c r="AN334" i="2" s="1"/>
  <c r="AO334" i="2" s="1"/>
  <c r="AQ333" i="2"/>
  <c r="AM333" i="2"/>
  <c r="AG333" i="2"/>
  <c r="AA333" i="2"/>
  <c r="Z333" i="2"/>
  <c r="AK333" i="2" s="1"/>
  <c r="AL333" i="2" s="1"/>
  <c r="AN333" i="2" s="1"/>
  <c r="AO333" i="2" s="1"/>
  <c r="U333" i="2"/>
  <c r="Y333" i="2" s="1"/>
  <c r="AQ332" i="2"/>
  <c r="AM332" i="2"/>
  <c r="AK332" i="2"/>
  <c r="AL332" i="2" s="1"/>
  <c r="AN332" i="2" s="1"/>
  <c r="AO332" i="2" s="1"/>
  <c r="AG332" i="2"/>
  <c r="Z332" i="2"/>
  <c r="Y332" i="2"/>
  <c r="AA332" i="2" s="1"/>
  <c r="U332" i="2"/>
  <c r="AQ331" i="2"/>
  <c r="AM331" i="2"/>
  <c r="AG331" i="2"/>
  <c r="U331" i="2"/>
  <c r="AQ330" i="2"/>
  <c r="AM330" i="2"/>
  <c r="AG330" i="2"/>
  <c r="AA330" i="2"/>
  <c r="U330" i="2"/>
  <c r="Y330" i="2" s="1"/>
  <c r="Z330" i="2" s="1"/>
  <c r="AK330" i="2" s="1"/>
  <c r="AL330" i="2" s="1"/>
  <c r="AN330" i="2" s="1"/>
  <c r="AO330" i="2" s="1"/>
  <c r="AQ329" i="2"/>
  <c r="AM329" i="2"/>
  <c r="AG329" i="2"/>
  <c r="U329" i="2"/>
  <c r="Y329" i="2" s="1"/>
  <c r="AQ328" i="2"/>
  <c r="AM328" i="2"/>
  <c r="AG328" i="2"/>
  <c r="Y328" i="2"/>
  <c r="U328" i="2"/>
  <c r="AQ327" i="2"/>
  <c r="AM327" i="2"/>
  <c r="AG327" i="2"/>
  <c r="Y327" i="2"/>
  <c r="Z327" i="2" s="1"/>
  <c r="AK327" i="2" s="1"/>
  <c r="AL327" i="2" s="1"/>
  <c r="AN327" i="2" s="1"/>
  <c r="AO327" i="2" s="1"/>
  <c r="U327" i="2"/>
  <c r="AQ326" i="2"/>
  <c r="AM326" i="2"/>
  <c r="AG326" i="2"/>
  <c r="U326" i="2"/>
  <c r="Y326" i="2" s="1"/>
  <c r="Z326" i="2" s="1"/>
  <c r="AK326" i="2" s="1"/>
  <c r="AL326" i="2" s="1"/>
  <c r="AN326" i="2" s="1"/>
  <c r="AO326" i="2" s="1"/>
  <c r="AQ325" i="2"/>
  <c r="AM325" i="2"/>
  <c r="AG325" i="2"/>
  <c r="AA325" i="2"/>
  <c r="Z325" i="2"/>
  <c r="AK325" i="2" s="1"/>
  <c r="AL325" i="2" s="1"/>
  <c r="AN325" i="2" s="1"/>
  <c r="AO325" i="2" s="1"/>
  <c r="U325" i="2"/>
  <c r="Y325" i="2" s="1"/>
  <c r="AQ324" i="2"/>
  <c r="AM324" i="2"/>
  <c r="AK324" i="2"/>
  <c r="AL324" i="2" s="1"/>
  <c r="AN324" i="2" s="1"/>
  <c r="AO324" i="2" s="1"/>
  <c r="AG324" i="2"/>
  <c r="Z324" i="2"/>
  <c r="Y324" i="2"/>
  <c r="AA324" i="2" s="1"/>
  <c r="U324" i="2"/>
  <c r="AQ323" i="2"/>
  <c r="AM323" i="2"/>
  <c r="AG323" i="2"/>
  <c r="U323" i="2"/>
  <c r="AQ322" i="2"/>
  <c r="AM322" i="2"/>
  <c r="AG322" i="2"/>
  <c r="AA322" i="2"/>
  <c r="U322" i="2"/>
  <c r="Y322" i="2" s="1"/>
  <c r="Z322" i="2" s="1"/>
  <c r="AK322" i="2" s="1"/>
  <c r="AL322" i="2" s="1"/>
  <c r="AN322" i="2" s="1"/>
  <c r="AO322" i="2" s="1"/>
  <c r="AQ321" i="2"/>
  <c r="AM321" i="2"/>
  <c r="AG321" i="2"/>
  <c r="U321" i="2"/>
  <c r="Y321" i="2" s="1"/>
  <c r="AQ320" i="2"/>
  <c r="AM320" i="2"/>
  <c r="AG320" i="2"/>
  <c r="Y320" i="2"/>
  <c r="U320" i="2"/>
  <c r="AQ319" i="2"/>
  <c r="AM319" i="2"/>
  <c r="AG319" i="2"/>
  <c r="Y319" i="2"/>
  <c r="Z319" i="2" s="1"/>
  <c r="AK319" i="2" s="1"/>
  <c r="AL319" i="2" s="1"/>
  <c r="AN319" i="2" s="1"/>
  <c r="AO319" i="2" s="1"/>
  <c r="U319" i="2"/>
  <c r="AQ318" i="2"/>
  <c r="AM318" i="2"/>
  <c r="AG318" i="2"/>
  <c r="U318" i="2"/>
  <c r="Y318" i="2" s="1"/>
  <c r="Z318" i="2" s="1"/>
  <c r="AK318" i="2" s="1"/>
  <c r="AL318" i="2" s="1"/>
  <c r="AN318" i="2" s="1"/>
  <c r="AO318" i="2" s="1"/>
  <c r="AQ317" i="2"/>
  <c r="AM317" i="2"/>
  <c r="AG317" i="2"/>
  <c r="AA317" i="2"/>
  <c r="Z317" i="2"/>
  <c r="AK317" i="2" s="1"/>
  <c r="AL317" i="2" s="1"/>
  <c r="AN317" i="2" s="1"/>
  <c r="AO317" i="2" s="1"/>
  <c r="Y317" i="2"/>
  <c r="U317" i="2"/>
  <c r="AQ316" i="2"/>
  <c r="AM316" i="2"/>
  <c r="AK316" i="2"/>
  <c r="AL316" i="2" s="1"/>
  <c r="AN316" i="2" s="1"/>
  <c r="AO316" i="2" s="1"/>
  <c r="AG316" i="2"/>
  <c r="Y316" i="2"/>
  <c r="Z316" i="2" s="1"/>
  <c r="U316" i="2"/>
  <c r="AA316" i="2" s="1"/>
  <c r="AQ315" i="2"/>
  <c r="AM315" i="2"/>
  <c r="AG315" i="2"/>
  <c r="U315" i="2"/>
  <c r="AQ314" i="2"/>
  <c r="AM314" i="2"/>
  <c r="AG314" i="2"/>
  <c r="AA314" i="2"/>
  <c r="U314" i="2"/>
  <c r="Y314" i="2" s="1"/>
  <c r="Z314" i="2" s="1"/>
  <c r="AK314" i="2" s="1"/>
  <c r="AL314" i="2" s="1"/>
  <c r="AN314" i="2" s="1"/>
  <c r="AO314" i="2" s="1"/>
  <c r="AQ313" i="2"/>
  <c r="AM313" i="2"/>
  <c r="AG313" i="2"/>
  <c r="AA313" i="2"/>
  <c r="Z313" i="2"/>
  <c r="AK313" i="2" s="1"/>
  <c r="AL313" i="2" s="1"/>
  <c r="AN313" i="2" s="1"/>
  <c r="AO313" i="2" s="1"/>
  <c r="Y313" i="2"/>
  <c r="U313" i="2"/>
  <c r="AQ312" i="2"/>
  <c r="AM312" i="2"/>
  <c r="AK312" i="2"/>
  <c r="AL312" i="2" s="1"/>
  <c r="AN312" i="2" s="1"/>
  <c r="AO312" i="2" s="1"/>
  <c r="AG312" i="2"/>
  <c r="Z312" i="2"/>
  <c r="Y312" i="2"/>
  <c r="U312" i="2"/>
  <c r="AA312" i="2" s="1"/>
  <c r="AQ311" i="2"/>
  <c r="AM311" i="2"/>
  <c r="AG311" i="2"/>
  <c r="U311" i="2"/>
  <c r="AQ310" i="2"/>
  <c r="AM310" i="2"/>
  <c r="AG310" i="2"/>
  <c r="AA310" i="2"/>
  <c r="U310" i="2"/>
  <c r="Y310" i="2" s="1"/>
  <c r="Z310" i="2" s="1"/>
  <c r="AK310" i="2" s="1"/>
  <c r="AL310" i="2" s="1"/>
  <c r="AN310" i="2" s="1"/>
  <c r="AO310" i="2" s="1"/>
  <c r="AQ309" i="2"/>
  <c r="AM309" i="2"/>
  <c r="AL309" i="2"/>
  <c r="AN309" i="2" s="1"/>
  <c r="AO309" i="2" s="1"/>
  <c r="AG309" i="2"/>
  <c r="AA309" i="2"/>
  <c r="Z309" i="2"/>
  <c r="AK309" i="2" s="1"/>
  <c r="Y309" i="2"/>
  <c r="U309" i="2"/>
  <c r="AQ308" i="2"/>
  <c r="AM308" i="2"/>
  <c r="AG308" i="2"/>
  <c r="Z308" i="2"/>
  <c r="AK308" i="2" s="1"/>
  <c r="AL308" i="2" s="1"/>
  <c r="AN308" i="2" s="1"/>
  <c r="AO308" i="2" s="1"/>
  <c r="Y308" i="2"/>
  <c r="U308" i="2"/>
  <c r="AQ307" i="2"/>
  <c r="AM307" i="2"/>
  <c r="AK307" i="2"/>
  <c r="AL307" i="2" s="1"/>
  <c r="AN307" i="2" s="1"/>
  <c r="AO307" i="2" s="1"/>
  <c r="AG307" i="2"/>
  <c r="Y307" i="2"/>
  <c r="Z307" i="2" s="1"/>
  <c r="U307" i="2"/>
  <c r="AQ306" i="2"/>
  <c r="AM306" i="2"/>
  <c r="AG306" i="2"/>
  <c r="U306" i="2"/>
  <c r="AQ305" i="2"/>
  <c r="AM305" i="2"/>
  <c r="AL305" i="2"/>
  <c r="AN305" i="2" s="1"/>
  <c r="AO305" i="2" s="1"/>
  <c r="AG305" i="2"/>
  <c r="AA305" i="2"/>
  <c r="Z305" i="2"/>
  <c r="AK305" i="2" s="1"/>
  <c r="Y305" i="2"/>
  <c r="U305" i="2"/>
  <c r="AQ304" i="2"/>
  <c r="AM304" i="2"/>
  <c r="AG304" i="2"/>
  <c r="Y304" i="2"/>
  <c r="Z304" i="2" s="1"/>
  <c r="AK304" i="2" s="1"/>
  <c r="AL304" i="2" s="1"/>
  <c r="AN304" i="2" s="1"/>
  <c r="AO304" i="2" s="1"/>
  <c r="U304" i="2"/>
  <c r="AQ303" i="2"/>
  <c r="AN303" i="2"/>
  <c r="AO303" i="2" s="1"/>
  <c r="AM303" i="2"/>
  <c r="AG303" i="2"/>
  <c r="Y303" i="2"/>
  <c r="Z303" i="2" s="1"/>
  <c r="AK303" i="2" s="1"/>
  <c r="AL303" i="2" s="1"/>
  <c r="U303" i="2"/>
  <c r="AQ302" i="2"/>
  <c r="AM302" i="2"/>
  <c r="AG302" i="2"/>
  <c r="U302" i="2"/>
  <c r="Y302" i="2" s="1"/>
  <c r="Z302" i="2" s="1"/>
  <c r="AK302" i="2" s="1"/>
  <c r="AL302" i="2" s="1"/>
  <c r="AN302" i="2" s="1"/>
  <c r="AO302" i="2" s="1"/>
  <c r="AQ301" i="2"/>
  <c r="AM301" i="2"/>
  <c r="AG301" i="2"/>
  <c r="AA301" i="2"/>
  <c r="Z301" i="2"/>
  <c r="AK301" i="2" s="1"/>
  <c r="AL301" i="2" s="1"/>
  <c r="AN301" i="2" s="1"/>
  <c r="AO301" i="2" s="1"/>
  <c r="Y301" i="2"/>
  <c r="U301" i="2"/>
  <c r="AQ300" i="2"/>
  <c r="AM300" i="2"/>
  <c r="AG300" i="2"/>
  <c r="Y300" i="2"/>
  <c r="Z300" i="2" s="1"/>
  <c r="AK300" i="2" s="1"/>
  <c r="AL300" i="2" s="1"/>
  <c r="AN300" i="2" s="1"/>
  <c r="AO300" i="2" s="1"/>
  <c r="U300" i="2"/>
  <c r="AA300" i="2" s="1"/>
  <c r="AQ299" i="2"/>
  <c r="AM299" i="2"/>
  <c r="AG299" i="2"/>
  <c r="U299" i="2"/>
  <c r="AQ298" i="2"/>
  <c r="AM298" i="2"/>
  <c r="AG298" i="2"/>
  <c r="AA298" i="2"/>
  <c r="U298" i="2"/>
  <c r="Y298" i="2" s="1"/>
  <c r="Z298" i="2" s="1"/>
  <c r="AK298" i="2" s="1"/>
  <c r="AL298" i="2" s="1"/>
  <c r="AN298" i="2" s="1"/>
  <c r="AO298" i="2" s="1"/>
  <c r="AQ297" i="2"/>
  <c r="AM297" i="2"/>
  <c r="AG297" i="2"/>
  <c r="AA297" i="2"/>
  <c r="Z297" i="2"/>
  <c r="AK297" i="2" s="1"/>
  <c r="AL297" i="2" s="1"/>
  <c r="AN297" i="2" s="1"/>
  <c r="AO297" i="2" s="1"/>
  <c r="Y297" i="2"/>
  <c r="U297" i="2"/>
  <c r="AQ296" i="2"/>
  <c r="AM296" i="2"/>
  <c r="AK296" i="2"/>
  <c r="AL296" i="2" s="1"/>
  <c r="AN296" i="2" s="1"/>
  <c r="AO296" i="2" s="1"/>
  <c r="AG296" i="2"/>
  <c r="Z296" i="2"/>
  <c r="Y296" i="2"/>
  <c r="U296" i="2"/>
  <c r="AA296" i="2" s="1"/>
  <c r="AQ295" i="2"/>
  <c r="AM295" i="2"/>
  <c r="AG295" i="2"/>
  <c r="U295" i="2"/>
  <c r="AQ294" i="2"/>
  <c r="AM294" i="2"/>
  <c r="AG294" i="2"/>
  <c r="AA294" i="2"/>
  <c r="U294" i="2"/>
  <c r="Y294" i="2" s="1"/>
  <c r="Z294" i="2" s="1"/>
  <c r="AK294" i="2" s="1"/>
  <c r="AL294" i="2" s="1"/>
  <c r="AN294" i="2" s="1"/>
  <c r="AO294" i="2" s="1"/>
  <c r="AQ293" i="2"/>
  <c r="AM293" i="2"/>
  <c r="AG293" i="2"/>
  <c r="AA293" i="2"/>
  <c r="Z293" i="2"/>
  <c r="AK293" i="2" s="1"/>
  <c r="AL293" i="2" s="1"/>
  <c r="AN293" i="2" s="1"/>
  <c r="AO293" i="2" s="1"/>
  <c r="Y293" i="2"/>
  <c r="U293" i="2"/>
  <c r="AQ292" i="2"/>
  <c r="AM292" i="2"/>
  <c r="AG292" i="2"/>
  <c r="Z292" i="2"/>
  <c r="AK292" i="2" s="1"/>
  <c r="AL292" i="2" s="1"/>
  <c r="AN292" i="2" s="1"/>
  <c r="AO292" i="2" s="1"/>
  <c r="Y292" i="2"/>
  <c r="U292" i="2"/>
  <c r="AQ291" i="2"/>
  <c r="AM291" i="2"/>
  <c r="AK291" i="2"/>
  <c r="AL291" i="2" s="1"/>
  <c r="AN291" i="2" s="1"/>
  <c r="AO291" i="2" s="1"/>
  <c r="AG291" i="2"/>
  <c r="Y291" i="2"/>
  <c r="Z291" i="2" s="1"/>
  <c r="U291" i="2"/>
  <c r="AQ290" i="2"/>
  <c r="AM290" i="2"/>
  <c r="AG290" i="2"/>
  <c r="U290" i="2"/>
  <c r="AQ289" i="2"/>
  <c r="AM289" i="2"/>
  <c r="AG289" i="2"/>
  <c r="AA289" i="2"/>
  <c r="Z289" i="2"/>
  <c r="AK289" i="2" s="1"/>
  <c r="AL289" i="2" s="1"/>
  <c r="AN289" i="2" s="1"/>
  <c r="AO289" i="2" s="1"/>
  <c r="Y289" i="2"/>
  <c r="U289" i="2"/>
  <c r="AQ288" i="2"/>
  <c r="AM288" i="2"/>
  <c r="AG288" i="2"/>
  <c r="Y288" i="2"/>
  <c r="Z288" i="2" s="1"/>
  <c r="AK288" i="2" s="1"/>
  <c r="AL288" i="2" s="1"/>
  <c r="AN288" i="2" s="1"/>
  <c r="AO288" i="2" s="1"/>
  <c r="U288" i="2"/>
  <c r="AQ287" i="2"/>
  <c r="AN287" i="2"/>
  <c r="AO287" i="2" s="1"/>
  <c r="AM287" i="2"/>
  <c r="AG287" i="2"/>
  <c r="Y287" i="2"/>
  <c r="Z287" i="2" s="1"/>
  <c r="AK287" i="2" s="1"/>
  <c r="AL287" i="2" s="1"/>
  <c r="U287" i="2"/>
  <c r="AQ286" i="2"/>
  <c r="AM286" i="2"/>
  <c r="AG286" i="2"/>
  <c r="U286" i="2"/>
  <c r="Y286" i="2" s="1"/>
  <c r="Z286" i="2" s="1"/>
  <c r="AK286" i="2" s="1"/>
  <c r="AL286" i="2" s="1"/>
  <c r="AN286" i="2" s="1"/>
  <c r="AO286" i="2" s="1"/>
  <c r="AQ285" i="2"/>
  <c r="AM285" i="2"/>
  <c r="AG285" i="2"/>
  <c r="AA285" i="2"/>
  <c r="Z285" i="2"/>
  <c r="AK285" i="2" s="1"/>
  <c r="AL285" i="2" s="1"/>
  <c r="AN285" i="2" s="1"/>
  <c r="AO285" i="2" s="1"/>
  <c r="Y285" i="2"/>
  <c r="U285" i="2"/>
  <c r="AQ284" i="2"/>
  <c r="AM284" i="2"/>
  <c r="AG284" i="2"/>
  <c r="Y284" i="2"/>
  <c r="Z284" i="2" s="1"/>
  <c r="AK284" i="2" s="1"/>
  <c r="AL284" i="2" s="1"/>
  <c r="AN284" i="2" s="1"/>
  <c r="AO284" i="2" s="1"/>
  <c r="U284" i="2"/>
  <c r="AQ283" i="2"/>
  <c r="AM283" i="2"/>
  <c r="AG283" i="2"/>
  <c r="AA283" i="2"/>
  <c r="Y283" i="2"/>
  <c r="Z283" i="2" s="1"/>
  <c r="AK283" i="2" s="1"/>
  <c r="AL283" i="2" s="1"/>
  <c r="AN283" i="2" s="1"/>
  <c r="AO283" i="2" s="1"/>
  <c r="U283" i="2"/>
  <c r="AQ282" i="2"/>
  <c r="AM282" i="2"/>
  <c r="AG282" i="2"/>
  <c r="AA282" i="2"/>
  <c r="Z282" i="2"/>
  <c r="AK282" i="2" s="1"/>
  <c r="AL282" i="2" s="1"/>
  <c r="AN282" i="2" s="1"/>
  <c r="AO282" i="2" s="1"/>
  <c r="U282" i="2"/>
  <c r="Y282" i="2" s="1"/>
  <c r="AQ281" i="2"/>
  <c r="AM281" i="2"/>
  <c r="AG281" i="2"/>
  <c r="Y281" i="2"/>
  <c r="AA281" i="2" s="1"/>
  <c r="U281" i="2"/>
  <c r="AQ280" i="2"/>
  <c r="AM280" i="2"/>
  <c r="AG280" i="2"/>
  <c r="Z280" i="2"/>
  <c r="AK280" i="2" s="1"/>
  <c r="AL280" i="2" s="1"/>
  <c r="AN280" i="2" s="1"/>
  <c r="AO280" i="2" s="1"/>
  <c r="Y280" i="2"/>
  <c r="U280" i="2"/>
  <c r="AQ279" i="2"/>
  <c r="AM279" i="2"/>
  <c r="AG279" i="2"/>
  <c r="U279" i="2"/>
  <c r="AQ278" i="2"/>
  <c r="AM278" i="2"/>
  <c r="AG278" i="2"/>
  <c r="U278" i="2"/>
  <c r="Y278" i="2" s="1"/>
  <c r="Z278" i="2" s="1"/>
  <c r="AK278" i="2" s="1"/>
  <c r="AL278" i="2" s="1"/>
  <c r="AN278" i="2" s="1"/>
  <c r="AO278" i="2" s="1"/>
  <c r="AQ277" i="2"/>
  <c r="AM277" i="2"/>
  <c r="AG277" i="2"/>
  <c r="Y277" i="2"/>
  <c r="U277" i="2"/>
  <c r="AQ276" i="2"/>
  <c r="AM276" i="2"/>
  <c r="AG276" i="2"/>
  <c r="U276" i="2"/>
  <c r="AQ275" i="2"/>
  <c r="AM275" i="2"/>
  <c r="AG275" i="2"/>
  <c r="U275" i="2"/>
  <c r="AQ274" i="2"/>
  <c r="AM274" i="2"/>
  <c r="AG274" i="2"/>
  <c r="U274" i="2"/>
  <c r="AQ273" i="2"/>
  <c r="AM273" i="2"/>
  <c r="AL273" i="2"/>
  <c r="AN273" i="2" s="1"/>
  <c r="AO273" i="2" s="1"/>
  <c r="AG273" i="2"/>
  <c r="AA273" i="2"/>
  <c r="Z273" i="2"/>
  <c r="AK273" i="2" s="1"/>
  <c r="Y273" i="2"/>
  <c r="U273" i="2"/>
  <c r="AQ272" i="2"/>
  <c r="AM272" i="2"/>
  <c r="AG272" i="2"/>
  <c r="U272" i="2"/>
  <c r="AQ271" i="2"/>
  <c r="AM271" i="2"/>
  <c r="AG271" i="2"/>
  <c r="Y271" i="2"/>
  <c r="U271" i="2"/>
  <c r="AQ270" i="2"/>
  <c r="AM270" i="2"/>
  <c r="AG270" i="2"/>
  <c r="AA270" i="2"/>
  <c r="Z270" i="2"/>
  <c r="AK270" i="2" s="1"/>
  <c r="AL270" i="2" s="1"/>
  <c r="AN270" i="2" s="1"/>
  <c r="AO270" i="2" s="1"/>
  <c r="U270" i="2"/>
  <c r="Y270" i="2" s="1"/>
  <c r="AQ269" i="2"/>
  <c r="AM269" i="2"/>
  <c r="AG269" i="2"/>
  <c r="AA269" i="2"/>
  <c r="Z269" i="2"/>
  <c r="AK269" i="2" s="1"/>
  <c r="AL269" i="2" s="1"/>
  <c r="AN269" i="2" s="1"/>
  <c r="AO269" i="2" s="1"/>
  <c r="Y269" i="2"/>
  <c r="U269" i="2"/>
  <c r="AQ268" i="2"/>
  <c r="AM268" i="2"/>
  <c r="AG268" i="2"/>
  <c r="Y268" i="2"/>
  <c r="Z268" i="2" s="1"/>
  <c r="AK268" i="2" s="1"/>
  <c r="AL268" i="2" s="1"/>
  <c r="AN268" i="2" s="1"/>
  <c r="AO268" i="2" s="1"/>
  <c r="U268" i="2"/>
  <c r="AQ267" i="2"/>
  <c r="AM267" i="2"/>
  <c r="AG267" i="2"/>
  <c r="AA267" i="2"/>
  <c r="Y267" i="2"/>
  <c r="Z267" i="2" s="1"/>
  <c r="AK267" i="2" s="1"/>
  <c r="AL267" i="2" s="1"/>
  <c r="AN267" i="2" s="1"/>
  <c r="AO267" i="2" s="1"/>
  <c r="U267" i="2"/>
  <c r="AQ266" i="2"/>
  <c r="AM266" i="2"/>
  <c r="AG266" i="2"/>
  <c r="AA266" i="2"/>
  <c r="Z266" i="2"/>
  <c r="AK266" i="2" s="1"/>
  <c r="AL266" i="2" s="1"/>
  <c r="AN266" i="2" s="1"/>
  <c r="AO266" i="2" s="1"/>
  <c r="U266" i="2"/>
  <c r="Y266" i="2" s="1"/>
  <c r="AQ265" i="2"/>
  <c r="AM265" i="2"/>
  <c r="AG265" i="2"/>
  <c r="Y265" i="2"/>
  <c r="AA265" i="2" s="1"/>
  <c r="U265" i="2"/>
  <c r="AQ264" i="2"/>
  <c r="AM264" i="2"/>
  <c r="AG264" i="2"/>
  <c r="Z264" i="2"/>
  <c r="AK264" i="2" s="1"/>
  <c r="AL264" i="2" s="1"/>
  <c r="AN264" i="2" s="1"/>
  <c r="AO264" i="2" s="1"/>
  <c r="Y264" i="2"/>
  <c r="U264" i="2"/>
  <c r="AQ263" i="2"/>
  <c r="AM263" i="2"/>
  <c r="AG263" i="2"/>
  <c r="U263" i="2"/>
  <c r="AQ262" i="2"/>
  <c r="AM262" i="2"/>
  <c r="AG262" i="2"/>
  <c r="U262" i="2"/>
  <c r="Y262" i="2" s="1"/>
  <c r="Z262" i="2" s="1"/>
  <c r="AK262" i="2" s="1"/>
  <c r="AL262" i="2" s="1"/>
  <c r="AN262" i="2" s="1"/>
  <c r="AO262" i="2" s="1"/>
  <c r="AQ261" i="2"/>
  <c r="AM261" i="2"/>
  <c r="AG261" i="2"/>
  <c r="Y261" i="2"/>
  <c r="U261" i="2"/>
  <c r="AQ260" i="2"/>
  <c r="AM260" i="2"/>
  <c r="AG260" i="2"/>
  <c r="U260" i="2"/>
  <c r="AQ259" i="2"/>
  <c r="AM259" i="2"/>
  <c r="AG259" i="2"/>
  <c r="U259" i="2"/>
  <c r="AQ258" i="2"/>
  <c r="AM258" i="2"/>
  <c r="AG258" i="2"/>
  <c r="U258" i="2"/>
  <c r="AQ257" i="2"/>
  <c r="AM257" i="2"/>
  <c r="AG257" i="2"/>
  <c r="AA257" i="2"/>
  <c r="Z257" i="2"/>
  <c r="AK257" i="2" s="1"/>
  <c r="AL257" i="2" s="1"/>
  <c r="AN257" i="2" s="1"/>
  <c r="AO257" i="2" s="1"/>
  <c r="Y257" i="2"/>
  <c r="U257" i="2"/>
  <c r="AQ256" i="2"/>
  <c r="AM256" i="2"/>
  <c r="AG256" i="2"/>
  <c r="U256" i="2"/>
  <c r="AQ255" i="2"/>
  <c r="AM255" i="2"/>
  <c r="AG255" i="2"/>
  <c r="Y255" i="2"/>
  <c r="U255" i="2"/>
  <c r="AQ254" i="2"/>
  <c r="AM254" i="2"/>
  <c r="AG254" i="2"/>
  <c r="AA254" i="2"/>
  <c r="Z254" i="2"/>
  <c r="AK254" i="2" s="1"/>
  <c r="AL254" i="2" s="1"/>
  <c r="AN254" i="2" s="1"/>
  <c r="AO254" i="2" s="1"/>
  <c r="U254" i="2"/>
  <c r="Y254" i="2" s="1"/>
  <c r="AQ253" i="2"/>
  <c r="AM253" i="2"/>
  <c r="AG253" i="2"/>
  <c r="AA253" i="2"/>
  <c r="Z253" i="2"/>
  <c r="AK253" i="2" s="1"/>
  <c r="AL253" i="2" s="1"/>
  <c r="AN253" i="2" s="1"/>
  <c r="AO253" i="2" s="1"/>
  <c r="Y253" i="2"/>
  <c r="U253" i="2"/>
  <c r="AQ252" i="2"/>
  <c r="AM252" i="2"/>
  <c r="AG252" i="2"/>
  <c r="Y252" i="2"/>
  <c r="Z252" i="2" s="1"/>
  <c r="AK252" i="2" s="1"/>
  <c r="AL252" i="2" s="1"/>
  <c r="AN252" i="2" s="1"/>
  <c r="AO252" i="2" s="1"/>
  <c r="U252" i="2"/>
  <c r="AQ251" i="2"/>
  <c r="AM251" i="2"/>
  <c r="AG251" i="2"/>
  <c r="AA251" i="2"/>
  <c r="Y251" i="2"/>
  <c r="Z251" i="2" s="1"/>
  <c r="AK251" i="2" s="1"/>
  <c r="AL251" i="2" s="1"/>
  <c r="AN251" i="2" s="1"/>
  <c r="AO251" i="2" s="1"/>
  <c r="U251" i="2"/>
  <c r="AQ250" i="2"/>
  <c r="AM250" i="2"/>
  <c r="AG250" i="2"/>
  <c r="AA250" i="2"/>
  <c r="Z250" i="2"/>
  <c r="AK250" i="2" s="1"/>
  <c r="AL250" i="2" s="1"/>
  <c r="AN250" i="2" s="1"/>
  <c r="AO250" i="2" s="1"/>
  <c r="U250" i="2"/>
  <c r="Y250" i="2" s="1"/>
  <c r="AQ249" i="2"/>
  <c r="AM249" i="2"/>
  <c r="AG249" i="2"/>
  <c r="Y249" i="2"/>
  <c r="AA249" i="2" s="1"/>
  <c r="U249" i="2"/>
  <c r="AQ248" i="2"/>
  <c r="AM248" i="2"/>
  <c r="AG248" i="2"/>
  <c r="Z248" i="2"/>
  <c r="AK248" i="2" s="1"/>
  <c r="AL248" i="2" s="1"/>
  <c r="AN248" i="2" s="1"/>
  <c r="AO248" i="2" s="1"/>
  <c r="Y248" i="2"/>
  <c r="U248" i="2"/>
  <c r="AQ247" i="2"/>
  <c r="AM247" i="2"/>
  <c r="AG247" i="2"/>
  <c r="U247" i="2"/>
  <c r="AQ246" i="2"/>
  <c r="AM246" i="2"/>
  <c r="AG246" i="2"/>
  <c r="U246" i="2"/>
  <c r="Y246" i="2" s="1"/>
  <c r="Z246" i="2" s="1"/>
  <c r="AK246" i="2" s="1"/>
  <c r="AL246" i="2" s="1"/>
  <c r="AN246" i="2" s="1"/>
  <c r="AO246" i="2" s="1"/>
  <c r="AQ245" i="2"/>
  <c r="AM245" i="2"/>
  <c r="AG245" i="2"/>
  <c r="Y245" i="2"/>
  <c r="U245" i="2"/>
  <c r="AQ244" i="2"/>
  <c r="AM244" i="2"/>
  <c r="AG244" i="2"/>
  <c r="U244" i="2"/>
  <c r="AQ243" i="2"/>
  <c r="AM243" i="2"/>
  <c r="AG243" i="2"/>
  <c r="U243" i="2"/>
  <c r="AQ242" i="2"/>
  <c r="AM242" i="2"/>
  <c r="AG242" i="2"/>
  <c r="U242" i="2"/>
  <c r="AQ241" i="2"/>
  <c r="AM241" i="2"/>
  <c r="AG241" i="2"/>
  <c r="AA241" i="2"/>
  <c r="Z241" i="2"/>
  <c r="AK241" i="2" s="1"/>
  <c r="AL241" i="2" s="1"/>
  <c r="AN241" i="2" s="1"/>
  <c r="AO241" i="2" s="1"/>
  <c r="Y241" i="2"/>
  <c r="U241" i="2"/>
  <c r="AQ240" i="2"/>
  <c r="AM240" i="2"/>
  <c r="AG240" i="2"/>
  <c r="U240" i="2"/>
  <c r="AQ239" i="2"/>
  <c r="AM239" i="2"/>
  <c r="AG239" i="2"/>
  <c r="Y239" i="2"/>
  <c r="U239" i="2"/>
  <c r="AQ238" i="2"/>
  <c r="AM238" i="2"/>
  <c r="AG238" i="2"/>
  <c r="AA238" i="2"/>
  <c r="Z238" i="2"/>
  <c r="AK238" i="2" s="1"/>
  <c r="AL238" i="2" s="1"/>
  <c r="AN238" i="2" s="1"/>
  <c r="AO238" i="2" s="1"/>
  <c r="U238" i="2"/>
  <c r="Y238" i="2" s="1"/>
  <c r="AQ237" i="2"/>
  <c r="AM237" i="2"/>
  <c r="AG237" i="2"/>
  <c r="AA237" i="2"/>
  <c r="Z237" i="2"/>
  <c r="AK237" i="2" s="1"/>
  <c r="AL237" i="2" s="1"/>
  <c r="AN237" i="2" s="1"/>
  <c r="AO237" i="2" s="1"/>
  <c r="Y237" i="2"/>
  <c r="U237" i="2"/>
  <c r="AQ236" i="2"/>
  <c r="AM236" i="2"/>
  <c r="AG236" i="2"/>
  <c r="Y236" i="2"/>
  <c r="Z236" i="2" s="1"/>
  <c r="AK236" i="2" s="1"/>
  <c r="AL236" i="2" s="1"/>
  <c r="AN236" i="2" s="1"/>
  <c r="AO236" i="2" s="1"/>
  <c r="U236" i="2"/>
  <c r="AQ235" i="2"/>
  <c r="AM235" i="2"/>
  <c r="AG235" i="2"/>
  <c r="AA235" i="2"/>
  <c r="Y235" i="2"/>
  <c r="Z235" i="2" s="1"/>
  <c r="AK235" i="2" s="1"/>
  <c r="AL235" i="2" s="1"/>
  <c r="AN235" i="2" s="1"/>
  <c r="AO235" i="2" s="1"/>
  <c r="U235" i="2"/>
  <c r="AQ234" i="2"/>
  <c r="AM234" i="2"/>
  <c r="AG234" i="2"/>
  <c r="AA234" i="2"/>
  <c r="Z234" i="2"/>
  <c r="AK234" i="2" s="1"/>
  <c r="AL234" i="2" s="1"/>
  <c r="AN234" i="2" s="1"/>
  <c r="AO234" i="2" s="1"/>
  <c r="U234" i="2"/>
  <c r="Y234" i="2" s="1"/>
  <c r="AQ233" i="2"/>
  <c r="AM233" i="2"/>
  <c r="AG233" i="2"/>
  <c r="Y233" i="2"/>
  <c r="AA233" i="2" s="1"/>
  <c r="U233" i="2"/>
  <c r="AQ232" i="2"/>
  <c r="AM232" i="2"/>
  <c r="AG232" i="2"/>
  <c r="Z232" i="2"/>
  <c r="AK232" i="2" s="1"/>
  <c r="AL232" i="2" s="1"/>
  <c r="AN232" i="2" s="1"/>
  <c r="AO232" i="2" s="1"/>
  <c r="Y232" i="2"/>
  <c r="U232" i="2"/>
  <c r="AQ231" i="2"/>
  <c r="AM231" i="2"/>
  <c r="AG231" i="2"/>
  <c r="U231" i="2"/>
  <c r="AQ230" i="2"/>
  <c r="AM230" i="2"/>
  <c r="AG230" i="2"/>
  <c r="U230" i="2"/>
  <c r="Y230" i="2" s="1"/>
  <c r="Z230" i="2" s="1"/>
  <c r="AK230" i="2" s="1"/>
  <c r="AL230" i="2" s="1"/>
  <c r="AN230" i="2" s="1"/>
  <c r="AO230" i="2" s="1"/>
  <c r="AQ229" i="2"/>
  <c r="AM229" i="2"/>
  <c r="AG229" i="2"/>
  <c r="Y229" i="2"/>
  <c r="U229" i="2"/>
  <c r="AQ228" i="2"/>
  <c r="AM228" i="2"/>
  <c r="AG228" i="2"/>
  <c r="U228" i="2"/>
  <c r="AQ227" i="2"/>
  <c r="AM227" i="2"/>
  <c r="AG227" i="2"/>
  <c r="U227" i="2"/>
  <c r="AQ226" i="2"/>
  <c r="AM226" i="2"/>
  <c r="AG226" i="2"/>
  <c r="U226" i="2"/>
  <c r="AQ225" i="2"/>
  <c r="AM225" i="2"/>
  <c r="AG225" i="2"/>
  <c r="AA225" i="2"/>
  <c r="Z225" i="2"/>
  <c r="AK225" i="2" s="1"/>
  <c r="AL225" i="2" s="1"/>
  <c r="AN225" i="2" s="1"/>
  <c r="AO225" i="2" s="1"/>
  <c r="Y225" i="2"/>
  <c r="U225" i="2"/>
  <c r="AQ224" i="2"/>
  <c r="AM224" i="2"/>
  <c r="AG224" i="2"/>
  <c r="U224" i="2"/>
  <c r="AQ223" i="2"/>
  <c r="AM223" i="2"/>
  <c r="AG223" i="2"/>
  <c r="Y223" i="2"/>
  <c r="U223" i="2"/>
  <c r="AQ222" i="2"/>
  <c r="AM222" i="2"/>
  <c r="AG222" i="2"/>
  <c r="AA222" i="2"/>
  <c r="Z222" i="2"/>
  <c r="AK222" i="2" s="1"/>
  <c r="AL222" i="2" s="1"/>
  <c r="AN222" i="2" s="1"/>
  <c r="AO222" i="2" s="1"/>
  <c r="U222" i="2"/>
  <c r="Y222" i="2" s="1"/>
  <c r="AQ221" i="2"/>
  <c r="AM221" i="2"/>
  <c r="AG221" i="2"/>
  <c r="AA221" i="2"/>
  <c r="Z221" i="2"/>
  <c r="AK221" i="2" s="1"/>
  <c r="AL221" i="2" s="1"/>
  <c r="AN221" i="2" s="1"/>
  <c r="AO221" i="2" s="1"/>
  <c r="Y221" i="2"/>
  <c r="U221" i="2"/>
  <c r="AQ220" i="2"/>
  <c r="AM220" i="2"/>
  <c r="AG220" i="2"/>
  <c r="Y220" i="2"/>
  <c r="Z220" i="2" s="1"/>
  <c r="AK220" i="2" s="1"/>
  <c r="AL220" i="2" s="1"/>
  <c r="AN220" i="2" s="1"/>
  <c r="AO220" i="2" s="1"/>
  <c r="U220" i="2"/>
  <c r="AQ219" i="2"/>
  <c r="AM219" i="2"/>
  <c r="AG219" i="2"/>
  <c r="AA219" i="2"/>
  <c r="Y219" i="2"/>
  <c r="Z219" i="2" s="1"/>
  <c r="AK219" i="2" s="1"/>
  <c r="AL219" i="2" s="1"/>
  <c r="AN219" i="2" s="1"/>
  <c r="AO219" i="2" s="1"/>
  <c r="U219" i="2"/>
  <c r="AQ218" i="2"/>
  <c r="AM218" i="2"/>
  <c r="AG218" i="2"/>
  <c r="AA218" i="2"/>
  <c r="Z218" i="2"/>
  <c r="AK218" i="2" s="1"/>
  <c r="AL218" i="2" s="1"/>
  <c r="AN218" i="2" s="1"/>
  <c r="AO218" i="2" s="1"/>
  <c r="U218" i="2"/>
  <c r="Y218" i="2" s="1"/>
  <c r="AQ217" i="2"/>
  <c r="AM217" i="2"/>
  <c r="AG217" i="2"/>
  <c r="Y217" i="2"/>
  <c r="AA217" i="2" s="1"/>
  <c r="U217" i="2"/>
  <c r="AQ216" i="2"/>
  <c r="AM216" i="2"/>
  <c r="AG216" i="2"/>
  <c r="Z216" i="2"/>
  <c r="AK216" i="2" s="1"/>
  <c r="AL216" i="2" s="1"/>
  <c r="AN216" i="2" s="1"/>
  <c r="AO216" i="2" s="1"/>
  <c r="Y216" i="2"/>
  <c r="U216" i="2"/>
  <c r="AQ215" i="2"/>
  <c r="AM215" i="2"/>
  <c r="AG215" i="2"/>
  <c r="U215" i="2"/>
  <c r="AQ214" i="2"/>
  <c r="AM214" i="2"/>
  <c r="AG214" i="2"/>
  <c r="U214" i="2"/>
  <c r="Y214" i="2" s="1"/>
  <c r="Z214" i="2" s="1"/>
  <c r="AK214" i="2" s="1"/>
  <c r="AL214" i="2" s="1"/>
  <c r="AN214" i="2" s="1"/>
  <c r="AO214" i="2" s="1"/>
  <c r="AQ213" i="2"/>
  <c r="AM213" i="2"/>
  <c r="AG213" i="2"/>
  <c r="Y213" i="2"/>
  <c r="U213" i="2"/>
  <c r="AQ212" i="2"/>
  <c r="AM212" i="2"/>
  <c r="AG212" i="2"/>
  <c r="U212" i="2"/>
  <c r="AQ211" i="2"/>
  <c r="AM211" i="2"/>
  <c r="AG211" i="2"/>
  <c r="U211" i="2"/>
  <c r="AQ210" i="2"/>
  <c r="AM210" i="2"/>
  <c r="AG210" i="2"/>
  <c r="U210" i="2"/>
  <c r="AQ209" i="2"/>
  <c r="AM209" i="2"/>
  <c r="AL209" i="2"/>
  <c r="AN209" i="2" s="1"/>
  <c r="AO209" i="2" s="1"/>
  <c r="AG209" i="2"/>
  <c r="AA209" i="2"/>
  <c r="Z209" i="2"/>
  <c r="AK209" i="2" s="1"/>
  <c r="Y209" i="2"/>
  <c r="U209" i="2"/>
  <c r="AQ208" i="2"/>
  <c r="AM208" i="2"/>
  <c r="AG208" i="2"/>
  <c r="U208" i="2"/>
  <c r="AQ207" i="2"/>
  <c r="AM207" i="2"/>
  <c r="AG207" i="2"/>
  <c r="Y207" i="2"/>
  <c r="U207" i="2"/>
  <c r="AQ206" i="2"/>
  <c r="AM206" i="2"/>
  <c r="AG206" i="2"/>
  <c r="AA206" i="2"/>
  <c r="Z206" i="2"/>
  <c r="AK206" i="2" s="1"/>
  <c r="AL206" i="2" s="1"/>
  <c r="AN206" i="2" s="1"/>
  <c r="AO206" i="2" s="1"/>
  <c r="U206" i="2"/>
  <c r="Y206" i="2" s="1"/>
  <c r="AQ205" i="2"/>
  <c r="AM205" i="2"/>
  <c r="AG205" i="2"/>
  <c r="AA205" i="2"/>
  <c r="Z205" i="2"/>
  <c r="AK205" i="2" s="1"/>
  <c r="AL205" i="2" s="1"/>
  <c r="AN205" i="2" s="1"/>
  <c r="AO205" i="2" s="1"/>
  <c r="Y205" i="2"/>
  <c r="U205" i="2"/>
  <c r="AQ204" i="2"/>
  <c r="AM204" i="2"/>
  <c r="AG204" i="2"/>
  <c r="Y204" i="2"/>
  <c r="Z204" i="2" s="1"/>
  <c r="AK204" i="2" s="1"/>
  <c r="AL204" i="2" s="1"/>
  <c r="AN204" i="2" s="1"/>
  <c r="AO204" i="2" s="1"/>
  <c r="U204" i="2"/>
  <c r="AQ203" i="2"/>
  <c r="AM203" i="2"/>
  <c r="AG203" i="2"/>
  <c r="AA203" i="2"/>
  <c r="Y203" i="2"/>
  <c r="Z203" i="2" s="1"/>
  <c r="AK203" i="2" s="1"/>
  <c r="AL203" i="2" s="1"/>
  <c r="AN203" i="2" s="1"/>
  <c r="AO203" i="2" s="1"/>
  <c r="U203" i="2"/>
  <c r="AQ202" i="2"/>
  <c r="AM202" i="2"/>
  <c r="AG202" i="2"/>
  <c r="AA202" i="2"/>
  <c r="Z202" i="2"/>
  <c r="AK202" i="2" s="1"/>
  <c r="AL202" i="2" s="1"/>
  <c r="AN202" i="2" s="1"/>
  <c r="AO202" i="2" s="1"/>
  <c r="U202" i="2"/>
  <c r="Y202" i="2" s="1"/>
  <c r="AQ201" i="2"/>
  <c r="AM201" i="2"/>
  <c r="AG201" i="2"/>
  <c r="Y201" i="2"/>
  <c r="AA201" i="2" s="1"/>
  <c r="U201" i="2"/>
  <c r="AQ200" i="2"/>
  <c r="AM200" i="2"/>
  <c r="AG200" i="2"/>
  <c r="Z200" i="2"/>
  <c r="AK200" i="2" s="1"/>
  <c r="AL200" i="2" s="1"/>
  <c r="AN200" i="2" s="1"/>
  <c r="AO200" i="2" s="1"/>
  <c r="Y200" i="2"/>
  <c r="U200" i="2"/>
  <c r="AQ199" i="2"/>
  <c r="AM199" i="2"/>
  <c r="AG199" i="2"/>
  <c r="U199" i="2"/>
  <c r="AQ198" i="2"/>
  <c r="AM198" i="2"/>
  <c r="AG198" i="2"/>
  <c r="U198" i="2"/>
  <c r="Y198" i="2" s="1"/>
  <c r="Z198" i="2" s="1"/>
  <c r="AK198" i="2" s="1"/>
  <c r="AL198" i="2" s="1"/>
  <c r="AN198" i="2" s="1"/>
  <c r="AO198" i="2" s="1"/>
  <c r="AQ197" i="2"/>
  <c r="AM197" i="2"/>
  <c r="AG197" i="2"/>
  <c r="AA197" i="2"/>
  <c r="Z197" i="2"/>
  <c r="AK197" i="2" s="1"/>
  <c r="AL197" i="2" s="1"/>
  <c r="AN197" i="2" s="1"/>
  <c r="AO197" i="2" s="1"/>
  <c r="Y197" i="2"/>
  <c r="U197" i="2"/>
  <c r="AQ196" i="2"/>
  <c r="AM196" i="2"/>
  <c r="AG196" i="2"/>
  <c r="Y196" i="2"/>
  <c r="Z196" i="2" s="1"/>
  <c r="AK196" i="2" s="1"/>
  <c r="AL196" i="2" s="1"/>
  <c r="AN196" i="2" s="1"/>
  <c r="AO196" i="2" s="1"/>
  <c r="U196" i="2"/>
  <c r="AQ195" i="2"/>
  <c r="AM195" i="2"/>
  <c r="AG195" i="2"/>
  <c r="U195" i="2"/>
  <c r="AQ194" i="2"/>
  <c r="AM194" i="2"/>
  <c r="AG194" i="2"/>
  <c r="U194" i="2"/>
  <c r="Y194" i="2" s="1"/>
  <c r="Z194" i="2" s="1"/>
  <c r="AK194" i="2" s="1"/>
  <c r="AL194" i="2" s="1"/>
  <c r="AN194" i="2" s="1"/>
  <c r="AO194" i="2" s="1"/>
  <c r="AQ193" i="2"/>
  <c r="AM193" i="2"/>
  <c r="AG193" i="2"/>
  <c r="AA193" i="2"/>
  <c r="Z193" i="2"/>
  <c r="AK193" i="2" s="1"/>
  <c r="AL193" i="2" s="1"/>
  <c r="AN193" i="2" s="1"/>
  <c r="AO193" i="2" s="1"/>
  <c r="Y193" i="2"/>
  <c r="U193" i="2"/>
  <c r="AQ192" i="2"/>
  <c r="AM192" i="2"/>
  <c r="AK192" i="2"/>
  <c r="AL192" i="2" s="1"/>
  <c r="AN192" i="2" s="1"/>
  <c r="AO192" i="2" s="1"/>
  <c r="AG192" i="2"/>
  <c r="Y192" i="2"/>
  <c r="Z192" i="2" s="1"/>
  <c r="U192" i="2"/>
  <c r="AQ191" i="2"/>
  <c r="AM191" i="2"/>
  <c r="AG191" i="2"/>
  <c r="U191" i="2"/>
  <c r="AQ190" i="2"/>
  <c r="AM190" i="2"/>
  <c r="AG190" i="2"/>
  <c r="U190" i="2"/>
  <c r="Y190" i="2" s="1"/>
  <c r="Z190" i="2" s="1"/>
  <c r="AK190" i="2" s="1"/>
  <c r="AL190" i="2" s="1"/>
  <c r="AN190" i="2" s="1"/>
  <c r="AO190" i="2" s="1"/>
  <c r="AQ189" i="2"/>
  <c r="AM189" i="2"/>
  <c r="AL189" i="2"/>
  <c r="AN189" i="2" s="1"/>
  <c r="AO189" i="2" s="1"/>
  <c r="AG189" i="2"/>
  <c r="AA189" i="2"/>
  <c r="Z189" i="2"/>
  <c r="AK189" i="2" s="1"/>
  <c r="Y189" i="2"/>
  <c r="U189" i="2"/>
  <c r="AQ188" i="2"/>
  <c r="AM188" i="2"/>
  <c r="AK188" i="2"/>
  <c r="AL188" i="2" s="1"/>
  <c r="AN188" i="2" s="1"/>
  <c r="AO188" i="2" s="1"/>
  <c r="AG188" i="2"/>
  <c r="Y188" i="2"/>
  <c r="Z188" i="2" s="1"/>
  <c r="U188" i="2"/>
  <c r="AA188" i="2" s="1"/>
  <c r="AQ187" i="2"/>
  <c r="AM187" i="2"/>
  <c r="AG187" i="2"/>
  <c r="U187" i="2"/>
  <c r="AQ186" i="2"/>
  <c r="AM186" i="2"/>
  <c r="AG186" i="2"/>
  <c r="AA186" i="2"/>
  <c r="U186" i="2"/>
  <c r="Y186" i="2" s="1"/>
  <c r="Z186" i="2" s="1"/>
  <c r="AK186" i="2" s="1"/>
  <c r="AL186" i="2" s="1"/>
  <c r="AN186" i="2" s="1"/>
  <c r="AO186" i="2" s="1"/>
  <c r="AQ185" i="2"/>
  <c r="AM185" i="2"/>
  <c r="AG185" i="2"/>
  <c r="AA185" i="2"/>
  <c r="Z185" i="2"/>
  <c r="AK185" i="2" s="1"/>
  <c r="AL185" i="2" s="1"/>
  <c r="AN185" i="2" s="1"/>
  <c r="AO185" i="2" s="1"/>
  <c r="Y185" i="2"/>
  <c r="U185" i="2"/>
  <c r="AQ184" i="2"/>
  <c r="AM184" i="2"/>
  <c r="AG184" i="2"/>
  <c r="Y184" i="2"/>
  <c r="Z184" i="2" s="1"/>
  <c r="AK184" i="2" s="1"/>
  <c r="AL184" i="2" s="1"/>
  <c r="AN184" i="2" s="1"/>
  <c r="AO184" i="2" s="1"/>
  <c r="U184" i="2"/>
  <c r="AA184" i="2" s="1"/>
  <c r="AQ183" i="2"/>
  <c r="AM183" i="2"/>
  <c r="AG183" i="2"/>
  <c r="U183" i="2"/>
  <c r="AQ182" i="2"/>
  <c r="AM182" i="2"/>
  <c r="AG182" i="2"/>
  <c r="AA182" i="2"/>
  <c r="U182" i="2"/>
  <c r="Y182" i="2" s="1"/>
  <c r="Z182" i="2" s="1"/>
  <c r="AK182" i="2" s="1"/>
  <c r="AL182" i="2" s="1"/>
  <c r="AN182" i="2" s="1"/>
  <c r="AO182" i="2" s="1"/>
  <c r="AQ181" i="2"/>
  <c r="AM181" i="2"/>
  <c r="AG181" i="2"/>
  <c r="AA181" i="2"/>
  <c r="Z181" i="2"/>
  <c r="AK181" i="2" s="1"/>
  <c r="AL181" i="2" s="1"/>
  <c r="AN181" i="2" s="1"/>
  <c r="AO181" i="2" s="1"/>
  <c r="Y181" i="2"/>
  <c r="U181" i="2"/>
  <c r="AQ180" i="2"/>
  <c r="AM180" i="2"/>
  <c r="AG180" i="2"/>
  <c r="Y180" i="2"/>
  <c r="Z180" i="2" s="1"/>
  <c r="AK180" i="2" s="1"/>
  <c r="AL180" i="2" s="1"/>
  <c r="AN180" i="2" s="1"/>
  <c r="AO180" i="2" s="1"/>
  <c r="U180" i="2"/>
  <c r="AQ179" i="2"/>
  <c r="AM179" i="2"/>
  <c r="AG179" i="2"/>
  <c r="U179" i="2"/>
  <c r="AQ178" i="2"/>
  <c r="AM178" i="2"/>
  <c r="AG178" i="2"/>
  <c r="U178" i="2"/>
  <c r="Y178" i="2" s="1"/>
  <c r="Z178" i="2" s="1"/>
  <c r="AK178" i="2" s="1"/>
  <c r="AL178" i="2" s="1"/>
  <c r="AN178" i="2" s="1"/>
  <c r="AO178" i="2" s="1"/>
  <c r="AQ177" i="2"/>
  <c r="AM177" i="2"/>
  <c r="AG177" i="2"/>
  <c r="AA177" i="2"/>
  <c r="Z177" i="2"/>
  <c r="AK177" i="2" s="1"/>
  <c r="AL177" i="2" s="1"/>
  <c r="AN177" i="2" s="1"/>
  <c r="AO177" i="2" s="1"/>
  <c r="Y177" i="2"/>
  <c r="U177" i="2"/>
  <c r="AQ176" i="2"/>
  <c r="AM176" i="2"/>
  <c r="AK176" i="2"/>
  <c r="AL176" i="2" s="1"/>
  <c r="AN176" i="2" s="1"/>
  <c r="AO176" i="2" s="1"/>
  <c r="AG176" i="2"/>
  <c r="Y176" i="2"/>
  <c r="Z176" i="2" s="1"/>
  <c r="U176" i="2"/>
  <c r="AQ175" i="2"/>
  <c r="AM175" i="2"/>
  <c r="AG175" i="2"/>
  <c r="U175" i="2"/>
  <c r="AQ174" i="2"/>
  <c r="AM174" i="2"/>
  <c r="AG174" i="2"/>
  <c r="U174" i="2"/>
  <c r="Y174" i="2" s="1"/>
  <c r="Z174" i="2" s="1"/>
  <c r="AK174" i="2" s="1"/>
  <c r="AL174" i="2" s="1"/>
  <c r="AN174" i="2" s="1"/>
  <c r="AO174" i="2" s="1"/>
  <c r="AQ173" i="2"/>
  <c r="AM173" i="2"/>
  <c r="AG173" i="2"/>
  <c r="AA173" i="2"/>
  <c r="Z173" i="2"/>
  <c r="AK173" i="2" s="1"/>
  <c r="AL173" i="2" s="1"/>
  <c r="AN173" i="2" s="1"/>
  <c r="AO173" i="2" s="1"/>
  <c r="Y173" i="2"/>
  <c r="U173" i="2"/>
  <c r="AQ172" i="2"/>
  <c r="AM172" i="2"/>
  <c r="AK172" i="2"/>
  <c r="AL172" i="2" s="1"/>
  <c r="AN172" i="2" s="1"/>
  <c r="AO172" i="2" s="1"/>
  <c r="AG172" i="2"/>
  <c r="Y172" i="2"/>
  <c r="Z172" i="2" s="1"/>
  <c r="U172" i="2"/>
  <c r="AA172" i="2" s="1"/>
  <c r="AQ171" i="2"/>
  <c r="AM171" i="2"/>
  <c r="AG171" i="2"/>
  <c r="U171" i="2"/>
  <c r="AQ170" i="2"/>
  <c r="AM170" i="2"/>
  <c r="AG170" i="2"/>
  <c r="AA170" i="2"/>
  <c r="U170" i="2"/>
  <c r="Y170" i="2" s="1"/>
  <c r="Z170" i="2" s="1"/>
  <c r="AK170" i="2" s="1"/>
  <c r="AL170" i="2" s="1"/>
  <c r="AN170" i="2" s="1"/>
  <c r="AO170" i="2" s="1"/>
  <c r="AQ169" i="2"/>
  <c r="AM169" i="2"/>
  <c r="AG169" i="2"/>
  <c r="AA169" i="2"/>
  <c r="Z169" i="2"/>
  <c r="AK169" i="2" s="1"/>
  <c r="AL169" i="2" s="1"/>
  <c r="AN169" i="2" s="1"/>
  <c r="AO169" i="2" s="1"/>
  <c r="Y169" i="2"/>
  <c r="U169" i="2"/>
  <c r="AQ168" i="2"/>
  <c r="AM168" i="2"/>
  <c r="AK168" i="2"/>
  <c r="AL168" i="2" s="1"/>
  <c r="AN168" i="2" s="1"/>
  <c r="AO168" i="2" s="1"/>
  <c r="AG168" i="2"/>
  <c r="Z168" i="2"/>
  <c r="Y168" i="2"/>
  <c r="U168" i="2"/>
  <c r="AA168" i="2" s="1"/>
  <c r="AQ167" i="2"/>
  <c r="AM167" i="2"/>
  <c r="AG167" i="2"/>
  <c r="U167" i="2"/>
  <c r="AQ166" i="2"/>
  <c r="AM166" i="2"/>
  <c r="AG166" i="2"/>
  <c r="AA166" i="2"/>
  <c r="U166" i="2"/>
  <c r="Y166" i="2" s="1"/>
  <c r="Z166" i="2" s="1"/>
  <c r="AK166" i="2" s="1"/>
  <c r="AL166" i="2" s="1"/>
  <c r="AN166" i="2" s="1"/>
  <c r="AO166" i="2" s="1"/>
  <c r="AQ165" i="2"/>
  <c r="AM165" i="2"/>
  <c r="AG165" i="2"/>
  <c r="AA165" i="2"/>
  <c r="Z165" i="2"/>
  <c r="AK165" i="2" s="1"/>
  <c r="AL165" i="2" s="1"/>
  <c r="AN165" i="2" s="1"/>
  <c r="AO165" i="2" s="1"/>
  <c r="Y165" i="2"/>
  <c r="U165" i="2"/>
  <c r="AQ164" i="2"/>
  <c r="AM164" i="2"/>
  <c r="AG164" i="2"/>
  <c r="Z164" i="2"/>
  <c r="AK164" i="2" s="1"/>
  <c r="AL164" i="2" s="1"/>
  <c r="AN164" i="2" s="1"/>
  <c r="AO164" i="2" s="1"/>
  <c r="Y164" i="2"/>
  <c r="U164" i="2"/>
  <c r="AQ163" i="2"/>
  <c r="AM163" i="2"/>
  <c r="AK163" i="2"/>
  <c r="AL163" i="2" s="1"/>
  <c r="AN163" i="2" s="1"/>
  <c r="AO163" i="2" s="1"/>
  <c r="AG163" i="2"/>
  <c r="Y163" i="2"/>
  <c r="Z163" i="2" s="1"/>
  <c r="U163" i="2"/>
  <c r="AQ162" i="2"/>
  <c r="AM162" i="2"/>
  <c r="AG162" i="2"/>
  <c r="U162" i="2"/>
  <c r="Y162" i="2" s="1"/>
  <c r="Z162" i="2" s="1"/>
  <c r="AK162" i="2" s="1"/>
  <c r="AL162" i="2" s="1"/>
  <c r="AN162" i="2" s="1"/>
  <c r="AO162" i="2" s="1"/>
  <c r="AQ161" i="2"/>
  <c r="AM161" i="2"/>
  <c r="AG161" i="2"/>
  <c r="AA161" i="2"/>
  <c r="Z161" i="2"/>
  <c r="AK161" i="2" s="1"/>
  <c r="AL161" i="2" s="1"/>
  <c r="AN161" i="2" s="1"/>
  <c r="AO161" i="2" s="1"/>
  <c r="Y161" i="2"/>
  <c r="U161" i="2"/>
  <c r="AQ160" i="2"/>
  <c r="AM160" i="2"/>
  <c r="AG160" i="2"/>
  <c r="Y160" i="2"/>
  <c r="Z160" i="2" s="1"/>
  <c r="AK160" i="2" s="1"/>
  <c r="AL160" i="2" s="1"/>
  <c r="AN160" i="2" s="1"/>
  <c r="AO160" i="2" s="1"/>
  <c r="U160" i="2"/>
  <c r="AQ159" i="2"/>
  <c r="AM159" i="2"/>
  <c r="AG159" i="2"/>
  <c r="Y159" i="2"/>
  <c r="Z159" i="2" s="1"/>
  <c r="AK159" i="2" s="1"/>
  <c r="AL159" i="2" s="1"/>
  <c r="AN159" i="2" s="1"/>
  <c r="AO159" i="2" s="1"/>
  <c r="U159" i="2"/>
  <c r="AQ158" i="2"/>
  <c r="AM158" i="2"/>
  <c r="AG158" i="2"/>
  <c r="U158" i="2"/>
  <c r="Y158" i="2" s="1"/>
  <c r="Z158" i="2" s="1"/>
  <c r="AK158" i="2" s="1"/>
  <c r="AL158" i="2" s="1"/>
  <c r="AN158" i="2" s="1"/>
  <c r="AO158" i="2" s="1"/>
  <c r="AQ157" i="2"/>
  <c r="AM157" i="2"/>
  <c r="AG157" i="2"/>
  <c r="AA157" i="2"/>
  <c r="Z157" i="2"/>
  <c r="AK157" i="2" s="1"/>
  <c r="AL157" i="2" s="1"/>
  <c r="AN157" i="2" s="1"/>
  <c r="AO157" i="2" s="1"/>
  <c r="Y157" i="2"/>
  <c r="U157" i="2"/>
  <c r="AQ156" i="2"/>
  <c r="AM156" i="2"/>
  <c r="AG156" i="2"/>
  <c r="Y156" i="2"/>
  <c r="Z156" i="2" s="1"/>
  <c r="AK156" i="2" s="1"/>
  <c r="AL156" i="2" s="1"/>
  <c r="AN156" i="2" s="1"/>
  <c r="AO156" i="2" s="1"/>
  <c r="U156" i="2"/>
  <c r="AA156" i="2" s="1"/>
  <c r="AQ155" i="2"/>
  <c r="AM155" i="2"/>
  <c r="AG155" i="2"/>
  <c r="U155" i="2"/>
  <c r="AQ154" i="2"/>
  <c r="AM154" i="2"/>
  <c r="AG154" i="2"/>
  <c r="AA154" i="2"/>
  <c r="U154" i="2"/>
  <c r="Y154" i="2" s="1"/>
  <c r="Z154" i="2" s="1"/>
  <c r="AK154" i="2" s="1"/>
  <c r="AL154" i="2" s="1"/>
  <c r="AN154" i="2" s="1"/>
  <c r="AO154" i="2" s="1"/>
  <c r="AQ153" i="2"/>
  <c r="AM153" i="2"/>
  <c r="AG153" i="2"/>
  <c r="AA153" i="2"/>
  <c r="Z153" i="2"/>
  <c r="AK153" i="2" s="1"/>
  <c r="AL153" i="2" s="1"/>
  <c r="AN153" i="2" s="1"/>
  <c r="AO153" i="2" s="1"/>
  <c r="Y153" i="2"/>
  <c r="U153" i="2"/>
  <c r="AQ152" i="2"/>
  <c r="AM152" i="2"/>
  <c r="AK152" i="2"/>
  <c r="AL152" i="2" s="1"/>
  <c r="AN152" i="2" s="1"/>
  <c r="AO152" i="2" s="1"/>
  <c r="AG152" i="2"/>
  <c r="Z152" i="2"/>
  <c r="Y152" i="2"/>
  <c r="U152" i="2"/>
  <c r="AA152" i="2" s="1"/>
  <c r="AQ151" i="2"/>
  <c r="AM151" i="2"/>
  <c r="AG151" i="2"/>
  <c r="U151" i="2"/>
  <c r="AQ150" i="2"/>
  <c r="AM150" i="2"/>
  <c r="AG150" i="2"/>
  <c r="AA150" i="2"/>
  <c r="U150" i="2"/>
  <c r="Y150" i="2" s="1"/>
  <c r="Z150" i="2" s="1"/>
  <c r="AK150" i="2" s="1"/>
  <c r="AL150" i="2" s="1"/>
  <c r="AN150" i="2" s="1"/>
  <c r="AO150" i="2" s="1"/>
  <c r="AQ149" i="2"/>
  <c r="AM149" i="2"/>
  <c r="AG149" i="2"/>
  <c r="AA149" i="2"/>
  <c r="Z149" i="2"/>
  <c r="AK149" i="2" s="1"/>
  <c r="AL149" i="2" s="1"/>
  <c r="AN149" i="2" s="1"/>
  <c r="AO149" i="2" s="1"/>
  <c r="Y149" i="2"/>
  <c r="U149" i="2"/>
  <c r="AQ148" i="2"/>
  <c r="AM148" i="2"/>
  <c r="AG148" i="2"/>
  <c r="Z148" i="2"/>
  <c r="AK148" i="2" s="1"/>
  <c r="AL148" i="2" s="1"/>
  <c r="AN148" i="2" s="1"/>
  <c r="AO148" i="2" s="1"/>
  <c r="Y148" i="2"/>
  <c r="U148" i="2"/>
  <c r="AQ147" i="2"/>
  <c r="AM147" i="2"/>
  <c r="AK147" i="2"/>
  <c r="AL147" i="2" s="1"/>
  <c r="AN147" i="2" s="1"/>
  <c r="AO147" i="2" s="1"/>
  <c r="AG147" i="2"/>
  <c r="Y147" i="2"/>
  <c r="Z147" i="2" s="1"/>
  <c r="U147" i="2"/>
  <c r="AQ146" i="2"/>
  <c r="AM146" i="2"/>
  <c r="AG146" i="2"/>
  <c r="U146" i="2"/>
  <c r="Y146" i="2" s="1"/>
  <c r="Z146" i="2" s="1"/>
  <c r="AK146" i="2" s="1"/>
  <c r="AL146" i="2" s="1"/>
  <c r="AN146" i="2" s="1"/>
  <c r="AO146" i="2" s="1"/>
  <c r="AQ145" i="2"/>
  <c r="AM145" i="2"/>
  <c r="AG145" i="2"/>
  <c r="AA145" i="2"/>
  <c r="Z145" i="2"/>
  <c r="AK145" i="2" s="1"/>
  <c r="AL145" i="2" s="1"/>
  <c r="AN145" i="2" s="1"/>
  <c r="AO145" i="2" s="1"/>
  <c r="Y145" i="2"/>
  <c r="U145" i="2"/>
  <c r="AQ144" i="2"/>
  <c r="AM144" i="2"/>
  <c r="AG144" i="2"/>
  <c r="Y144" i="2"/>
  <c r="Z144" i="2" s="1"/>
  <c r="AK144" i="2" s="1"/>
  <c r="AL144" i="2" s="1"/>
  <c r="AN144" i="2" s="1"/>
  <c r="AO144" i="2" s="1"/>
  <c r="U144" i="2"/>
  <c r="AQ143" i="2"/>
  <c r="AM143" i="2"/>
  <c r="AG143" i="2"/>
  <c r="Y143" i="2"/>
  <c r="Z143" i="2" s="1"/>
  <c r="AK143" i="2" s="1"/>
  <c r="AL143" i="2" s="1"/>
  <c r="AN143" i="2" s="1"/>
  <c r="AO143" i="2" s="1"/>
  <c r="U143" i="2"/>
  <c r="AQ142" i="2"/>
  <c r="AM142" i="2"/>
  <c r="AG142" i="2"/>
  <c r="U142" i="2"/>
  <c r="Y142" i="2" s="1"/>
  <c r="Z142" i="2" s="1"/>
  <c r="AK142" i="2" s="1"/>
  <c r="AL142" i="2" s="1"/>
  <c r="AN142" i="2" s="1"/>
  <c r="AO142" i="2" s="1"/>
  <c r="AQ141" i="2"/>
  <c r="AM141" i="2"/>
  <c r="AG141" i="2"/>
  <c r="AA141" i="2"/>
  <c r="Z141" i="2"/>
  <c r="AK141" i="2" s="1"/>
  <c r="AL141" i="2" s="1"/>
  <c r="AN141" i="2" s="1"/>
  <c r="AO141" i="2" s="1"/>
  <c r="Y141" i="2"/>
  <c r="U141" i="2"/>
  <c r="AQ140" i="2"/>
  <c r="AM140" i="2"/>
  <c r="AG140" i="2"/>
  <c r="Y140" i="2"/>
  <c r="Z140" i="2" s="1"/>
  <c r="AK140" i="2" s="1"/>
  <c r="AL140" i="2" s="1"/>
  <c r="AN140" i="2" s="1"/>
  <c r="AO140" i="2" s="1"/>
  <c r="U140" i="2"/>
  <c r="AA140" i="2" s="1"/>
  <c r="AQ139" i="2"/>
  <c r="AM139" i="2"/>
  <c r="AG139" i="2"/>
  <c r="U139" i="2"/>
  <c r="AQ138" i="2"/>
  <c r="AM138" i="2"/>
  <c r="AG138" i="2"/>
  <c r="AA138" i="2"/>
  <c r="U138" i="2"/>
  <c r="Y138" i="2" s="1"/>
  <c r="Z138" i="2" s="1"/>
  <c r="AK138" i="2" s="1"/>
  <c r="AL138" i="2" s="1"/>
  <c r="AN138" i="2" s="1"/>
  <c r="AO138" i="2" s="1"/>
  <c r="AQ137" i="2"/>
  <c r="AM137" i="2"/>
  <c r="AG137" i="2"/>
  <c r="AA137" i="2"/>
  <c r="Z137" i="2"/>
  <c r="AK137" i="2" s="1"/>
  <c r="AL137" i="2" s="1"/>
  <c r="AN137" i="2" s="1"/>
  <c r="AO137" i="2" s="1"/>
  <c r="Y137" i="2"/>
  <c r="U137" i="2"/>
  <c r="AQ136" i="2"/>
  <c r="AM136" i="2"/>
  <c r="AK136" i="2"/>
  <c r="AL136" i="2" s="1"/>
  <c r="AN136" i="2" s="1"/>
  <c r="AO136" i="2" s="1"/>
  <c r="AG136" i="2"/>
  <c r="Z136" i="2"/>
  <c r="Y136" i="2"/>
  <c r="U136" i="2"/>
  <c r="AA136" i="2" s="1"/>
  <c r="AQ135" i="2"/>
  <c r="AM135" i="2"/>
  <c r="AG135" i="2"/>
  <c r="U135" i="2"/>
  <c r="AQ134" i="2"/>
  <c r="AM134" i="2"/>
  <c r="AG134" i="2"/>
  <c r="AA134" i="2"/>
  <c r="U134" i="2"/>
  <c r="Y134" i="2" s="1"/>
  <c r="Z134" i="2" s="1"/>
  <c r="AK134" i="2" s="1"/>
  <c r="AL134" i="2" s="1"/>
  <c r="AN134" i="2" s="1"/>
  <c r="AO134" i="2" s="1"/>
  <c r="AQ133" i="2"/>
  <c r="AM133" i="2"/>
  <c r="AL133" i="2"/>
  <c r="AN133" i="2" s="1"/>
  <c r="AO133" i="2" s="1"/>
  <c r="AG133" i="2"/>
  <c r="AA133" i="2"/>
  <c r="Z133" i="2"/>
  <c r="AK133" i="2" s="1"/>
  <c r="Y133" i="2"/>
  <c r="U133" i="2"/>
  <c r="AQ132" i="2"/>
  <c r="AM132" i="2"/>
  <c r="AG132" i="2"/>
  <c r="Z132" i="2"/>
  <c r="AK132" i="2" s="1"/>
  <c r="AL132" i="2" s="1"/>
  <c r="AN132" i="2" s="1"/>
  <c r="AO132" i="2" s="1"/>
  <c r="Y132" i="2"/>
  <c r="U132" i="2"/>
  <c r="AQ131" i="2"/>
  <c r="AM131" i="2"/>
  <c r="AK131" i="2"/>
  <c r="AL131" i="2" s="1"/>
  <c r="AN131" i="2" s="1"/>
  <c r="AO131" i="2" s="1"/>
  <c r="AG131" i="2"/>
  <c r="Y131" i="2"/>
  <c r="Z131" i="2" s="1"/>
  <c r="U131" i="2"/>
  <c r="AQ130" i="2"/>
  <c r="AM130" i="2"/>
  <c r="AG130" i="2"/>
  <c r="U130" i="2"/>
  <c r="Y130" i="2" s="1"/>
  <c r="Z130" i="2" s="1"/>
  <c r="AK130" i="2" s="1"/>
  <c r="AL130" i="2" s="1"/>
  <c r="AN130" i="2" s="1"/>
  <c r="AO130" i="2" s="1"/>
  <c r="AQ129" i="2"/>
  <c r="AM129" i="2"/>
  <c r="AL129" i="2"/>
  <c r="AN129" i="2" s="1"/>
  <c r="AO129" i="2" s="1"/>
  <c r="AG129" i="2"/>
  <c r="AA129" i="2"/>
  <c r="Z129" i="2"/>
  <c r="AK129" i="2" s="1"/>
  <c r="Y129" i="2"/>
  <c r="U129" i="2"/>
  <c r="AQ128" i="2"/>
  <c r="AM128" i="2"/>
  <c r="AG128" i="2"/>
  <c r="Y128" i="2"/>
  <c r="Z128" i="2" s="1"/>
  <c r="AK128" i="2" s="1"/>
  <c r="AL128" i="2" s="1"/>
  <c r="AN128" i="2" s="1"/>
  <c r="AO128" i="2" s="1"/>
  <c r="U128" i="2"/>
  <c r="AQ127" i="2"/>
  <c r="AM127" i="2"/>
  <c r="AG127" i="2"/>
  <c r="Y127" i="2"/>
  <c r="Z127" i="2" s="1"/>
  <c r="AK127" i="2" s="1"/>
  <c r="AL127" i="2" s="1"/>
  <c r="AN127" i="2" s="1"/>
  <c r="AO127" i="2" s="1"/>
  <c r="U127" i="2"/>
  <c r="AQ126" i="2"/>
  <c r="AM126" i="2"/>
  <c r="AG126" i="2"/>
  <c r="U126" i="2"/>
  <c r="Y126" i="2" s="1"/>
  <c r="Z126" i="2" s="1"/>
  <c r="AK126" i="2" s="1"/>
  <c r="AL126" i="2" s="1"/>
  <c r="AN126" i="2" s="1"/>
  <c r="AO126" i="2" s="1"/>
  <c r="AQ125" i="2"/>
  <c r="AM125" i="2"/>
  <c r="AG125" i="2"/>
  <c r="AA125" i="2"/>
  <c r="Z125" i="2"/>
  <c r="AK125" i="2" s="1"/>
  <c r="AL125" i="2" s="1"/>
  <c r="AN125" i="2" s="1"/>
  <c r="AO125" i="2" s="1"/>
  <c r="Y125" i="2"/>
  <c r="U125" i="2"/>
  <c r="AQ124" i="2"/>
  <c r="AM124" i="2"/>
  <c r="AG124" i="2"/>
  <c r="Y124" i="2"/>
  <c r="Z124" i="2" s="1"/>
  <c r="AK124" i="2" s="1"/>
  <c r="AL124" i="2" s="1"/>
  <c r="AN124" i="2" s="1"/>
  <c r="AO124" i="2" s="1"/>
  <c r="U124" i="2"/>
  <c r="AA124" i="2" s="1"/>
  <c r="AQ123" i="2"/>
  <c r="AM123" i="2"/>
  <c r="AG123" i="2"/>
  <c r="U123" i="2"/>
  <c r="AQ122" i="2"/>
  <c r="AM122" i="2"/>
  <c r="AG122" i="2"/>
  <c r="AA122" i="2"/>
  <c r="U122" i="2"/>
  <c r="Y122" i="2" s="1"/>
  <c r="Z122" i="2" s="1"/>
  <c r="AK122" i="2" s="1"/>
  <c r="AL122" i="2" s="1"/>
  <c r="AN122" i="2" s="1"/>
  <c r="AO122" i="2" s="1"/>
  <c r="AQ121" i="2"/>
  <c r="AM121" i="2"/>
  <c r="AG121" i="2"/>
  <c r="AA121" i="2"/>
  <c r="Z121" i="2"/>
  <c r="AK121" i="2" s="1"/>
  <c r="AL121" i="2" s="1"/>
  <c r="AN121" i="2" s="1"/>
  <c r="AO121" i="2" s="1"/>
  <c r="Y121" i="2"/>
  <c r="U121" i="2"/>
  <c r="AQ120" i="2"/>
  <c r="AM120" i="2"/>
  <c r="AK120" i="2"/>
  <c r="AL120" i="2" s="1"/>
  <c r="AN120" i="2" s="1"/>
  <c r="AO120" i="2" s="1"/>
  <c r="AG120" i="2"/>
  <c r="Z120" i="2"/>
  <c r="Y120" i="2"/>
  <c r="U120" i="2"/>
  <c r="AA120" i="2" s="1"/>
  <c r="AQ119" i="2"/>
  <c r="AM119" i="2"/>
  <c r="AG119" i="2"/>
  <c r="U119" i="2"/>
  <c r="AQ118" i="2"/>
  <c r="AM118" i="2"/>
  <c r="AG118" i="2"/>
  <c r="AA118" i="2"/>
  <c r="U118" i="2"/>
  <c r="Y118" i="2" s="1"/>
  <c r="Z118" i="2" s="1"/>
  <c r="AK118" i="2" s="1"/>
  <c r="AL118" i="2" s="1"/>
  <c r="AN118" i="2" s="1"/>
  <c r="AO118" i="2" s="1"/>
  <c r="AQ117" i="2"/>
  <c r="AM117" i="2"/>
  <c r="AG117" i="2"/>
  <c r="AA117" i="2"/>
  <c r="Z117" i="2"/>
  <c r="AK117" i="2" s="1"/>
  <c r="AL117" i="2" s="1"/>
  <c r="AN117" i="2" s="1"/>
  <c r="AO117" i="2" s="1"/>
  <c r="Y117" i="2"/>
  <c r="U117" i="2"/>
  <c r="AQ116" i="2"/>
  <c r="AM116" i="2"/>
  <c r="AG116" i="2"/>
  <c r="Z116" i="2"/>
  <c r="AK116" i="2" s="1"/>
  <c r="AL116" i="2" s="1"/>
  <c r="AN116" i="2" s="1"/>
  <c r="AO116" i="2" s="1"/>
  <c r="Y116" i="2"/>
  <c r="U116" i="2"/>
  <c r="AQ115" i="2"/>
  <c r="AM115" i="2"/>
  <c r="AK115" i="2"/>
  <c r="AL115" i="2" s="1"/>
  <c r="AN115" i="2" s="1"/>
  <c r="AO115" i="2" s="1"/>
  <c r="AG115" i="2"/>
  <c r="Y115" i="2"/>
  <c r="Z115" i="2" s="1"/>
  <c r="U115" i="2"/>
  <c r="AQ114" i="2"/>
  <c r="AM114" i="2"/>
  <c r="AG114" i="2"/>
  <c r="U114" i="2"/>
  <c r="Y114" i="2" s="1"/>
  <c r="Z114" i="2" s="1"/>
  <c r="AK114" i="2" s="1"/>
  <c r="AL114" i="2" s="1"/>
  <c r="AN114" i="2" s="1"/>
  <c r="AO114" i="2" s="1"/>
  <c r="AQ113" i="2"/>
  <c r="AM113" i="2"/>
  <c r="AG113" i="2"/>
  <c r="AA113" i="2"/>
  <c r="Z113" i="2"/>
  <c r="AK113" i="2" s="1"/>
  <c r="AL113" i="2" s="1"/>
  <c r="AN113" i="2" s="1"/>
  <c r="AO113" i="2" s="1"/>
  <c r="Y113" i="2"/>
  <c r="U113" i="2"/>
  <c r="AQ112" i="2"/>
  <c r="AM112" i="2"/>
  <c r="AG112" i="2"/>
  <c r="Y112" i="2"/>
  <c r="Z112" i="2" s="1"/>
  <c r="AK112" i="2" s="1"/>
  <c r="AL112" i="2" s="1"/>
  <c r="AN112" i="2" s="1"/>
  <c r="AO112" i="2" s="1"/>
  <c r="U112" i="2"/>
  <c r="AQ111" i="2"/>
  <c r="AM111" i="2"/>
  <c r="AG111" i="2"/>
  <c r="Y111" i="2"/>
  <c r="Z111" i="2" s="1"/>
  <c r="AK111" i="2" s="1"/>
  <c r="AL111" i="2" s="1"/>
  <c r="AN111" i="2" s="1"/>
  <c r="AO111" i="2" s="1"/>
  <c r="U111" i="2"/>
  <c r="AQ110" i="2"/>
  <c r="AM110" i="2"/>
  <c r="AG110" i="2"/>
  <c r="U110" i="2"/>
  <c r="Y110" i="2" s="1"/>
  <c r="Z110" i="2" s="1"/>
  <c r="AK110" i="2" s="1"/>
  <c r="AL110" i="2" s="1"/>
  <c r="AN110" i="2" s="1"/>
  <c r="AO110" i="2" s="1"/>
  <c r="AQ109" i="2"/>
  <c r="AM109" i="2"/>
  <c r="AG109" i="2"/>
  <c r="AA109" i="2"/>
  <c r="Z109" i="2"/>
  <c r="AK109" i="2" s="1"/>
  <c r="AL109" i="2" s="1"/>
  <c r="AN109" i="2" s="1"/>
  <c r="AO109" i="2" s="1"/>
  <c r="Y109" i="2"/>
  <c r="U109" i="2"/>
  <c r="AQ108" i="2"/>
  <c r="AM108" i="2"/>
  <c r="AG108" i="2"/>
  <c r="Y108" i="2"/>
  <c r="Z108" i="2" s="1"/>
  <c r="AK108" i="2" s="1"/>
  <c r="AL108" i="2" s="1"/>
  <c r="AN108" i="2" s="1"/>
  <c r="AO108" i="2" s="1"/>
  <c r="U108" i="2"/>
  <c r="AA108" i="2" s="1"/>
  <c r="AQ107" i="2"/>
  <c r="AM107" i="2"/>
  <c r="AG107" i="2"/>
  <c r="U107" i="2"/>
  <c r="AQ106" i="2"/>
  <c r="AM106" i="2"/>
  <c r="AG106" i="2"/>
  <c r="AA106" i="2"/>
  <c r="U106" i="2"/>
  <c r="Y106" i="2" s="1"/>
  <c r="Z106" i="2" s="1"/>
  <c r="AK106" i="2" s="1"/>
  <c r="AL106" i="2" s="1"/>
  <c r="AN106" i="2" s="1"/>
  <c r="AO106" i="2" s="1"/>
  <c r="AQ105" i="2"/>
  <c r="AM105" i="2"/>
  <c r="AG105" i="2"/>
  <c r="AA105" i="2"/>
  <c r="Z105" i="2"/>
  <c r="AK105" i="2" s="1"/>
  <c r="AL105" i="2" s="1"/>
  <c r="AN105" i="2" s="1"/>
  <c r="AO105" i="2" s="1"/>
  <c r="Y105" i="2"/>
  <c r="U105" i="2"/>
  <c r="AQ104" i="2"/>
  <c r="AM104" i="2"/>
  <c r="AK104" i="2"/>
  <c r="AL104" i="2" s="1"/>
  <c r="AN104" i="2" s="1"/>
  <c r="AO104" i="2" s="1"/>
  <c r="AG104" i="2"/>
  <c r="Z104" i="2"/>
  <c r="Y104" i="2"/>
  <c r="U104" i="2"/>
  <c r="AA104" i="2" s="1"/>
  <c r="AQ103" i="2"/>
  <c r="AM103" i="2"/>
  <c r="AG103" i="2"/>
  <c r="U103" i="2"/>
  <c r="AQ102" i="2"/>
  <c r="AM102" i="2"/>
  <c r="AG102" i="2"/>
  <c r="AA102" i="2"/>
  <c r="U102" i="2"/>
  <c r="Y102" i="2" s="1"/>
  <c r="Z102" i="2" s="1"/>
  <c r="AK102" i="2" s="1"/>
  <c r="AL102" i="2" s="1"/>
  <c r="AN102" i="2" s="1"/>
  <c r="AO102" i="2" s="1"/>
  <c r="AQ101" i="2"/>
  <c r="AM101" i="2"/>
  <c r="AG101" i="2"/>
  <c r="AA101" i="2"/>
  <c r="Z101" i="2"/>
  <c r="AK101" i="2" s="1"/>
  <c r="AL101" i="2" s="1"/>
  <c r="AN101" i="2" s="1"/>
  <c r="AO101" i="2" s="1"/>
  <c r="Y101" i="2"/>
  <c r="U101" i="2"/>
  <c r="AQ100" i="2"/>
  <c r="AM100" i="2"/>
  <c r="AG100" i="2"/>
  <c r="Z100" i="2"/>
  <c r="AK100" i="2" s="1"/>
  <c r="AL100" i="2" s="1"/>
  <c r="AN100" i="2" s="1"/>
  <c r="AO100" i="2" s="1"/>
  <c r="Y100" i="2"/>
  <c r="U100" i="2"/>
  <c r="AQ99" i="2"/>
  <c r="AM99" i="2"/>
  <c r="AK99" i="2"/>
  <c r="AL99" i="2" s="1"/>
  <c r="AN99" i="2" s="1"/>
  <c r="AO99" i="2" s="1"/>
  <c r="AG99" i="2"/>
  <c r="Y99" i="2"/>
  <c r="Z99" i="2" s="1"/>
  <c r="U99" i="2"/>
  <c r="AQ98" i="2"/>
  <c r="AM98" i="2"/>
  <c r="AG98" i="2"/>
  <c r="U98" i="2"/>
  <c r="Y98" i="2" s="1"/>
  <c r="Z98" i="2" s="1"/>
  <c r="AK98" i="2" s="1"/>
  <c r="AL98" i="2" s="1"/>
  <c r="AN98" i="2" s="1"/>
  <c r="AO98" i="2" s="1"/>
  <c r="AQ97" i="2"/>
  <c r="AM97" i="2"/>
  <c r="AG97" i="2"/>
  <c r="AA97" i="2"/>
  <c r="Z97" i="2"/>
  <c r="AK97" i="2" s="1"/>
  <c r="AL97" i="2" s="1"/>
  <c r="AN97" i="2" s="1"/>
  <c r="AO97" i="2" s="1"/>
  <c r="Y97" i="2"/>
  <c r="U97" i="2"/>
  <c r="AQ96" i="2"/>
  <c r="AM96" i="2"/>
  <c r="AG96" i="2"/>
  <c r="Y96" i="2"/>
  <c r="Z96" i="2" s="1"/>
  <c r="AK96" i="2" s="1"/>
  <c r="AL96" i="2" s="1"/>
  <c r="AN96" i="2" s="1"/>
  <c r="AO96" i="2" s="1"/>
  <c r="U96" i="2"/>
  <c r="AQ95" i="2"/>
  <c r="AM95" i="2"/>
  <c r="AG95" i="2"/>
  <c r="Y95" i="2"/>
  <c r="Z95" i="2" s="1"/>
  <c r="AK95" i="2" s="1"/>
  <c r="AL95" i="2" s="1"/>
  <c r="AN95" i="2" s="1"/>
  <c r="AO95" i="2" s="1"/>
  <c r="U95" i="2"/>
  <c r="AQ94" i="2"/>
  <c r="AM94" i="2"/>
  <c r="AG94" i="2"/>
  <c r="U94" i="2"/>
  <c r="Y94" i="2" s="1"/>
  <c r="Z94" i="2" s="1"/>
  <c r="AK94" i="2" s="1"/>
  <c r="AL94" i="2" s="1"/>
  <c r="AN94" i="2" s="1"/>
  <c r="AO94" i="2" s="1"/>
  <c r="AQ93" i="2"/>
  <c r="AM93" i="2"/>
  <c r="AG93" i="2"/>
  <c r="AA93" i="2"/>
  <c r="Z93" i="2"/>
  <c r="AK93" i="2" s="1"/>
  <c r="AL93" i="2" s="1"/>
  <c r="AN93" i="2" s="1"/>
  <c r="AO93" i="2" s="1"/>
  <c r="Y93" i="2"/>
  <c r="U93" i="2"/>
  <c r="AQ92" i="2"/>
  <c r="AM92" i="2"/>
  <c r="AG92" i="2"/>
  <c r="Y92" i="2"/>
  <c r="Z92" i="2" s="1"/>
  <c r="AK92" i="2" s="1"/>
  <c r="AL92" i="2" s="1"/>
  <c r="AN92" i="2" s="1"/>
  <c r="AO92" i="2" s="1"/>
  <c r="U92" i="2"/>
  <c r="AA92" i="2" s="1"/>
  <c r="AQ91" i="2"/>
  <c r="AM91" i="2"/>
  <c r="AG91" i="2"/>
  <c r="U91" i="2"/>
  <c r="AQ90" i="2"/>
  <c r="AM90" i="2"/>
  <c r="AG90" i="2"/>
  <c r="AA90" i="2"/>
  <c r="U90" i="2"/>
  <c r="Y90" i="2" s="1"/>
  <c r="Z90" i="2" s="1"/>
  <c r="AK90" i="2" s="1"/>
  <c r="AL90" i="2" s="1"/>
  <c r="AN90" i="2" s="1"/>
  <c r="AO90" i="2" s="1"/>
  <c r="AQ89" i="2"/>
  <c r="AM89" i="2"/>
  <c r="AG89" i="2"/>
  <c r="AA89" i="2"/>
  <c r="Z89" i="2"/>
  <c r="AK89" i="2" s="1"/>
  <c r="AL89" i="2" s="1"/>
  <c r="AN89" i="2" s="1"/>
  <c r="AO89" i="2" s="1"/>
  <c r="Y89" i="2"/>
  <c r="U89" i="2"/>
  <c r="AQ88" i="2"/>
  <c r="AM88" i="2"/>
  <c r="AK88" i="2"/>
  <c r="AL88" i="2" s="1"/>
  <c r="AN88" i="2" s="1"/>
  <c r="AO88" i="2" s="1"/>
  <c r="AG88" i="2"/>
  <c r="Z88" i="2"/>
  <c r="Y88" i="2"/>
  <c r="U88" i="2"/>
  <c r="AA88" i="2" s="1"/>
  <c r="AQ87" i="2"/>
  <c r="AM87" i="2"/>
  <c r="AG87" i="2"/>
  <c r="U87" i="2"/>
  <c r="AQ86" i="2"/>
  <c r="AM86" i="2"/>
  <c r="AG86" i="2"/>
  <c r="AA86" i="2"/>
  <c r="U86" i="2"/>
  <c r="Y86" i="2" s="1"/>
  <c r="Z86" i="2" s="1"/>
  <c r="AK86" i="2" s="1"/>
  <c r="AL86" i="2" s="1"/>
  <c r="AN86" i="2" s="1"/>
  <c r="AO86" i="2" s="1"/>
  <c r="AQ85" i="2"/>
  <c r="AM85" i="2"/>
  <c r="AG85" i="2"/>
  <c r="AA85" i="2"/>
  <c r="Z85" i="2"/>
  <c r="AK85" i="2" s="1"/>
  <c r="AL85" i="2" s="1"/>
  <c r="AN85" i="2" s="1"/>
  <c r="AO85" i="2" s="1"/>
  <c r="Y85" i="2"/>
  <c r="U85" i="2"/>
  <c r="AQ84" i="2"/>
  <c r="AM84" i="2"/>
  <c r="AG84" i="2"/>
  <c r="Z84" i="2"/>
  <c r="AK84" i="2" s="1"/>
  <c r="AL84" i="2" s="1"/>
  <c r="AN84" i="2" s="1"/>
  <c r="AO84" i="2" s="1"/>
  <c r="Y84" i="2"/>
  <c r="U84" i="2"/>
  <c r="AQ83" i="2"/>
  <c r="AM83" i="2"/>
  <c r="AK83" i="2"/>
  <c r="AL83" i="2" s="1"/>
  <c r="AN83" i="2" s="1"/>
  <c r="AO83" i="2" s="1"/>
  <c r="AG83" i="2"/>
  <c r="Y83" i="2"/>
  <c r="Z83" i="2" s="1"/>
  <c r="U83" i="2"/>
  <c r="AQ82" i="2"/>
  <c r="AM82" i="2"/>
  <c r="AG82" i="2"/>
  <c r="U82" i="2"/>
  <c r="AQ81" i="2"/>
  <c r="AM81" i="2"/>
  <c r="AG81" i="2"/>
  <c r="AA81" i="2"/>
  <c r="Z81" i="2"/>
  <c r="AK81" i="2" s="1"/>
  <c r="AL81" i="2" s="1"/>
  <c r="AN81" i="2" s="1"/>
  <c r="AO81" i="2" s="1"/>
  <c r="Y81" i="2"/>
  <c r="U81" i="2"/>
  <c r="AQ80" i="2"/>
  <c r="AM80" i="2"/>
  <c r="AG80" i="2"/>
  <c r="Y80" i="2"/>
  <c r="Z80" i="2" s="1"/>
  <c r="AK80" i="2" s="1"/>
  <c r="AL80" i="2" s="1"/>
  <c r="AN80" i="2" s="1"/>
  <c r="AO80" i="2" s="1"/>
  <c r="U80" i="2"/>
  <c r="AQ79" i="2"/>
  <c r="AM79" i="2"/>
  <c r="AG79" i="2"/>
  <c r="Y79" i="2"/>
  <c r="Z79" i="2" s="1"/>
  <c r="AK79" i="2" s="1"/>
  <c r="AL79" i="2" s="1"/>
  <c r="AN79" i="2" s="1"/>
  <c r="AO79" i="2" s="1"/>
  <c r="U79" i="2"/>
  <c r="AQ78" i="2"/>
  <c r="AM78" i="2"/>
  <c r="AG78" i="2"/>
  <c r="U78" i="2"/>
  <c r="Y78" i="2" s="1"/>
  <c r="Z78" i="2" s="1"/>
  <c r="AK78" i="2" s="1"/>
  <c r="AL78" i="2" s="1"/>
  <c r="AN78" i="2" s="1"/>
  <c r="AO78" i="2" s="1"/>
  <c r="AQ77" i="2"/>
  <c r="AM77" i="2"/>
  <c r="AG77" i="2"/>
  <c r="AA77" i="2"/>
  <c r="Z77" i="2"/>
  <c r="AK77" i="2" s="1"/>
  <c r="AL77" i="2" s="1"/>
  <c r="AN77" i="2" s="1"/>
  <c r="AO77" i="2" s="1"/>
  <c r="Y77" i="2"/>
  <c r="U77" i="2"/>
  <c r="AQ76" i="2"/>
  <c r="AM76" i="2"/>
  <c r="AK76" i="2"/>
  <c r="AL76" i="2" s="1"/>
  <c r="AN76" i="2" s="1"/>
  <c r="AO76" i="2" s="1"/>
  <c r="AG76" i="2"/>
  <c r="Y76" i="2"/>
  <c r="Z76" i="2" s="1"/>
  <c r="U76" i="2"/>
  <c r="AA76" i="2" s="1"/>
  <c r="AQ75" i="2"/>
  <c r="AM75" i="2"/>
  <c r="AG75" i="2"/>
  <c r="U75" i="2"/>
  <c r="AQ74" i="2"/>
  <c r="AM74" i="2"/>
  <c r="AG74" i="2"/>
  <c r="AA74" i="2"/>
  <c r="U74" i="2"/>
  <c r="Y74" i="2" s="1"/>
  <c r="Z74" i="2" s="1"/>
  <c r="AK74" i="2" s="1"/>
  <c r="AL74" i="2" s="1"/>
  <c r="AN74" i="2" s="1"/>
  <c r="AO74" i="2" s="1"/>
  <c r="AQ73" i="2"/>
  <c r="AM73" i="2"/>
  <c r="AG73" i="2"/>
  <c r="AA73" i="2"/>
  <c r="Z73" i="2"/>
  <c r="AK73" i="2" s="1"/>
  <c r="AL73" i="2" s="1"/>
  <c r="AN73" i="2" s="1"/>
  <c r="AO73" i="2" s="1"/>
  <c r="U73" i="2"/>
  <c r="Y73" i="2" s="1"/>
  <c r="AQ72" i="2"/>
  <c r="AM72" i="2"/>
  <c r="AG72" i="2"/>
  <c r="Z72" i="2"/>
  <c r="AK72" i="2" s="1"/>
  <c r="AL72" i="2" s="1"/>
  <c r="AN72" i="2" s="1"/>
  <c r="AO72" i="2" s="1"/>
  <c r="Y72" i="2"/>
  <c r="AA72" i="2" s="1"/>
  <c r="U72" i="2"/>
  <c r="AQ71" i="2"/>
  <c r="AM71" i="2"/>
  <c r="AK71" i="2"/>
  <c r="AL71" i="2" s="1"/>
  <c r="AN71" i="2" s="1"/>
  <c r="AO71" i="2" s="1"/>
  <c r="AG71" i="2"/>
  <c r="Y71" i="2"/>
  <c r="Z71" i="2" s="1"/>
  <c r="U71" i="2"/>
  <c r="AQ70" i="2"/>
  <c r="AM70" i="2"/>
  <c r="AG70" i="2"/>
  <c r="U70" i="2"/>
  <c r="AQ69" i="2"/>
  <c r="AM69" i="2"/>
  <c r="AG69" i="2"/>
  <c r="U69" i="2"/>
  <c r="Y69" i="2" s="1"/>
  <c r="AA69" i="2" s="1"/>
  <c r="AQ68" i="2"/>
  <c r="AM68" i="2"/>
  <c r="AG68" i="2"/>
  <c r="Y68" i="2"/>
  <c r="AA68" i="2" s="1"/>
  <c r="U68" i="2"/>
  <c r="AQ67" i="2"/>
  <c r="AM67" i="2"/>
  <c r="AG67" i="2"/>
  <c r="U67" i="2"/>
  <c r="AQ66" i="2"/>
  <c r="AM66" i="2"/>
  <c r="AG66" i="2"/>
  <c r="AA66" i="2"/>
  <c r="U66" i="2"/>
  <c r="Y66" i="2" s="1"/>
  <c r="Z66" i="2" s="1"/>
  <c r="AK66" i="2" s="1"/>
  <c r="AL66" i="2" s="1"/>
  <c r="AN66" i="2" s="1"/>
  <c r="AO66" i="2" s="1"/>
  <c r="AQ65" i="2"/>
  <c r="AM65" i="2"/>
  <c r="AG65" i="2"/>
  <c r="AA65" i="2"/>
  <c r="Z65" i="2"/>
  <c r="AK65" i="2" s="1"/>
  <c r="AL65" i="2" s="1"/>
  <c r="AN65" i="2" s="1"/>
  <c r="AO65" i="2" s="1"/>
  <c r="U65" i="2"/>
  <c r="Y65" i="2" s="1"/>
  <c r="AQ64" i="2"/>
  <c r="AM64" i="2"/>
  <c r="AG64" i="2"/>
  <c r="Z64" i="2"/>
  <c r="AK64" i="2" s="1"/>
  <c r="AL64" i="2" s="1"/>
  <c r="AN64" i="2" s="1"/>
  <c r="AO64" i="2" s="1"/>
  <c r="Y64" i="2"/>
  <c r="AA64" i="2" s="1"/>
  <c r="U64" i="2"/>
  <c r="AQ63" i="2"/>
  <c r="AM63" i="2"/>
  <c r="AK63" i="2"/>
  <c r="AL63" i="2" s="1"/>
  <c r="AN63" i="2" s="1"/>
  <c r="AO63" i="2" s="1"/>
  <c r="AG63" i="2"/>
  <c r="Y63" i="2"/>
  <c r="Z63" i="2" s="1"/>
  <c r="U63" i="2"/>
  <c r="AQ62" i="2"/>
  <c r="AM62" i="2"/>
  <c r="AG62" i="2"/>
  <c r="U62" i="2"/>
  <c r="AQ61" i="2"/>
  <c r="AM61" i="2"/>
  <c r="AG61" i="2"/>
  <c r="U61" i="2"/>
  <c r="Y61" i="2" s="1"/>
  <c r="AA61" i="2" s="1"/>
  <c r="AQ60" i="2"/>
  <c r="AM60" i="2"/>
  <c r="AG60" i="2"/>
  <c r="Y60" i="2"/>
  <c r="AA60" i="2" s="1"/>
  <c r="U60" i="2"/>
  <c r="AQ59" i="2"/>
  <c r="AM59" i="2"/>
  <c r="AG59" i="2"/>
  <c r="U59" i="2"/>
  <c r="AQ58" i="2"/>
  <c r="AM58" i="2"/>
  <c r="AG58" i="2"/>
  <c r="AA58" i="2"/>
  <c r="U58" i="2"/>
  <c r="Y58" i="2" s="1"/>
  <c r="Z58" i="2" s="1"/>
  <c r="AK58" i="2" s="1"/>
  <c r="AL58" i="2" s="1"/>
  <c r="AN58" i="2" s="1"/>
  <c r="AO58" i="2" s="1"/>
  <c r="AQ57" i="2"/>
  <c r="AM57" i="2"/>
  <c r="AG57" i="2"/>
  <c r="AA57" i="2"/>
  <c r="Z57" i="2"/>
  <c r="AK57" i="2" s="1"/>
  <c r="AL57" i="2" s="1"/>
  <c r="AN57" i="2" s="1"/>
  <c r="AO57" i="2" s="1"/>
  <c r="U57" i="2"/>
  <c r="Y57" i="2" s="1"/>
  <c r="AQ56" i="2"/>
  <c r="AM56" i="2"/>
  <c r="AG56" i="2"/>
  <c r="Z56" i="2"/>
  <c r="AK56" i="2" s="1"/>
  <c r="AL56" i="2" s="1"/>
  <c r="AN56" i="2" s="1"/>
  <c r="AO56" i="2" s="1"/>
  <c r="Y56" i="2"/>
  <c r="AA56" i="2" s="1"/>
  <c r="U56" i="2"/>
  <c r="AQ55" i="2"/>
  <c r="AM55" i="2"/>
  <c r="AK55" i="2"/>
  <c r="AL55" i="2" s="1"/>
  <c r="AN55" i="2" s="1"/>
  <c r="AO55" i="2" s="1"/>
  <c r="AG55" i="2"/>
  <c r="Y55" i="2"/>
  <c r="Z55" i="2" s="1"/>
  <c r="U55" i="2"/>
  <c r="AQ54" i="2"/>
  <c r="AM54" i="2"/>
  <c r="AG54" i="2"/>
  <c r="U54" i="2"/>
  <c r="AQ53" i="2"/>
  <c r="AM53" i="2"/>
  <c r="AG53" i="2"/>
  <c r="U53" i="2"/>
  <c r="Y53" i="2" s="1"/>
  <c r="AA53" i="2" s="1"/>
  <c r="AQ52" i="2"/>
  <c r="AM52" i="2"/>
  <c r="AG52" i="2"/>
  <c r="Y52" i="2"/>
  <c r="AA52" i="2" s="1"/>
  <c r="U52" i="2"/>
  <c r="AQ51" i="2"/>
  <c r="AM51" i="2"/>
  <c r="AG51" i="2"/>
  <c r="U51" i="2"/>
  <c r="AQ50" i="2"/>
  <c r="AM50" i="2"/>
  <c r="AG50" i="2"/>
  <c r="AA50" i="2"/>
  <c r="U50" i="2"/>
  <c r="Y50" i="2" s="1"/>
  <c r="Z50" i="2" s="1"/>
  <c r="AK50" i="2" s="1"/>
  <c r="AL50" i="2" s="1"/>
  <c r="AN50" i="2" s="1"/>
  <c r="AO50" i="2" s="1"/>
  <c r="AQ49" i="2"/>
  <c r="AM49" i="2"/>
  <c r="AG49" i="2"/>
  <c r="AA49" i="2"/>
  <c r="Z49" i="2"/>
  <c r="AK49" i="2" s="1"/>
  <c r="AL49" i="2" s="1"/>
  <c r="AN49" i="2" s="1"/>
  <c r="AO49" i="2" s="1"/>
  <c r="U49" i="2"/>
  <c r="Y49" i="2" s="1"/>
  <c r="AQ48" i="2"/>
  <c r="AM48" i="2"/>
  <c r="AG48" i="2"/>
  <c r="Z48" i="2"/>
  <c r="AK48" i="2" s="1"/>
  <c r="AL48" i="2" s="1"/>
  <c r="AN48" i="2" s="1"/>
  <c r="AO48" i="2" s="1"/>
  <c r="Y48" i="2"/>
  <c r="AA48" i="2" s="1"/>
  <c r="U48" i="2"/>
  <c r="AQ47" i="2"/>
  <c r="AM47" i="2"/>
  <c r="AK47" i="2"/>
  <c r="AL47" i="2" s="1"/>
  <c r="AN47" i="2" s="1"/>
  <c r="AO47" i="2" s="1"/>
  <c r="AG47" i="2"/>
  <c r="Y47" i="2"/>
  <c r="Z47" i="2" s="1"/>
  <c r="U47" i="2"/>
  <c r="AQ46" i="2"/>
  <c r="AM46" i="2"/>
  <c r="AG46" i="2"/>
  <c r="U46" i="2"/>
  <c r="AQ45" i="2"/>
  <c r="AM45" i="2"/>
  <c r="AG45" i="2"/>
  <c r="U45" i="2"/>
  <c r="Y45" i="2" s="1"/>
  <c r="AA45" i="2" s="1"/>
  <c r="AQ44" i="2"/>
  <c r="AM44" i="2"/>
  <c r="AG44" i="2"/>
  <c r="Y44" i="2"/>
  <c r="AA44" i="2" s="1"/>
  <c r="U44" i="2"/>
  <c r="AQ43" i="2"/>
  <c r="AM43" i="2"/>
  <c r="AG43" i="2"/>
  <c r="U43" i="2"/>
  <c r="AQ42" i="2"/>
  <c r="AM42" i="2"/>
  <c r="AG42" i="2"/>
  <c r="AA42" i="2"/>
  <c r="U42" i="2"/>
  <c r="Y42" i="2" s="1"/>
  <c r="Z42" i="2" s="1"/>
  <c r="AK42" i="2" s="1"/>
  <c r="AL42" i="2" s="1"/>
  <c r="AN42" i="2" s="1"/>
  <c r="AO42" i="2" s="1"/>
  <c r="AQ41" i="2"/>
  <c r="AM41" i="2"/>
  <c r="AG41" i="2"/>
  <c r="AA41" i="2"/>
  <c r="Z41" i="2"/>
  <c r="AK41" i="2" s="1"/>
  <c r="AL41" i="2" s="1"/>
  <c r="AN41" i="2" s="1"/>
  <c r="AO41" i="2" s="1"/>
  <c r="U41" i="2"/>
  <c r="Y41" i="2" s="1"/>
  <c r="AQ40" i="2"/>
  <c r="AM40" i="2"/>
  <c r="AG40" i="2"/>
  <c r="Z40" i="2"/>
  <c r="AK40" i="2" s="1"/>
  <c r="AL40" i="2" s="1"/>
  <c r="AN40" i="2" s="1"/>
  <c r="AO40" i="2" s="1"/>
  <c r="Y40" i="2"/>
  <c r="AA40" i="2" s="1"/>
  <c r="U40" i="2"/>
  <c r="AQ39" i="2"/>
  <c r="AM39" i="2"/>
  <c r="AK39" i="2"/>
  <c r="AL39" i="2" s="1"/>
  <c r="AN39" i="2" s="1"/>
  <c r="AO39" i="2" s="1"/>
  <c r="AG39" i="2"/>
  <c r="Y39" i="2"/>
  <c r="Z39" i="2" s="1"/>
  <c r="U39" i="2"/>
  <c r="AQ38" i="2"/>
  <c r="AM38" i="2"/>
  <c r="AG38" i="2"/>
  <c r="U38" i="2"/>
  <c r="AQ37" i="2"/>
  <c r="AM37" i="2"/>
  <c r="AG37" i="2"/>
  <c r="U37" i="2"/>
  <c r="Y37" i="2" s="1"/>
  <c r="AA37" i="2" s="1"/>
  <c r="AQ36" i="2"/>
  <c r="AM36" i="2"/>
  <c r="AG36" i="2"/>
  <c r="Y36" i="2"/>
  <c r="AA36" i="2" s="1"/>
  <c r="U36" i="2"/>
  <c r="AQ35" i="2"/>
  <c r="AM35" i="2"/>
  <c r="AG35" i="2"/>
  <c r="U35" i="2"/>
  <c r="AQ34" i="2"/>
  <c r="AM34" i="2"/>
  <c r="AG34" i="2"/>
  <c r="AA34" i="2"/>
  <c r="U34" i="2"/>
  <c r="Y34" i="2" s="1"/>
  <c r="Z34" i="2" s="1"/>
  <c r="AK34" i="2" s="1"/>
  <c r="AL34" i="2" s="1"/>
  <c r="AN34" i="2" s="1"/>
  <c r="AO34" i="2" s="1"/>
  <c r="AQ33" i="2"/>
  <c r="AM33" i="2"/>
  <c r="AG33" i="2"/>
  <c r="AA33" i="2"/>
  <c r="Z33" i="2"/>
  <c r="AK33" i="2" s="1"/>
  <c r="AL33" i="2" s="1"/>
  <c r="AN33" i="2" s="1"/>
  <c r="AO33" i="2" s="1"/>
  <c r="U33" i="2"/>
  <c r="Y33" i="2" s="1"/>
  <c r="AQ32" i="2"/>
  <c r="AM32" i="2"/>
  <c r="AG32" i="2"/>
  <c r="Z32" i="2"/>
  <c r="AK32" i="2" s="1"/>
  <c r="AL32" i="2" s="1"/>
  <c r="AN32" i="2" s="1"/>
  <c r="AO32" i="2" s="1"/>
  <c r="Y32" i="2"/>
  <c r="AA32" i="2" s="1"/>
  <c r="U32" i="2"/>
  <c r="AQ31" i="2"/>
  <c r="AM31" i="2"/>
  <c r="AK31" i="2"/>
  <c r="AL31" i="2" s="1"/>
  <c r="AN31" i="2" s="1"/>
  <c r="AO31" i="2" s="1"/>
  <c r="AG31" i="2"/>
  <c r="Y31" i="2"/>
  <c r="Z31" i="2" s="1"/>
  <c r="U31" i="2"/>
  <c r="AQ30" i="2"/>
  <c r="AM30" i="2"/>
  <c r="AG30" i="2"/>
  <c r="U30" i="2"/>
  <c r="AQ29" i="2"/>
  <c r="AM29" i="2"/>
  <c r="AG29" i="2"/>
  <c r="U29" i="2"/>
  <c r="Y29" i="2" s="1"/>
  <c r="AA29" i="2" s="1"/>
  <c r="AQ28" i="2"/>
  <c r="AM28" i="2"/>
  <c r="AG28" i="2"/>
  <c r="Y28" i="2"/>
  <c r="AA28" i="2" s="1"/>
  <c r="U28" i="2"/>
  <c r="AQ27" i="2"/>
  <c r="AM27" i="2"/>
  <c r="AG27" i="2"/>
  <c r="U27" i="2"/>
  <c r="AQ26" i="2"/>
  <c r="AM26" i="2"/>
  <c r="AG26" i="2"/>
  <c r="AA26" i="2"/>
  <c r="U26" i="2"/>
  <c r="Y26" i="2" s="1"/>
  <c r="Z26" i="2" s="1"/>
  <c r="AK26" i="2" s="1"/>
  <c r="AL26" i="2" s="1"/>
  <c r="AN26" i="2" s="1"/>
  <c r="AO26" i="2" s="1"/>
  <c r="AQ25" i="2"/>
  <c r="AM25" i="2"/>
  <c r="AG25" i="2"/>
  <c r="AA25" i="2"/>
  <c r="Z25" i="2"/>
  <c r="AK25" i="2" s="1"/>
  <c r="AL25" i="2" s="1"/>
  <c r="AN25" i="2" s="1"/>
  <c r="AO25" i="2" s="1"/>
  <c r="U25" i="2"/>
  <c r="Y25" i="2" s="1"/>
  <c r="AQ24" i="2"/>
  <c r="AM24" i="2"/>
  <c r="AG24" i="2"/>
  <c r="Z24" i="2"/>
  <c r="AK24" i="2" s="1"/>
  <c r="AL24" i="2" s="1"/>
  <c r="AN24" i="2" s="1"/>
  <c r="AO24" i="2" s="1"/>
  <c r="Y24" i="2"/>
  <c r="AA24" i="2" s="1"/>
  <c r="U24" i="2"/>
  <c r="AQ23" i="2"/>
  <c r="AM23" i="2"/>
  <c r="AK23" i="2"/>
  <c r="AL23" i="2" s="1"/>
  <c r="AN23" i="2" s="1"/>
  <c r="AO23" i="2" s="1"/>
  <c r="AG23" i="2"/>
  <c r="Y23" i="2"/>
  <c r="Z23" i="2" s="1"/>
  <c r="U23" i="2"/>
  <c r="AQ22" i="2"/>
  <c r="AM22" i="2"/>
  <c r="AG22" i="2"/>
  <c r="U22" i="2"/>
  <c r="AQ21" i="2"/>
  <c r="AM21" i="2"/>
  <c r="AG21" i="2"/>
  <c r="U21" i="2"/>
  <c r="Y21" i="2" s="1"/>
  <c r="AA21" i="2" s="1"/>
  <c r="AQ20" i="2"/>
  <c r="AM20" i="2"/>
  <c r="AG20" i="2"/>
  <c r="Y20" i="2"/>
  <c r="AA20" i="2" s="1"/>
  <c r="U20" i="2"/>
  <c r="AQ19" i="2"/>
  <c r="AM19" i="2"/>
  <c r="AG19" i="2"/>
  <c r="U19" i="2"/>
  <c r="AQ18" i="2"/>
  <c r="AM18" i="2"/>
  <c r="AG18" i="2"/>
  <c r="AA18" i="2"/>
  <c r="U18" i="2"/>
  <c r="Y18" i="2" s="1"/>
  <c r="Z18" i="2" s="1"/>
  <c r="AK18" i="2" s="1"/>
  <c r="AL18" i="2" s="1"/>
  <c r="AN18" i="2" s="1"/>
  <c r="AO18" i="2" s="1"/>
  <c r="AQ17" i="2"/>
  <c r="AM17" i="2"/>
  <c r="AG17" i="2"/>
  <c r="AA17" i="2"/>
  <c r="Z17" i="2"/>
  <c r="AK17" i="2" s="1"/>
  <c r="AL17" i="2" s="1"/>
  <c r="AN17" i="2" s="1"/>
  <c r="AO17" i="2" s="1"/>
  <c r="U17" i="2"/>
  <c r="Y17" i="2" s="1"/>
  <c r="AQ16" i="2"/>
  <c r="AM16" i="2"/>
  <c r="AG16" i="2"/>
  <c r="Z16" i="2"/>
  <c r="AK16" i="2" s="1"/>
  <c r="AL16" i="2" s="1"/>
  <c r="AN16" i="2" s="1"/>
  <c r="AO16" i="2" s="1"/>
  <c r="Y16" i="2"/>
  <c r="AA16" i="2" s="1"/>
  <c r="U16" i="2"/>
  <c r="AQ15" i="2"/>
  <c r="AM15" i="2"/>
  <c r="AK15" i="2"/>
  <c r="AL15" i="2" s="1"/>
  <c r="AN15" i="2" s="1"/>
  <c r="AO15" i="2" s="1"/>
  <c r="AG15" i="2"/>
  <c r="Y15" i="2"/>
  <c r="Z15" i="2" s="1"/>
  <c r="U15" i="2"/>
  <c r="AQ14" i="2"/>
  <c r="AM14" i="2"/>
  <c r="AG14" i="2"/>
  <c r="U14" i="2"/>
  <c r="AQ13" i="2"/>
  <c r="AM13" i="2"/>
  <c r="AG13" i="2"/>
  <c r="U13" i="2"/>
  <c r="Y13" i="2" s="1"/>
  <c r="AA13" i="2" s="1"/>
  <c r="AQ12" i="2"/>
  <c r="AM12" i="2"/>
  <c r="AG12" i="2"/>
  <c r="Y12" i="2"/>
  <c r="AA12" i="2" s="1"/>
  <c r="U12" i="2"/>
  <c r="AQ11" i="2"/>
  <c r="AM11" i="2"/>
  <c r="AG11" i="2"/>
  <c r="U11" i="2"/>
  <c r="AQ10" i="2"/>
  <c r="AM10" i="2"/>
  <c r="AG10" i="2"/>
  <c r="AA10" i="2"/>
  <c r="U10" i="2"/>
  <c r="Y10" i="2" s="1"/>
  <c r="Z10" i="2" s="1"/>
  <c r="AK10" i="2" s="1"/>
  <c r="AL10" i="2" s="1"/>
  <c r="AN10" i="2" s="1"/>
  <c r="AO10" i="2" s="1"/>
  <c r="AQ9" i="2"/>
  <c r="AM9" i="2"/>
  <c r="AG9" i="2"/>
  <c r="AA9" i="2"/>
  <c r="Z9" i="2"/>
  <c r="AK9" i="2" s="1"/>
  <c r="AL9" i="2" s="1"/>
  <c r="AN9" i="2" s="1"/>
  <c r="AO9" i="2" s="1"/>
  <c r="U9" i="2"/>
  <c r="Y9" i="2" s="1"/>
  <c r="AQ8" i="2"/>
  <c r="AM8" i="2"/>
  <c r="AG8" i="2"/>
  <c r="Z8" i="2"/>
  <c r="AK8" i="2" s="1"/>
  <c r="AL8" i="2" s="1"/>
  <c r="AN8" i="2" s="1"/>
  <c r="AO8" i="2" s="1"/>
  <c r="Y8" i="2"/>
  <c r="AA8" i="2" s="1"/>
  <c r="U8" i="2"/>
  <c r="AQ7" i="2"/>
  <c r="AM7" i="2"/>
  <c r="AK7" i="2"/>
  <c r="AL7" i="2" s="1"/>
  <c r="AN7" i="2" s="1"/>
  <c r="AO7" i="2" s="1"/>
  <c r="AG7" i="2"/>
  <c r="Y7" i="2"/>
  <c r="Z7" i="2" s="1"/>
  <c r="U7" i="2"/>
  <c r="AQ6" i="2"/>
  <c r="AM6" i="2"/>
  <c r="AG6" i="2"/>
  <c r="U6" i="2"/>
  <c r="AQ5" i="2"/>
  <c r="AM5" i="2"/>
  <c r="AG5" i="2"/>
  <c r="AQ4" i="2"/>
  <c r="AM4" i="2"/>
  <c r="AG4" i="2"/>
  <c r="Y4" i="2"/>
  <c r="AA4" i="2" s="1"/>
  <c r="U4" i="2"/>
  <c r="AQ3" i="2"/>
  <c r="AM3" i="2"/>
  <c r="AG3" i="2"/>
  <c r="U3" i="2"/>
  <c r="AQ2" i="2"/>
  <c r="AM2" i="2"/>
  <c r="AG2" i="2"/>
  <c r="AA2" i="2"/>
  <c r="U2" i="2"/>
  <c r="Y2" i="2" s="1"/>
  <c r="Z2" i="2" s="1"/>
  <c r="AK2" i="2" s="1"/>
  <c r="AL2" i="2" s="1"/>
  <c r="AN2" i="2" s="1"/>
  <c r="AO2" i="2" s="1"/>
  <c r="C36" i="1"/>
  <c r="C35" i="1"/>
  <c r="C34" i="1"/>
  <c r="C33" i="1"/>
  <c r="C29" i="1"/>
  <c r="C28" i="1"/>
  <c r="C27" i="1"/>
  <c r="C26" i="1"/>
  <c r="C10" i="1"/>
  <c r="C7" i="1"/>
  <c r="C6" i="1"/>
  <c r="C5" i="1"/>
  <c r="Y46" i="2" l="1"/>
  <c r="Z46" i="2" s="1"/>
  <c r="AK46" i="2" s="1"/>
  <c r="AL46" i="2" s="1"/>
  <c r="AN46" i="2" s="1"/>
  <c r="AO46" i="2" s="1"/>
  <c r="AA46" i="2"/>
  <c r="Y6" i="2"/>
  <c r="Z6" i="2" s="1"/>
  <c r="AK6" i="2" s="1"/>
  <c r="AL6" i="2" s="1"/>
  <c r="AN6" i="2" s="1"/>
  <c r="AO6" i="2" s="1"/>
  <c r="Y19" i="2"/>
  <c r="Z19" i="2" s="1"/>
  <c r="AK19" i="2" s="1"/>
  <c r="AL19" i="2" s="1"/>
  <c r="AN19" i="2" s="1"/>
  <c r="AO19" i="2" s="1"/>
  <c r="Y38" i="2"/>
  <c r="Z38" i="2" s="1"/>
  <c r="AK38" i="2" s="1"/>
  <c r="AL38" i="2" s="1"/>
  <c r="AN38" i="2" s="1"/>
  <c r="AO38" i="2" s="1"/>
  <c r="Y51" i="2"/>
  <c r="Z51" i="2" s="1"/>
  <c r="AK51" i="2" s="1"/>
  <c r="AL51" i="2" s="1"/>
  <c r="AN51" i="2" s="1"/>
  <c r="AO51" i="2" s="1"/>
  <c r="Y70" i="2"/>
  <c r="Z70" i="2" s="1"/>
  <c r="AK70" i="2" s="1"/>
  <c r="AL70" i="2" s="1"/>
  <c r="AN70" i="2" s="1"/>
  <c r="AO70" i="2" s="1"/>
  <c r="Y14" i="2"/>
  <c r="Z14" i="2" s="1"/>
  <c r="AK14" i="2" s="1"/>
  <c r="AL14" i="2" s="1"/>
  <c r="AN14" i="2" s="1"/>
  <c r="AO14" i="2" s="1"/>
  <c r="AA14" i="2"/>
  <c r="AA27" i="2"/>
  <c r="Y27" i="2"/>
  <c r="Z27" i="2" s="1"/>
  <c r="AK27" i="2" s="1"/>
  <c r="AL27" i="2" s="1"/>
  <c r="AN27" i="2" s="1"/>
  <c r="AO27" i="2" s="1"/>
  <c r="Y59" i="2"/>
  <c r="Z59" i="2" s="1"/>
  <c r="AK59" i="2" s="1"/>
  <c r="AL59" i="2" s="1"/>
  <c r="AN59" i="2" s="1"/>
  <c r="AO59" i="2" s="1"/>
  <c r="AA11" i="2"/>
  <c r="Y11" i="2"/>
  <c r="Z11" i="2" s="1"/>
  <c r="AK11" i="2" s="1"/>
  <c r="AL11" i="2" s="1"/>
  <c r="AN11" i="2" s="1"/>
  <c r="AO11" i="2" s="1"/>
  <c r="Y30" i="2"/>
  <c r="Z30" i="2" s="1"/>
  <c r="AK30" i="2" s="1"/>
  <c r="AL30" i="2" s="1"/>
  <c r="AN30" i="2" s="1"/>
  <c r="AO30" i="2" s="1"/>
  <c r="AA30" i="2"/>
  <c r="AA43" i="2"/>
  <c r="Y43" i="2"/>
  <c r="Z43" i="2" s="1"/>
  <c r="AK43" i="2" s="1"/>
  <c r="AL43" i="2" s="1"/>
  <c r="AN43" i="2" s="1"/>
  <c r="AO43" i="2" s="1"/>
  <c r="Y62" i="2"/>
  <c r="Z62" i="2" s="1"/>
  <c r="AK62" i="2" s="1"/>
  <c r="AL62" i="2" s="1"/>
  <c r="AN62" i="2" s="1"/>
  <c r="AO62" i="2" s="1"/>
  <c r="AA62" i="2"/>
  <c r="AA75" i="2"/>
  <c r="Y75" i="2"/>
  <c r="Z75" i="2" s="1"/>
  <c r="AK75" i="2" s="1"/>
  <c r="AL75" i="2" s="1"/>
  <c r="AN75" i="2" s="1"/>
  <c r="AO75" i="2" s="1"/>
  <c r="C8" i="1"/>
  <c r="AA3" i="2"/>
  <c r="Y3" i="2"/>
  <c r="Y22" i="2"/>
  <c r="Z22" i="2" s="1"/>
  <c r="AK22" i="2" s="1"/>
  <c r="AL22" i="2" s="1"/>
  <c r="AN22" i="2" s="1"/>
  <c r="AO22" i="2" s="1"/>
  <c r="AA22" i="2"/>
  <c r="AA35" i="2"/>
  <c r="Y35" i="2"/>
  <c r="Z35" i="2" s="1"/>
  <c r="AK35" i="2" s="1"/>
  <c r="AL35" i="2" s="1"/>
  <c r="AN35" i="2" s="1"/>
  <c r="AO35" i="2" s="1"/>
  <c r="Y54" i="2"/>
  <c r="Z54" i="2" s="1"/>
  <c r="AK54" i="2" s="1"/>
  <c r="AL54" i="2" s="1"/>
  <c r="AN54" i="2" s="1"/>
  <c r="AO54" i="2" s="1"/>
  <c r="AA54" i="2"/>
  <c r="AA67" i="2"/>
  <c r="Y67" i="2"/>
  <c r="Z67" i="2" s="1"/>
  <c r="AK67" i="2" s="1"/>
  <c r="AL67" i="2" s="1"/>
  <c r="AN67" i="2" s="1"/>
  <c r="AO67" i="2" s="1"/>
  <c r="Y82" i="2"/>
  <c r="Z82" i="2" s="1"/>
  <c r="AK82" i="2" s="1"/>
  <c r="AL82" i="2" s="1"/>
  <c r="AN82" i="2" s="1"/>
  <c r="AO82" i="2" s="1"/>
  <c r="AA82" i="2"/>
  <c r="AA91" i="2"/>
  <c r="AA107" i="2"/>
  <c r="AA155" i="2"/>
  <c r="AA171" i="2"/>
  <c r="Y171" i="2"/>
  <c r="Z171" i="2" s="1"/>
  <c r="AK171" i="2" s="1"/>
  <c r="AL171" i="2" s="1"/>
  <c r="AN171" i="2" s="1"/>
  <c r="AO171" i="2" s="1"/>
  <c r="Y187" i="2"/>
  <c r="Z187" i="2" s="1"/>
  <c r="AK187" i="2" s="1"/>
  <c r="AL187" i="2" s="1"/>
  <c r="AN187" i="2" s="1"/>
  <c r="AO187" i="2" s="1"/>
  <c r="AA211" i="2"/>
  <c r="Y211" i="2"/>
  <c r="Z211" i="2" s="1"/>
  <c r="AK211" i="2" s="1"/>
  <c r="AL211" i="2" s="1"/>
  <c r="AN211" i="2" s="1"/>
  <c r="AO211" i="2" s="1"/>
  <c r="AA243" i="2"/>
  <c r="Y243" i="2"/>
  <c r="Z243" i="2" s="1"/>
  <c r="AK243" i="2" s="1"/>
  <c r="AL243" i="2" s="1"/>
  <c r="AN243" i="2" s="1"/>
  <c r="AO243" i="2" s="1"/>
  <c r="Y275" i="2"/>
  <c r="Z275" i="2" s="1"/>
  <c r="AK275" i="2" s="1"/>
  <c r="AL275" i="2" s="1"/>
  <c r="AN275" i="2" s="1"/>
  <c r="AO275" i="2" s="1"/>
  <c r="Y290" i="2"/>
  <c r="Z290" i="2" s="1"/>
  <c r="AK290" i="2" s="1"/>
  <c r="AL290" i="2" s="1"/>
  <c r="AN290" i="2" s="1"/>
  <c r="AO290" i="2" s="1"/>
  <c r="AA290" i="2"/>
  <c r="AA299" i="2"/>
  <c r="Y299" i="2"/>
  <c r="Z299" i="2" s="1"/>
  <c r="AK299" i="2" s="1"/>
  <c r="AL299" i="2" s="1"/>
  <c r="AN299" i="2" s="1"/>
  <c r="AO299" i="2" s="1"/>
  <c r="AA337" i="2"/>
  <c r="Z337" i="2"/>
  <c r="AK337" i="2" s="1"/>
  <c r="AL337" i="2" s="1"/>
  <c r="AN337" i="2" s="1"/>
  <c r="AO337" i="2" s="1"/>
  <c r="AA344" i="2"/>
  <c r="Z344" i="2"/>
  <c r="AK344" i="2" s="1"/>
  <c r="AL344" i="2" s="1"/>
  <c r="AN344" i="2" s="1"/>
  <c r="AO344" i="2" s="1"/>
  <c r="Y370" i="2"/>
  <c r="Z370" i="2" s="1"/>
  <c r="AK370" i="2" s="1"/>
  <c r="AL370" i="2" s="1"/>
  <c r="AN370" i="2" s="1"/>
  <c r="AO370" i="2" s="1"/>
  <c r="AA370" i="2"/>
  <c r="AA383" i="2"/>
  <c r="Y383" i="2"/>
  <c r="Z383" i="2" s="1"/>
  <c r="AK383" i="2" s="1"/>
  <c r="AL383" i="2" s="1"/>
  <c r="AN383" i="2" s="1"/>
  <c r="AO383" i="2" s="1"/>
  <c r="Y402" i="2"/>
  <c r="Z402" i="2" s="1"/>
  <c r="AK402" i="2" s="1"/>
  <c r="AL402" i="2" s="1"/>
  <c r="AN402" i="2" s="1"/>
  <c r="AO402" i="2" s="1"/>
  <c r="AA415" i="2"/>
  <c r="Y415" i="2"/>
  <c r="Z415" i="2" s="1"/>
  <c r="AK415" i="2" s="1"/>
  <c r="AL415" i="2" s="1"/>
  <c r="AN415" i="2" s="1"/>
  <c r="AO415" i="2" s="1"/>
  <c r="Y434" i="2"/>
  <c r="Z434" i="2" s="1"/>
  <c r="AK434" i="2" s="1"/>
  <c r="AL434" i="2" s="1"/>
  <c r="AN434" i="2" s="1"/>
  <c r="AO434" i="2" s="1"/>
  <c r="AA447" i="2"/>
  <c r="Y447" i="2"/>
  <c r="Z447" i="2" s="1"/>
  <c r="AK447" i="2" s="1"/>
  <c r="AL447" i="2" s="1"/>
  <c r="AN447" i="2" s="1"/>
  <c r="AO447" i="2" s="1"/>
  <c r="Y466" i="2"/>
  <c r="Z466" i="2" s="1"/>
  <c r="AK466" i="2" s="1"/>
  <c r="AL466" i="2" s="1"/>
  <c r="AN466" i="2" s="1"/>
  <c r="AO466" i="2" s="1"/>
  <c r="AA479" i="2"/>
  <c r="Y479" i="2"/>
  <c r="Z479" i="2" s="1"/>
  <c r="AK479" i="2" s="1"/>
  <c r="AL479" i="2" s="1"/>
  <c r="AN479" i="2" s="1"/>
  <c r="AO479" i="2" s="1"/>
  <c r="Y498" i="2"/>
  <c r="Z498" i="2" s="1"/>
  <c r="AK498" i="2" s="1"/>
  <c r="AL498" i="2" s="1"/>
  <c r="AN498" i="2" s="1"/>
  <c r="AO498" i="2" s="1"/>
  <c r="AA511" i="2"/>
  <c r="Y511" i="2"/>
  <c r="Z511" i="2" s="1"/>
  <c r="AK511" i="2" s="1"/>
  <c r="AL511" i="2" s="1"/>
  <c r="AN511" i="2" s="1"/>
  <c r="AO511" i="2" s="1"/>
  <c r="Y529" i="2"/>
  <c r="Z529" i="2" s="1"/>
  <c r="AK529" i="2" s="1"/>
  <c r="AL529" i="2" s="1"/>
  <c r="AN529" i="2" s="1"/>
  <c r="AO529" i="2" s="1"/>
  <c r="Y545" i="2"/>
  <c r="Z545" i="2" s="1"/>
  <c r="AK545" i="2" s="1"/>
  <c r="AL545" i="2" s="1"/>
  <c r="AN545" i="2" s="1"/>
  <c r="AO545" i="2" s="1"/>
  <c r="Y561" i="2"/>
  <c r="Z561" i="2" s="1"/>
  <c r="AK561" i="2" s="1"/>
  <c r="AL561" i="2" s="1"/>
  <c r="AN561" i="2" s="1"/>
  <c r="AO561" i="2" s="1"/>
  <c r="Y597" i="2"/>
  <c r="Z597" i="2" s="1"/>
  <c r="AK597" i="2" s="1"/>
  <c r="AL597" i="2" s="1"/>
  <c r="AN597" i="2" s="1"/>
  <c r="AO597" i="2" s="1"/>
  <c r="Y107" i="2"/>
  <c r="Z107" i="2" s="1"/>
  <c r="AK107" i="2" s="1"/>
  <c r="AL107" i="2" s="1"/>
  <c r="AN107" i="2" s="1"/>
  <c r="AO107" i="2" s="1"/>
  <c r="AA114" i="2"/>
  <c r="AA119" i="2"/>
  <c r="AA130" i="2"/>
  <c r="Y139" i="2"/>
  <c r="Z139" i="2" s="1"/>
  <c r="AK139" i="2" s="1"/>
  <c r="AL139" i="2" s="1"/>
  <c r="AN139" i="2" s="1"/>
  <c r="AO139" i="2" s="1"/>
  <c r="AA151" i="2"/>
  <c r="AA167" i="2"/>
  <c r="AA190" i="2"/>
  <c r="Y191" i="2"/>
  <c r="Z191" i="2" s="1"/>
  <c r="AK191" i="2" s="1"/>
  <c r="AL191" i="2" s="1"/>
  <c r="AN191" i="2" s="1"/>
  <c r="AO191" i="2" s="1"/>
  <c r="Z207" i="2"/>
  <c r="AK207" i="2" s="1"/>
  <c r="AL207" i="2" s="1"/>
  <c r="AN207" i="2" s="1"/>
  <c r="AO207" i="2" s="1"/>
  <c r="AA207" i="2"/>
  <c r="Y208" i="2"/>
  <c r="Z208" i="2" s="1"/>
  <c r="AK208" i="2" s="1"/>
  <c r="AL208" i="2" s="1"/>
  <c r="AN208" i="2" s="1"/>
  <c r="AO208" i="2" s="1"/>
  <c r="Y226" i="2"/>
  <c r="Z226" i="2" s="1"/>
  <c r="AK226" i="2" s="1"/>
  <c r="AL226" i="2" s="1"/>
  <c r="AN226" i="2" s="1"/>
  <c r="AO226" i="2" s="1"/>
  <c r="AA229" i="2"/>
  <c r="Z229" i="2"/>
  <c r="AK229" i="2" s="1"/>
  <c r="AL229" i="2" s="1"/>
  <c r="AN229" i="2" s="1"/>
  <c r="AO229" i="2" s="1"/>
  <c r="Z239" i="2"/>
  <c r="AK239" i="2" s="1"/>
  <c r="AL239" i="2" s="1"/>
  <c r="AN239" i="2" s="1"/>
  <c r="AO239" i="2" s="1"/>
  <c r="AA239" i="2"/>
  <c r="Y240" i="2"/>
  <c r="Z240" i="2" s="1"/>
  <c r="AK240" i="2" s="1"/>
  <c r="AL240" i="2" s="1"/>
  <c r="AN240" i="2" s="1"/>
  <c r="AO240" i="2" s="1"/>
  <c r="Y258" i="2"/>
  <c r="Z258" i="2" s="1"/>
  <c r="AK258" i="2" s="1"/>
  <c r="AL258" i="2" s="1"/>
  <c r="AN258" i="2" s="1"/>
  <c r="AO258" i="2" s="1"/>
  <c r="AA261" i="2"/>
  <c r="Z261" i="2"/>
  <c r="AK261" i="2" s="1"/>
  <c r="AL261" i="2" s="1"/>
  <c r="AN261" i="2" s="1"/>
  <c r="AO261" i="2" s="1"/>
  <c r="Z271" i="2"/>
  <c r="AK271" i="2" s="1"/>
  <c r="AL271" i="2" s="1"/>
  <c r="AN271" i="2" s="1"/>
  <c r="AO271" i="2" s="1"/>
  <c r="AA271" i="2"/>
  <c r="Y272" i="2"/>
  <c r="Z272" i="2" s="1"/>
  <c r="AK272" i="2" s="1"/>
  <c r="AL272" i="2" s="1"/>
  <c r="AN272" i="2" s="1"/>
  <c r="AO272" i="2" s="1"/>
  <c r="Y306" i="2"/>
  <c r="Z306" i="2" s="1"/>
  <c r="AK306" i="2" s="1"/>
  <c r="AL306" i="2" s="1"/>
  <c r="AN306" i="2" s="1"/>
  <c r="AO306" i="2" s="1"/>
  <c r="Y315" i="2"/>
  <c r="Z315" i="2" s="1"/>
  <c r="AK315" i="2" s="1"/>
  <c r="AL315" i="2" s="1"/>
  <c r="AN315" i="2" s="1"/>
  <c r="AO315" i="2" s="1"/>
  <c r="AA320" i="2"/>
  <c r="Z320" i="2"/>
  <c r="AK320" i="2" s="1"/>
  <c r="AL320" i="2" s="1"/>
  <c r="AN320" i="2" s="1"/>
  <c r="AO320" i="2" s="1"/>
  <c r="AA345" i="2"/>
  <c r="Z345" i="2"/>
  <c r="AK345" i="2" s="1"/>
  <c r="AL345" i="2" s="1"/>
  <c r="AN345" i="2" s="1"/>
  <c r="AO345" i="2" s="1"/>
  <c r="AA375" i="2"/>
  <c r="Y375" i="2"/>
  <c r="Z375" i="2" s="1"/>
  <c r="AK375" i="2" s="1"/>
  <c r="AL375" i="2" s="1"/>
  <c r="AN375" i="2" s="1"/>
  <c r="AO375" i="2" s="1"/>
  <c r="Y394" i="2"/>
  <c r="Z394" i="2" s="1"/>
  <c r="AK394" i="2" s="1"/>
  <c r="AL394" i="2" s="1"/>
  <c r="AN394" i="2" s="1"/>
  <c r="AO394" i="2" s="1"/>
  <c r="AA394" i="2"/>
  <c r="AA407" i="2"/>
  <c r="Y407" i="2"/>
  <c r="Z407" i="2" s="1"/>
  <c r="AK407" i="2" s="1"/>
  <c r="AL407" i="2" s="1"/>
  <c r="AN407" i="2" s="1"/>
  <c r="AO407" i="2" s="1"/>
  <c r="Y426" i="2"/>
  <c r="Z426" i="2" s="1"/>
  <c r="AK426" i="2" s="1"/>
  <c r="AL426" i="2" s="1"/>
  <c r="AN426" i="2" s="1"/>
  <c r="AO426" i="2" s="1"/>
  <c r="AA426" i="2"/>
  <c r="AA439" i="2"/>
  <c r="Y439" i="2"/>
  <c r="Z439" i="2" s="1"/>
  <c r="AK439" i="2" s="1"/>
  <c r="AL439" i="2" s="1"/>
  <c r="AN439" i="2" s="1"/>
  <c r="AO439" i="2" s="1"/>
  <c r="Y458" i="2"/>
  <c r="Z458" i="2" s="1"/>
  <c r="AK458" i="2" s="1"/>
  <c r="AL458" i="2" s="1"/>
  <c r="AN458" i="2" s="1"/>
  <c r="AO458" i="2" s="1"/>
  <c r="AA458" i="2"/>
  <c r="AA471" i="2"/>
  <c r="Y471" i="2"/>
  <c r="Z471" i="2" s="1"/>
  <c r="AK471" i="2" s="1"/>
  <c r="AL471" i="2" s="1"/>
  <c r="AN471" i="2" s="1"/>
  <c r="AO471" i="2" s="1"/>
  <c r="Y490" i="2"/>
  <c r="Z490" i="2" s="1"/>
  <c r="AK490" i="2" s="1"/>
  <c r="AL490" i="2" s="1"/>
  <c r="AN490" i="2" s="1"/>
  <c r="AO490" i="2" s="1"/>
  <c r="AA490" i="2"/>
  <c r="AA503" i="2"/>
  <c r="Y503" i="2"/>
  <c r="Z503" i="2" s="1"/>
  <c r="AK503" i="2" s="1"/>
  <c r="AL503" i="2" s="1"/>
  <c r="AN503" i="2" s="1"/>
  <c r="AO503" i="2" s="1"/>
  <c r="Y522" i="2"/>
  <c r="Z522" i="2" s="1"/>
  <c r="AK522" i="2" s="1"/>
  <c r="AL522" i="2" s="1"/>
  <c r="AN522" i="2" s="1"/>
  <c r="AO522" i="2" s="1"/>
  <c r="AA522" i="2"/>
  <c r="Y91" i="2"/>
  <c r="Z91" i="2" s="1"/>
  <c r="AK91" i="2" s="1"/>
  <c r="AL91" i="2" s="1"/>
  <c r="AN91" i="2" s="1"/>
  <c r="AO91" i="2" s="1"/>
  <c r="AA98" i="2"/>
  <c r="Y123" i="2"/>
  <c r="Z123" i="2" s="1"/>
  <c r="AK123" i="2" s="1"/>
  <c r="AL123" i="2" s="1"/>
  <c r="AN123" i="2" s="1"/>
  <c r="AO123" i="2" s="1"/>
  <c r="AA135" i="2"/>
  <c r="AA146" i="2"/>
  <c r="Y155" i="2"/>
  <c r="Z155" i="2" s="1"/>
  <c r="AK155" i="2" s="1"/>
  <c r="AL155" i="2" s="1"/>
  <c r="AN155" i="2" s="1"/>
  <c r="AO155" i="2" s="1"/>
  <c r="AA162" i="2"/>
  <c r="AA174" i="2"/>
  <c r="AA175" i="2"/>
  <c r="Y175" i="2"/>
  <c r="Z175" i="2" s="1"/>
  <c r="AK175" i="2" s="1"/>
  <c r="AL175" i="2" s="1"/>
  <c r="AN175" i="2" s="1"/>
  <c r="AO175" i="2" s="1"/>
  <c r="Z4" i="2"/>
  <c r="AK4" i="2" s="1"/>
  <c r="AL4" i="2" s="1"/>
  <c r="AN4" i="2" s="1"/>
  <c r="AO4" i="2" s="1"/>
  <c r="Z5" i="2"/>
  <c r="AK5" i="2" s="1"/>
  <c r="AN5" i="2" s="1"/>
  <c r="AO5" i="2" s="1"/>
  <c r="AA7" i="2"/>
  <c r="Z12" i="2"/>
  <c r="AK12" i="2" s="1"/>
  <c r="AL12" i="2" s="1"/>
  <c r="AN12" i="2" s="1"/>
  <c r="AO12" i="2" s="1"/>
  <c r="Z13" i="2"/>
  <c r="AK13" i="2" s="1"/>
  <c r="AL13" i="2" s="1"/>
  <c r="AN13" i="2" s="1"/>
  <c r="AO13" i="2" s="1"/>
  <c r="AA15" i="2"/>
  <c r="Z20" i="2"/>
  <c r="AK20" i="2" s="1"/>
  <c r="AL20" i="2" s="1"/>
  <c r="AN20" i="2" s="1"/>
  <c r="AO20" i="2" s="1"/>
  <c r="Z21" i="2"/>
  <c r="AK21" i="2" s="1"/>
  <c r="AL21" i="2" s="1"/>
  <c r="AN21" i="2" s="1"/>
  <c r="AO21" i="2" s="1"/>
  <c r="AA23" i="2"/>
  <c r="Z28" i="2"/>
  <c r="AK28" i="2" s="1"/>
  <c r="AL28" i="2" s="1"/>
  <c r="AN28" i="2" s="1"/>
  <c r="AO28" i="2" s="1"/>
  <c r="Z29" i="2"/>
  <c r="AK29" i="2" s="1"/>
  <c r="AL29" i="2" s="1"/>
  <c r="AN29" i="2" s="1"/>
  <c r="AO29" i="2" s="1"/>
  <c r="AA31" i="2"/>
  <c r="Z36" i="2"/>
  <c r="AK36" i="2" s="1"/>
  <c r="AL36" i="2" s="1"/>
  <c r="AN36" i="2" s="1"/>
  <c r="AO36" i="2" s="1"/>
  <c r="Z37" i="2"/>
  <c r="AK37" i="2" s="1"/>
  <c r="AL37" i="2" s="1"/>
  <c r="AN37" i="2" s="1"/>
  <c r="AO37" i="2" s="1"/>
  <c r="AA39" i="2"/>
  <c r="Z44" i="2"/>
  <c r="AK44" i="2" s="1"/>
  <c r="AL44" i="2" s="1"/>
  <c r="AN44" i="2" s="1"/>
  <c r="AO44" i="2" s="1"/>
  <c r="Z45" i="2"/>
  <c r="AK45" i="2" s="1"/>
  <c r="AL45" i="2" s="1"/>
  <c r="AN45" i="2" s="1"/>
  <c r="AO45" i="2" s="1"/>
  <c r="AA47" i="2"/>
  <c r="Z52" i="2"/>
  <c r="AK52" i="2" s="1"/>
  <c r="AL52" i="2" s="1"/>
  <c r="AN52" i="2" s="1"/>
  <c r="AO52" i="2" s="1"/>
  <c r="Z53" i="2"/>
  <c r="AK53" i="2" s="1"/>
  <c r="AL53" i="2" s="1"/>
  <c r="AN53" i="2" s="1"/>
  <c r="AO53" i="2" s="1"/>
  <c r="AA55" i="2"/>
  <c r="Z60" i="2"/>
  <c r="AK60" i="2" s="1"/>
  <c r="AL60" i="2" s="1"/>
  <c r="AN60" i="2" s="1"/>
  <c r="AO60" i="2" s="1"/>
  <c r="Z61" i="2"/>
  <c r="AK61" i="2" s="1"/>
  <c r="AL61" i="2" s="1"/>
  <c r="AN61" i="2" s="1"/>
  <c r="AO61" i="2" s="1"/>
  <c r="AA63" i="2"/>
  <c r="Z68" i="2"/>
  <c r="AK68" i="2" s="1"/>
  <c r="AL68" i="2" s="1"/>
  <c r="AN68" i="2" s="1"/>
  <c r="AO68" i="2" s="1"/>
  <c r="Z69" i="2"/>
  <c r="AK69" i="2" s="1"/>
  <c r="AL69" i="2" s="1"/>
  <c r="AN69" i="2" s="1"/>
  <c r="AO69" i="2" s="1"/>
  <c r="AA71" i="2"/>
  <c r="AA78" i="2"/>
  <c r="AA83" i="2"/>
  <c r="AA84" i="2"/>
  <c r="Y87" i="2"/>
  <c r="Z87" i="2" s="1"/>
  <c r="AK87" i="2" s="1"/>
  <c r="AL87" i="2" s="1"/>
  <c r="AN87" i="2" s="1"/>
  <c r="AO87" i="2" s="1"/>
  <c r="AA94" i="2"/>
  <c r="AA99" i="2"/>
  <c r="AA100" i="2"/>
  <c r="Y103" i="2"/>
  <c r="Z103" i="2" s="1"/>
  <c r="AK103" i="2" s="1"/>
  <c r="AL103" i="2" s="1"/>
  <c r="AN103" i="2" s="1"/>
  <c r="AO103" i="2" s="1"/>
  <c r="AA110" i="2"/>
  <c r="AA115" i="2"/>
  <c r="AA116" i="2"/>
  <c r="Y119" i="2"/>
  <c r="Z119" i="2" s="1"/>
  <c r="AK119" i="2" s="1"/>
  <c r="AL119" i="2" s="1"/>
  <c r="AN119" i="2" s="1"/>
  <c r="AO119" i="2" s="1"/>
  <c r="AA126" i="2"/>
  <c r="AA131" i="2"/>
  <c r="AA132" i="2"/>
  <c r="Y135" i="2"/>
  <c r="Z135" i="2" s="1"/>
  <c r="AK135" i="2" s="1"/>
  <c r="AL135" i="2" s="1"/>
  <c r="AN135" i="2" s="1"/>
  <c r="AO135" i="2" s="1"/>
  <c r="AA142" i="2"/>
  <c r="AA147" i="2"/>
  <c r="AA148" i="2"/>
  <c r="Y151" i="2"/>
  <c r="Z151" i="2" s="1"/>
  <c r="AK151" i="2" s="1"/>
  <c r="AL151" i="2" s="1"/>
  <c r="AN151" i="2" s="1"/>
  <c r="AO151" i="2" s="1"/>
  <c r="AA158" i="2"/>
  <c r="AA163" i="2"/>
  <c r="AA164" i="2"/>
  <c r="Y167" i="2"/>
  <c r="Z167" i="2" s="1"/>
  <c r="AK167" i="2" s="1"/>
  <c r="AL167" i="2" s="1"/>
  <c r="AN167" i="2" s="1"/>
  <c r="AO167" i="2" s="1"/>
  <c r="AA176" i="2"/>
  <c r="AA178" i="2"/>
  <c r="AA179" i="2"/>
  <c r="Y179" i="2"/>
  <c r="Z179" i="2" s="1"/>
  <c r="AK179" i="2" s="1"/>
  <c r="AL179" i="2" s="1"/>
  <c r="AN179" i="2" s="1"/>
  <c r="AO179" i="2" s="1"/>
  <c r="AA192" i="2"/>
  <c r="AA194" i="2"/>
  <c r="AA195" i="2"/>
  <c r="Y195" i="2"/>
  <c r="Z195" i="2" s="1"/>
  <c r="AK195" i="2" s="1"/>
  <c r="AL195" i="2" s="1"/>
  <c r="AN195" i="2" s="1"/>
  <c r="AO195" i="2" s="1"/>
  <c r="AA227" i="2"/>
  <c r="Y227" i="2"/>
  <c r="Z227" i="2" s="1"/>
  <c r="AK227" i="2" s="1"/>
  <c r="AL227" i="2" s="1"/>
  <c r="AN227" i="2" s="1"/>
  <c r="AO227" i="2" s="1"/>
  <c r="Y259" i="2"/>
  <c r="Z259" i="2" s="1"/>
  <c r="AK259" i="2" s="1"/>
  <c r="AL259" i="2" s="1"/>
  <c r="AN259" i="2" s="1"/>
  <c r="AO259" i="2" s="1"/>
  <c r="AA321" i="2"/>
  <c r="Z321" i="2"/>
  <c r="AK321" i="2" s="1"/>
  <c r="AL321" i="2" s="1"/>
  <c r="AN321" i="2" s="1"/>
  <c r="AO321" i="2" s="1"/>
  <c r="AA328" i="2"/>
  <c r="Z328" i="2"/>
  <c r="AK328" i="2" s="1"/>
  <c r="AL328" i="2" s="1"/>
  <c r="AN328" i="2" s="1"/>
  <c r="AO328" i="2" s="1"/>
  <c r="AA353" i="2"/>
  <c r="Z353" i="2"/>
  <c r="AK353" i="2" s="1"/>
  <c r="AL353" i="2" s="1"/>
  <c r="AN353" i="2" s="1"/>
  <c r="AO353" i="2" s="1"/>
  <c r="Y386" i="2"/>
  <c r="Z386" i="2" s="1"/>
  <c r="AK386" i="2" s="1"/>
  <c r="AL386" i="2" s="1"/>
  <c r="AN386" i="2" s="1"/>
  <c r="AO386" i="2" s="1"/>
  <c r="AA399" i="2"/>
  <c r="Y399" i="2"/>
  <c r="Z399" i="2" s="1"/>
  <c r="AK399" i="2" s="1"/>
  <c r="AL399" i="2" s="1"/>
  <c r="AN399" i="2" s="1"/>
  <c r="AO399" i="2" s="1"/>
  <c r="Y418" i="2"/>
  <c r="Z418" i="2" s="1"/>
  <c r="AK418" i="2" s="1"/>
  <c r="AL418" i="2" s="1"/>
  <c r="AN418" i="2" s="1"/>
  <c r="AO418" i="2" s="1"/>
  <c r="AA431" i="2"/>
  <c r="Y431" i="2"/>
  <c r="Z431" i="2" s="1"/>
  <c r="AK431" i="2" s="1"/>
  <c r="AL431" i="2" s="1"/>
  <c r="AN431" i="2" s="1"/>
  <c r="AO431" i="2" s="1"/>
  <c r="Y450" i="2"/>
  <c r="Z450" i="2" s="1"/>
  <c r="AK450" i="2" s="1"/>
  <c r="AL450" i="2" s="1"/>
  <c r="AN450" i="2" s="1"/>
  <c r="AO450" i="2" s="1"/>
  <c r="AA463" i="2"/>
  <c r="Y463" i="2"/>
  <c r="Z463" i="2" s="1"/>
  <c r="AK463" i="2" s="1"/>
  <c r="AL463" i="2" s="1"/>
  <c r="AN463" i="2" s="1"/>
  <c r="AO463" i="2" s="1"/>
  <c r="Y482" i="2"/>
  <c r="Z482" i="2" s="1"/>
  <c r="AK482" i="2" s="1"/>
  <c r="AL482" i="2" s="1"/>
  <c r="AN482" i="2" s="1"/>
  <c r="AO482" i="2" s="1"/>
  <c r="AA495" i="2"/>
  <c r="Y495" i="2"/>
  <c r="Z495" i="2" s="1"/>
  <c r="AK495" i="2" s="1"/>
  <c r="AL495" i="2" s="1"/>
  <c r="AN495" i="2" s="1"/>
  <c r="AO495" i="2" s="1"/>
  <c r="Y514" i="2"/>
  <c r="Z514" i="2" s="1"/>
  <c r="AK514" i="2" s="1"/>
  <c r="AL514" i="2" s="1"/>
  <c r="AN514" i="2" s="1"/>
  <c r="AO514" i="2" s="1"/>
  <c r="AA527" i="2"/>
  <c r="Y527" i="2"/>
  <c r="Z527" i="2" s="1"/>
  <c r="AK527" i="2" s="1"/>
  <c r="AL527" i="2" s="1"/>
  <c r="AN527" i="2" s="1"/>
  <c r="AO527" i="2" s="1"/>
  <c r="AA79" i="2"/>
  <c r="AA80" i="2"/>
  <c r="AA95" i="2"/>
  <c r="AA96" i="2"/>
  <c r="AA111" i="2"/>
  <c r="AA112" i="2"/>
  <c r="AA127" i="2"/>
  <c r="AA128" i="2"/>
  <c r="AA143" i="2"/>
  <c r="AA144" i="2"/>
  <c r="AA159" i="2"/>
  <c r="AA160" i="2"/>
  <c r="AA180" i="2"/>
  <c r="AA183" i="2"/>
  <c r="Y183" i="2"/>
  <c r="Z183" i="2" s="1"/>
  <c r="AK183" i="2" s="1"/>
  <c r="AL183" i="2" s="1"/>
  <c r="AN183" i="2" s="1"/>
  <c r="AO183" i="2" s="1"/>
  <c r="AA196" i="2"/>
  <c r="Y210" i="2"/>
  <c r="Z210" i="2" s="1"/>
  <c r="AK210" i="2" s="1"/>
  <c r="AL210" i="2" s="1"/>
  <c r="AN210" i="2" s="1"/>
  <c r="AO210" i="2" s="1"/>
  <c r="AA213" i="2"/>
  <c r="Z213" i="2"/>
  <c r="AK213" i="2" s="1"/>
  <c r="AL213" i="2" s="1"/>
  <c r="AN213" i="2" s="1"/>
  <c r="AO213" i="2" s="1"/>
  <c r="Z223" i="2"/>
  <c r="AK223" i="2" s="1"/>
  <c r="AL223" i="2" s="1"/>
  <c r="AN223" i="2" s="1"/>
  <c r="AO223" i="2" s="1"/>
  <c r="AA223" i="2"/>
  <c r="AA224" i="2"/>
  <c r="Y224" i="2"/>
  <c r="Z224" i="2" s="1"/>
  <c r="AK224" i="2" s="1"/>
  <c r="AL224" i="2" s="1"/>
  <c r="AN224" i="2" s="1"/>
  <c r="AO224" i="2" s="1"/>
  <c r="Y242" i="2"/>
  <c r="Z242" i="2" s="1"/>
  <c r="AK242" i="2" s="1"/>
  <c r="AL242" i="2" s="1"/>
  <c r="AN242" i="2" s="1"/>
  <c r="AO242" i="2" s="1"/>
  <c r="AA245" i="2"/>
  <c r="Z245" i="2"/>
  <c r="AK245" i="2" s="1"/>
  <c r="AL245" i="2" s="1"/>
  <c r="AN245" i="2" s="1"/>
  <c r="AO245" i="2" s="1"/>
  <c r="Z255" i="2"/>
  <c r="AK255" i="2" s="1"/>
  <c r="AL255" i="2" s="1"/>
  <c r="AN255" i="2" s="1"/>
  <c r="AO255" i="2" s="1"/>
  <c r="AA255" i="2"/>
  <c r="AA256" i="2"/>
  <c r="Y256" i="2"/>
  <c r="Z256" i="2" s="1"/>
  <c r="AK256" i="2" s="1"/>
  <c r="AL256" i="2" s="1"/>
  <c r="AN256" i="2" s="1"/>
  <c r="AO256" i="2" s="1"/>
  <c r="Y274" i="2"/>
  <c r="Z274" i="2" s="1"/>
  <c r="AK274" i="2" s="1"/>
  <c r="AL274" i="2" s="1"/>
  <c r="AN274" i="2" s="1"/>
  <c r="AO274" i="2" s="1"/>
  <c r="AA277" i="2"/>
  <c r="Z277" i="2"/>
  <c r="AK277" i="2" s="1"/>
  <c r="AL277" i="2" s="1"/>
  <c r="AN277" i="2" s="1"/>
  <c r="AO277" i="2" s="1"/>
  <c r="AA329" i="2"/>
  <c r="Z329" i="2"/>
  <c r="AK329" i="2" s="1"/>
  <c r="AL329" i="2" s="1"/>
  <c r="AN329" i="2" s="1"/>
  <c r="AO329" i="2" s="1"/>
  <c r="AA336" i="2"/>
  <c r="Z336" i="2"/>
  <c r="AK336" i="2" s="1"/>
  <c r="AL336" i="2" s="1"/>
  <c r="AN336" i="2" s="1"/>
  <c r="AO336" i="2" s="1"/>
  <c r="AA361" i="2"/>
  <c r="Z361" i="2"/>
  <c r="AK361" i="2" s="1"/>
  <c r="AL361" i="2" s="1"/>
  <c r="AN361" i="2" s="1"/>
  <c r="AO361" i="2" s="1"/>
  <c r="Y378" i="2"/>
  <c r="Z378" i="2" s="1"/>
  <c r="AK378" i="2" s="1"/>
  <c r="AL378" i="2" s="1"/>
  <c r="AN378" i="2" s="1"/>
  <c r="AO378" i="2" s="1"/>
  <c r="AA391" i="2"/>
  <c r="Y391" i="2"/>
  <c r="Z391" i="2" s="1"/>
  <c r="AK391" i="2" s="1"/>
  <c r="AL391" i="2" s="1"/>
  <c r="AN391" i="2" s="1"/>
  <c r="AO391" i="2" s="1"/>
  <c r="Y410" i="2"/>
  <c r="Z410" i="2" s="1"/>
  <c r="AK410" i="2" s="1"/>
  <c r="AL410" i="2" s="1"/>
  <c r="AN410" i="2" s="1"/>
  <c r="AO410" i="2" s="1"/>
  <c r="AA423" i="2"/>
  <c r="Y423" i="2"/>
  <c r="Z423" i="2" s="1"/>
  <c r="AK423" i="2" s="1"/>
  <c r="AL423" i="2" s="1"/>
  <c r="AN423" i="2" s="1"/>
  <c r="AO423" i="2" s="1"/>
  <c r="Y442" i="2"/>
  <c r="Z442" i="2" s="1"/>
  <c r="AK442" i="2" s="1"/>
  <c r="AL442" i="2" s="1"/>
  <c r="AN442" i="2" s="1"/>
  <c r="AO442" i="2" s="1"/>
  <c r="AA455" i="2"/>
  <c r="Y455" i="2"/>
  <c r="Z455" i="2" s="1"/>
  <c r="AK455" i="2" s="1"/>
  <c r="AL455" i="2" s="1"/>
  <c r="AN455" i="2" s="1"/>
  <c r="AO455" i="2" s="1"/>
  <c r="Y474" i="2"/>
  <c r="Z474" i="2" s="1"/>
  <c r="AK474" i="2" s="1"/>
  <c r="AL474" i="2" s="1"/>
  <c r="AN474" i="2" s="1"/>
  <c r="AO474" i="2" s="1"/>
  <c r="AA487" i="2"/>
  <c r="Y487" i="2"/>
  <c r="Z487" i="2" s="1"/>
  <c r="AK487" i="2" s="1"/>
  <c r="AL487" i="2" s="1"/>
  <c r="AN487" i="2" s="1"/>
  <c r="AO487" i="2" s="1"/>
  <c r="Y506" i="2"/>
  <c r="Z506" i="2" s="1"/>
  <c r="AK506" i="2" s="1"/>
  <c r="AL506" i="2" s="1"/>
  <c r="AN506" i="2" s="1"/>
  <c r="AO506" i="2" s="1"/>
  <c r="AA519" i="2"/>
  <c r="Y519" i="2"/>
  <c r="Z519" i="2" s="1"/>
  <c r="AK519" i="2" s="1"/>
  <c r="AL519" i="2" s="1"/>
  <c r="AN519" i="2" s="1"/>
  <c r="AO519" i="2" s="1"/>
  <c r="Y670" i="2"/>
  <c r="Z670" i="2" s="1"/>
  <c r="AK670" i="2" s="1"/>
  <c r="AL670" i="2" s="1"/>
  <c r="AN670" i="2" s="1"/>
  <c r="AO670" i="2" s="1"/>
  <c r="Y810" i="2"/>
  <c r="Z810" i="2" s="1"/>
  <c r="AK810" i="2" s="1"/>
  <c r="AL810" i="2" s="1"/>
  <c r="AN810" i="2" s="1"/>
  <c r="AO810" i="2" s="1"/>
  <c r="AA311" i="2"/>
  <c r="AA331" i="2"/>
  <c r="AA347" i="2"/>
  <c r="AA363" i="2"/>
  <c r="Y530" i="2"/>
  <c r="Z530" i="2" s="1"/>
  <c r="AK530" i="2" s="1"/>
  <c r="AL530" i="2" s="1"/>
  <c r="AN530" i="2" s="1"/>
  <c r="AO530" i="2" s="1"/>
  <c r="Y541" i="2"/>
  <c r="Z541" i="2" s="1"/>
  <c r="AK541" i="2" s="1"/>
  <c r="AL541" i="2" s="1"/>
  <c r="AN541" i="2" s="1"/>
  <c r="AO541" i="2" s="1"/>
  <c r="AA543" i="2"/>
  <c r="Y543" i="2"/>
  <c r="Z543" i="2" s="1"/>
  <c r="AK543" i="2" s="1"/>
  <c r="AL543" i="2" s="1"/>
  <c r="AN543" i="2" s="1"/>
  <c r="AO543" i="2" s="1"/>
  <c r="AA546" i="2"/>
  <c r="Y546" i="2"/>
  <c r="Z546" i="2" s="1"/>
  <c r="AK546" i="2" s="1"/>
  <c r="AL546" i="2" s="1"/>
  <c r="AN546" i="2" s="1"/>
  <c r="AO546" i="2" s="1"/>
  <c r="AA555" i="2"/>
  <c r="Y557" i="2"/>
  <c r="Z557" i="2" s="1"/>
  <c r="AK557" i="2" s="1"/>
  <c r="AL557" i="2" s="1"/>
  <c r="AN557" i="2" s="1"/>
  <c r="AO557" i="2" s="1"/>
  <c r="Y559" i="2"/>
  <c r="Z559" i="2" s="1"/>
  <c r="AK559" i="2" s="1"/>
  <c r="AL559" i="2" s="1"/>
  <c r="AN559" i="2" s="1"/>
  <c r="AO559" i="2" s="1"/>
  <c r="AA562" i="2"/>
  <c r="Y562" i="2"/>
  <c r="Z562" i="2" s="1"/>
  <c r="AK562" i="2" s="1"/>
  <c r="AL562" i="2" s="1"/>
  <c r="AN562" i="2" s="1"/>
  <c r="AO562" i="2" s="1"/>
  <c r="Y570" i="2"/>
  <c r="Z570" i="2" s="1"/>
  <c r="AK570" i="2" s="1"/>
  <c r="AL570" i="2" s="1"/>
  <c r="AN570" i="2" s="1"/>
  <c r="AO570" i="2" s="1"/>
  <c r="AA570" i="2"/>
  <c r="AA630" i="2"/>
  <c r="Y630" i="2"/>
  <c r="Z630" i="2" s="1"/>
  <c r="AK630" i="2" s="1"/>
  <c r="AL630" i="2" s="1"/>
  <c r="AN630" i="2" s="1"/>
  <c r="AO630" i="2" s="1"/>
  <c r="Y643" i="2"/>
  <c r="Z643" i="2" s="1"/>
  <c r="AK643" i="2" s="1"/>
  <c r="AL643" i="2" s="1"/>
  <c r="AN643" i="2" s="1"/>
  <c r="AO643" i="2" s="1"/>
  <c r="AA893" i="2"/>
  <c r="Y893" i="2"/>
  <c r="Z893" i="2" s="1"/>
  <c r="AK893" i="2" s="1"/>
  <c r="AL893" i="2" s="1"/>
  <c r="AN893" i="2" s="1"/>
  <c r="AO893" i="2" s="1"/>
  <c r="Y894" i="2"/>
  <c r="Z894" i="2" s="1"/>
  <c r="AK894" i="2" s="1"/>
  <c r="AL894" i="2" s="1"/>
  <c r="AN894" i="2" s="1"/>
  <c r="AO894" i="2" s="1"/>
  <c r="Y199" i="2"/>
  <c r="Z199" i="2" s="1"/>
  <c r="AK199" i="2" s="1"/>
  <c r="AL199" i="2" s="1"/>
  <c r="AN199" i="2" s="1"/>
  <c r="AO199" i="2" s="1"/>
  <c r="AA200" i="2"/>
  <c r="Z201" i="2"/>
  <c r="AK201" i="2" s="1"/>
  <c r="AL201" i="2" s="1"/>
  <c r="AN201" i="2" s="1"/>
  <c r="AO201" i="2" s="1"/>
  <c r="Y212" i="2"/>
  <c r="Z212" i="2" s="1"/>
  <c r="AK212" i="2" s="1"/>
  <c r="AL212" i="2" s="1"/>
  <c r="AN212" i="2" s="1"/>
  <c r="AO212" i="2" s="1"/>
  <c r="Y215" i="2"/>
  <c r="Z215" i="2" s="1"/>
  <c r="AK215" i="2" s="1"/>
  <c r="AL215" i="2" s="1"/>
  <c r="AN215" i="2" s="1"/>
  <c r="AO215" i="2" s="1"/>
  <c r="AA216" i="2"/>
  <c r="Z217" i="2"/>
  <c r="AK217" i="2" s="1"/>
  <c r="AL217" i="2" s="1"/>
  <c r="AN217" i="2" s="1"/>
  <c r="AO217" i="2" s="1"/>
  <c r="Y228" i="2"/>
  <c r="Z228" i="2" s="1"/>
  <c r="AK228" i="2" s="1"/>
  <c r="AL228" i="2" s="1"/>
  <c r="AN228" i="2" s="1"/>
  <c r="AO228" i="2" s="1"/>
  <c r="Y231" i="2"/>
  <c r="Z231" i="2" s="1"/>
  <c r="AK231" i="2" s="1"/>
  <c r="AL231" i="2" s="1"/>
  <c r="AN231" i="2" s="1"/>
  <c r="AO231" i="2" s="1"/>
  <c r="AA232" i="2"/>
  <c r="Z233" i="2"/>
  <c r="AK233" i="2" s="1"/>
  <c r="AL233" i="2" s="1"/>
  <c r="AN233" i="2" s="1"/>
  <c r="AO233" i="2" s="1"/>
  <c r="Y244" i="2"/>
  <c r="Z244" i="2" s="1"/>
  <c r="AK244" i="2" s="1"/>
  <c r="AL244" i="2" s="1"/>
  <c r="AN244" i="2" s="1"/>
  <c r="AO244" i="2" s="1"/>
  <c r="Y247" i="2"/>
  <c r="Z247" i="2" s="1"/>
  <c r="AK247" i="2" s="1"/>
  <c r="AL247" i="2" s="1"/>
  <c r="AN247" i="2" s="1"/>
  <c r="AO247" i="2" s="1"/>
  <c r="AA248" i="2"/>
  <c r="Z249" i="2"/>
  <c r="AK249" i="2" s="1"/>
  <c r="AL249" i="2" s="1"/>
  <c r="AN249" i="2" s="1"/>
  <c r="AO249" i="2" s="1"/>
  <c r="Y260" i="2"/>
  <c r="Z260" i="2" s="1"/>
  <c r="AK260" i="2" s="1"/>
  <c r="AL260" i="2" s="1"/>
  <c r="AN260" i="2" s="1"/>
  <c r="AO260" i="2" s="1"/>
  <c r="Y263" i="2"/>
  <c r="Z263" i="2" s="1"/>
  <c r="AK263" i="2" s="1"/>
  <c r="AL263" i="2" s="1"/>
  <c r="AN263" i="2" s="1"/>
  <c r="AO263" i="2" s="1"/>
  <c r="AA264" i="2"/>
  <c r="Z265" i="2"/>
  <c r="AK265" i="2" s="1"/>
  <c r="AL265" i="2" s="1"/>
  <c r="AN265" i="2" s="1"/>
  <c r="AO265" i="2" s="1"/>
  <c r="Y276" i="2"/>
  <c r="Z276" i="2" s="1"/>
  <c r="AK276" i="2" s="1"/>
  <c r="AL276" i="2" s="1"/>
  <c r="AN276" i="2" s="1"/>
  <c r="AO276" i="2" s="1"/>
  <c r="Y279" i="2"/>
  <c r="Z279" i="2" s="1"/>
  <c r="AK279" i="2" s="1"/>
  <c r="AL279" i="2" s="1"/>
  <c r="AN279" i="2" s="1"/>
  <c r="AO279" i="2" s="1"/>
  <c r="AA280" i="2"/>
  <c r="Z281" i="2"/>
  <c r="AK281" i="2" s="1"/>
  <c r="AL281" i="2" s="1"/>
  <c r="AN281" i="2" s="1"/>
  <c r="AO281" i="2" s="1"/>
  <c r="AA286" i="2"/>
  <c r="AA291" i="2"/>
  <c r="AA292" i="2"/>
  <c r="Y295" i="2"/>
  <c r="Z295" i="2" s="1"/>
  <c r="AK295" i="2" s="1"/>
  <c r="AL295" i="2" s="1"/>
  <c r="AN295" i="2" s="1"/>
  <c r="AO295" i="2" s="1"/>
  <c r="AA302" i="2"/>
  <c r="AA307" i="2"/>
  <c r="AA308" i="2"/>
  <c r="Y311" i="2"/>
  <c r="Z311" i="2" s="1"/>
  <c r="AK311" i="2" s="1"/>
  <c r="AL311" i="2" s="1"/>
  <c r="AN311" i="2" s="1"/>
  <c r="AO311" i="2" s="1"/>
  <c r="AA318" i="2"/>
  <c r="Y323" i="2"/>
  <c r="Z323" i="2" s="1"/>
  <c r="AK323" i="2" s="1"/>
  <c r="AL323" i="2" s="1"/>
  <c r="AN323" i="2" s="1"/>
  <c r="AO323" i="2" s="1"/>
  <c r="AA326" i="2"/>
  <c r="Y331" i="2"/>
  <c r="Z331" i="2" s="1"/>
  <c r="AK331" i="2" s="1"/>
  <c r="AL331" i="2" s="1"/>
  <c r="AN331" i="2" s="1"/>
  <c r="AO331" i="2" s="1"/>
  <c r="AA334" i="2"/>
  <c r="Y339" i="2"/>
  <c r="Z339" i="2" s="1"/>
  <c r="AK339" i="2" s="1"/>
  <c r="AL339" i="2" s="1"/>
  <c r="AN339" i="2" s="1"/>
  <c r="AO339" i="2" s="1"/>
  <c r="AA342" i="2"/>
  <c r="Y347" i="2"/>
  <c r="Z347" i="2" s="1"/>
  <c r="AK347" i="2" s="1"/>
  <c r="AL347" i="2" s="1"/>
  <c r="AN347" i="2" s="1"/>
  <c r="AO347" i="2" s="1"/>
  <c r="AA350" i="2"/>
  <c r="Y355" i="2"/>
  <c r="Z355" i="2" s="1"/>
  <c r="AK355" i="2" s="1"/>
  <c r="AL355" i="2" s="1"/>
  <c r="AN355" i="2" s="1"/>
  <c r="AO355" i="2" s="1"/>
  <c r="AA358" i="2"/>
  <c r="Y363" i="2"/>
  <c r="Z363" i="2" s="1"/>
  <c r="AK363" i="2" s="1"/>
  <c r="AL363" i="2" s="1"/>
  <c r="AN363" i="2" s="1"/>
  <c r="AO363" i="2" s="1"/>
  <c r="AA366" i="2"/>
  <c r="AA371" i="2"/>
  <c r="Z376" i="2"/>
  <c r="AK376" i="2" s="1"/>
  <c r="AL376" i="2" s="1"/>
  <c r="AN376" i="2" s="1"/>
  <c r="AO376" i="2" s="1"/>
  <c r="Z377" i="2"/>
  <c r="AK377" i="2" s="1"/>
  <c r="AL377" i="2" s="1"/>
  <c r="AN377" i="2" s="1"/>
  <c r="AO377" i="2" s="1"/>
  <c r="AA379" i="2"/>
  <c r="Z384" i="2"/>
  <c r="AK384" i="2" s="1"/>
  <c r="AL384" i="2" s="1"/>
  <c r="AN384" i="2" s="1"/>
  <c r="AO384" i="2" s="1"/>
  <c r="Z385" i="2"/>
  <c r="AK385" i="2" s="1"/>
  <c r="AL385" i="2" s="1"/>
  <c r="AN385" i="2" s="1"/>
  <c r="AO385" i="2" s="1"/>
  <c r="AA387" i="2"/>
  <c r="Z392" i="2"/>
  <c r="AK392" i="2" s="1"/>
  <c r="AL392" i="2" s="1"/>
  <c r="AN392" i="2" s="1"/>
  <c r="AO392" i="2" s="1"/>
  <c r="Z393" i="2"/>
  <c r="AK393" i="2" s="1"/>
  <c r="AL393" i="2" s="1"/>
  <c r="AN393" i="2" s="1"/>
  <c r="AO393" i="2" s="1"/>
  <c r="AA395" i="2"/>
  <c r="Z400" i="2"/>
  <c r="AK400" i="2" s="1"/>
  <c r="AL400" i="2" s="1"/>
  <c r="AN400" i="2" s="1"/>
  <c r="AO400" i="2" s="1"/>
  <c r="Z401" i="2"/>
  <c r="AK401" i="2" s="1"/>
  <c r="AL401" i="2" s="1"/>
  <c r="AN401" i="2" s="1"/>
  <c r="AO401" i="2" s="1"/>
  <c r="AA403" i="2"/>
  <c r="Z408" i="2"/>
  <c r="AK408" i="2" s="1"/>
  <c r="AL408" i="2" s="1"/>
  <c r="AN408" i="2" s="1"/>
  <c r="AO408" i="2" s="1"/>
  <c r="Z409" i="2"/>
  <c r="AK409" i="2" s="1"/>
  <c r="AL409" i="2" s="1"/>
  <c r="AN409" i="2" s="1"/>
  <c r="AO409" i="2" s="1"/>
  <c r="AA411" i="2"/>
  <c r="Z416" i="2"/>
  <c r="AK416" i="2" s="1"/>
  <c r="AL416" i="2" s="1"/>
  <c r="AN416" i="2" s="1"/>
  <c r="AO416" i="2" s="1"/>
  <c r="Z417" i="2"/>
  <c r="AK417" i="2" s="1"/>
  <c r="AL417" i="2" s="1"/>
  <c r="AN417" i="2" s="1"/>
  <c r="AO417" i="2" s="1"/>
  <c r="AA419" i="2"/>
  <c r="Z424" i="2"/>
  <c r="AK424" i="2" s="1"/>
  <c r="AL424" i="2" s="1"/>
  <c r="AN424" i="2" s="1"/>
  <c r="AO424" i="2" s="1"/>
  <c r="Z425" i="2"/>
  <c r="AK425" i="2" s="1"/>
  <c r="AL425" i="2" s="1"/>
  <c r="AN425" i="2" s="1"/>
  <c r="AO425" i="2" s="1"/>
  <c r="AA427" i="2"/>
  <c r="Z432" i="2"/>
  <c r="AK432" i="2" s="1"/>
  <c r="AL432" i="2" s="1"/>
  <c r="AN432" i="2" s="1"/>
  <c r="AO432" i="2" s="1"/>
  <c r="Z433" i="2"/>
  <c r="AK433" i="2" s="1"/>
  <c r="AL433" i="2" s="1"/>
  <c r="AN433" i="2" s="1"/>
  <c r="AO433" i="2" s="1"/>
  <c r="AA435" i="2"/>
  <c r="Z440" i="2"/>
  <c r="AK440" i="2" s="1"/>
  <c r="AL440" i="2" s="1"/>
  <c r="AN440" i="2" s="1"/>
  <c r="AO440" i="2" s="1"/>
  <c r="Z441" i="2"/>
  <c r="AK441" i="2" s="1"/>
  <c r="AL441" i="2" s="1"/>
  <c r="AN441" i="2" s="1"/>
  <c r="AO441" i="2" s="1"/>
  <c r="AA443" i="2"/>
  <c r="Z448" i="2"/>
  <c r="AK448" i="2" s="1"/>
  <c r="AL448" i="2" s="1"/>
  <c r="AN448" i="2" s="1"/>
  <c r="AO448" i="2" s="1"/>
  <c r="Z449" i="2"/>
  <c r="AK449" i="2" s="1"/>
  <c r="AL449" i="2" s="1"/>
  <c r="AN449" i="2" s="1"/>
  <c r="AO449" i="2" s="1"/>
  <c r="AA451" i="2"/>
  <c r="Z456" i="2"/>
  <c r="AK456" i="2" s="1"/>
  <c r="AL456" i="2" s="1"/>
  <c r="AN456" i="2" s="1"/>
  <c r="AO456" i="2" s="1"/>
  <c r="Z457" i="2"/>
  <c r="AK457" i="2" s="1"/>
  <c r="AL457" i="2" s="1"/>
  <c r="AN457" i="2" s="1"/>
  <c r="AO457" i="2" s="1"/>
  <c r="AA459" i="2"/>
  <c r="Z464" i="2"/>
  <c r="AK464" i="2" s="1"/>
  <c r="AL464" i="2" s="1"/>
  <c r="AN464" i="2" s="1"/>
  <c r="AO464" i="2" s="1"/>
  <c r="Z465" i="2"/>
  <c r="AK465" i="2" s="1"/>
  <c r="AL465" i="2" s="1"/>
  <c r="AN465" i="2" s="1"/>
  <c r="AO465" i="2" s="1"/>
  <c r="AA467" i="2"/>
  <c r="Z472" i="2"/>
  <c r="AK472" i="2" s="1"/>
  <c r="AL472" i="2" s="1"/>
  <c r="AN472" i="2" s="1"/>
  <c r="AO472" i="2" s="1"/>
  <c r="Z473" i="2"/>
  <c r="AK473" i="2" s="1"/>
  <c r="AL473" i="2" s="1"/>
  <c r="AN473" i="2" s="1"/>
  <c r="AO473" i="2" s="1"/>
  <c r="AA475" i="2"/>
  <c r="Z480" i="2"/>
  <c r="AK480" i="2" s="1"/>
  <c r="AL480" i="2" s="1"/>
  <c r="AN480" i="2" s="1"/>
  <c r="AO480" i="2" s="1"/>
  <c r="Z481" i="2"/>
  <c r="AK481" i="2" s="1"/>
  <c r="AL481" i="2" s="1"/>
  <c r="AN481" i="2" s="1"/>
  <c r="AO481" i="2" s="1"/>
  <c r="AA483" i="2"/>
  <c r="Z488" i="2"/>
  <c r="AK488" i="2" s="1"/>
  <c r="AL488" i="2" s="1"/>
  <c r="AN488" i="2" s="1"/>
  <c r="AO488" i="2" s="1"/>
  <c r="Z489" i="2"/>
  <c r="AK489" i="2" s="1"/>
  <c r="AL489" i="2" s="1"/>
  <c r="AN489" i="2" s="1"/>
  <c r="AO489" i="2" s="1"/>
  <c r="AA491" i="2"/>
  <c r="Z496" i="2"/>
  <c r="AK496" i="2" s="1"/>
  <c r="AL496" i="2" s="1"/>
  <c r="AN496" i="2" s="1"/>
  <c r="AO496" i="2" s="1"/>
  <c r="Z497" i="2"/>
  <c r="AK497" i="2" s="1"/>
  <c r="AL497" i="2" s="1"/>
  <c r="AN497" i="2" s="1"/>
  <c r="AO497" i="2" s="1"/>
  <c r="AA499" i="2"/>
  <c r="Z504" i="2"/>
  <c r="AK504" i="2" s="1"/>
  <c r="AL504" i="2" s="1"/>
  <c r="AN504" i="2" s="1"/>
  <c r="AO504" i="2" s="1"/>
  <c r="Z505" i="2"/>
  <c r="AK505" i="2" s="1"/>
  <c r="AL505" i="2" s="1"/>
  <c r="AN505" i="2" s="1"/>
  <c r="AO505" i="2" s="1"/>
  <c r="AA507" i="2"/>
  <c r="Z512" i="2"/>
  <c r="AK512" i="2" s="1"/>
  <c r="AL512" i="2" s="1"/>
  <c r="AN512" i="2" s="1"/>
  <c r="AO512" i="2" s="1"/>
  <c r="Z513" i="2"/>
  <c r="AK513" i="2" s="1"/>
  <c r="AL513" i="2" s="1"/>
  <c r="AN513" i="2" s="1"/>
  <c r="AO513" i="2" s="1"/>
  <c r="AA515" i="2"/>
  <c r="Z520" i="2"/>
  <c r="AK520" i="2" s="1"/>
  <c r="AL520" i="2" s="1"/>
  <c r="AN520" i="2" s="1"/>
  <c r="AO520" i="2" s="1"/>
  <c r="Z521" i="2"/>
  <c r="AK521" i="2" s="1"/>
  <c r="AL521" i="2" s="1"/>
  <c r="AN521" i="2" s="1"/>
  <c r="AO521" i="2" s="1"/>
  <c r="AA523" i="2"/>
  <c r="Z528" i="2"/>
  <c r="AK528" i="2" s="1"/>
  <c r="AL528" i="2" s="1"/>
  <c r="AN528" i="2" s="1"/>
  <c r="AO528" i="2" s="1"/>
  <c r="AA532" i="2"/>
  <c r="Z532" i="2"/>
  <c r="AK532" i="2" s="1"/>
  <c r="AL532" i="2" s="1"/>
  <c r="AN532" i="2" s="1"/>
  <c r="AO532" i="2" s="1"/>
  <c r="Y539" i="2"/>
  <c r="Z539" i="2" s="1"/>
  <c r="AK539" i="2" s="1"/>
  <c r="AL539" i="2" s="1"/>
  <c r="AN539" i="2" s="1"/>
  <c r="AO539" i="2" s="1"/>
  <c r="Z544" i="2"/>
  <c r="AK544" i="2" s="1"/>
  <c r="AL544" i="2" s="1"/>
  <c r="AN544" i="2" s="1"/>
  <c r="AO544" i="2" s="1"/>
  <c r="AA548" i="2"/>
  <c r="Z548" i="2"/>
  <c r="AK548" i="2" s="1"/>
  <c r="AL548" i="2" s="1"/>
  <c r="AN548" i="2" s="1"/>
  <c r="AO548" i="2" s="1"/>
  <c r="Y555" i="2"/>
  <c r="Z555" i="2" s="1"/>
  <c r="AK555" i="2" s="1"/>
  <c r="AL555" i="2" s="1"/>
  <c r="AN555" i="2" s="1"/>
  <c r="AO555" i="2" s="1"/>
  <c r="Z560" i="2"/>
  <c r="AK560" i="2" s="1"/>
  <c r="AL560" i="2" s="1"/>
  <c r="AN560" i="2" s="1"/>
  <c r="AO560" i="2" s="1"/>
  <c r="AA567" i="2"/>
  <c r="Y567" i="2"/>
  <c r="Z567" i="2" s="1"/>
  <c r="AK567" i="2" s="1"/>
  <c r="AL567" i="2" s="1"/>
  <c r="AN567" i="2" s="1"/>
  <c r="AO567" i="2" s="1"/>
  <c r="Y581" i="2"/>
  <c r="Z581" i="2" s="1"/>
  <c r="AK581" i="2" s="1"/>
  <c r="AL581" i="2" s="1"/>
  <c r="AN581" i="2" s="1"/>
  <c r="AO581" i="2" s="1"/>
  <c r="Y613" i="2"/>
  <c r="Z613" i="2" s="1"/>
  <c r="AK613" i="2" s="1"/>
  <c r="AL613" i="2" s="1"/>
  <c r="AN613" i="2" s="1"/>
  <c r="AO613" i="2" s="1"/>
  <c r="AA754" i="2"/>
  <c r="Z754" i="2"/>
  <c r="AK754" i="2" s="1"/>
  <c r="AL754" i="2" s="1"/>
  <c r="AN754" i="2" s="1"/>
  <c r="AO754" i="2" s="1"/>
  <c r="AA764" i="2"/>
  <c r="Y764" i="2"/>
  <c r="Z764" i="2" s="1"/>
  <c r="AK764" i="2" s="1"/>
  <c r="AL764" i="2" s="1"/>
  <c r="AN764" i="2" s="1"/>
  <c r="AO764" i="2" s="1"/>
  <c r="AA769" i="2"/>
  <c r="Z769" i="2"/>
  <c r="AK769" i="2" s="1"/>
  <c r="AL769" i="2" s="1"/>
  <c r="AN769" i="2" s="1"/>
  <c r="AO769" i="2" s="1"/>
  <c r="AA198" i="2"/>
  <c r="AA204" i="2"/>
  <c r="AA214" i="2"/>
  <c r="AA220" i="2"/>
  <c r="AA230" i="2"/>
  <c r="AA236" i="2"/>
  <c r="AA246" i="2"/>
  <c r="AA252" i="2"/>
  <c r="AA262" i="2"/>
  <c r="AA268" i="2"/>
  <c r="AA278" i="2"/>
  <c r="AA284" i="2"/>
  <c r="AA287" i="2"/>
  <c r="AA288" i="2"/>
  <c r="AA303" i="2"/>
  <c r="AA304" i="2"/>
  <c r="AA319" i="2"/>
  <c r="AA327" i="2"/>
  <c r="AA335" i="2"/>
  <c r="AA343" i="2"/>
  <c r="AA351" i="2"/>
  <c r="AA352" i="2"/>
  <c r="AA359" i="2"/>
  <c r="AA360" i="2"/>
  <c r="AA367" i="2"/>
  <c r="AA368" i="2"/>
  <c r="AA542" i="2"/>
  <c r="AA558" i="2"/>
  <c r="Y577" i="2"/>
  <c r="Z577" i="2" s="1"/>
  <c r="AK577" i="2" s="1"/>
  <c r="AL577" i="2" s="1"/>
  <c r="AN577" i="2" s="1"/>
  <c r="AO577" i="2" s="1"/>
  <c r="AA577" i="2"/>
  <c r="AA579" i="2"/>
  <c r="Y579" i="2"/>
  <c r="Z579" i="2" s="1"/>
  <c r="AK579" i="2" s="1"/>
  <c r="AL579" i="2" s="1"/>
  <c r="AN579" i="2" s="1"/>
  <c r="AO579" i="2" s="1"/>
  <c r="Y582" i="2"/>
  <c r="Z582" i="2" s="1"/>
  <c r="AK582" i="2" s="1"/>
  <c r="AL582" i="2" s="1"/>
  <c r="AN582" i="2" s="1"/>
  <c r="AO582" i="2" s="1"/>
  <c r="Y593" i="2"/>
  <c r="Z593" i="2" s="1"/>
  <c r="AK593" i="2" s="1"/>
  <c r="AL593" i="2" s="1"/>
  <c r="AN593" i="2" s="1"/>
  <c r="AO593" i="2" s="1"/>
  <c r="AA595" i="2"/>
  <c r="Y595" i="2"/>
  <c r="Z595" i="2" s="1"/>
  <c r="AK595" i="2" s="1"/>
  <c r="AL595" i="2" s="1"/>
  <c r="AN595" i="2" s="1"/>
  <c r="AO595" i="2" s="1"/>
  <c r="AA598" i="2"/>
  <c r="Y598" i="2"/>
  <c r="Z598" i="2" s="1"/>
  <c r="AK598" i="2" s="1"/>
  <c r="AL598" i="2" s="1"/>
  <c r="AN598" i="2" s="1"/>
  <c r="AO598" i="2" s="1"/>
  <c r="AA607" i="2"/>
  <c r="Y609" i="2"/>
  <c r="Z609" i="2" s="1"/>
  <c r="AK609" i="2" s="1"/>
  <c r="AL609" i="2" s="1"/>
  <c r="AN609" i="2" s="1"/>
  <c r="AO609" i="2" s="1"/>
  <c r="Y611" i="2"/>
  <c r="Z611" i="2" s="1"/>
  <c r="AK611" i="2" s="1"/>
  <c r="AL611" i="2" s="1"/>
  <c r="AN611" i="2" s="1"/>
  <c r="AO611" i="2" s="1"/>
  <c r="AA614" i="2"/>
  <c r="Y614" i="2"/>
  <c r="Z614" i="2" s="1"/>
  <c r="AK614" i="2" s="1"/>
  <c r="AL614" i="2" s="1"/>
  <c r="AN614" i="2" s="1"/>
  <c r="AO614" i="2" s="1"/>
  <c r="Y625" i="2"/>
  <c r="Z625" i="2" s="1"/>
  <c r="AK625" i="2" s="1"/>
  <c r="AL625" i="2" s="1"/>
  <c r="AN625" i="2" s="1"/>
  <c r="AO625" i="2" s="1"/>
  <c r="AA627" i="2"/>
  <c r="Y627" i="2"/>
  <c r="Z627" i="2" s="1"/>
  <c r="AK627" i="2" s="1"/>
  <c r="AL627" i="2" s="1"/>
  <c r="AN627" i="2" s="1"/>
  <c r="AO627" i="2" s="1"/>
  <c r="Z634" i="2"/>
  <c r="AK634" i="2" s="1"/>
  <c r="AL634" i="2" s="1"/>
  <c r="AN634" i="2" s="1"/>
  <c r="AO634" i="2" s="1"/>
  <c r="AA634" i="2"/>
  <c r="Y645" i="2"/>
  <c r="Z645" i="2" s="1"/>
  <c r="AK645" i="2" s="1"/>
  <c r="AL645" i="2" s="1"/>
  <c r="AN645" i="2" s="1"/>
  <c r="AO645" i="2" s="1"/>
  <c r="AA648" i="2"/>
  <c r="Z648" i="2"/>
  <c r="AK648" i="2" s="1"/>
  <c r="AL648" i="2" s="1"/>
  <c r="AN648" i="2" s="1"/>
  <c r="AO648" i="2" s="1"/>
  <c r="AA664" i="2"/>
  <c r="Y664" i="2"/>
  <c r="Z664" i="2" s="1"/>
  <c r="AK664" i="2" s="1"/>
  <c r="AL664" i="2" s="1"/>
  <c r="AN664" i="2" s="1"/>
  <c r="AO664" i="2" s="1"/>
  <c r="AA722" i="2"/>
  <c r="Z722" i="2"/>
  <c r="AK722" i="2" s="1"/>
  <c r="AL722" i="2" s="1"/>
  <c r="AN722" i="2" s="1"/>
  <c r="AO722" i="2" s="1"/>
  <c r="AA732" i="2"/>
  <c r="Y732" i="2"/>
  <c r="Z732" i="2" s="1"/>
  <c r="AK732" i="2" s="1"/>
  <c r="AL732" i="2" s="1"/>
  <c r="AN732" i="2" s="1"/>
  <c r="AO732" i="2" s="1"/>
  <c r="AA737" i="2"/>
  <c r="Z737" i="2"/>
  <c r="AK737" i="2" s="1"/>
  <c r="AL737" i="2" s="1"/>
  <c r="AN737" i="2" s="1"/>
  <c r="AO737" i="2" s="1"/>
  <c r="Y775" i="2"/>
  <c r="Z775" i="2" s="1"/>
  <c r="AK775" i="2" s="1"/>
  <c r="AL775" i="2" s="1"/>
  <c r="AN775" i="2" s="1"/>
  <c r="AO775" i="2" s="1"/>
  <c r="Z794" i="2"/>
  <c r="AK794" i="2" s="1"/>
  <c r="AL794" i="2" s="1"/>
  <c r="AN794" i="2" s="1"/>
  <c r="AO794" i="2" s="1"/>
  <c r="AA794" i="2"/>
  <c r="Y563" i="2"/>
  <c r="Z563" i="2" s="1"/>
  <c r="AK563" i="2" s="1"/>
  <c r="AL563" i="2" s="1"/>
  <c r="AN563" i="2" s="1"/>
  <c r="AO563" i="2" s="1"/>
  <c r="Y566" i="2"/>
  <c r="Z566" i="2" s="1"/>
  <c r="AK566" i="2" s="1"/>
  <c r="AL566" i="2" s="1"/>
  <c r="AN566" i="2" s="1"/>
  <c r="AO566" i="2" s="1"/>
  <c r="Z568" i="2"/>
  <c r="AK568" i="2" s="1"/>
  <c r="AL568" i="2" s="1"/>
  <c r="AN568" i="2" s="1"/>
  <c r="AO568" i="2" s="1"/>
  <c r="AA569" i="2"/>
  <c r="AA572" i="2"/>
  <c r="Y575" i="2"/>
  <c r="Z575" i="2" s="1"/>
  <c r="AK575" i="2" s="1"/>
  <c r="AL575" i="2" s="1"/>
  <c r="AN575" i="2" s="1"/>
  <c r="AO575" i="2" s="1"/>
  <c r="Z580" i="2"/>
  <c r="AK580" i="2" s="1"/>
  <c r="AL580" i="2" s="1"/>
  <c r="AN580" i="2" s="1"/>
  <c r="AO580" i="2" s="1"/>
  <c r="AA584" i="2"/>
  <c r="Z584" i="2"/>
  <c r="AK584" i="2" s="1"/>
  <c r="AL584" i="2" s="1"/>
  <c r="AN584" i="2" s="1"/>
  <c r="AO584" i="2" s="1"/>
  <c r="Y591" i="2"/>
  <c r="Z591" i="2" s="1"/>
  <c r="AK591" i="2" s="1"/>
  <c r="AL591" i="2" s="1"/>
  <c r="AN591" i="2" s="1"/>
  <c r="AO591" i="2" s="1"/>
  <c r="Z596" i="2"/>
  <c r="AK596" i="2" s="1"/>
  <c r="AL596" i="2" s="1"/>
  <c r="AN596" i="2" s="1"/>
  <c r="AO596" i="2" s="1"/>
  <c r="AA600" i="2"/>
  <c r="Z600" i="2"/>
  <c r="AK600" i="2" s="1"/>
  <c r="AL600" i="2" s="1"/>
  <c r="AN600" i="2" s="1"/>
  <c r="AO600" i="2" s="1"/>
  <c r="Y607" i="2"/>
  <c r="Z607" i="2" s="1"/>
  <c r="AK607" i="2" s="1"/>
  <c r="AL607" i="2" s="1"/>
  <c r="AN607" i="2" s="1"/>
  <c r="AO607" i="2" s="1"/>
  <c r="Z612" i="2"/>
  <c r="AK612" i="2" s="1"/>
  <c r="AL612" i="2" s="1"/>
  <c r="AN612" i="2" s="1"/>
  <c r="AO612" i="2" s="1"/>
  <c r="AA616" i="2"/>
  <c r="Z616" i="2"/>
  <c r="AK616" i="2" s="1"/>
  <c r="AL616" i="2" s="1"/>
  <c r="AN616" i="2" s="1"/>
  <c r="AO616" i="2" s="1"/>
  <c r="Y623" i="2"/>
  <c r="Z623" i="2" s="1"/>
  <c r="AK623" i="2" s="1"/>
  <c r="AL623" i="2" s="1"/>
  <c r="AN623" i="2" s="1"/>
  <c r="AO623" i="2" s="1"/>
  <c r="AA646" i="2"/>
  <c r="Y646" i="2"/>
  <c r="Z646" i="2" s="1"/>
  <c r="AK646" i="2" s="1"/>
  <c r="AL646" i="2" s="1"/>
  <c r="AN646" i="2" s="1"/>
  <c r="AO646" i="2" s="1"/>
  <c r="AA653" i="2"/>
  <c r="Z653" i="2"/>
  <c r="AK653" i="2" s="1"/>
  <c r="AL653" i="2" s="1"/>
  <c r="AN653" i="2" s="1"/>
  <c r="AO653" i="2" s="1"/>
  <c r="Y743" i="2"/>
  <c r="Z743" i="2" s="1"/>
  <c r="AK743" i="2" s="1"/>
  <c r="AL743" i="2" s="1"/>
  <c r="AN743" i="2" s="1"/>
  <c r="AO743" i="2" s="1"/>
  <c r="Y868" i="2"/>
  <c r="Z868" i="2" s="1"/>
  <c r="AK868" i="2" s="1"/>
  <c r="AL868" i="2" s="1"/>
  <c r="AN868" i="2" s="1"/>
  <c r="AO868" i="2" s="1"/>
  <c r="AA878" i="2"/>
  <c r="Y878" i="2"/>
  <c r="Z878" i="2" s="1"/>
  <c r="AK878" i="2" s="1"/>
  <c r="AL878" i="2" s="1"/>
  <c r="AN878" i="2" s="1"/>
  <c r="AO878" i="2" s="1"/>
  <c r="Y531" i="2"/>
  <c r="Z531" i="2" s="1"/>
  <c r="AK531" i="2" s="1"/>
  <c r="AL531" i="2" s="1"/>
  <c r="AN531" i="2" s="1"/>
  <c r="AO531" i="2" s="1"/>
  <c r="AA535" i="2"/>
  <c r="Y547" i="2"/>
  <c r="Z547" i="2" s="1"/>
  <c r="AK547" i="2" s="1"/>
  <c r="AL547" i="2" s="1"/>
  <c r="AN547" i="2" s="1"/>
  <c r="AO547" i="2" s="1"/>
  <c r="AA551" i="2"/>
  <c r="Y565" i="2"/>
  <c r="Z565" i="2" s="1"/>
  <c r="AK565" i="2" s="1"/>
  <c r="AL565" i="2" s="1"/>
  <c r="AN565" i="2" s="1"/>
  <c r="AO565" i="2" s="1"/>
  <c r="AA578" i="2"/>
  <c r="AA586" i="2"/>
  <c r="AA594" i="2"/>
  <c r="AA602" i="2"/>
  <c r="AA610" i="2"/>
  <c r="AA618" i="2"/>
  <c r="AA626" i="2"/>
  <c r="Y629" i="2"/>
  <c r="Z629" i="2" s="1"/>
  <c r="AK629" i="2" s="1"/>
  <c r="AL629" i="2" s="1"/>
  <c r="AN629" i="2" s="1"/>
  <c r="AO629" i="2" s="1"/>
  <c r="AA632" i="2"/>
  <c r="Z632" i="2"/>
  <c r="AK632" i="2" s="1"/>
  <c r="AL632" i="2" s="1"/>
  <c r="AN632" i="2" s="1"/>
  <c r="AO632" i="2" s="1"/>
  <c r="AA642" i="2"/>
  <c r="Z650" i="2"/>
  <c r="AK650" i="2" s="1"/>
  <c r="AL650" i="2" s="1"/>
  <c r="AN650" i="2" s="1"/>
  <c r="AO650" i="2" s="1"/>
  <c r="AA650" i="2"/>
  <c r="Y654" i="2"/>
  <c r="Z654" i="2" s="1"/>
  <c r="AK654" i="2" s="1"/>
  <c r="AL654" i="2" s="1"/>
  <c r="AN654" i="2" s="1"/>
  <c r="AO654" i="2" s="1"/>
  <c r="AA669" i="2"/>
  <c r="Z669" i="2"/>
  <c r="AK669" i="2" s="1"/>
  <c r="AL669" i="2" s="1"/>
  <c r="AN669" i="2" s="1"/>
  <c r="AO669" i="2" s="1"/>
  <c r="AA700" i="2"/>
  <c r="Y700" i="2"/>
  <c r="Z700" i="2" s="1"/>
  <c r="AK700" i="2" s="1"/>
  <c r="AL700" i="2" s="1"/>
  <c r="AN700" i="2" s="1"/>
  <c r="AO700" i="2" s="1"/>
  <c r="AA705" i="2"/>
  <c r="Z705" i="2"/>
  <c r="AK705" i="2" s="1"/>
  <c r="AL705" i="2" s="1"/>
  <c r="AN705" i="2" s="1"/>
  <c r="AO705" i="2" s="1"/>
  <c r="Y711" i="2"/>
  <c r="Z711" i="2" s="1"/>
  <c r="AK711" i="2" s="1"/>
  <c r="AL711" i="2" s="1"/>
  <c r="AN711" i="2" s="1"/>
  <c r="AO711" i="2" s="1"/>
  <c r="AA786" i="2"/>
  <c r="Z786" i="2"/>
  <c r="AK786" i="2" s="1"/>
  <c r="AL786" i="2" s="1"/>
  <c r="AN786" i="2" s="1"/>
  <c r="AO786" i="2" s="1"/>
  <c r="AA815" i="2"/>
  <c r="Y815" i="2"/>
  <c r="Z815" i="2" s="1"/>
  <c r="AK815" i="2" s="1"/>
  <c r="AL815" i="2" s="1"/>
  <c r="AN815" i="2" s="1"/>
  <c r="AO815" i="2" s="1"/>
  <c r="AA583" i="2"/>
  <c r="AA615" i="2"/>
  <c r="AA641" i="2"/>
  <c r="AA656" i="2"/>
  <c r="Y656" i="2"/>
  <c r="Z656" i="2" s="1"/>
  <c r="AK656" i="2" s="1"/>
  <c r="AL656" i="2" s="1"/>
  <c r="AN656" i="2" s="1"/>
  <c r="AO656" i="2" s="1"/>
  <c r="AA672" i="2"/>
  <c r="Y672" i="2"/>
  <c r="Z672" i="2" s="1"/>
  <c r="AK672" i="2" s="1"/>
  <c r="AL672" i="2" s="1"/>
  <c r="AN672" i="2" s="1"/>
  <c r="AO672" i="2" s="1"/>
  <c r="AA676" i="2"/>
  <c r="Y676" i="2"/>
  <c r="Z676" i="2" s="1"/>
  <c r="AK676" i="2" s="1"/>
  <c r="AL676" i="2" s="1"/>
  <c r="AN676" i="2" s="1"/>
  <c r="AO676" i="2" s="1"/>
  <c r="Y679" i="2"/>
  <c r="Z679" i="2" s="1"/>
  <c r="AK679" i="2" s="1"/>
  <c r="AL679" i="2" s="1"/>
  <c r="AN679" i="2" s="1"/>
  <c r="AO679" i="2" s="1"/>
  <c r="AA684" i="2"/>
  <c r="Y684" i="2"/>
  <c r="Z684" i="2" s="1"/>
  <c r="AK684" i="2" s="1"/>
  <c r="AL684" i="2" s="1"/>
  <c r="AN684" i="2" s="1"/>
  <c r="AO684" i="2" s="1"/>
  <c r="Y687" i="2"/>
  <c r="Z687" i="2" s="1"/>
  <c r="AK687" i="2" s="1"/>
  <c r="AL687" i="2" s="1"/>
  <c r="AN687" i="2" s="1"/>
  <c r="AO687" i="2" s="1"/>
  <c r="AA692" i="2"/>
  <c r="Y692" i="2"/>
  <c r="Z692" i="2" s="1"/>
  <c r="AK692" i="2" s="1"/>
  <c r="AL692" i="2" s="1"/>
  <c r="AN692" i="2" s="1"/>
  <c r="AO692" i="2" s="1"/>
  <c r="Y695" i="2"/>
  <c r="Z695" i="2" s="1"/>
  <c r="AK695" i="2" s="1"/>
  <c r="AL695" i="2" s="1"/>
  <c r="AN695" i="2" s="1"/>
  <c r="AO695" i="2" s="1"/>
  <c r="AA708" i="2"/>
  <c r="Y708" i="2"/>
  <c r="Z708" i="2" s="1"/>
  <c r="AK708" i="2" s="1"/>
  <c r="AL708" i="2" s="1"/>
  <c r="AN708" i="2" s="1"/>
  <c r="AO708" i="2" s="1"/>
  <c r="Y719" i="2"/>
  <c r="Z719" i="2" s="1"/>
  <c r="AK719" i="2" s="1"/>
  <c r="AL719" i="2" s="1"/>
  <c r="AN719" i="2" s="1"/>
  <c r="AO719" i="2" s="1"/>
  <c r="AA740" i="2"/>
  <c r="Y740" i="2"/>
  <c r="Z740" i="2" s="1"/>
  <c r="AK740" i="2" s="1"/>
  <c r="AL740" i="2" s="1"/>
  <c r="AN740" i="2" s="1"/>
  <c r="AO740" i="2" s="1"/>
  <c r="Y751" i="2"/>
  <c r="Z751" i="2" s="1"/>
  <c r="AK751" i="2" s="1"/>
  <c r="AL751" i="2" s="1"/>
  <c r="AN751" i="2" s="1"/>
  <c r="AO751" i="2" s="1"/>
  <c r="AA772" i="2"/>
  <c r="Y772" i="2"/>
  <c r="Z772" i="2" s="1"/>
  <c r="AK772" i="2" s="1"/>
  <c r="AL772" i="2" s="1"/>
  <c r="AN772" i="2" s="1"/>
  <c r="AO772" i="2" s="1"/>
  <c r="Y783" i="2"/>
  <c r="Z783" i="2" s="1"/>
  <c r="AK783" i="2" s="1"/>
  <c r="AL783" i="2" s="1"/>
  <c r="AN783" i="2" s="1"/>
  <c r="AO783" i="2" s="1"/>
  <c r="AA847" i="2"/>
  <c r="Y847" i="2"/>
  <c r="Z847" i="2" s="1"/>
  <c r="AK847" i="2" s="1"/>
  <c r="AL847" i="2" s="1"/>
  <c r="AN847" i="2" s="1"/>
  <c r="AO847" i="2" s="1"/>
  <c r="AA873" i="2"/>
  <c r="Y873" i="2"/>
  <c r="Z873" i="2" s="1"/>
  <c r="AK873" i="2" s="1"/>
  <c r="AL873" i="2" s="1"/>
  <c r="AN873" i="2" s="1"/>
  <c r="AO873" i="2" s="1"/>
  <c r="Z889" i="2"/>
  <c r="AK889" i="2" s="1"/>
  <c r="AL889" i="2" s="1"/>
  <c r="AN889" i="2" s="1"/>
  <c r="AO889" i="2" s="1"/>
  <c r="AA889" i="2"/>
  <c r="AA571" i="2"/>
  <c r="Y583" i="2"/>
  <c r="Z583" i="2" s="1"/>
  <c r="AK583" i="2" s="1"/>
  <c r="AL583" i="2" s="1"/>
  <c r="AN583" i="2" s="1"/>
  <c r="AO583" i="2" s="1"/>
  <c r="AA587" i="2"/>
  <c r="Y599" i="2"/>
  <c r="Z599" i="2" s="1"/>
  <c r="AK599" i="2" s="1"/>
  <c r="AL599" i="2" s="1"/>
  <c r="AN599" i="2" s="1"/>
  <c r="AO599" i="2" s="1"/>
  <c r="AA603" i="2"/>
  <c r="Y615" i="2"/>
  <c r="Z615" i="2" s="1"/>
  <c r="AK615" i="2" s="1"/>
  <c r="AL615" i="2" s="1"/>
  <c r="AN615" i="2" s="1"/>
  <c r="AO615" i="2" s="1"/>
  <c r="AA619" i="2"/>
  <c r="Y631" i="2"/>
  <c r="Z631" i="2" s="1"/>
  <c r="AK631" i="2" s="1"/>
  <c r="AL631" i="2" s="1"/>
  <c r="AN631" i="2" s="1"/>
  <c r="AO631" i="2" s="1"/>
  <c r="AA635" i="2"/>
  <c r="Y647" i="2"/>
  <c r="Z647" i="2" s="1"/>
  <c r="AK647" i="2" s="1"/>
  <c r="AL647" i="2" s="1"/>
  <c r="AN647" i="2" s="1"/>
  <c r="AO647" i="2" s="1"/>
  <c r="AA652" i="2"/>
  <c r="AA655" i="2"/>
  <c r="AA659" i="2"/>
  <c r="AA663" i="2"/>
  <c r="AA668" i="2"/>
  <c r="AA671" i="2"/>
  <c r="Z674" i="2"/>
  <c r="AK674" i="2" s="1"/>
  <c r="AL674" i="2" s="1"/>
  <c r="AN674" i="2" s="1"/>
  <c r="AO674" i="2" s="1"/>
  <c r="AA680" i="2"/>
  <c r="Z682" i="2"/>
  <c r="AK682" i="2" s="1"/>
  <c r="AL682" i="2" s="1"/>
  <c r="AN682" i="2" s="1"/>
  <c r="AO682" i="2" s="1"/>
  <c r="AA688" i="2"/>
  <c r="Z690" i="2"/>
  <c r="AK690" i="2" s="1"/>
  <c r="AL690" i="2" s="1"/>
  <c r="AN690" i="2" s="1"/>
  <c r="AO690" i="2" s="1"/>
  <c r="AA696" i="2"/>
  <c r="Z698" i="2"/>
  <c r="AK698" i="2" s="1"/>
  <c r="AL698" i="2" s="1"/>
  <c r="AN698" i="2" s="1"/>
  <c r="AO698" i="2" s="1"/>
  <c r="Z713" i="2"/>
  <c r="AK713" i="2" s="1"/>
  <c r="AL713" i="2" s="1"/>
  <c r="AN713" i="2" s="1"/>
  <c r="AO713" i="2" s="1"/>
  <c r="AA716" i="2"/>
  <c r="Y716" i="2"/>
  <c r="Z716" i="2" s="1"/>
  <c r="AK716" i="2" s="1"/>
  <c r="AL716" i="2" s="1"/>
  <c r="AN716" i="2" s="1"/>
  <c r="AO716" i="2" s="1"/>
  <c r="Y727" i="2"/>
  <c r="Z727" i="2" s="1"/>
  <c r="AK727" i="2" s="1"/>
  <c r="AL727" i="2" s="1"/>
  <c r="AN727" i="2" s="1"/>
  <c r="AO727" i="2" s="1"/>
  <c r="Z730" i="2"/>
  <c r="AK730" i="2" s="1"/>
  <c r="AL730" i="2" s="1"/>
  <c r="AN730" i="2" s="1"/>
  <c r="AO730" i="2" s="1"/>
  <c r="Z745" i="2"/>
  <c r="AK745" i="2" s="1"/>
  <c r="AL745" i="2" s="1"/>
  <c r="AN745" i="2" s="1"/>
  <c r="AO745" i="2" s="1"/>
  <c r="AA748" i="2"/>
  <c r="Y748" i="2"/>
  <c r="Z748" i="2" s="1"/>
  <c r="AK748" i="2" s="1"/>
  <c r="AL748" i="2" s="1"/>
  <c r="AN748" i="2" s="1"/>
  <c r="AO748" i="2" s="1"/>
  <c r="Y759" i="2"/>
  <c r="Z759" i="2" s="1"/>
  <c r="AK759" i="2" s="1"/>
  <c r="AL759" i="2" s="1"/>
  <c r="AN759" i="2" s="1"/>
  <c r="AO759" i="2" s="1"/>
  <c r="Z762" i="2"/>
  <c r="AK762" i="2" s="1"/>
  <c r="AL762" i="2" s="1"/>
  <c r="AN762" i="2" s="1"/>
  <c r="AO762" i="2" s="1"/>
  <c r="Z777" i="2"/>
  <c r="AK777" i="2" s="1"/>
  <c r="AL777" i="2" s="1"/>
  <c r="AN777" i="2" s="1"/>
  <c r="AO777" i="2" s="1"/>
  <c r="AA780" i="2"/>
  <c r="Y780" i="2"/>
  <c r="Z780" i="2" s="1"/>
  <c r="AK780" i="2" s="1"/>
  <c r="AL780" i="2" s="1"/>
  <c r="AN780" i="2" s="1"/>
  <c r="AO780" i="2" s="1"/>
  <c r="AA792" i="2"/>
  <c r="Z792" i="2"/>
  <c r="AK792" i="2" s="1"/>
  <c r="AL792" i="2" s="1"/>
  <c r="AN792" i="2" s="1"/>
  <c r="AO792" i="2" s="1"/>
  <c r="Z798" i="2"/>
  <c r="AK798" i="2" s="1"/>
  <c r="AL798" i="2" s="1"/>
  <c r="AN798" i="2" s="1"/>
  <c r="AO798" i="2" s="1"/>
  <c r="AA798" i="2"/>
  <c r="AA802" i="2"/>
  <c r="Y802" i="2"/>
  <c r="Z802" i="2" s="1"/>
  <c r="AK802" i="2" s="1"/>
  <c r="AL802" i="2" s="1"/>
  <c r="AN802" i="2" s="1"/>
  <c r="AO802" i="2" s="1"/>
  <c r="AA808" i="2"/>
  <c r="Z808" i="2"/>
  <c r="AK808" i="2" s="1"/>
  <c r="AL808" i="2" s="1"/>
  <c r="AN808" i="2" s="1"/>
  <c r="AO808" i="2" s="1"/>
  <c r="AA816" i="2"/>
  <c r="Z816" i="2"/>
  <c r="AK816" i="2" s="1"/>
  <c r="AL816" i="2" s="1"/>
  <c r="AN816" i="2" s="1"/>
  <c r="AO816" i="2" s="1"/>
  <c r="AA823" i="2"/>
  <c r="AA825" i="2"/>
  <c r="Z825" i="2"/>
  <c r="AK825" i="2" s="1"/>
  <c r="AL825" i="2" s="1"/>
  <c r="AN825" i="2" s="1"/>
  <c r="AO825" i="2" s="1"/>
  <c r="AA842" i="2"/>
  <c r="Z861" i="2"/>
  <c r="AK861" i="2" s="1"/>
  <c r="AL861" i="2" s="1"/>
  <c r="AN861" i="2" s="1"/>
  <c r="AO861" i="2" s="1"/>
  <c r="AA861" i="2"/>
  <c r="AA883" i="2"/>
  <c r="Z883" i="2"/>
  <c r="AK883" i="2" s="1"/>
  <c r="AL883" i="2" s="1"/>
  <c r="AN883" i="2" s="1"/>
  <c r="AO883" i="2" s="1"/>
  <c r="Z887" i="2"/>
  <c r="AK887" i="2" s="1"/>
  <c r="AL887" i="2" s="1"/>
  <c r="AN887" i="2" s="1"/>
  <c r="AO887" i="2" s="1"/>
  <c r="AA887" i="2"/>
  <c r="Y901" i="2"/>
  <c r="Z901" i="2" s="1"/>
  <c r="AK901" i="2" s="1"/>
  <c r="AL901" i="2" s="1"/>
  <c r="AN901" i="2" s="1"/>
  <c r="AO901" i="2" s="1"/>
  <c r="AA639" i="2"/>
  <c r="Y703" i="2"/>
  <c r="Z703" i="2" s="1"/>
  <c r="AK703" i="2" s="1"/>
  <c r="AL703" i="2" s="1"/>
  <c r="AN703" i="2" s="1"/>
  <c r="AO703" i="2" s="1"/>
  <c r="AA703" i="2"/>
  <c r="AA724" i="2"/>
  <c r="Y724" i="2"/>
  <c r="Z724" i="2" s="1"/>
  <c r="AK724" i="2" s="1"/>
  <c r="AL724" i="2" s="1"/>
  <c r="AN724" i="2" s="1"/>
  <c r="AO724" i="2" s="1"/>
  <c r="Y735" i="2"/>
  <c r="Z735" i="2" s="1"/>
  <c r="AK735" i="2" s="1"/>
  <c r="AL735" i="2" s="1"/>
  <c r="AN735" i="2" s="1"/>
  <c r="AO735" i="2" s="1"/>
  <c r="AA735" i="2"/>
  <c r="AA756" i="2"/>
  <c r="Y756" i="2"/>
  <c r="Z756" i="2" s="1"/>
  <c r="AK756" i="2" s="1"/>
  <c r="AL756" i="2" s="1"/>
  <c r="AN756" i="2" s="1"/>
  <c r="AO756" i="2" s="1"/>
  <c r="Y767" i="2"/>
  <c r="Z767" i="2" s="1"/>
  <c r="AK767" i="2" s="1"/>
  <c r="AL767" i="2" s="1"/>
  <c r="AN767" i="2" s="1"/>
  <c r="AO767" i="2" s="1"/>
  <c r="AA767" i="2"/>
  <c r="AA833" i="2"/>
  <c r="Z833" i="2"/>
  <c r="AK833" i="2" s="1"/>
  <c r="AL833" i="2" s="1"/>
  <c r="AN833" i="2" s="1"/>
  <c r="AO833" i="2" s="1"/>
  <c r="Y834" i="2"/>
  <c r="Z834" i="2" s="1"/>
  <c r="AK834" i="2" s="1"/>
  <c r="AL834" i="2" s="1"/>
  <c r="AN834" i="2" s="1"/>
  <c r="AO834" i="2" s="1"/>
  <c r="AA834" i="2"/>
  <c r="AA840" i="2"/>
  <c r="Z840" i="2"/>
  <c r="AK840" i="2" s="1"/>
  <c r="AL840" i="2" s="1"/>
  <c r="AN840" i="2" s="1"/>
  <c r="AO840" i="2" s="1"/>
  <c r="AA848" i="2"/>
  <c r="Z848" i="2"/>
  <c r="AK848" i="2" s="1"/>
  <c r="AL848" i="2" s="1"/>
  <c r="AN848" i="2" s="1"/>
  <c r="AO848" i="2" s="1"/>
  <c r="AA855" i="2"/>
  <c r="AA857" i="2"/>
  <c r="Y857" i="2"/>
  <c r="Z857" i="2" s="1"/>
  <c r="AK857" i="2" s="1"/>
  <c r="AL857" i="2" s="1"/>
  <c r="AN857" i="2" s="1"/>
  <c r="AO857" i="2" s="1"/>
  <c r="AA871" i="2"/>
  <c r="Z871" i="2"/>
  <c r="AK871" i="2" s="1"/>
  <c r="AL871" i="2" s="1"/>
  <c r="AN871" i="2" s="1"/>
  <c r="AO871" i="2" s="1"/>
  <c r="AA660" i="2"/>
  <c r="Y789" i="2"/>
  <c r="Z789" i="2" s="1"/>
  <c r="AK789" i="2" s="1"/>
  <c r="AL789" i="2" s="1"/>
  <c r="AN789" i="2" s="1"/>
  <c r="AO789" i="2" s="1"/>
  <c r="AA789" i="2"/>
  <c r="AA807" i="2"/>
  <c r="AA817" i="2"/>
  <c r="Z817" i="2"/>
  <c r="AK817" i="2" s="1"/>
  <c r="AL817" i="2" s="1"/>
  <c r="AN817" i="2" s="1"/>
  <c r="AO817" i="2" s="1"/>
  <c r="AA832" i="2"/>
  <c r="Z832" i="2"/>
  <c r="AK832" i="2" s="1"/>
  <c r="AL832" i="2" s="1"/>
  <c r="AN832" i="2" s="1"/>
  <c r="AO832" i="2" s="1"/>
  <c r="AA849" i="2"/>
  <c r="Z849" i="2"/>
  <c r="AK849" i="2" s="1"/>
  <c r="AL849" i="2" s="1"/>
  <c r="AN849" i="2" s="1"/>
  <c r="AO849" i="2" s="1"/>
  <c r="AA870" i="2"/>
  <c r="Y870" i="2"/>
  <c r="Z870" i="2" s="1"/>
  <c r="AK870" i="2" s="1"/>
  <c r="AL870" i="2" s="1"/>
  <c r="AN870" i="2" s="1"/>
  <c r="AO870" i="2" s="1"/>
  <c r="AA875" i="2"/>
  <c r="Z875" i="2"/>
  <c r="AK875" i="2" s="1"/>
  <c r="AL875" i="2" s="1"/>
  <c r="AN875" i="2" s="1"/>
  <c r="AO875" i="2" s="1"/>
  <c r="AA881" i="2"/>
  <c r="Y881" i="2"/>
  <c r="Z881" i="2" s="1"/>
  <c r="AK881" i="2" s="1"/>
  <c r="AL881" i="2" s="1"/>
  <c r="AN881" i="2" s="1"/>
  <c r="AO881" i="2" s="1"/>
  <c r="AA882" i="2"/>
  <c r="Y882" i="2"/>
  <c r="Z882" i="2" s="1"/>
  <c r="AK882" i="2" s="1"/>
  <c r="AL882" i="2" s="1"/>
  <c r="AN882" i="2" s="1"/>
  <c r="AO882" i="2" s="1"/>
  <c r="AA897" i="2"/>
  <c r="Y897" i="2"/>
  <c r="Z897" i="2" s="1"/>
  <c r="AK897" i="2" s="1"/>
  <c r="AL897" i="2" s="1"/>
  <c r="AN897" i="2" s="1"/>
  <c r="AO897" i="2" s="1"/>
  <c r="Y916" i="2"/>
  <c r="Z916" i="2" s="1"/>
  <c r="AK916" i="2" s="1"/>
  <c r="AL916" i="2" s="1"/>
  <c r="AN916" i="2" s="1"/>
  <c r="AO916" i="2" s="1"/>
  <c r="AA919" i="2"/>
  <c r="Z919" i="2"/>
  <c r="AK919" i="2" s="1"/>
  <c r="AL919" i="2" s="1"/>
  <c r="AN919" i="2" s="1"/>
  <c r="AO919" i="2" s="1"/>
  <c r="AA933" i="2"/>
  <c r="Z933" i="2"/>
  <c r="AK933" i="2" s="1"/>
  <c r="AL933" i="2" s="1"/>
  <c r="AN933" i="2" s="1"/>
  <c r="AO933" i="2" s="1"/>
  <c r="AA704" i="2"/>
  <c r="AA712" i="2"/>
  <c r="AA720" i="2"/>
  <c r="AA728" i="2"/>
  <c r="AA736" i="2"/>
  <c r="AA744" i="2"/>
  <c r="AA752" i="2"/>
  <c r="AA760" i="2"/>
  <c r="AA768" i="2"/>
  <c r="AA776" i="2"/>
  <c r="AA784" i="2"/>
  <c r="AA787" i="2"/>
  <c r="Y787" i="2"/>
  <c r="Z787" i="2" s="1"/>
  <c r="AK787" i="2" s="1"/>
  <c r="AL787" i="2" s="1"/>
  <c r="AN787" i="2" s="1"/>
  <c r="AO787" i="2" s="1"/>
  <c r="Y790" i="2"/>
  <c r="Z790" i="2" s="1"/>
  <c r="AK790" i="2" s="1"/>
  <c r="AL790" i="2" s="1"/>
  <c r="AN790" i="2" s="1"/>
  <c r="AO790" i="2" s="1"/>
  <c r="AA799" i="2"/>
  <c r="Y801" i="2"/>
  <c r="Z801" i="2" s="1"/>
  <c r="AK801" i="2" s="1"/>
  <c r="AL801" i="2" s="1"/>
  <c r="AN801" i="2" s="1"/>
  <c r="AO801" i="2" s="1"/>
  <c r="AA803" i="2"/>
  <c r="Y803" i="2"/>
  <c r="Z803" i="2" s="1"/>
  <c r="AK803" i="2" s="1"/>
  <c r="AL803" i="2" s="1"/>
  <c r="AN803" i="2" s="1"/>
  <c r="AO803" i="2" s="1"/>
  <c r="Y807" i="2"/>
  <c r="Z807" i="2" s="1"/>
  <c r="AK807" i="2" s="1"/>
  <c r="AL807" i="2" s="1"/>
  <c r="AN807" i="2" s="1"/>
  <c r="AO807" i="2" s="1"/>
  <c r="AA809" i="2"/>
  <c r="Z809" i="2"/>
  <c r="AK809" i="2" s="1"/>
  <c r="AL809" i="2" s="1"/>
  <c r="AN809" i="2" s="1"/>
  <c r="AO809" i="2" s="1"/>
  <c r="AA824" i="2"/>
  <c r="Z824" i="2"/>
  <c r="AK824" i="2" s="1"/>
  <c r="AL824" i="2" s="1"/>
  <c r="AN824" i="2" s="1"/>
  <c r="AO824" i="2" s="1"/>
  <c r="AA826" i="2"/>
  <c r="AA831" i="2"/>
  <c r="Y839" i="2"/>
  <c r="Z839" i="2" s="1"/>
  <c r="AK839" i="2" s="1"/>
  <c r="AL839" i="2" s="1"/>
  <c r="AN839" i="2" s="1"/>
  <c r="AO839" i="2" s="1"/>
  <c r="AA841" i="2"/>
  <c r="Z841" i="2"/>
  <c r="AK841" i="2" s="1"/>
  <c r="AL841" i="2" s="1"/>
  <c r="AN841" i="2" s="1"/>
  <c r="AO841" i="2" s="1"/>
  <c r="AA856" i="2"/>
  <c r="Z856" i="2"/>
  <c r="AK856" i="2" s="1"/>
  <c r="AL856" i="2" s="1"/>
  <c r="AN856" i="2" s="1"/>
  <c r="AO856" i="2" s="1"/>
  <c r="AA859" i="2"/>
  <c r="Z859" i="2"/>
  <c r="AK859" i="2" s="1"/>
  <c r="AL859" i="2" s="1"/>
  <c r="AN859" i="2" s="1"/>
  <c r="AO859" i="2" s="1"/>
  <c r="Y866" i="2"/>
  <c r="Z866" i="2" s="1"/>
  <c r="AK866" i="2" s="1"/>
  <c r="AL866" i="2" s="1"/>
  <c r="AN866" i="2" s="1"/>
  <c r="AO866" i="2" s="1"/>
  <c r="AA899" i="2"/>
  <c r="Z899" i="2"/>
  <c r="AK899" i="2" s="1"/>
  <c r="AL899" i="2" s="1"/>
  <c r="AN899" i="2" s="1"/>
  <c r="AO899" i="2" s="1"/>
  <c r="AA913" i="2"/>
  <c r="AA811" i="2"/>
  <c r="AA835" i="2"/>
  <c r="AA843" i="2"/>
  <c r="Y876" i="2"/>
  <c r="Z876" i="2" s="1"/>
  <c r="AK876" i="2" s="1"/>
  <c r="AL876" i="2" s="1"/>
  <c r="AN876" i="2" s="1"/>
  <c r="AO876" i="2" s="1"/>
  <c r="Y884" i="2"/>
  <c r="Z884" i="2" s="1"/>
  <c r="AK884" i="2" s="1"/>
  <c r="AL884" i="2" s="1"/>
  <c r="AN884" i="2" s="1"/>
  <c r="AO884" i="2" s="1"/>
  <c r="AA898" i="2"/>
  <c r="Y898" i="2"/>
  <c r="Z898" i="2" s="1"/>
  <c r="AK898" i="2" s="1"/>
  <c r="AL898" i="2" s="1"/>
  <c r="AN898" i="2" s="1"/>
  <c r="AO898" i="2" s="1"/>
  <c r="AA903" i="2"/>
  <c r="Z903" i="2"/>
  <c r="AK903" i="2" s="1"/>
  <c r="AL903" i="2" s="1"/>
  <c r="AN903" i="2" s="1"/>
  <c r="AO903" i="2" s="1"/>
  <c r="Z941" i="2"/>
  <c r="AK941" i="2" s="1"/>
  <c r="AL941" i="2" s="1"/>
  <c r="AN941" i="2" s="1"/>
  <c r="AO941" i="2" s="1"/>
  <c r="AA941" i="2"/>
  <c r="AA948" i="2"/>
  <c r="Y948" i="2"/>
  <c r="Z948" i="2" s="1"/>
  <c r="AK948" i="2" s="1"/>
  <c r="AL948" i="2" s="1"/>
  <c r="AN948" i="2" s="1"/>
  <c r="AO948" i="2" s="1"/>
  <c r="Y791" i="2"/>
  <c r="Z791" i="2" s="1"/>
  <c r="AK791" i="2" s="1"/>
  <c r="AL791" i="2" s="1"/>
  <c r="AN791" i="2" s="1"/>
  <c r="AO791" i="2" s="1"/>
  <c r="AA795" i="2"/>
  <c r="AA806" i="2"/>
  <c r="Y811" i="2"/>
  <c r="Z811" i="2" s="1"/>
  <c r="AK811" i="2" s="1"/>
  <c r="AL811" i="2" s="1"/>
  <c r="AN811" i="2" s="1"/>
  <c r="AO811" i="2" s="1"/>
  <c r="AA814" i="2"/>
  <c r="Y819" i="2"/>
  <c r="Z819" i="2" s="1"/>
  <c r="AK819" i="2" s="1"/>
  <c r="AL819" i="2" s="1"/>
  <c r="AN819" i="2" s="1"/>
  <c r="AO819" i="2" s="1"/>
  <c r="AA822" i="2"/>
  <c r="Y827" i="2"/>
  <c r="Z827" i="2" s="1"/>
  <c r="AK827" i="2" s="1"/>
  <c r="AL827" i="2" s="1"/>
  <c r="AN827" i="2" s="1"/>
  <c r="AO827" i="2" s="1"/>
  <c r="AA830" i="2"/>
  <c r="Y835" i="2"/>
  <c r="Z835" i="2" s="1"/>
  <c r="AK835" i="2" s="1"/>
  <c r="AL835" i="2" s="1"/>
  <c r="AN835" i="2" s="1"/>
  <c r="AO835" i="2" s="1"/>
  <c r="AA838" i="2"/>
  <c r="Y843" i="2"/>
  <c r="Z843" i="2" s="1"/>
  <c r="AK843" i="2" s="1"/>
  <c r="AL843" i="2" s="1"/>
  <c r="AN843" i="2" s="1"/>
  <c r="AO843" i="2" s="1"/>
  <c r="AA846" i="2"/>
  <c r="Y851" i="2"/>
  <c r="Z851" i="2" s="1"/>
  <c r="AK851" i="2" s="1"/>
  <c r="AL851" i="2" s="1"/>
  <c r="AN851" i="2" s="1"/>
  <c r="AO851" i="2" s="1"/>
  <c r="AA854" i="2"/>
  <c r="AA865" i="2"/>
  <c r="Y869" i="2"/>
  <c r="Z869" i="2" s="1"/>
  <c r="AK869" i="2" s="1"/>
  <c r="AL869" i="2" s="1"/>
  <c r="AN869" i="2" s="1"/>
  <c r="AO869" i="2" s="1"/>
  <c r="Y872" i="2"/>
  <c r="Z872" i="2" s="1"/>
  <c r="AK872" i="2" s="1"/>
  <c r="AL872" i="2" s="1"/>
  <c r="AN872" i="2" s="1"/>
  <c r="AO872" i="2" s="1"/>
  <c r="Y877" i="2"/>
  <c r="Z877" i="2" s="1"/>
  <c r="AK877" i="2" s="1"/>
  <c r="AL877" i="2" s="1"/>
  <c r="AN877" i="2" s="1"/>
  <c r="AO877" i="2" s="1"/>
  <c r="Y892" i="2"/>
  <c r="Z892" i="2" s="1"/>
  <c r="AK892" i="2" s="1"/>
  <c r="AL892" i="2" s="1"/>
  <c r="AN892" i="2" s="1"/>
  <c r="AO892" i="2" s="1"/>
  <c r="Y900" i="2"/>
  <c r="Z900" i="2" s="1"/>
  <c r="AK900" i="2" s="1"/>
  <c r="AL900" i="2" s="1"/>
  <c r="AN900" i="2" s="1"/>
  <c r="AO900" i="2" s="1"/>
  <c r="AA900" i="2"/>
  <c r="AA929" i="2"/>
  <c r="AA962" i="2"/>
  <c r="AA874" i="2"/>
  <c r="AA910" i="2"/>
  <c r="Y912" i="2"/>
  <c r="Z912" i="2" s="1"/>
  <c r="AK912" i="2" s="1"/>
  <c r="AL912" i="2" s="1"/>
  <c r="AN912" i="2" s="1"/>
  <c r="AO912" i="2" s="1"/>
  <c r="AA914" i="2"/>
  <c r="Y914" i="2"/>
  <c r="Z914" i="2" s="1"/>
  <c r="AK914" i="2" s="1"/>
  <c r="AL914" i="2" s="1"/>
  <c r="AN914" i="2" s="1"/>
  <c r="AO914" i="2" s="1"/>
  <c r="AA917" i="2"/>
  <c r="Y917" i="2"/>
  <c r="Z917" i="2" s="1"/>
  <c r="AK917" i="2" s="1"/>
  <c r="AL917" i="2" s="1"/>
  <c r="AN917" i="2" s="1"/>
  <c r="AO917" i="2" s="1"/>
  <c r="AA926" i="2"/>
  <c r="Y928" i="2"/>
  <c r="Z928" i="2" s="1"/>
  <c r="AK928" i="2" s="1"/>
  <c r="AL928" i="2" s="1"/>
  <c r="AN928" i="2" s="1"/>
  <c r="AO928" i="2" s="1"/>
  <c r="Y930" i="2"/>
  <c r="Z930" i="2" s="1"/>
  <c r="AK930" i="2" s="1"/>
  <c r="AL930" i="2" s="1"/>
  <c r="AN930" i="2" s="1"/>
  <c r="AO930" i="2" s="1"/>
  <c r="Y946" i="2"/>
  <c r="Z946" i="2" s="1"/>
  <c r="AK946" i="2" s="1"/>
  <c r="AL946" i="2" s="1"/>
  <c r="AN946" i="2" s="1"/>
  <c r="AO946" i="2" s="1"/>
  <c r="Y858" i="2"/>
  <c r="Z858" i="2" s="1"/>
  <c r="AK858" i="2" s="1"/>
  <c r="AL858" i="2" s="1"/>
  <c r="AN858" i="2" s="1"/>
  <c r="AO858" i="2" s="1"/>
  <c r="AA862" i="2"/>
  <c r="Y874" i="2"/>
  <c r="Z874" i="2" s="1"/>
  <c r="AK874" i="2" s="1"/>
  <c r="AL874" i="2" s="1"/>
  <c r="AN874" i="2" s="1"/>
  <c r="AO874" i="2" s="1"/>
  <c r="Y880" i="2"/>
  <c r="Z880" i="2" s="1"/>
  <c r="AK880" i="2" s="1"/>
  <c r="AL880" i="2" s="1"/>
  <c r="AN880" i="2" s="1"/>
  <c r="AO880" i="2" s="1"/>
  <c r="AA890" i="2"/>
  <c r="Y896" i="2"/>
  <c r="Z896" i="2" s="1"/>
  <c r="AK896" i="2" s="1"/>
  <c r="AL896" i="2" s="1"/>
  <c r="AN896" i="2" s="1"/>
  <c r="AO896" i="2" s="1"/>
  <c r="Y910" i="2"/>
  <c r="Z910" i="2" s="1"/>
  <c r="AK910" i="2" s="1"/>
  <c r="AL910" i="2" s="1"/>
  <c r="AN910" i="2" s="1"/>
  <c r="AO910" i="2" s="1"/>
  <c r="Z915" i="2"/>
  <c r="AK915" i="2" s="1"/>
  <c r="AL915" i="2" s="1"/>
  <c r="AN915" i="2" s="1"/>
  <c r="AO915" i="2" s="1"/>
  <c r="Y926" i="2"/>
  <c r="Z926" i="2" s="1"/>
  <c r="AK926" i="2" s="1"/>
  <c r="AL926" i="2" s="1"/>
  <c r="AN926" i="2" s="1"/>
  <c r="AO926" i="2" s="1"/>
  <c r="AA931" i="2"/>
  <c r="Y971" i="2"/>
  <c r="Z971" i="2" s="1"/>
  <c r="AK971" i="2" s="1"/>
  <c r="AL971" i="2" s="1"/>
  <c r="AN971" i="2" s="1"/>
  <c r="AO971" i="2" s="1"/>
  <c r="AA971" i="2"/>
  <c r="AA972" i="2"/>
  <c r="Y972" i="2"/>
  <c r="Z972" i="2" s="1"/>
  <c r="AK972" i="2" s="1"/>
  <c r="AL972" i="2" s="1"/>
  <c r="AN972" i="2" s="1"/>
  <c r="AO972" i="2" s="1"/>
  <c r="AA886" i="2"/>
  <c r="AA902" i="2"/>
  <c r="AA918" i="2"/>
  <c r="AA940" i="2"/>
  <c r="Y940" i="2"/>
  <c r="Z940" i="2" s="1"/>
  <c r="AK940" i="2" s="1"/>
  <c r="AL940" i="2" s="1"/>
  <c r="AN940" i="2" s="1"/>
  <c r="AO940" i="2" s="1"/>
  <c r="AA944" i="2"/>
  <c r="Y944" i="2"/>
  <c r="Z944" i="2" s="1"/>
  <c r="AK944" i="2" s="1"/>
  <c r="AL944" i="2" s="1"/>
  <c r="AN944" i="2" s="1"/>
  <c r="AO944" i="2" s="1"/>
  <c r="AA952" i="2"/>
  <c r="Y952" i="2"/>
  <c r="Z952" i="2" s="1"/>
  <c r="AK952" i="2" s="1"/>
  <c r="AL952" i="2" s="1"/>
  <c r="AN952" i="2" s="1"/>
  <c r="AO952" i="2" s="1"/>
  <c r="AA960" i="2"/>
  <c r="Y960" i="2"/>
  <c r="Z960" i="2" s="1"/>
  <c r="AK960" i="2" s="1"/>
  <c r="AL960" i="2" s="1"/>
  <c r="AN960" i="2" s="1"/>
  <c r="AO960" i="2" s="1"/>
  <c r="Y967" i="2"/>
  <c r="Z967" i="2" s="1"/>
  <c r="AK967" i="2" s="1"/>
  <c r="AL967" i="2" s="1"/>
  <c r="AN967" i="2" s="1"/>
  <c r="AO967" i="2" s="1"/>
  <c r="Y995" i="2"/>
  <c r="Z995" i="2" s="1"/>
  <c r="AK995" i="2" s="1"/>
  <c r="AL995" i="2" s="1"/>
  <c r="AN995" i="2" s="1"/>
  <c r="AO995" i="2" s="1"/>
  <c r="AA906" i="2"/>
  <c r="AA922" i="2"/>
  <c r="AA932" i="2"/>
  <c r="Y932" i="2"/>
  <c r="Z932" i="2" s="1"/>
  <c r="AK932" i="2" s="1"/>
  <c r="AL932" i="2" s="1"/>
  <c r="AN932" i="2" s="1"/>
  <c r="AO932" i="2" s="1"/>
  <c r="Z947" i="2"/>
  <c r="AK947" i="2" s="1"/>
  <c r="AL947" i="2" s="1"/>
  <c r="AN947" i="2" s="1"/>
  <c r="AO947" i="2" s="1"/>
  <c r="AA947" i="2"/>
  <c r="AA954" i="2"/>
  <c r="AA980" i="2"/>
  <c r="Y980" i="2"/>
  <c r="Z980" i="2" s="1"/>
  <c r="AK980" i="2" s="1"/>
  <c r="AL980" i="2" s="1"/>
  <c r="AN980" i="2" s="1"/>
  <c r="AO980" i="2" s="1"/>
  <c r="Y968" i="2"/>
  <c r="Z968" i="2" s="1"/>
  <c r="AK968" i="2" s="1"/>
  <c r="AL968" i="2" s="1"/>
  <c r="AN968" i="2" s="1"/>
  <c r="AO968" i="2" s="1"/>
  <c r="Y987" i="2"/>
  <c r="Z987" i="2" s="1"/>
  <c r="AK987" i="2" s="1"/>
  <c r="AL987" i="2" s="1"/>
  <c r="AN987" i="2" s="1"/>
  <c r="AO987" i="2" s="1"/>
  <c r="Y996" i="2"/>
  <c r="Z996" i="2" s="1"/>
  <c r="AK996" i="2" s="1"/>
  <c r="AL996" i="2" s="1"/>
  <c r="AN996" i="2" s="1"/>
  <c r="AO996" i="2" s="1"/>
  <c r="AA936" i="2"/>
  <c r="Y942" i="2"/>
  <c r="Z942" i="2" s="1"/>
  <c r="AK942" i="2" s="1"/>
  <c r="AL942" i="2" s="1"/>
  <c r="AN942" i="2" s="1"/>
  <c r="AO942" i="2" s="1"/>
  <c r="AA945" i="2"/>
  <c r="AA951" i="2"/>
  <c r="AA957" i="2"/>
  <c r="Z959" i="2"/>
  <c r="AK959" i="2" s="1"/>
  <c r="AL959" i="2" s="1"/>
  <c r="AN959" i="2" s="1"/>
  <c r="AO959" i="2" s="1"/>
  <c r="AA959" i="2"/>
  <c r="AA965" i="2"/>
  <c r="Y979" i="2"/>
  <c r="Z979" i="2" s="1"/>
  <c r="AK979" i="2" s="1"/>
  <c r="AL979" i="2" s="1"/>
  <c r="AN979" i="2" s="1"/>
  <c r="AO979" i="2" s="1"/>
  <c r="AA988" i="2"/>
  <c r="Y988" i="2"/>
  <c r="Z988" i="2" s="1"/>
  <c r="AK988" i="2" s="1"/>
  <c r="AL988" i="2" s="1"/>
  <c r="AN988" i="2" s="1"/>
  <c r="AO988" i="2" s="1"/>
  <c r="AA964" i="2"/>
  <c r="AA984" i="2"/>
  <c r="AA985" i="2"/>
  <c r="AA1000" i="2"/>
  <c r="Y1000" i="2"/>
  <c r="Z1000" i="2" s="1"/>
  <c r="AK1000" i="2" s="1"/>
  <c r="AL1000" i="2" s="1"/>
  <c r="AN1000" i="2" s="1"/>
  <c r="AO1000" i="2" s="1"/>
  <c r="AA950" i="2"/>
  <c r="AA956" i="2"/>
  <c r="AA976" i="2"/>
  <c r="AA977" i="2"/>
  <c r="AA992" i="2"/>
  <c r="AA993" i="2"/>
  <c r="AA563" i="2" l="1"/>
  <c r="AA995" i="2"/>
  <c r="AA876" i="2"/>
  <c r="AA916" i="2"/>
  <c r="AA866" i="2"/>
  <c r="AA901" i="2"/>
  <c r="AA727" i="2"/>
  <c r="AA631" i="2"/>
  <c r="AA711" i="2"/>
  <c r="AA654" i="2"/>
  <c r="AA565" i="2"/>
  <c r="AA868" i="2"/>
  <c r="AA625" i="2"/>
  <c r="AA591" i="2"/>
  <c r="AA566" i="2"/>
  <c r="AA613" i="2"/>
  <c r="AA539" i="2"/>
  <c r="AA355" i="2"/>
  <c r="AA323" i="2"/>
  <c r="AA260" i="2"/>
  <c r="AA810" i="2"/>
  <c r="AA274" i="2"/>
  <c r="AA242" i="2"/>
  <c r="AA210" i="2"/>
  <c r="AA514" i="2"/>
  <c r="AA482" i="2"/>
  <c r="AA450" i="2"/>
  <c r="AA418" i="2"/>
  <c r="AA386" i="2"/>
  <c r="AA263" i="2"/>
  <c r="AA597" i="2"/>
  <c r="AA545" i="2"/>
  <c r="AA279" i="2"/>
  <c r="Z3" i="2"/>
  <c r="C9" i="1"/>
  <c r="AA791" i="2"/>
  <c r="AA244" i="2"/>
  <c r="AA979" i="2"/>
  <c r="AA942" i="2"/>
  <c r="AA996" i="2"/>
  <c r="AA968" i="2"/>
  <c r="AA967" i="2"/>
  <c r="AA880" i="2"/>
  <c r="AA930" i="2"/>
  <c r="AA912" i="2"/>
  <c r="AA858" i="2"/>
  <c r="AA877" i="2"/>
  <c r="AA884" i="2"/>
  <c r="AA869" i="2"/>
  <c r="AA827" i="2"/>
  <c r="AA801" i="2"/>
  <c r="AA790" i="2"/>
  <c r="AA759" i="2"/>
  <c r="AA783" i="2"/>
  <c r="AA751" i="2"/>
  <c r="AA719" i="2"/>
  <c r="AA695" i="2"/>
  <c r="AA687" i="2"/>
  <c r="AA679" i="2"/>
  <c r="AA647" i="2"/>
  <c r="AA599" i="2"/>
  <c r="AA743" i="2"/>
  <c r="AA547" i="2"/>
  <c r="AA775" i="2"/>
  <c r="AA645" i="2"/>
  <c r="AA623" i="2"/>
  <c r="AA611" i="2"/>
  <c r="AA593" i="2"/>
  <c r="AA582" i="2"/>
  <c r="AA581" i="2"/>
  <c r="AA894" i="2"/>
  <c r="AA643" i="2"/>
  <c r="AA559" i="2"/>
  <c r="AA541" i="2"/>
  <c r="AA530" i="2"/>
  <c r="AA339" i="2"/>
  <c r="AA295" i="2"/>
  <c r="AA228" i="2"/>
  <c r="AA670" i="2"/>
  <c r="AA506" i="2"/>
  <c r="AA474" i="2"/>
  <c r="AA442" i="2"/>
  <c r="AA410" i="2"/>
  <c r="AA378" i="2"/>
  <c r="AA259" i="2"/>
  <c r="AA199" i="2"/>
  <c r="AA103" i="2"/>
  <c r="AA315" i="2"/>
  <c r="AA272" i="2"/>
  <c r="AA240" i="2"/>
  <c r="AA208" i="2"/>
  <c r="AA191" i="2"/>
  <c r="AA561" i="2"/>
  <c r="AA529" i="2"/>
  <c r="AA498" i="2"/>
  <c r="D26" i="1" s="1"/>
  <c r="AA466" i="2"/>
  <c r="AA434" i="2"/>
  <c r="AA402" i="2"/>
  <c r="AA275" i="2"/>
  <c r="AA215" i="2"/>
  <c r="AA187" i="2"/>
  <c r="AA139" i="2"/>
  <c r="AA59" i="2"/>
  <c r="AA51" i="2"/>
  <c r="AA19" i="2"/>
  <c r="AA987" i="2"/>
  <c r="AA896" i="2"/>
  <c r="AA946" i="2"/>
  <c r="AA928" i="2"/>
  <c r="AA892" i="2"/>
  <c r="AA872" i="2"/>
  <c r="AA851" i="2"/>
  <c r="AA819" i="2"/>
  <c r="AA839" i="2"/>
  <c r="AA629" i="2"/>
  <c r="AA531" i="2"/>
  <c r="AA609" i="2"/>
  <c r="AA575" i="2"/>
  <c r="AA557" i="2"/>
  <c r="AA276" i="2"/>
  <c r="AA212" i="2"/>
  <c r="AA231" i="2"/>
  <c r="AA306" i="2"/>
  <c r="AA258" i="2"/>
  <c r="AA226" i="2"/>
  <c r="AA87" i="2"/>
  <c r="AA247" i="2"/>
  <c r="D29" i="1" s="1"/>
  <c r="AA123" i="2"/>
  <c r="AA70" i="2"/>
  <c r="AA38" i="2"/>
  <c r="AA6" i="2"/>
  <c r="D28" i="1" s="1"/>
  <c r="D27" i="1" l="1"/>
  <c r="C15" i="1"/>
  <c r="AK3" i="2"/>
  <c r="AL3" i="2" s="1"/>
  <c r="AN3" i="2" s="1"/>
  <c r="AO3" i="2" s="1"/>
  <c r="C19" i="1"/>
  <c r="C21" i="1"/>
  <c r="C20" i="1"/>
  <c r="C14" i="1"/>
  <c r="C13" i="1"/>
  <c r="C22" i="1" l="1"/>
  <c r="D19" i="1" s="1"/>
  <c r="C16" i="1"/>
  <c r="D13" i="1" s="1"/>
  <c r="D21" i="1"/>
  <c r="D15" i="1" l="1"/>
  <c r="D14" i="1"/>
  <c r="D20" i="1"/>
</calcChain>
</file>

<file path=xl/sharedStrings.xml><?xml version="1.0" encoding="utf-8"?>
<sst xmlns="http://schemas.openxmlformats.org/spreadsheetml/2006/main" count="49131" uniqueCount="10222">
  <si>
    <t>Credit Risk Analysis Report</t>
  </si>
  <si>
    <t>Credit Card, Personal Loan, Car Loan &amp; Home Loan Portfolio | 1,000 Customer Sample (Synthetic Data)</t>
  </si>
  <si>
    <t>Portfolio Overview</t>
  </si>
  <si>
    <t>Total Customers</t>
  </si>
  <si>
    <t>Average Annual Income (INR)</t>
  </si>
  <si>
    <t>Average Credit Score</t>
  </si>
  <si>
    <t>Average Debt-to-Income Ratio</t>
  </si>
  <si>
    <t>Average Risk Score</t>
  </si>
  <si>
    <t>Average Existing Products per Customer</t>
  </si>
  <si>
    <t>Eligibility Status Breakdown</t>
  </si>
  <si>
    <t>Eligible</t>
  </si>
  <si>
    <t>Review</t>
  </si>
  <si>
    <t>Not Eligible</t>
  </si>
  <si>
    <t>Total</t>
  </si>
  <si>
    <t>Risk Category Breakdown</t>
  </si>
  <si>
    <t>Low</t>
  </si>
  <si>
    <t>Medium</t>
  </si>
  <si>
    <t>High</t>
  </si>
  <si>
    <t>Requested Product Mix (New Applications)</t>
  </si>
  <si>
    <t>Applications</t>
  </si>
  <si>
    <t>Credit Card</t>
  </si>
  <si>
    <t>Personal Loan</t>
  </si>
  <si>
    <t>Car Loan</t>
  </si>
  <si>
    <t>Home Loan</t>
  </si>
  <si>
    <t>Existing Products Held With Bank</t>
  </si>
  <si>
    <t>Customer ID</t>
  </si>
  <si>
    <t>Full Name</t>
  </si>
  <si>
    <t>Phone Number</t>
  </si>
  <si>
    <t>Email ID</t>
  </si>
  <si>
    <t>Age</t>
  </si>
  <si>
    <t>Gender</t>
  </si>
  <si>
    <t>City</t>
  </si>
  <si>
    <t>Occupation</t>
  </si>
  <si>
    <t>Employment Type</t>
  </si>
  <si>
    <t>Annual Income (INR)</t>
  </si>
  <si>
    <t>Existing Products Count</t>
  </si>
  <si>
    <t>Has Credit Card</t>
  </si>
  <si>
    <t>Has Personal Loan</t>
  </si>
  <si>
    <t>Has Car Loan</t>
  </si>
  <si>
    <t>Has Home Loan</t>
  </si>
  <si>
    <t>Credit Score (300-900)</t>
  </si>
  <si>
    <t>Monthly EMI Outstanding (INR)</t>
  </si>
  <si>
    <t>Requested Loan/Product Type</t>
  </si>
  <si>
    <t>Debt-to-Income Ratio</t>
  </si>
  <si>
    <t>Missed Payments (12M)</t>
  </si>
  <si>
    <t>Credit Utilization (%)</t>
  </si>
  <si>
    <t>Years with Bank</t>
  </si>
  <si>
    <t>Risk Score (0-100)</t>
  </si>
  <si>
    <t>Risk Category</t>
  </si>
  <si>
    <t>Eligibility Status</t>
  </si>
  <si>
    <t>Marital Status</t>
  </si>
  <si>
    <t>Number of Dependents</t>
  </si>
  <si>
    <t>Residence Type</t>
  </si>
  <si>
    <t>Employment Tenure (Years)</t>
  </si>
  <si>
    <t>Co-Applicant Income (INR)</t>
  </si>
  <si>
    <t>Total Household Income (INR)</t>
  </si>
  <si>
    <t>Existing Loans (Other Banks)</t>
  </si>
  <si>
    <t>Previous Default History</t>
  </si>
  <si>
    <t>Requested Tenure (Months)</t>
  </si>
  <si>
    <t>Offered Interest Rate (%)</t>
  </si>
  <si>
    <t>Proposed EMI (INR)</t>
  </si>
  <si>
    <t>Loan-to-Income Ratio</t>
  </si>
  <si>
    <t>Total Monthly Obligations (INR)</t>
  </si>
  <si>
    <t>FOIR (Fixed Obligation to Income Ratio)</t>
  </si>
  <si>
    <t>Collateral Value (INR)</t>
  </si>
  <si>
    <t>Loan-to-Value Ratio</t>
  </si>
  <si>
    <t>Application Date</t>
  </si>
  <si>
    <t>KYC Status</t>
  </si>
  <si>
    <t>CUST00001</t>
  </si>
  <si>
    <t>Rajesh Kumar</t>
  </si>
  <si>
    <t>rajesh.kumar760@outlook.com</t>
  </si>
  <si>
    <t>Male</t>
  </si>
  <si>
    <t>Chennai</t>
  </si>
  <si>
    <t>Salaried - Government</t>
  </si>
  <si>
    <t>Salaried</t>
  </si>
  <si>
    <t>N</t>
  </si>
  <si>
    <t>Y</t>
  </si>
  <si>
    <t>Single</t>
  </si>
  <si>
    <t>Owned</t>
  </si>
  <si>
    <t>Verified</t>
  </si>
  <si>
    <t>CUST00002</t>
  </si>
  <si>
    <t>Aditya Yadav</t>
  </si>
  <si>
    <t>aditya.yadav550@gmail.com</t>
  </si>
  <si>
    <t>Coimbatore</t>
  </si>
  <si>
    <t>Salaried - IT/Tech</t>
  </si>
  <si>
    <t>Married</t>
  </si>
  <si>
    <t>CUST00003</t>
  </si>
  <si>
    <t>Vikram Khanna</t>
  </si>
  <si>
    <t>vikram.khanna705@rediffmail.com</t>
  </si>
  <si>
    <t>Female</t>
  </si>
  <si>
    <t>Delhi</t>
  </si>
  <si>
    <t>Self Employed - Professional</t>
  </si>
  <si>
    <t>Self-Employed</t>
  </si>
  <si>
    <t>Rented</t>
  </si>
  <si>
    <t>Pending</t>
  </si>
  <si>
    <t>CUST00004</t>
  </si>
  <si>
    <t>Krishna Desai</t>
  </si>
  <si>
    <t>krishna.desai94@gmail.com</t>
  </si>
  <si>
    <t>Kolkata</t>
  </si>
  <si>
    <t>Salaried - Education</t>
  </si>
  <si>
    <t>CUST00005</t>
  </si>
  <si>
    <t>Usha Mishra</t>
  </si>
  <si>
    <t>usha.mishra862@rediffmail.com</t>
  </si>
  <si>
    <t>Salaried - Healthcare</t>
  </si>
  <si>
    <t>CUST00006</t>
  </si>
  <si>
    <t>Saanvi Reddy</t>
  </si>
  <si>
    <t>Kanpur</t>
  </si>
  <si>
    <t>Business Owner</t>
  </si>
  <si>
    <t>CUST00007</t>
  </si>
  <si>
    <t>Preeti Malhotra</t>
  </si>
  <si>
    <t>9304451095</t>
  </si>
  <si>
    <t>preeti.malhotra97@gmail.com</t>
  </si>
  <si>
    <t>CUST00008</t>
  </si>
  <si>
    <t>Sai Khanna</t>
  </si>
  <si>
    <t>sai.khanna870@yahoo.com</t>
  </si>
  <si>
    <t>Chandigarh</t>
  </si>
  <si>
    <t>CUST00009</t>
  </si>
  <si>
    <t>Divya Patel</t>
  </si>
  <si>
    <t>9161073976</t>
  </si>
  <si>
    <t>divya.patel984@rediffmail.com</t>
  </si>
  <si>
    <t>Bengaluru</t>
  </si>
  <si>
    <t>CUST00010</t>
  </si>
  <si>
    <t>Sneha Nair</t>
  </si>
  <si>
    <t>CUST00011</t>
  </si>
  <si>
    <t>Rekha Verma</t>
  </si>
  <si>
    <t>9199104722</t>
  </si>
  <si>
    <t>rekha.verma650@hotmail.com</t>
  </si>
  <si>
    <t>Mumbai</t>
  </si>
  <si>
    <t>CUST00012</t>
  </si>
  <si>
    <t>Rahul Pandey</t>
  </si>
  <si>
    <t>rahul.pandey363@rediffmail.com</t>
  </si>
  <si>
    <t>Ahmedabad</t>
  </si>
  <si>
    <t>Self Employed - Business</t>
  </si>
  <si>
    <t>CUST00013</t>
  </si>
  <si>
    <t>Usha Gupta</t>
  </si>
  <si>
    <t>usha.gupta286@outlook.com</t>
  </si>
  <si>
    <t>CUST00014</t>
  </si>
  <si>
    <t>Saanvi Gupta</t>
  </si>
  <si>
    <t>saanvi.gupta943@outlook.com</t>
  </si>
  <si>
    <t>Hyderabad</t>
  </si>
  <si>
    <t>CUST00015</t>
  </si>
  <si>
    <t>Kiran Sethi</t>
  </si>
  <si>
    <t>kiran.sethi754@yahoo.com</t>
  </si>
  <si>
    <t>Surat</t>
  </si>
  <si>
    <t>Freelancer</t>
  </si>
  <si>
    <t>CUST00016</t>
  </si>
  <si>
    <t>Preeti Tiwari</t>
  </si>
  <si>
    <t>9656152900</t>
  </si>
  <si>
    <t>preeti.tiwari476@gmail.com</t>
  </si>
  <si>
    <t>CUST00017</t>
  </si>
  <si>
    <t>Diya Mehta</t>
  </si>
  <si>
    <t>9679984033</t>
  </si>
  <si>
    <t>diya.mehta83@yahoo.com</t>
  </si>
  <si>
    <t>Nagpur</t>
  </si>
  <si>
    <t>CUST00018</t>
  </si>
  <si>
    <t>Saanvi Joshi</t>
  </si>
  <si>
    <t>saanvi.joshi399@outlook.com</t>
  </si>
  <si>
    <t>CUST00019</t>
  </si>
  <si>
    <t>Shreya Verma</t>
  </si>
  <si>
    <t>9475767056</t>
  </si>
  <si>
    <t>shreya.verma230@gmail.com</t>
  </si>
  <si>
    <t>Divorced</t>
  </si>
  <si>
    <t>CUST00020</t>
  </si>
  <si>
    <t>Deepak Saxena</t>
  </si>
  <si>
    <t>9773496394</t>
  </si>
  <si>
    <t>deepak.saxena249@gmail.com</t>
  </si>
  <si>
    <t>Salaried - Private</t>
  </si>
  <si>
    <t>CUST00021</t>
  </si>
  <si>
    <t>Rekha Rao</t>
  </si>
  <si>
    <t>9991990632</t>
  </si>
  <si>
    <t>rekha.rao958@gmail.com</t>
  </si>
  <si>
    <t>CUST00022</t>
  </si>
  <si>
    <t>Rahul Iyer</t>
  </si>
  <si>
    <t>rahul.iyer596@outlook.com</t>
  </si>
  <si>
    <t>Indore</t>
  </si>
  <si>
    <t>CUST00023</t>
  </si>
  <si>
    <t>Vihaan Bhatt</t>
  </si>
  <si>
    <t>vihaan.bhatt715@yahoo.com</t>
  </si>
  <si>
    <t>CUST00024</t>
  </si>
  <si>
    <t>Tanya Iyer</t>
  </si>
  <si>
    <t>tanya.iyer440@outlook.com</t>
  </si>
  <si>
    <t>CUST00025</t>
  </si>
  <si>
    <t>Ishaan Khanna</t>
  </si>
  <si>
    <t>ishaan.khanna847@yahoo.com</t>
  </si>
  <si>
    <t>CUST00026</t>
  </si>
  <si>
    <t>Suresh Kapoor</t>
  </si>
  <si>
    <t>9398668350</t>
  </si>
  <si>
    <t>suresh.kapoor186@rediffmail.com</t>
  </si>
  <si>
    <t>CUST00027</t>
  </si>
  <si>
    <t>Anil Joshi</t>
  </si>
  <si>
    <t>9771527524</t>
  </si>
  <si>
    <t>anil.joshi453@gmail.com</t>
  </si>
  <si>
    <t>CUST00028</t>
  </si>
  <si>
    <t>Rahul Kapoor</t>
  </si>
  <si>
    <t>Company Provided</t>
  </si>
  <si>
    <t>CUST00029</t>
  </si>
  <si>
    <t>Preeti Chopra</t>
  </si>
  <si>
    <t>preeti.chopra680@yahoo.com</t>
  </si>
  <si>
    <t>CUST00030</t>
  </si>
  <si>
    <t>Rahul Mishra</t>
  </si>
  <si>
    <t>rahul.mishra944@outlook.com</t>
  </si>
  <si>
    <t>CUST00031</t>
  </si>
  <si>
    <t>Mahesh Sharma</t>
  </si>
  <si>
    <t>9963968184</t>
  </si>
  <si>
    <t>CUST00032</t>
  </si>
  <si>
    <t>Lata Iyer</t>
  </si>
  <si>
    <t>lata.iyer819@yahoo.com</t>
  </si>
  <si>
    <t>CUST00033</t>
  </si>
  <si>
    <t>Geeta Joshi</t>
  </si>
  <si>
    <t>geeta.joshi303@outlook.com</t>
  </si>
  <si>
    <t>CUST00034</t>
  </si>
  <si>
    <t>Arjun Mishra</t>
  </si>
  <si>
    <t>arjun.mishra476@outlook.com</t>
  </si>
  <si>
    <t>CUST00035</t>
  </si>
  <si>
    <t>Reyansh Pandey</t>
  </si>
  <si>
    <t>Jaipur</t>
  </si>
  <si>
    <t>CUST00036</t>
  </si>
  <si>
    <t>Shreya Nair</t>
  </si>
  <si>
    <t>9957397689</t>
  </si>
  <si>
    <t>shreya.nair179@gmail.com</t>
  </si>
  <si>
    <t>CUST00037</t>
  </si>
  <si>
    <t>Vivaan Verma</t>
  </si>
  <si>
    <t>vivaan.verma868@hotmail.com</t>
  </si>
  <si>
    <t>CUST00038</t>
  </si>
  <si>
    <t>Neha Chopra</t>
  </si>
  <si>
    <t>neha.chopra748@gmail.com</t>
  </si>
  <si>
    <t>Lucknow</t>
  </si>
  <si>
    <t>CUST00039</t>
  </si>
  <si>
    <t>Sneha Reddy</t>
  </si>
  <si>
    <t>CUST00040</t>
  </si>
  <si>
    <t>Sai Yadav</t>
  </si>
  <si>
    <t>sai.yadav221@hotmail.com</t>
  </si>
  <si>
    <t>CUST00041</t>
  </si>
  <si>
    <t>Simran Verma</t>
  </si>
  <si>
    <t>simran.verma210@outlook.com</t>
  </si>
  <si>
    <t>CUST00042</t>
  </si>
  <si>
    <t>Swati Kapoor</t>
  </si>
  <si>
    <t>swati.kapoor707@outlook.com</t>
  </si>
  <si>
    <t>CUST00043</t>
  </si>
  <si>
    <t>Sunil Mishra</t>
  </si>
  <si>
    <t>9630554118</t>
  </si>
  <si>
    <t>CUST00044</t>
  </si>
  <si>
    <t>Nisha Mishra</t>
  </si>
  <si>
    <t>nisha.mishra330@rediffmail.com</t>
  </si>
  <si>
    <t>CUST00045</t>
  </si>
  <si>
    <t>Rekha Pandey</t>
  </si>
  <si>
    <t>9747145068</t>
  </si>
  <si>
    <t>rekha.pandey895@yahoo.com</t>
  </si>
  <si>
    <t>CUST00046</t>
  </si>
  <si>
    <t>Krishna Singh</t>
  </si>
  <si>
    <t>CUST00047</t>
  </si>
  <si>
    <t>Neha Chauhan</t>
  </si>
  <si>
    <t>neha.chauhan797@hotmail.com</t>
  </si>
  <si>
    <t>CUST00048</t>
  </si>
  <si>
    <t>Kavya Rao</t>
  </si>
  <si>
    <t>9514642708</t>
  </si>
  <si>
    <t>kavya.rao84@outlook.com</t>
  </si>
  <si>
    <t>CUST00049</t>
  </si>
  <si>
    <t>Ayaan Saxena</t>
  </si>
  <si>
    <t>9636687537</t>
  </si>
  <si>
    <t>ayaan.saxena612@rediffmail.com</t>
  </si>
  <si>
    <t>CUST00050</t>
  </si>
  <si>
    <t>Mahesh Mishra</t>
  </si>
  <si>
    <t>mahesh.mishra791@rediffmail.com</t>
  </si>
  <si>
    <t>CUST00051</t>
  </si>
  <si>
    <t>Aryan Iyer</t>
  </si>
  <si>
    <t>9483298103</t>
  </si>
  <si>
    <t>aryan.iyer883@gmail.com</t>
  </si>
  <si>
    <t>CUST00052</t>
  </si>
  <si>
    <t>Rohan Tiwari</t>
  </si>
  <si>
    <t>rohan.tiwari360@hotmail.com</t>
  </si>
  <si>
    <t>CUST00053</t>
  </si>
  <si>
    <t>Ananya Mishra</t>
  </si>
  <si>
    <t>ananya.mishra256@gmail.com</t>
  </si>
  <si>
    <t>CUST00054</t>
  </si>
  <si>
    <t>Rekha Patel</t>
  </si>
  <si>
    <t>rekha.patel727@yahoo.com</t>
  </si>
  <si>
    <t>CUST00055</t>
  </si>
  <si>
    <t>Divya Shah</t>
  </si>
  <si>
    <t>divya.shah900@rediffmail.com</t>
  </si>
  <si>
    <t>CUST00056</t>
  </si>
  <si>
    <t>Ishaan Patel</t>
  </si>
  <si>
    <t>ishaan.patel640@rediffmail.com</t>
  </si>
  <si>
    <t>CUST00057</t>
  </si>
  <si>
    <t>Diya Bansal</t>
  </si>
  <si>
    <t>9254263081</t>
  </si>
  <si>
    <t>diya.bansal321@outlook.com</t>
  </si>
  <si>
    <t>CUST00058</t>
  </si>
  <si>
    <t>Sneha Kapoor</t>
  </si>
  <si>
    <t>sneha.kapoor221@rediffmail.com</t>
  </si>
  <si>
    <t>CUST00059</t>
  </si>
  <si>
    <t>Krishna Kumar</t>
  </si>
  <si>
    <t>krishna.kumar383@outlook.com</t>
  </si>
  <si>
    <t>CUST00060</t>
  </si>
  <si>
    <t>Ramesh Kumar</t>
  </si>
  <si>
    <t>9547256709</t>
  </si>
  <si>
    <t>CUST00061</t>
  </si>
  <si>
    <t>Dhruv Bhatt</t>
  </si>
  <si>
    <t>dhruv.bhatt679@hotmail.com</t>
  </si>
  <si>
    <t>CUST00062</t>
  </si>
  <si>
    <t>Ramesh Bhatt</t>
  </si>
  <si>
    <t>ramesh.bhatt918@hotmail.com</t>
  </si>
  <si>
    <t>CUST00063</t>
  </si>
  <si>
    <t>Aarav Bhatt</t>
  </si>
  <si>
    <t>9269587940</t>
  </si>
  <si>
    <t>aarav.bhatt417@hotmail.com</t>
  </si>
  <si>
    <t>CUST00064</t>
  </si>
  <si>
    <t>Reyansh Khanna</t>
  </si>
  <si>
    <t>reyansh.khanna292@hotmail.com</t>
  </si>
  <si>
    <t>CUST00065</t>
  </si>
  <si>
    <t>rahul.kapoor274@outlook.com</t>
  </si>
  <si>
    <t>CUST00066</t>
  </si>
  <si>
    <t>Anil Rao</t>
  </si>
  <si>
    <t>anil.rao773@rediffmail.com</t>
  </si>
  <si>
    <t>Kochi</t>
  </si>
  <si>
    <t>CUST00067</t>
  </si>
  <si>
    <t>Manish Yadav</t>
  </si>
  <si>
    <t>manish.yadav406@outlook.com</t>
  </si>
  <si>
    <t>CUST00068</t>
  </si>
  <si>
    <t>Mahesh Bhatia</t>
  </si>
  <si>
    <t>9679069250</t>
  </si>
  <si>
    <t>mahesh.bhatia137@outlook.com</t>
  </si>
  <si>
    <t>CUST00069</t>
  </si>
  <si>
    <t>Aditya Kapoor</t>
  </si>
  <si>
    <t>aditya.kapoor689@gmail.com</t>
  </si>
  <si>
    <t>CUST00070</t>
  </si>
  <si>
    <t>Isha Mishra</t>
  </si>
  <si>
    <t>isha.mishra391@rediffmail.com</t>
  </si>
  <si>
    <t>CUST00071</t>
  </si>
  <si>
    <t>simran.verma193@rediffmail.com</t>
  </si>
  <si>
    <t>CUST00072</t>
  </si>
  <si>
    <t>Ananya Khanna</t>
  </si>
  <si>
    <t>ananya.khanna380@outlook.com</t>
  </si>
  <si>
    <t>CUST00073</t>
  </si>
  <si>
    <t>Seema Sethi</t>
  </si>
  <si>
    <t>seema.sethi658@gmail.com</t>
  </si>
  <si>
    <t>CUST00074</t>
  </si>
  <si>
    <t>Preeti Khanna</t>
  </si>
  <si>
    <t>preeti.khanna110@gmail.com</t>
  </si>
  <si>
    <t>CUST00075</t>
  </si>
  <si>
    <t>Saanvi Mishra</t>
  </si>
  <si>
    <t>saanvi.mishra340@rediffmail.com</t>
  </si>
  <si>
    <t>CUST00076</t>
  </si>
  <si>
    <t>Vinod Singh</t>
  </si>
  <si>
    <t>vinod.singh706@gmail.com</t>
  </si>
  <si>
    <t>CUST00077</t>
  </si>
  <si>
    <t>Vikram Singh</t>
  </si>
  <si>
    <t>9508021882</t>
  </si>
  <si>
    <t>vikram.singh729@yahoo.com</t>
  </si>
  <si>
    <t>CUST00078</t>
  </si>
  <si>
    <t>Rahul Agarwal</t>
  </si>
  <si>
    <t>rahul.agarwal174@hotmail.com</t>
  </si>
  <si>
    <t>CUST00079</t>
  </si>
  <si>
    <t>Krishna Iyer</t>
  </si>
  <si>
    <t>9444311586</t>
  </si>
  <si>
    <t>krishna.iyer618@yahoo.com</t>
  </si>
  <si>
    <t>CUST00080</t>
  </si>
  <si>
    <t>Kiran Rathi</t>
  </si>
  <si>
    <t>kiran.rathi690@hotmail.com</t>
  </si>
  <si>
    <t>CUST00081</t>
  </si>
  <si>
    <t>Anil Mehta</t>
  </si>
  <si>
    <t>9954946593</t>
  </si>
  <si>
    <t>anil.mehta441@gmail.com</t>
  </si>
  <si>
    <t>CUST00082</t>
  </si>
  <si>
    <t>Pooja Kumar</t>
  </si>
  <si>
    <t>9570477095</t>
  </si>
  <si>
    <t>pooja.kumar740@hotmail.com</t>
  </si>
  <si>
    <t>CUST00083</t>
  </si>
  <si>
    <t>Dhruv Nair</t>
  </si>
  <si>
    <t>9907803348</t>
  </si>
  <si>
    <t>dhruv.nair721@gmail.com</t>
  </si>
  <si>
    <t>CUST00084</t>
  </si>
  <si>
    <t>Kavya Tiwari</t>
  </si>
  <si>
    <t>kavya.tiwari524@hotmail.com</t>
  </si>
  <si>
    <t>CUST00085</t>
  </si>
  <si>
    <t>Tanya Joshi</t>
  </si>
  <si>
    <t>tanya.joshi85@rediffmail.com</t>
  </si>
  <si>
    <t>CUST00086</t>
  </si>
  <si>
    <t>aditya.kapoor357@gmail.com</t>
  </si>
  <si>
    <t>CUST00087</t>
  </si>
  <si>
    <t>Krishna Tiwari</t>
  </si>
  <si>
    <t>CUST00088</t>
  </si>
  <si>
    <t>Anjali Nair</t>
  </si>
  <si>
    <t>9446673808</t>
  </si>
  <si>
    <t>anjali.nair849@outlook.com</t>
  </si>
  <si>
    <t>CUST00089</t>
  </si>
  <si>
    <t>Deepak Chauhan</t>
  </si>
  <si>
    <t>deepak.chauhan440@gmail.com</t>
  </si>
  <si>
    <t>Pune</t>
  </si>
  <si>
    <t>CUST00090</t>
  </si>
  <si>
    <t>Aarav Bansal</t>
  </si>
  <si>
    <t>aarav.bansal169@hotmail.com</t>
  </si>
  <si>
    <t>CUST00091</t>
  </si>
  <si>
    <t>Vihaan Rathi</t>
  </si>
  <si>
    <t>vihaan.rathi978@yahoo.com</t>
  </si>
  <si>
    <t>CUST00092</t>
  </si>
  <si>
    <t>Sunil Malhotra</t>
  </si>
  <si>
    <t>sunil.malhotra719@hotmail.com</t>
  </si>
  <si>
    <t>CUST00093</t>
  </si>
  <si>
    <t>CUST00094</t>
  </si>
  <si>
    <t>Karan Yadav</t>
  </si>
  <si>
    <t>karan.yadav3@gmail.com</t>
  </si>
  <si>
    <t>CUST00095</t>
  </si>
  <si>
    <t>Neha Bhatia</t>
  </si>
  <si>
    <t>neha.bhatia793@outlook.com</t>
  </si>
  <si>
    <t>CUST00096</t>
  </si>
  <si>
    <t>Meera Bhatia</t>
  </si>
  <si>
    <t>meera.bhatia745@outlook.com</t>
  </si>
  <si>
    <t>CUST00097</t>
  </si>
  <si>
    <t>Rita Rathi</t>
  </si>
  <si>
    <t>rita.rathi718@outlook.com</t>
  </si>
  <si>
    <t>CUST00098</t>
  </si>
  <si>
    <t>Sanjay Rao</t>
  </si>
  <si>
    <t>sanjay.rao406@rediffmail.com</t>
  </si>
  <si>
    <t>CUST00099</t>
  </si>
  <si>
    <t>Tanya Rathi</t>
  </si>
  <si>
    <t>tanya.rathi95@outlook.com</t>
  </si>
  <si>
    <t>Bhopal</t>
  </si>
  <si>
    <t>CUST00100</t>
  </si>
  <si>
    <t>Suresh Sethi</t>
  </si>
  <si>
    <t>9955984774</t>
  </si>
  <si>
    <t>suresh.sethi539@yahoo.com</t>
  </si>
  <si>
    <t>CUST00101</t>
  </si>
  <si>
    <t>Karan Agarwal</t>
  </si>
  <si>
    <t>9956191734</t>
  </si>
  <si>
    <t>karan.agarwal398@outlook.com</t>
  </si>
  <si>
    <t>CUST00102</t>
  </si>
  <si>
    <t>Ishaan Agarwal</t>
  </si>
  <si>
    <t>ishaan.agarwal940@yahoo.com</t>
  </si>
  <si>
    <t>CUST00103</t>
  </si>
  <si>
    <t>Priya Bhatia</t>
  </si>
  <si>
    <t>9927672827</t>
  </si>
  <si>
    <t>CUST00104</t>
  </si>
  <si>
    <t>Meera Kumar</t>
  </si>
  <si>
    <t>meera.kumar491@rediffmail.com</t>
  </si>
  <si>
    <t>CUST00105</t>
  </si>
  <si>
    <t>Aryan Malhotra</t>
  </si>
  <si>
    <t>aryan.malhotra568@rediffmail.com</t>
  </si>
  <si>
    <t>CUST00106</t>
  </si>
  <si>
    <t>Manju Chopra</t>
  </si>
  <si>
    <t>9496642020</t>
  </si>
  <si>
    <t>manju.chopra192@hotmail.com</t>
  </si>
  <si>
    <t>CUST00107</t>
  </si>
  <si>
    <t>Nisha Sethi</t>
  </si>
  <si>
    <t>nisha.sethi820@rediffmail.com</t>
  </si>
  <si>
    <t>CUST00108</t>
  </si>
  <si>
    <t>Swati Agarwal</t>
  </si>
  <si>
    <t>swati.agarwal801@hotmail.com</t>
  </si>
  <si>
    <t>CUST00109</t>
  </si>
  <si>
    <t>Lata Shah</t>
  </si>
  <si>
    <t>9121724902</t>
  </si>
  <si>
    <t>lata.shah346@outlook.com</t>
  </si>
  <si>
    <t>CUST00110</t>
  </si>
  <si>
    <t>Divya Sethi</t>
  </si>
  <si>
    <t>divya.sethi30@yahoo.com</t>
  </si>
  <si>
    <t>CUST00111</t>
  </si>
  <si>
    <t>Rohan Bhatia</t>
  </si>
  <si>
    <t>9714457408</t>
  </si>
  <si>
    <t>rohan.bhatia799@yahoo.com</t>
  </si>
  <si>
    <t>CUST00112</t>
  </si>
  <si>
    <t>Divya Saxena</t>
  </si>
  <si>
    <t>CUST00113</t>
  </si>
  <si>
    <t>Vinod Verma</t>
  </si>
  <si>
    <t>vinod.verma726@rediffmail.com</t>
  </si>
  <si>
    <t>CUST00114</t>
  </si>
  <si>
    <t>Rekha Kumar</t>
  </si>
  <si>
    <t>9605234798</t>
  </si>
  <si>
    <t>rekha.kumar55@rediffmail.com</t>
  </si>
  <si>
    <t>CUST00115</t>
  </si>
  <si>
    <t>Rohan Joshi</t>
  </si>
  <si>
    <t>CUST00116</t>
  </si>
  <si>
    <t>Divya Bansal</t>
  </si>
  <si>
    <t>divya.bansal346@hotmail.com</t>
  </si>
  <si>
    <t>CUST00117</t>
  </si>
  <si>
    <t>Vihaan Tiwari</t>
  </si>
  <si>
    <t>vihaan.tiwari427@hotmail.com</t>
  </si>
  <si>
    <t>CUST00118</t>
  </si>
  <si>
    <t>Aditya Bhatt</t>
  </si>
  <si>
    <t>aditya.bhatt933@yahoo.com</t>
  </si>
  <si>
    <t>CUST00119</t>
  </si>
  <si>
    <t>Vinod Kumar</t>
  </si>
  <si>
    <t>vinod.kumar872@gmail.com</t>
  </si>
  <si>
    <t>CUST00120</t>
  </si>
  <si>
    <t>Seema Agarwal</t>
  </si>
  <si>
    <t>9618268171</t>
  </si>
  <si>
    <t>seema.agarwal822@rediffmail.com</t>
  </si>
  <si>
    <t>CUST00121</t>
  </si>
  <si>
    <t>Deepak Bansal</t>
  </si>
  <si>
    <t>9202265468</t>
  </si>
  <si>
    <t>deepak.bansal444@yahoo.com</t>
  </si>
  <si>
    <t>CUST00122</t>
  </si>
  <si>
    <t>Vinod Mishra</t>
  </si>
  <si>
    <t>9119079456</t>
  </si>
  <si>
    <t>vinod.mishra106@hotmail.com</t>
  </si>
  <si>
    <t>CUST00123</t>
  </si>
  <si>
    <t>Preeti Iyer</t>
  </si>
  <si>
    <t>preeti.iyer535@outlook.com</t>
  </si>
  <si>
    <t>CUST00124</t>
  </si>
  <si>
    <t>Aarav Desai</t>
  </si>
  <si>
    <t>9890503688</t>
  </si>
  <si>
    <t>aarav.desai50@rediffmail.com</t>
  </si>
  <si>
    <t>CUST00125</t>
  </si>
  <si>
    <t>Sanjay Yadav</t>
  </si>
  <si>
    <t>sanjay.yadav648@yahoo.com</t>
  </si>
  <si>
    <t>CUST00126</t>
  </si>
  <si>
    <t>Aryan Nair</t>
  </si>
  <si>
    <t>aryan.nair805@yahoo.com</t>
  </si>
  <si>
    <t>CUST00127</t>
  </si>
  <si>
    <t>Usha Chauhan</t>
  </si>
  <si>
    <t>9575736188</t>
  </si>
  <si>
    <t>usha.chauhan850@yahoo.com</t>
  </si>
  <si>
    <t>CUST00128</t>
  </si>
  <si>
    <t>Nisha Bhatt</t>
  </si>
  <si>
    <t>nisha.bhatt75@outlook.com</t>
  </si>
  <si>
    <t>CUST00129</t>
  </si>
  <si>
    <t>Ramesh Sethi</t>
  </si>
  <si>
    <t>ramesh.sethi391@gmail.com</t>
  </si>
  <si>
    <t>CUST00130</t>
  </si>
  <si>
    <t>Sunita Tiwari</t>
  </si>
  <si>
    <t>9896045379</t>
  </si>
  <si>
    <t>sunita.tiwari794@hotmail.com</t>
  </si>
  <si>
    <t>CUST00131</t>
  </si>
  <si>
    <t>Isha Khanna</t>
  </si>
  <si>
    <t>isha.khanna109@outlook.com</t>
  </si>
  <si>
    <t>CUST00132</t>
  </si>
  <si>
    <t>Sai Iyer</t>
  </si>
  <si>
    <t>9325542573</t>
  </si>
  <si>
    <t>CUST00133</t>
  </si>
  <si>
    <t>Mahesh Iyer</t>
  </si>
  <si>
    <t>mahesh.iyer599@yahoo.com</t>
  </si>
  <si>
    <t>CUST00134</t>
  </si>
  <si>
    <t>Ashok Sethi</t>
  </si>
  <si>
    <t>CUST00135</t>
  </si>
  <si>
    <t>mahesh.bhatia754@hotmail.com</t>
  </si>
  <si>
    <t>CUST00136</t>
  </si>
  <si>
    <t>Sunita Gupta</t>
  </si>
  <si>
    <t>CUST00137</t>
  </si>
  <si>
    <t>Krishna Agarwal</t>
  </si>
  <si>
    <t>krishna.agarwal165@yahoo.com</t>
  </si>
  <si>
    <t>CUST00138</t>
  </si>
  <si>
    <t>Neha Bansal</t>
  </si>
  <si>
    <t>neha.bansal71@yahoo.com</t>
  </si>
  <si>
    <t>CUST00139</t>
  </si>
  <si>
    <t>Deepak Desai</t>
  </si>
  <si>
    <t>9560588284</t>
  </si>
  <si>
    <t>deepak.desai235@hotmail.com</t>
  </si>
  <si>
    <t>CUST00140</t>
  </si>
  <si>
    <t>Saanvi Agarwal</t>
  </si>
  <si>
    <t>saanvi.agarwal627@outlook.com</t>
  </si>
  <si>
    <t>CUST00141</t>
  </si>
  <si>
    <t>Meera Mishra</t>
  </si>
  <si>
    <t>CUST00142</t>
  </si>
  <si>
    <t>9100308454</t>
  </si>
  <si>
    <t>rahul.mishra162@gmail.com</t>
  </si>
  <si>
    <t>CUST00143</t>
  </si>
  <si>
    <t>Amit Sethi</t>
  </si>
  <si>
    <t>9677569362</t>
  </si>
  <si>
    <t>amit.sethi833@rediffmail.com</t>
  </si>
  <si>
    <t>CUST00144</t>
  </si>
  <si>
    <t>Ramesh Yadav</t>
  </si>
  <si>
    <t>ramesh.yadav351@gmail.com</t>
  </si>
  <si>
    <t>CUST00145</t>
  </si>
  <si>
    <t>Rekha Joshi</t>
  </si>
  <si>
    <t>9498569245</t>
  </si>
  <si>
    <t>rekha.joshi636@outlook.com</t>
  </si>
  <si>
    <t>CUST00146</t>
  </si>
  <si>
    <t>Kabir Bhatt</t>
  </si>
  <si>
    <t>kabir.bhatt243@outlook.com</t>
  </si>
  <si>
    <t>CUST00147</t>
  </si>
  <si>
    <t>Krishna Sethi</t>
  </si>
  <si>
    <t>krishna.sethi530@rediffmail.com</t>
  </si>
  <si>
    <t>CUST00148</t>
  </si>
  <si>
    <t>Sunil Iyer</t>
  </si>
  <si>
    <t>9481295430</t>
  </si>
  <si>
    <t>sunil.iyer333@rediffmail.com</t>
  </si>
  <si>
    <t>CUST00149</t>
  </si>
  <si>
    <t>Kabir Bhatia</t>
  </si>
  <si>
    <t>kabir.bhatia129@yahoo.com</t>
  </si>
  <si>
    <t>CUST00150</t>
  </si>
  <si>
    <t>Usha Khanna</t>
  </si>
  <si>
    <t>9449182252</t>
  </si>
  <si>
    <t>usha.khanna885@hotmail.com</t>
  </si>
  <si>
    <t>CUST00151</t>
  </si>
  <si>
    <t>Anjali Chauhan</t>
  </si>
  <si>
    <t>anjali.chauhan307@gmail.com</t>
  </si>
  <si>
    <t>CUST00152</t>
  </si>
  <si>
    <t>neha.bansal279@rediffmail.com</t>
  </si>
  <si>
    <t>CUST00153</t>
  </si>
  <si>
    <t>Priya Gupta</t>
  </si>
  <si>
    <t>priya.gupta482@yahoo.com</t>
  </si>
  <si>
    <t>CUST00154</t>
  </si>
  <si>
    <t>Manish Reddy</t>
  </si>
  <si>
    <t>9487005172</t>
  </si>
  <si>
    <t>manish.reddy909@gmail.com</t>
  </si>
  <si>
    <t>CUST00155</t>
  </si>
  <si>
    <t>Karan Mehta</t>
  </si>
  <si>
    <t>9699524216</t>
  </si>
  <si>
    <t>karan.mehta808@outlook.com</t>
  </si>
  <si>
    <t>CUST00156</t>
  </si>
  <si>
    <t>Sneha Chopra</t>
  </si>
  <si>
    <t>CUST00157</t>
  </si>
  <si>
    <t>Swati Tiwari</t>
  </si>
  <si>
    <t>9733830783</t>
  </si>
  <si>
    <t>swati.tiwari263@gmail.com</t>
  </si>
  <si>
    <t>CUST00158</t>
  </si>
  <si>
    <t>nisha.mishra572@rediffmail.com</t>
  </si>
  <si>
    <t>CUST00159</t>
  </si>
  <si>
    <t>Tanya Kapoor</t>
  </si>
  <si>
    <t>CUST00160</t>
  </si>
  <si>
    <t>Geeta Sethi</t>
  </si>
  <si>
    <t>9840447097</t>
  </si>
  <si>
    <t>geeta.sethi720@rediffmail.com</t>
  </si>
  <si>
    <t>CUST00161</t>
  </si>
  <si>
    <t>Ashok Chopra</t>
  </si>
  <si>
    <t>ashok.chopra771@rediffmail.com</t>
  </si>
  <si>
    <t>CUST00162</t>
  </si>
  <si>
    <t>Ananya Pandey</t>
  </si>
  <si>
    <t>9718494872</t>
  </si>
  <si>
    <t>ananya.pandey92@gmail.com</t>
  </si>
  <si>
    <t>CUST00163</t>
  </si>
  <si>
    <t>Manish Kapoor</t>
  </si>
  <si>
    <t>manish.kapoor24@outlook.com</t>
  </si>
  <si>
    <t>CUST00164</t>
  </si>
  <si>
    <t>Usha Sethi</t>
  </si>
  <si>
    <t>9797299908</t>
  </si>
  <si>
    <t>usha.sethi396@yahoo.com</t>
  </si>
  <si>
    <t>CUST00165</t>
  </si>
  <si>
    <t>Vikram Rao</t>
  </si>
  <si>
    <t>vikram.rao350@hotmail.com</t>
  </si>
  <si>
    <t>CUST00166</t>
  </si>
  <si>
    <t>Nisha Khanna</t>
  </si>
  <si>
    <t>9269702658</t>
  </si>
  <si>
    <t>nisha.khanna326@gmail.com</t>
  </si>
  <si>
    <t>CUST00167</t>
  </si>
  <si>
    <t>Simran Joshi</t>
  </si>
  <si>
    <t>9864524716</t>
  </si>
  <si>
    <t>simran.joshi666@outlook.com</t>
  </si>
  <si>
    <t>CUST00168</t>
  </si>
  <si>
    <t>Priya Bansal</t>
  </si>
  <si>
    <t>priya.bansal586@rediffmail.com</t>
  </si>
  <si>
    <t>CUST00169</t>
  </si>
  <si>
    <t>Tanya Gupta</t>
  </si>
  <si>
    <t>tanya.gupta513@gmail.com</t>
  </si>
  <si>
    <t>CUST00170</t>
  </si>
  <si>
    <t>Meera Verma</t>
  </si>
  <si>
    <t>CUST00171</t>
  </si>
  <si>
    <t>Sai Bansal</t>
  </si>
  <si>
    <t>sai.bansal7@yahoo.com</t>
  </si>
  <si>
    <t>CUST00172</t>
  </si>
  <si>
    <t>Sai Chauhan</t>
  </si>
  <si>
    <t>sai.chauhan331@outlook.com</t>
  </si>
  <si>
    <t>CUST00173</t>
  </si>
  <si>
    <t>Swati Shah</t>
  </si>
  <si>
    <t>swati.shah630@rediffmail.com</t>
  </si>
  <si>
    <t>CUST00174</t>
  </si>
  <si>
    <t>Nisha Bansal</t>
  </si>
  <si>
    <t>CUST00175</t>
  </si>
  <si>
    <t>9673671448</t>
  </si>
  <si>
    <t>CUST00176</t>
  </si>
  <si>
    <t>Ananya Singh</t>
  </si>
  <si>
    <t>9926224353</t>
  </si>
  <si>
    <t>CUST00177</t>
  </si>
  <si>
    <t>Tanya Pandey</t>
  </si>
  <si>
    <t>9226326628</t>
  </si>
  <si>
    <t>tanya.pandey280@yahoo.com</t>
  </si>
  <si>
    <t>CUST00178</t>
  </si>
  <si>
    <t>Diya Saxena</t>
  </si>
  <si>
    <t>diya.saxena731@rediffmail.com</t>
  </si>
  <si>
    <t>CUST00179</t>
  </si>
  <si>
    <t>Nikhil Chauhan</t>
  </si>
  <si>
    <t>9474322976</t>
  </si>
  <si>
    <t>nikhil.chauhan619@rediffmail.com</t>
  </si>
  <si>
    <t>CUST00180</t>
  </si>
  <si>
    <t>Anjali Kumar</t>
  </si>
  <si>
    <t>9735830320</t>
  </si>
  <si>
    <t>anjali.kumar611@hotmail.com</t>
  </si>
  <si>
    <t>CUST00181</t>
  </si>
  <si>
    <t>Manju Mehta</t>
  </si>
  <si>
    <t>manju.mehta584@outlook.com</t>
  </si>
  <si>
    <t>CUST00182</t>
  </si>
  <si>
    <t>Rita Shah</t>
  </si>
  <si>
    <t>rita.shah158@outlook.com</t>
  </si>
  <si>
    <t>CUST00183</t>
  </si>
  <si>
    <t>Vikram Malhotra</t>
  </si>
  <si>
    <t>9686441554</t>
  </si>
  <si>
    <t>vikram.malhotra591@outlook.com</t>
  </si>
  <si>
    <t>CUST00184</t>
  </si>
  <si>
    <t>Aarav Joshi</t>
  </si>
  <si>
    <t>aarav.joshi525@hotmail.com</t>
  </si>
  <si>
    <t>CUST00185</t>
  </si>
  <si>
    <t>Aarav Yadav</t>
  </si>
  <si>
    <t>aarav.yadav619@yahoo.com</t>
  </si>
  <si>
    <t>CUST00186</t>
  </si>
  <si>
    <t>Anil Saxena</t>
  </si>
  <si>
    <t>anil.saxena54@yahoo.com</t>
  </si>
  <si>
    <t>CUST00187</t>
  </si>
  <si>
    <t>Vikram Rathi</t>
  </si>
  <si>
    <t>9205523897</t>
  </si>
  <si>
    <t>vikram.rathi262@rediffmail.com</t>
  </si>
  <si>
    <t>CUST00188</t>
  </si>
  <si>
    <t>Sai Bhatia</t>
  </si>
  <si>
    <t>sai.bhatia134@hotmail.com</t>
  </si>
  <si>
    <t>CUST00189</t>
  </si>
  <si>
    <t>Ishaan Bhatt</t>
  </si>
  <si>
    <t>ishaan.bhatt442@yahoo.com</t>
  </si>
  <si>
    <t>CUST00190</t>
  </si>
  <si>
    <t>Meera Tiwari</t>
  </si>
  <si>
    <t>meera.tiwari799@hotmail.com</t>
  </si>
  <si>
    <t>CUST00191</t>
  </si>
  <si>
    <t>Ashok Agarwal</t>
  </si>
  <si>
    <t>CUST00192</t>
  </si>
  <si>
    <t>Manish Saxena</t>
  </si>
  <si>
    <t>manish.saxena100@hotmail.com</t>
  </si>
  <si>
    <t>CUST00193</t>
  </si>
  <si>
    <t>Rahul Khanna</t>
  </si>
  <si>
    <t>9724902501</t>
  </si>
  <si>
    <t>rahul.khanna42@yahoo.com</t>
  </si>
  <si>
    <t>CUST00194</t>
  </si>
  <si>
    <t>Kritika Rao</t>
  </si>
  <si>
    <t>kritika.rao121@rediffmail.com</t>
  </si>
  <si>
    <t>CUST00195</t>
  </si>
  <si>
    <t>Vivaan Joshi</t>
  </si>
  <si>
    <t>9652873657</t>
  </si>
  <si>
    <t>vivaan.joshi119@gmail.com</t>
  </si>
  <si>
    <t>CUST00196</t>
  </si>
  <si>
    <t>Krishna Verma</t>
  </si>
  <si>
    <t>9843255395</t>
  </si>
  <si>
    <t>krishna.verma583@gmail.com</t>
  </si>
  <si>
    <t>CUST00197</t>
  </si>
  <si>
    <t>Radhika Rao</t>
  </si>
  <si>
    <t>radhika.rao969@yahoo.com</t>
  </si>
  <si>
    <t>CUST00198</t>
  </si>
  <si>
    <t>Nisha Yadav</t>
  </si>
  <si>
    <t>9726700279</t>
  </si>
  <si>
    <t>nisha.yadav25@hotmail.com</t>
  </si>
  <si>
    <t>CUST00199</t>
  </si>
  <si>
    <t>Kavya Kapoor</t>
  </si>
  <si>
    <t>kavya.kapoor42@outlook.com</t>
  </si>
  <si>
    <t>CUST00200</t>
  </si>
  <si>
    <t>lata.iyer636@outlook.com</t>
  </si>
  <si>
    <t>CUST00201</t>
  </si>
  <si>
    <t>Vivaan Bhatia</t>
  </si>
  <si>
    <t>vivaan.bhatia238@rediffmail.com</t>
  </si>
  <si>
    <t>CUST00202</t>
  </si>
  <si>
    <t>Deepak Sethi</t>
  </si>
  <si>
    <t>deepak.sethi814@yahoo.com</t>
  </si>
  <si>
    <t>CUST00203</t>
  </si>
  <si>
    <t>Sanjay Iyer</t>
  </si>
  <si>
    <t>9608857707</t>
  </si>
  <si>
    <t>CUST00204</t>
  </si>
  <si>
    <t>Anjali Mehta</t>
  </si>
  <si>
    <t>CUST00205</t>
  </si>
  <si>
    <t>Manish Joshi</t>
  </si>
  <si>
    <t>manish.joshi344@gmail.com</t>
  </si>
  <si>
    <t>CUST00206</t>
  </si>
  <si>
    <t>Rajesh Saxena</t>
  </si>
  <si>
    <t>9783501986</t>
  </si>
  <si>
    <t>rajesh.saxena484@gmail.com</t>
  </si>
  <si>
    <t>CUST00207</t>
  </si>
  <si>
    <t>Krishna Shah</t>
  </si>
  <si>
    <t>9275351550</t>
  </si>
  <si>
    <t>krishna.shah55@outlook.com</t>
  </si>
  <si>
    <t>CUST00208</t>
  </si>
  <si>
    <t>Sunil Joshi</t>
  </si>
  <si>
    <t>sunil.joshi349@yahoo.com</t>
  </si>
  <si>
    <t>CUST00209</t>
  </si>
  <si>
    <t>Vivaan Yadav</t>
  </si>
  <si>
    <t>vivaan.yadav122@yahoo.com</t>
  </si>
  <si>
    <t>CUST00210</t>
  </si>
  <si>
    <t>Isha Sharma</t>
  </si>
  <si>
    <t>9197473548</t>
  </si>
  <si>
    <t>isha.sharma150@outlook.com</t>
  </si>
  <si>
    <t>CUST00211</t>
  </si>
  <si>
    <t>Reyansh Patel</t>
  </si>
  <si>
    <t>reyansh.patel364@hotmail.com</t>
  </si>
  <si>
    <t>CUST00212</t>
  </si>
  <si>
    <t>Preeti Joshi</t>
  </si>
  <si>
    <t>preeti.joshi377@yahoo.com</t>
  </si>
  <si>
    <t>CUST00213</t>
  </si>
  <si>
    <t>Isha Joshi</t>
  </si>
  <si>
    <t>isha.joshi618@hotmail.com</t>
  </si>
  <si>
    <t>CUST00214</t>
  </si>
  <si>
    <t>Anjali Desai</t>
  </si>
  <si>
    <t>anjali.desai556@outlook.com</t>
  </si>
  <si>
    <t>CUST00215</t>
  </si>
  <si>
    <t>Radhika Chopra</t>
  </si>
  <si>
    <t>radhika.chopra693@outlook.com</t>
  </si>
  <si>
    <t>CUST00216</t>
  </si>
  <si>
    <t>9652719151</t>
  </si>
  <si>
    <t>saanvi.agarwal924@hotmail.com</t>
  </si>
  <si>
    <t>CUST00217</t>
  </si>
  <si>
    <t>Nisha Chopra</t>
  </si>
  <si>
    <t>nisha.chopra232@rediffmail.com</t>
  </si>
  <si>
    <t>CUST00218</t>
  </si>
  <si>
    <t>Geeta Yadav</t>
  </si>
  <si>
    <t>geeta.yadav275@rediffmail.com</t>
  </si>
  <si>
    <t>CUST00219</t>
  </si>
  <si>
    <t>saanvi.mishra207@yahoo.com</t>
  </si>
  <si>
    <t>CUST00220</t>
  </si>
  <si>
    <t>Rita Kumar</t>
  </si>
  <si>
    <t>rita.kumar681@rediffmail.com</t>
  </si>
  <si>
    <t>CUST00221</t>
  </si>
  <si>
    <t>Rahul Nair</t>
  </si>
  <si>
    <t>rahul.nair960@yahoo.com</t>
  </si>
  <si>
    <t>CUST00222</t>
  </si>
  <si>
    <t>Rita Saxena</t>
  </si>
  <si>
    <t>rita.saxena242@outlook.com</t>
  </si>
  <si>
    <t>CUST00223</t>
  </si>
  <si>
    <t>Rajesh Kapoor</t>
  </si>
  <si>
    <t>9949350526</t>
  </si>
  <si>
    <t>rajesh.kapoor657@yahoo.com</t>
  </si>
  <si>
    <t>CUST00224</t>
  </si>
  <si>
    <t>Vivaan Khanna</t>
  </si>
  <si>
    <t>vivaan.khanna663@rediffmail.com</t>
  </si>
  <si>
    <t>CUST00225</t>
  </si>
  <si>
    <t>Meera Singh</t>
  </si>
  <si>
    <t>meera.singh877@yahoo.com</t>
  </si>
  <si>
    <t>CUST00226</t>
  </si>
  <si>
    <t>Pooja Khanna</t>
  </si>
  <si>
    <t>pooja.khanna621@rediffmail.com</t>
  </si>
  <si>
    <t>CUST00227</t>
  </si>
  <si>
    <t>Manju Nair</t>
  </si>
  <si>
    <t>manju.nair850@outlook.com</t>
  </si>
  <si>
    <t>CUST00228</t>
  </si>
  <si>
    <t>Ashok Bhatia</t>
  </si>
  <si>
    <t>ashok.bhatia127@outlook.com</t>
  </si>
  <si>
    <t>CUST00229</t>
  </si>
  <si>
    <t>Neha Saxena</t>
  </si>
  <si>
    <t>9859894230</t>
  </si>
  <si>
    <t>neha.saxena676@hotmail.com</t>
  </si>
  <si>
    <t>CUST00230</t>
  </si>
  <si>
    <t>Anil Mishra</t>
  </si>
  <si>
    <t>anil.mishra124@outlook.com</t>
  </si>
  <si>
    <t>CUST00231</t>
  </si>
  <si>
    <t>Divya Gupta</t>
  </si>
  <si>
    <t>divya.gupta480@hotmail.com</t>
  </si>
  <si>
    <t>CUST00232</t>
  </si>
  <si>
    <t>Aditya Gupta</t>
  </si>
  <si>
    <t>aditya.gupta898@outlook.com</t>
  </si>
  <si>
    <t>CUST00233</t>
  </si>
  <si>
    <t>Ramesh Chopra</t>
  </si>
  <si>
    <t>ramesh.chopra310@gmail.com</t>
  </si>
  <si>
    <t>CUST00234</t>
  </si>
  <si>
    <t>Tanya Agarwal</t>
  </si>
  <si>
    <t>tanya.agarwal207@outlook.com</t>
  </si>
  <si>
    <t>CUST00235</t>
  </si>
  <si>
    <t>Riya Sethi</t>
  </si>
  <si>
    <t>riya.sethi120@hotmail.com</t>
  </si>
  <si>
    <t>CUST00236</t>
  </si>
  <si>
    <t>Mahesh Joshi</t>
  </si>
  <si>
    <t>9238616374</t>
  </si>
  <si>
    <t>mahesh.joshi178@yahoo.com</t>
  </si>
  <si>
    <t>CUST00237</t>
  </si>
  <si>
    <t>Ishaan Bhatia</t>
  </si>
  <si>
    <t>CUST00238</t>
  </si>
  <si>
    <t>Aryan Kapoor</t>
  </si>
  <si>
    <t>aryan.kapoor788@gmail.com</t>
  </si>
  <si>
    <t>CUST00239</t>
  </si>
  <si>
    <t>Priya Chauhan</t>
  </si>
  <si>
    <t>priya.chauhan445@gmail.com</t>
  </si>
  <si>
    <t>CUST00240</t>
  </si>
  <si>
    <t>Aryan Sethi</t>
  </si>
  <si>
    <t>aryan.sethi87@gmail.com</t>
  </si>
  <si>
    <t>CUST00241</t>
  </si>
  <si>
    <t>Suresh Kumar</t>
  </si>
  <si>
    <t>9581827565</t>
  </si>
  <si>
    <t>suresh.kumar306@rediffmail.com</t>
  </si>
  <si>
    <t>CUST00242</t>
  </si>
  <si>
    <t>Arjun Shah</t>
  </si>
  <si>
    <t>9826732562</t>
  </si>
  <si>
    <t>arjun.shah539@hotmail.com</t>
  </si>
  <si>
    <t>CUST00243</t>
  </si>
  <si>
    <t>Ayaan Kumar</t>
  </si>
  <si>
    <t>ayaan.kumar586@outlook.com</t>
  </si>
  <si>
    <t>CUST00244</t>
  </si>
  <si>
    <t>Ashok Saxena</t>
  </si>
  <si>
    <t>ashok.saxena136@yahoo.com</t>
  </si>
  <si>
    <t>CUST00245</t>
  </si>
  <si>
    <t>Swati Bhatt</t>
  </si>
  <si>
    <t>swati.bhatt776@gmail.com</t>
  </si>
  <si>
    <t>CUST00246</t>
  </si>
  <si>
    <t>Nikhil Singh</t>
  </si>
  <si>
    <t>nikhil.singh262@gmail.com</t>
  </si>
  <si>
    <t>CUST00247</t>
  </si>
  <si>
    <t>Arjun Joshi</t>
  </si>
  <si>
    <t>arjun.joshi418@yahoo.com</t>
  </si>
  <si>
    <t>CUST00248</t>
  </si>
  <si>
    <t>Rohan Sharma</t>
  </si>
  <si>
    <t>rohan.sharma956@hotmail.com</t>
  </si>
  <si>
    <t>CUST00249</t>
  </si>
  <si>
    <t>Diya Reddy</t>
  </si>
  <si>
    <t>diya.reddy983@rediffmail.com</t>
  </si>
  <si>
    <t>CUST00250</t>
  </si>
  <si>
    <t>preeti.tiwari128@hotmail.com</t>
  </si>
  <si>
    <t>CUST00251</t>
  </si>
  <si>
    <t>Mahesh Yadav</t>
  </si>
  <si>
    <t>9707423317</t>
  </si>
  <si>
    <t>mahesh.yadav689@rediffmail.com</t>
  </si>
  <si>
    <t>CUST00252</t>
  </si>
  <si>
    <t>Divya Kapoor</t>
  </si>
  <si>
    <t>9632119301</t>
  </si>
  <si>
    <t>divya.kapoor371@rediffmail.com</t>
  </si>
  <si>
    <t>CUST00253</t>
  </si>
  <si>
    <t>Pooja Rao</t>
  </si>
  <si>
    <t>pooja.rao853@gmail.com</t>
  </si>
  <si>
    <t>CUST00254</t>
  </si>
  <si>
    <t>Karan Bhatia</t>
  </si>
  <si>
    <t>karan.bhatia807@rediffmail.com</t>
  </si>
  <si>
    <t>CUST00255</t>
  </si>
  <si>
    <t>Krishna Rathi</t>
  </si>
  <si>
    <t>krishna.rathi62@yahoo.com</t>
  </si>
  <si>
    <t>CUST00256</t>
  </si>
  <si>
    <t>Rekha Agarwal</t>
  </si>
  <si>
    <t>9707841924</t>
  </si>
  <si>
    <t>rekha.agarwal987@outlook.com</t>
  </si>
  <si>
    <t>CUST00257</t>
  </si>
  <si>
    <t>Nikhil Kapoor</t>
  </si>
  <si>
    <t>9308739111</t>
  </si>
  <si>
    <t>nikhil.kapoor647@rediffmail.com</t>
  </si>
  <si>
    <t>CUST00258</t>
  </si>
  <si>
    <t>Divya Rathi</t>
  </si>
  <si>
    <t>divya.rathi903@hotmail.com</t>
  </si>
  <si>
    <t>CUST00259</t>
  </si>
  <si>
    <t>Swati Gupta</t>
  </si>
  <si>
    <t>swati.gupta521@hotmail.com</t>
  </si>
  <si>
    <t>CUST00260</t>
  </si>
  <si>
    <t>CUST00261</t>
  </si>
  <si>
    <t>Aryan Mehta</t>
  </si>
  <si>
    <t>aryan.mehta692@outlook.com</t>
  </si>
  <si>
    <t>CUST00262</t>
  </si>
  <si>
    <t>Kritika Chauhan</t>
  </si>
  <si>
    <t>9603303948</t>
  </si>
  <si>
    <t>CUST00263</t>
  </si>
  <si>
    <t>Kiran Verma</t>
  </si>
  <si>
    <t>9249394788</t>
  </si>
  <si>
    <t>kiran.verma158@outlook.com</t>
  </si>
  <si>
    <t>CUST00264</t>
  </si>
  <si>
    <t>Divya Sharma</t>
  </si>
  <si>
    <t>divya.sharma335@hotmail.com</t>
  </si>
  <si>
    <t>CUST00265</t>
  </si>
  <si>
    <t>9627162809</t>
  </si>
  <si>
    <t>nisha.sethi472@hotmail.com</t>
  </si>
  <si>
    <t>CUST00266</t>
  </si>
  <si>
    <t>Riya Chauhan</t>
  </si>
  <si>
    <t>9693590140</t>
  </si>
  <si>
    <t>riya.chauhan125@outlook.com</t>
  </si>
  <si>
    <t>CUST00267</t>
  </si>
  <si>
    <t>Tanya Singh</t>
  </si>
  <si>
    <t>tanya.singh841@outlook.com</t>
  </si>
  <si>
    <t>CUST00268</t>
  </si>
  <si>
    <t>Simran Sharma</t>
  </si>
  <si>
    <t>simran.sharma791@hotmail.com</t>
  </si>
  <si>
    <t>CUST00269</t>
  </si>
  <si>
    <t>Dhruv Kumar</t>
  </si>
  <si>
    <t>dhruv.kumar332@yahoo.com</t>
  </si>
  <si>
    <t>CUST00270</t>
  </si>
  <si>
    <t>Rita Chauhan</t>
  </si>
  <si>
    <t>9844876980</t>
  </si>
  <si>
    <t>CUST00271</t>
  </si>
  <si>
    <t>Simran Kapoor</t>
  </si>
  <si>
    <t>9893769688</t>
  </si>
  <si>
    <t>simran.kapoor899@outlook.com</t>
  </si>
  <si>
    <t>CUST00272</t>
  </si>
  <si>
    <t>Aryan Verma</t>
  </si>
  <si>
    <t>9781146329</t>
  </si>
  <si>
    <t>aryan.verma145@yahoo.com</t>
  </si>
  <si>
    <t>CUST00273</t>
  </si>
  <si>
    <t>Anil Singh</t>
  </si>
  <si>
    <t>anil.singh977@hotmail.com</t>
  </si>
  <si>
    <t>CUST00274</t>
  </si>
  <si>
    <t>Manish Mishra</t>
  </si>
  <si>
    <t>manish.mishra73@hotmail.com</t>
  </si>
  <si>
    <t>CUST00275</t>
  </si>
  <si>
    <t>Rahul Bansal</t>
  </si>
  <si>
    <t>9720989768</t>
  </si>
  <si>
    <t>rahul.bansal975@yahoo.com</t>
  </si>
  <si>
    <t>CUST00276</t>
  </si>
  <si>
    <t>Vikram Yadav</t>
  </si>
  <si>
    <t>vikram.yadav953@hotmail.com</t>
  </si>
  <si>
    <t>CUST00277</t>
  </si>
  <si>
    <t>Swati Kumar</t>
  </si>
  <si>
    <t>swati.kumar171@gmail.com</t>
  </si>
  <si>
    <t>CUST00278</t>
  </si>
  <si>
    <t>Kavya Pandey</t>
  </si>
  <si>
    <t>9468376600</t>
  </si>
  <si>
    <t>kavya.pandey323@yahoo.com</t>
  </si>
  <si>
    <t>CUST00279</t>
  </si>
  <si>
    <t>Geeta Mehta</t>
  </si>
  <si>
    <t>geeta.mehta649@outlook.com</t>
  </si>
  <si>
    <t>CUST00280</t>
  </si>
  <si>
    <t>Ayaan Joshi</t>
  </si>
  <si>
    <t>9811506547</t>
  </si>
  <si>
    <t>ayaan.joshi554@yahoo.com</t>
  </si>
  <si>
    <t>CUST00281</t>
  </si>
  <si>
    <t>Vinod Yadav</t>
  </si>
  <si>
    <t>9878492981</t>
  </si>
  <si>
    <t>vinod.yadav391@rediffmail.com</t>
  </si>
  <si>
    <t>CUST00282</t>
  </si>
  <si>
    <t>Simran Agarwal</t>
  </si>
  <si>
    <t>simran.agarwal110@hotmail.com</t>
  </si>
  <si>
    <t>CUST00283</t>
  </si>
  <si>
    <t>Diya Singh</t>
  </si>
  <si>
    <t>9988934422</t>
  </si>
  <si>
    <t>diya.singh734@yahoo.com</t>
  </si>
  <si>
    <t>CUST00284</t>
  </si>
  <si>
    <t>Vihaan Bhatia</t>
  </si>
  <si>
    <t>9861913813</t>
  </si>
  <si>
    <t>CUST00285</t>
  </si>
  <si>
    <t>Radhika Malhotra</t>
  </si>
  <si>
    <t>radhika.malhotra643@hotmail.com</t>
  </si>
  <si>
    <t>CUST00286</t>
  </si>
  <si>
    <t>Reyansh Rathi</t>
  </si>
  <si>
    <t>reyansh.rathi186@hotmail.com</t>
  </si>
  <si>
    <t>CUST00287</t>
  </si>
  <si>
    <t>aarav.bhatt820@outlook.com</t>
  </si>
  <si>
    <t>CUST00288</t>
  </si>
  <si>
    <t>Isha Bansal</t>
  </si>
  <si>
    <t>isha.bansal523@yahoo.com</t>
  </si>
  <si>
    <t>CUST00289</t>
  </si>
  <si>
    <t>Vikram Mishra</t>
  </si>
  <si>
    <t>vikram.mishra662@yahoo.com</t>
  </si>
  <si>
    <t>CUST00290</t>
  </si>
  <si>
    <t>Ayaan Patel</t>
  </si>
  <si>
    <t>9665298949</t>
  </si>
  <si>
    <t>ayaan.patel746@outlook.com</t>
  </si>
  <si>
    <t>CUST00291</t>
  </si>
  <si>
    <t>Vihaan Khanna</t>
  </si>
  <si>
    <t>vihaan.khanna655@outlook.com</t>
  </si>
  <si>
    <t>CUST00292</t>
  </si>
  <si>
    <t>Preeti Bhatia</t>
  </si>
  <si>
    <t>preeti.bhatia986@hotmail.com</t>
  </si>
  <si>
    <t>CUST00293</t>
  </si>
  <si>
    <t>Manju Chauhan</t>
  </si>
  <si>
    <t>manju.chauhan926@yahoo.com</t>
  </si>
  <si>
    <t>CUST00294</t>
  </si>
  <si>
    <t>Lata Bansal</t>
  </si>
  <si>
    <t>lata.bansal59@outlook.com</t>
  </si>
  <si>
    <t>CUST00295</t>
  </si>
  <si>
    <t>Reyansh Kapoor</t>
  </si>
  <si>
    <t>9804674903</t>
  </si>
  <si>
    <t>reyansh.kapoor860@hotmail.com</t>
  </si>
  <si>
    <t>CUST00296</t>
  </si>
  <si>
    <t>reyansh.rathi130@yahoo.com</t>
  </si>
  <si>
    <t>CUST00297</t>
  </si>
  <si>
    <t>Aryan Bhatia</t>
  </si>
  <si>
    <t>aryan.bhatia645@yahoo.com</t>
  </si>
  <si>
    <t>CUST00298</t>
  </si>
  <si>
    <t>Aarav Verma</t>
  </si>
  <si>
    <t>9809132123</t>
  </si>
  <si>
    <t>aarav.verma763@outlook.com</t>
  </si>
  <si>
    <t>CUST00299</t>
  </si>
  <si>
    <t>9802608498</t>
  </si>
  <si>
    <t>seema.sethi838@yahoo.com</t>
  </si>
  <si>
    <t>CUST00300</t>
  </si>
  <si>
    <t>Rohan Bansal</t>
  </si>
  <si>
    <t>rohan.bansal714@yahoo.com</t>
  </si>
  <si>
    <t>CUST00301</t>
  </si>
  <si>
    <t>Vikram Bhatt</t>
  </si>
  <si>
    <t>9227886302</t>
  </si>
  <si>
    <t>vikram.bhatt176@yahoo.com</t>
  </si>
  <si>
    <t>CUST00302</t>
  </si>
  <si>
    <t>Geeta Shah</t>
  </si>
  <si>
    <t>9335449670</t>
  </si>
  <si>
    <t>geeta.shah749@outlook.com</t>
  </si>
  <si>
    <t>CUST00303</t>
  </si>
  <si>
    <t>Usha Patel</t>
  </si>
  <si>
    <t>9302786799</t>
  </si>
  <si>
    <t>CUST00304</t>
  </si>
  <si>
    <t>Rajesh Bansal</t>
  </si>
  <si>
    <t>rajesh.bansal812@gmail.com</t>
  </si>
  <si>
    <t>CUST00305</t>
  </si>
  <si>
    <t>Ishaan Shah</t>
  </si>
  <si>
    <t>ishaan.shah294@yahoo.com</t>
  </si>
  <si>
    <t>CUST00306</t>
  </si>
  <si>
    <t>Mahesh Shah</t>
  </si>
  <si>
    <t>mahesh.shah831@gmail.com</t>
  </si>
  <si>
    <t>CUST00307</t>
  </si>
  <si>
    <t>Meera Malhotra</t>
  </si>
  <si>
    <t>meera.malhotra510@rediffmail.com</t>
  </si>
  <si>
    <t>CUST00308</t>
  </si>
  <si>
    <t>Kritika Khanna</t>
  </si>
  <si>
    <t>kritika.khanna249@yahoo.com</t>
  </si>
  <si>
    <t>CUST00309</t>
  </si>
  <si>
    <t>Suresh Tiwari</t>
  </si>
  <si>
    <t>9114183509</t>
  </si>
  <si>
    <t>suresh.tiwari294@gmail.com</t>
  </si>
  <si>
    <t>CUST00310</t>
  </si>
  <si>
    <t>Geeta Tiwari</t>
  </si>
  <si>
    <t>9602979426</t>
  </si>
  <si>
    <t>geeta.tiwari489@outlook.com</t>
  </si>
  <si>
    <t>CUST00311</t>
  </si>
  <si>
    <t>Pooja Verma</t>
  </si>
  <si>
    <t>pooja.verma323@gmail.com</t>
  </si>
  <si>
    <t>CUST00312</t>
  </si>
  <si>
    <t>9331549411</t>
  </si>
  <si>
    <t>sanjay.rao827@yahoo.com</t>
  </si>
  <si>
    <t>CUST00313</t>
  </si>
  <si>
    <t>Nikhil Patel</t>
  </si>
  <si>
    <t>CUST00314</t>
  </si>
  <si>
    <t>Tanya Nair</t>
  </si>
  <si>
    <t>9832888487</t>
  </si>
  <si>
    <t>tanya.nair44@rediffmail.com</t>
  </si>
  <si>
    <t>CUST00315</t>
  </si>
  <si>
    <t>simran.joshi720@hotmail.com</t>
  </si>
  <si>
    <t>CUST00316</t>
  </si>
  <si>
    <t>Lata Nair</t>
  </si>
  <si>
    <t>lata.nair851@gmail.com</t>
  </si>
  <si>
    <t>CUST00317</t>
  </si>
  <si>
    <t>Neha Khanna</t>
  </si>
  <si>
    <t>neha.khanna512@outlook.com</t>
  </si>
  <si>
    <t>CUST00318</t>
  </si>
  <si>
    <t>Usha Kumar</t>
  </si>
  <si>
    <t>usha.kumar512@hotmail.com</t>
  </si>
  <si>
    <t>CUST00319</t>
  </si>
  <si>
    <t>Swati Khanna</t>
  </si>
  <si>
    <t>swati.khanna107@hotmail.com</t>
  </si>
  <si>
    <t>CUST00320</t>
  </si>
  <si>
    <t>Lata Rathi</t>
  </si>
  <si>
    <t>9545298475</t>
  </si>
  <si>
    <t>lata.rathi690@yahoo.com</t>
  </si>
  <si>
    <t>CUST00321</t>
  </si>
  <si>
    <t>Saanvi Rao</t>
  </si>
  <si>
    <t>saanvi.rao728@yahoo.com</t>
  </si>
  <si>
    <t>CUST00322</t>
  </si>
  <si>
    <t>Mahesh Verma</t>
  </si>
  <si>
    <t>9395241238</t>
  </si>
  <si>
    <t>mahesh.verma85@yahoo.com</t>
  </si>
  <si>
    <t>CUST00323</t>
  </si>
  <si>
    <t>Mahesh Agarwal</t>
  </si>
  <si>
    <t>9777760231</t>
  </si>
  <si>
    <t>mahesh.agarwal622@gmail.com</t>
  </si>
  <si>
    <t>CUST00324</t>
  </si>
  <si>
    <t>Vinod Rathi</t>
  </si>
  <si>
    <t>vinod.rathi447@rediffmail.com</t>
  </si>
  <si>
    <t>CUST00325</t>
  </si>
  <si>
    <t>Tanya Patel</t>
  </si>
  <si>
    <t>tanya.patel982@rediffmail.com</t>
  </si>
  <si>
    <t>CUST00326</t>
  </si>
  <si>
    <t>Dhruv Desai</t>
  </si>
  <si>
    <t>9333499573</t>
  </si>
  <si>
    <t>dhruv.desai106@rediffmail.com</t>
  </si>
  <si>
    <t>CUST00327</t>
  </si>
  <si>
    <t>Shreya Khanna</t>
  </si>
  <si>
    <t>CUST00328</t>
  </si>
  <si>
    <t>Ananya Bhatia</t>
  </si>
  <si>
    <t>9838303704</t>
  </si>
  <si>
    <t>ananya.bhatia742@hotmail.com</t>
  </si>
  <si>
    <t>CUST00329</t>
  </si>
  <si>
    <t>Ayaan Desai</t>
  </si>
  <si>
    <t>9666494300</t>
  </si>
  <si>
    <t>ayaan.desai247@rediffmail.com</t>
  </si>
  <si>
    <t>CUST00330</t>
  </si>
  <si>
    <t>Suresh Singh</t>
  </si>
  <si>
    <t>9641715005</t>
  </si>
  <si>
    <t>suresh.singh109@yahoo.com</t>
  </si>
  <si>
    <t>CUST00331</t>
  </si>
  <si>
    <t>Ishaan Chopra</t>
  </si>
  <si>
    <t>ishaan.chopra442@rediffmail.com</t>
  </si>
  <si>
    <t>CUST00332</t>
  </si>
  <si>
    <t>Deepak Tiwari</t>
  </si>
  <si>
    <t>deepak.tiwari402@hotmail.com</t>
  </si>
  <si>
    <t>CUST00333</t>
  </si>
  <si>
    <t>Kabir Nair</t>
  </si>
  <si>
    <t>kabir.nair175@gmail.com</t>
  </si>
  <si>
    <t>CUST00334</t>
  </si>
  <si>
    <t>Lata Desai</t>
  </si>
  <si>
    <t>9931641272</t>
  </si>
  <si>
    <t>CUST00335</t>
  </si>
  <si>
    <t>Diya Chopra</t>
  </si>
  <si>
    <t>CUST00336</t>
  </si>
  <si>
    <t>Saanvi Shah</t>
  </si>
  <si>
    <t>saanvi.shah855@gmail.com</t>
  </si>
  <si>
    <t>CUST00337</t>
  </si>
  <si>
    <t>Kabir Agarwal</t>
  </si>
  <si>
    <t>9567954159</t>
  </si>
  <si>
    <t>kabir.agarwal696@outlook.com</t>
  </si>
  <si>
    <t>CUST00338</t>
  </si>
  <si>
    <t>Krishna Bansal</t>
  </si>
  <si>
    <t>CUST00339</t>
  </si>
  <si>
    <t>Divya Singh</t>
  </si>
  <si>
    <t>9703495788</t>
  </si>
  <si>
    <t>divya.singh759@hotmail.com</t>
  </si>
  <si>
    <t>CUST00340</t>
  </si>
  <si>
    <t>9982279119</t>
  </si>
  <si>
    <t>shreya.nair628@hotmail.com</t>
  </si>
  <si>
    <t>CUST00341</t>
  </si>
  <si>
    <t>Manish Verma</t>
  </si>
  <si>
    <t>CUST00342</t>
  </si>
  <si>
    <t>Sunita Mishra</t>
  </si>
  <si>
    <t>sunita.mishra386@hotmail.com</t>
  </si>
  <si>
    <t>CUST00343</t>
  </si>
  <si>
    <t>Riya Khanna</t>
  </si>
  <si>
    <t>riya.khanna64@rediffmail.com</t>
  </si>
  <si>
    <t>CUST00344</t>
  </si>
  <si>
    <t>Aditya Rathi</t>
  </si>
  <si>
    <t>aditya.rathi915@gmail.com</t>
  </si>
  <si>
    <t>CUST00345</t>
  </si>
  <si>
    <t>Diya Sharma</t>
  </si>
  <si>
    <t>diya.sharma842@outlook.com</t>
  </si>
  <si>
    <t>CUST00346</t>
  </si>
  <si>
    <t>Vihaan Rao</t>
  </si>
  <si>
    <t>CUST00347</t>
  </si>
  <si>
    <t>Meera Pandey</t>
  </si>
  <si>
    <t>meera.pandey756@gmail.com</t>
  </si>
  <si>
    <t>CUST00348</t>
  </si>
  <si>
    <t>Arjun Verma</t>
  </si>
  <si>
    <t>9236060156</t>
  </si>
  <si>
    <t>CUST00349</t>
  </si>
  <si>
    <t>Sneha Kumar</t>
  </si>
  <si>
    <t>9157979408</t>
  </si>
  <si>
    <t>CUST00350</t>
  </si>
  <si>
    <t>vivaan.bhatia394@hotmail.com</t>
  </si>
  <si>
    <t>CUST00351</t>
  </si>
  <si>
    <t>Shreya Kapoor</t>
  </si>
  <si>
    <t>9555089389</t>
  </si>
  <si>
    <t>shreya.kapoor587@rediffmail.com</t>
  </si>
  <si>
    <t>CUST00352</t>
  </si>
  <si>
    <t>Neha Verma</t>
  </si>
  <si>
    <t>9485176589</t>
  </si>
  <si>
    <t>neha.verma492@rediffmail.com</t>
  </si>
  <si>
    <t>CUST00353</t>
  </si>
  <si>
    <t>Sanjay Nair</t>
  </si>
  <si>
    <t>sanjay.nair17@outlook.com</t>
  </si>
  <si>
    <t>CUST00354</t>
  </si>
  <si>
    <t>Rita Singh</t>
  </si>
  <si>
    <t>rita.singh27@gmail.com</t>
  </si>
  <si>
    <t>CUST00355</t>
  </si>
  <si>
    <t>CUST00356</t>
  </si>
  <si>
    <t>Geeta Singh</t>
  </si>
  <si>
    <t>CUST00357</t>
  </si>
  <si>
    <t>Usha Desai</t>
  </si>
  <si>
    <t>usha.desai926@hotmail.com</t>
  </si>
  <si>
    <t>CUST00358</t>
  </si>
  <si>
    <t>Radhika Agarwal</t>
  </si>
  <si>
    <t>radhika.agarwal691@hotmail.com</t>
  </si>
  <si>
    <t>CUST00359</t>
  </si>
  <si>
    <t>Vikram Joshi</t>
  </si>
  <si>
    <t>9571283271</t>
  </si>
  <si>
    <t>vikram.joshi230@yahoo.com</t>
  </si>
  <si>
    <t>CUST00360</t>
  </si>
  <si>
    <t>anjali.nair886@yahoo.com</t>
  </si>
  <si>
    <t>CUST00361</t>
  </si>
  <si>
    <t>Amit Joshi</t>
  </si>
  <si>
    <t>amit.joshi497@yahoo.com</t>
  </si>
  <si>
    <t>CUST00362</t>
  </si>
  <si>
    <t>Anjali Rathi</t>
  </si>
  <si>
    <t>CUST00363</t>
  </si>
  <si>
    <t>Manju Bhatia</t>
  </si>
  <si>
    <t>9940555052</t>
  </si>
  <si>
    <t>manju.bhatia419@gmail.com</t>
  </si>
  <si>
    <t>CUST00364</t>
  </si>
  <si>
    <t>9856698632</t>
  </si>
  <si>
    <t>CUST00365</t>
  </si>
  <si>
    <t>Deepak Rao</t>
  </si>
  <si>
    <t>9136268864</t>
  </si>
  <si>
    <t>deepak.rao279@gmail.com</t>
  </si>
  <si>
    <t>CUST00366</t>
  </si>
  <si>
    <t>saanvi.gupta991@hotmail.com</t>
  </si>
  <si>
    <t>CUST00367</t>
  </si>
  <si>
    <t>Anjali Agarwal</t>
  </si>
  <si>
    <t>9368402236</t>
  </si>
  <si>
    <t>anjali.agarwal86@yahoo.com</t>
  </si>
  <si>
    <t>CUST00368</t>
  </si>
  <si>
    <t>9912700913</t>
  </si>
  <si>
    <t>meera.singh14@yahoo.com</t>
  </si>
  <si>
    <t>CUST00369</t>
  </si>
  <si>
    <t>Sanjay Shah</t>
  </si>
  <si>
    <t>9657679799</t>
  </si>
  <si>
    <t>sanjay.shah620@outlook.com</t>
  </si>
  <si>
    <t>CUST00370</t>
  </si>
  <si>
    <t>Geeta Khanna</t>
  </si>
  <si>
    <t>9557591883</t>
  </si>
  <si>
    <t>geeta.khanna599@outlook.com</t>
  </si>
  <si>
    <t>CUST00371</t>
  </si>
  <si>
    <t>Aarav Mehta</t>
  </si>
  <si>
    <t>aarav.mehta918@gmail.com</t>
  </si>
  <si>
    <t>CUST00372</t>
  </si>
  <si>
    <t>Suresh Shah</t>
  </si>
  <si>
    <t>9291139369</t>
  </si>
  <si>
    <t>suresh.shah26@outlook.com</t>
  </si>
  <si>
    <t>CUST00373</t>
  </si>
  <si>
    <t>Nisha Saxena</t>
  </si>
  <si>
    <t>9132670198</t>
  </si>
  <si>
    <t>nisha.saxena884@hotmail.com</t>
  </si>
  <si>
    <t>CUST00374</t>
  </si>
  <si>
    <t>Vivaan Mehta</t>
  </si>
  <si>
    <t>vivaan.mehta689@outlook.com</t>
  </si>
  <si>
    <t>CUST00375</t>
  </si>
  <si>
    <t>Sai Kumar</t>
  </si>
  <si>
    <t>sai.kumar187@gmail.com</t>
  </si>
  <si>
    <t>CUST00376</t>
  </si>
  <si>
    <t>Amit Gupta</t>
  </si>
  <si>
    <t>amit.gupta364@rediffmail.com</t>
  </si>
  <si>
    <t>CUST00377</t>
  </si>
  <si>
    <t>Radhika Mehta</t>
  </si>
  <si>
    <t>radhika.mehta578@hotmail.com</t>
  </si>
  <si>
    <t>CUST00378</t>
  </si>
  <si>
    <t>manish.verma782@rediffmail.com</t>
  </si>
  <si>
    <t>CUST00379</t>
  </si>
  <si>
    <t>Sai Patel</t>
  </si>
  <si>
    <t>9353600185</t>
  </si>
  <si>
    <t>CUST00380</t>
  </si>
  <si>
    <t>Anjali Pandey</t>
  </si>
  <si>
    <t>anjali.pandey994@rediffmail.com</t>
  </si>
  <si>
    <t>CUST00381</t>
  </si>
  <si>
    <t>Ramesh Desai</t>
  </si>
  <si>
    <t>ramesh.desai109@hotmail.com</t>
  </si>
  <si>
    <t>CUST00382</t>
  </si>
  <si>
    <t>Saanvi Bhatt</t>
  </si>
  <si>
    <t>saanvi.bhatt393@gmail.com</t>
  </si>
  <si>
    <t>CUST00383</t>
  </si>
  <si>
    <t>Simran Kumar</t>
  </si>
  <si>
    <t>9483588343</t>
  </si>
  <si>
    <t>simran.kumar750@gmail.com</t>
  </si>
  <si>
    <t>CUST00384</t>
  </si>
  <si>
    <t>Ashok Gupta</t>
  </si>
  <si>
    <t>9462680716</t>
  </si>
  <si>
    <t>ashok.gupta950@outlook.com</t>
  </si>
  <si>
    <t>CUST00385</t>
  </si>
  <si>
    <t>Priya Khanna</t>
  </si>
  <si>
    <t>CUST00386</t>
  </si>
  <si>
    <t>9596012400</t>
  </si>
  <si>
    <t>tanya.singh875@hotmail.com</t>
  </si>
  <si>
    <t>CUST00387</t>
  </si>
  <si>
    <t>Anjali Rao</t>
  </si>
  <si>
    <t>CUST00388</t>
  </si>
  <si>
    <t>Rekha Chopra</t>
  </si>
  <si>
    <t>rekha.chopra775@hotmail.com</t>
  </si>
  <si>
    <t>CUST00389</t>
  </si>
  <si>
    <t>Rajesh Joshi</t>
  </si>
  <si>
    <t>rajesh.joshi94@outlook.com</t>
  </si>
  <si>
    <t>CUST00390</t>
  </si>
  <si>
    <t>Seema Patel</t>
  </si>
  <si>
    <t>9362920130</t>
  </si>
  <si>
    <t>seema.patel474@gmail.com</t>
  </si>
  <si>
    <t>CUST00391</t>
  </si>
  <si>
    <t>Reyansh Singh</t>
  </si>
  <si>
    <t>reyansh.singh777@rediffmail.com</t>
  </si>
  <si>
    <t>CUST00392</t>
  </si>
  <si>
    <t>Kavya Agarwal</t>
  </si>
  <si>
    <t>kavya.agarwal731@outlook.com</t>
  </si>
  <si>
    <t>CUST00393</t>
  </si>
  <si>
    <t>Rekha Desai</t>
  </si>
  <si>
    <t>rekha.desai536@outlook.com</t>
  </si>
  <si>
    <t>CUST00394</t>
  </si>
  <si>
    <t>9135262255</t>
  </si>
  <si>
    <t>kavya.pandey409@gmail.com</t>
  </si>
  <si>
    <t>CUST00395</t>
  </si>
  <si>
    <t>Karan Rao</t>
  </si>
  <si>
    <t>9728866304</t>
  </si>
  <si>
    <t>karan.rao780@rediffmail.com</t>
  </si>
  <si>
    <t>CUST00396</t>
  </si>
  <si>
    <t>Simran Nair</t>
  </si>
  <si>
    <t>simran.nair647@yahoo.com</t>
  </si>
  <si>
    <t>CUST00397</t>
  </si>
  <si>
    <t>Shreya Saxena</t>
  </si>
  <si>
    <t>shreya.saxena199@gmail.com</t>
  </si>
  <si>
    <t>CUST00398</t>
  </si>
  <si>
    <t>Rekha Saxena</t>
  </si>
  <si>
    <t>9426007474</t>
  </si>
  <si>
    <t>rekha.saxena380@yahoo.com</t>
  </si>
  <si>
    <t>CUST00399</t>
  </si>
  <si>
    <t>Swati Desai</t>
  </si>
  <si>
    <t>swati.desai877@outlook.com</t>
  </si>
  <si>
    <t>CUST00400</t>
  </si>
  <si>
    <t>Usha Singh</t>
  </si>
  <si>
    <t>usha.singh307@rediffmail.com</t>
  </si>
  <si>
    <t>CUST00401</t>
  </si>
  <si>
    <t>Rita Sharma</t>
  </si>
  <si>
    <t>rita.sharma123@hotmail.com</t>
  </si>
  <si>
    <t>CUST00402</t>
  </si>
  <si>
    <t>Sunil Pandey</t>
  </si>
  <si>
    <t>9562725525</t>
  </si>
  <si>
    <t>sunil.pandey838@outlook.com</t>
  </si>
  <si>
    <t>CUST00403</t>
  </si>
  <si>
    <t>Lata Sethi</t>
  </si>
  <si>
    <t>9867622823</t>
  </si>
  <si>
    <t>lata.sethi889@rediffmail.com</t>
  </si>
  <si>
    <t>CUST00404</t>
  </si>
  <si>
    <t>Usha Yadav</t>
  </si>
  <si>
    <t>usha.yadav214@hotmail.com</t>
  </si>
  <si>
    <t>CUST00405</t>
  </si>
  <si>
    <t>Neha Sharma</t>
  </si>
  <si>
    <t>9107790637</t>
  </si>
  <si>
    <t>neha.sharma390@hotmail.com</t>
  </si>
  <si>
    <t>CUST00406</t>
  </si>
  <si>
    <t>mahesh.iyer633@hotmail.com</t>
  </si>
  <si>
    <t>CUST00407</t>
  </si>
  <si>
    <t>Ashok Desai</t>
  </si>
  <si>
    <t>ashok.desai162@gmail.com</t>
  </si>
  <si>
    <t>CUST00408</t>
  </si>
  <si>
    <t>9253110789</t>
  </si>
  <si>
    <t>krishna.rathi231@gmail.com</t>
  </si>
  <si>
    <t>CUST00409</t>
  </si>
  <si>
    <t>Rahul Patel</t>
  </si>
  <si>
    <t>rahul.patel331@gmail.com</t>
  </si>
  <si>
    <t>CUST00410</t>
  </si>
  <si>
    <t>9939617000</t>
  </si>
  <si>
    <t>amit.gupta375@hotmail.com</t>
  </si>
  <si>
    <t>CUST00411</t>
  </si>
  <si>
    <t>Isha Desai</t>
  </si>
  <si>
    <t>isha.desai799@yahoo.com</t>
  </si>
  <si>
    <t>CUST00412</t>
  </si>
  <si>
    <t>Neha Mehta</t>
  </si>
  <si>
    <t>neha.mehta739@outlook.com</t>
  </si>
  <si>
    <t>CUST00413</t>
  </si>
  <si>
    <t>Priya Kumar</t>
  </si>
  <si>
    <t>priya.kumar758@rediffmail.com</t>
  </si>
  <si>
    <t>CUST00414</t>
  </si>
  <si>
    <t>Neha Malhotra</t>
  </si>
  <si>
    <t>9728115961</t>
  </si>
  <si>
    <t>neha.malhotra173@hotmail.com</t>
  </si>
  <si>
    <t>CUST00415</t>
  </si>
  <si>
    <t>rahul.agarwal227@rediffmail.com</t>
  </si>
  <si>
    <t>CUST00416</t>
  </si>
  <si>
    <t>Divya Verma</t>
  </si>
  <si>
    <t>9528093064</t>
  </si>
  <si>
    <t>divya.verma833@hotmail.com</t>
  </si>
  <si>
    <t>CUST00417</t>
  </si>
  <si>
    <t>Sunil Saxena</t>
  </si>
  <si>
    <t>9284745882</t>
  </si>
  <si>
    <t>sunil.saxena865@hotmail.com</t>
  </si>
  <si>
    <t>CUST00418</t>
  </si>
  <si>
    <t>Deepak Mishra</t>
  </si>
  <si>
    <t>9701816496</t>
  </si>
  <si>
    <t>deepak.mishra304@rediffmail.com</t>
  </si>
  <si>
    <t>CUST00419</t>
  </si>
  <si>
    <t>Vikram Sharma</t>
  </si>
  <si>
    <t>vikram.sharma230@yahoo.com</t>
  </si>
  <si>
    <t>CUST00420</t>
  </si>
  <si>
    <t>Rita Khanna</t>
  </si>
  <si>
    <t>rita.khanna328@rediffmail.com</t>
  </si>
  <si>
    <t>CUST00421</t>
  </si>
  <si>
    <t>9701251106</t>
  </si>
  <si>
    <t>rohan.sharma460@rediffmail.com</t>
  </si>
  <si>
    <t>CUST00422</t>
  </si>
  <si>
    <t>Ramesh Agarwal</t>
  </si>
  <si>
    <t>ramesh.agarwal884@gmail.com</t>
  </si>
  <si>
    <t>CUST00423</t>
  </si>
  <si>
    <t>Kabir Kumar</t>
  </si>
  <si>
    <t>9434143501</t>
  </si>
  <si>
    <t>kabir.kumar364@yahoo.com</t>
  </si>
  <si>
    <t>CUST00424</t>
  </si>
  <si>
    <t>Nisha Agarwal</t>
  </si>
  <si>
    <t>nisha.agarwal880@gmail.com</t>
  </si>
  <si>
    <t>CUST00425</t>
  </si>
  <si>
    <t>CUST00426</t>
  </si>
  <si>
    <t>nisha.agarwal545@rediffmail.com</t>
  </si>
  <si>
    <t>CUST00427</t>
  </si>
  <si>
    <t>Vinod Sethi</t>
  </si>
  <si>
    <t>9713401763</t>
  </si>
  <si>
    <t>vinod.sethi556@yahoo.com</t>
  </si>
  <si>
    <t>CUST00428</t>
  </si>
  <si>
    <t>Aditya Khanna</t>
  </si>
  <si>
    <t>9509620403</t>
  </si>
  <si>
    <t>aditya.khanna211@gmail.com</t>
  </si>
  <si>
    <t>CUST00429</t>
  </si>
  <si>
    <t>Meera Nair</t>
  </si>
  <si>
    <t>9303470329</t>
  </si>
  <si>
    <t>meera.nair837@hotmail.com</t>
  </si>
  <si>
    <t>CUST00430</t>
  </si>
  <si>
    <t>Kritika Bhatia</t>
  </si>
  <si>
    <t>kritika.bhatia206@yahoo.com</t>
  </si>
  <si>
    <t>CUST00431</t>
  </si>
  <si>
    <t>Isha Kapoor</t>
  </si>
  <si>
    <t>CUST00432</t>
  </si>
  <si>
    <t>Ishaan Sethi</t>
  </si>
  <si>
    <t>9211446453</t>
  </si>
  <si>
    <t>ishaan.sethi701@yahoo.com</t>
  </si>
  <si>
    <t>CUST00433</t>
  </si>
  <si>
    <t>Manju Shah</t>
  </si>
  <si>
    <t>manju.shah148@outlook.com</t>
  </si>
  <si>
    <t>CUST00434</t>
  </si>
  <si>
    <t>Dhruv Rao</t>
  </si>
  <si>
    <t>dhruv.rao730@yahoo.com</t>
  </si>
  <si>
    <t>CUST00435</t>
  </si>
  <si>
    <t>kiran.rathi155@hotmail.com</t>
  </si>
  <si>
    <t>CUST00436</t>
  </si>
  <si>
    <t>tanya.joshi721@yahoo.com</t>
  </si>
  <si>
    <t>CUST00437</t>
  </si>
  <si>
    <t>CUST00438</t>
  </si>
  <si>
    <t>Rohan Shah</t>
  </si>
  <si>
    <t>CUST00439</t>
  </si>
  <si>
    <t>Diya Shah</t>
  </si>
  <si>
    <t>diya.shah525@hotmail.com</t>
  </si>
  <si>
    <t>CUST00440</t>
  </si>
  <si>
    <t>9267765490</t>
  </si>
  <si>
    <t>swati.gupta597@hotmail.com</t>
  </si>
  <si>
    <t>CUST00441</t>
  </si>
  <si>
    <t>Usha Verma</t>
  </si>
  <si>
    <t>usha.verma190@rediffmail.com</t>
  </si>
  <si>
    <t>CUST00442</t>
  </si>
  <si>
    <t>arjun.verma506@outlook.com</t>
  </si>
  <si>
    <t>CUST00443</t>
  </si>
  <si>
    <t>Neha Sethi</t>
  </si>
  <si>
    <t>9595682408</t>
  </si>
  <si>
    <t>neha.sethi333@hotmail.com</t>
  </si>
  <si>
    <t>CUST00444</t>
  </si>
  <si>
    <t>Sunita Bhatia</t>
  </si>
  <si>
    <t>sunita.bhatia285@yahoo.com</t>
  </si>
  <si>
    <t>CUST00445</t>
  </si>
  <si>
    <t>Ashok Shah</t>
  </si>
  <si>
    <t>9966643102</t>
  </si>
  <si>
    <t>ashok.shah706@yahoo.com</t>
  </si>
  <si>
    <t>CUST00446</t>
  </si>
  <si>
    <t>Ananya Desai</t>
  </si>
  <si>
    <t>ananya.desai394@yahoo.com</t>
  </si>
  <si>
    <t>CUST00447</t>
  </si>
  <si>
    <t>Aryan Saxena</t>
  </si>
  <si>
    <t>9970513199</t>
  </si>
  <si>
    <t>aryan.saxena662@yahoo.com</t>
  </si>
  <si>
    <t>CUST00448</t>
  </si>
  <si>
    <t>Neha Nair</t>
  </si>
  <si>
    <t>9312365395</t>
  </si>
  <si>
    <t>neha.nair724@rediffmail.com</t>
  </si>
  <si>
    <t>CUST00449</t>
  </si>
  <si>
    <t>Reyansh Desai</t>
  </si>
  <si>
    <t>CUST00450</t>
  </si>
  <si>
    <t>Karan Chauhan</t>
  </si>
  <si>
    <t>karan.chauhan973@yahoo.com</t>
  </si>
  <si>
    <t>CUST00451</t>
  </si>
  <si>
    <t>Nikhil Nair</t>
  </si>
  <si>
    <t>nikhil.nair384@rediffmail.com</t>
  </si>
  <si>
    <t>CUST00452</t>
  </si>
  <si>
    <t>Suresh Mishra</t>
  </si>
  <si>
    <t>9346756657</t>
  </si>
  <si>
    <t>suresh.mishra581@outlook.com</t>
  </si>
  <si>
    <t>CUST00453</t>
  </si>
  <si>
    <t>manish.kapoor747@rediffmail.com</t>
  </si>
  <si>
    <t>CUST00454</t>
  </si>
  <si>
    <t>Ayaan Gupta</t>
  </si>
  <si>
    <t>ayaan.gupta241@hotmail.com</t>
  </si>
  <si>
    <t>CUST00455</t>
  </si>
  <si>
    <t>9102092274</t>
  </si>
  <si>
    <t>tanya.rathi666@gmail.com</t>
  </si>
  <si>
    <t>CUST00456</t>
  </si>
  <si>
    <t>Anil Sethi</t>
  </si>
  <si>
    <t>anil.sethi692@rediffmail.com</t>
  </si>
  <si>
    <t>CUST00457</t>
  </si>
  <si>
    <t>Geeta Malhotra</t>
  </si>
  <si>
    <t>9220130191</t>
  </si>
  <si>
    <t>geeta.malhotra514@rediffmail.com</t>
  </si>
  <si>
    <t>CUST00458</t>
  </si>
  <si>
    <t>Anjali Singh</t>
  </si>
  <si>
    <t>anjali.singh712@outlook.com</t>
  </si>
  <si>
    <t>CUST00459</t>
  </si>
  <si>
    <t>Aditya Pandey</t>
  </si>
  <si>
    <t>aditya.pandey33@hotmail.com</t>
  </si>
  <si>
    <t>CUST00460</t>
  </si>
  <si>
    <t>9446681717</t>
  </si>
  <si>
    <t>pooja.verma318@rediffmail.com</t>
  </si>
  <si>
    <t>CUST00461</t>
  </si>
  <si>
    <t>Diya Malhotra</t>
  </si>
  <si>
    <t>9217762169</t>
  </si>
  <si>
    <t>diya.malhotra704@yahoo.com</t>
  </si>
  <si>
    <t>CUST00462</t>
  </si>
  <si>
    <t>Kiran Tiwari</t>
  </si>
  <si>
    <t>kiran.tiwari22@rediffmail.com</t>
  </si>
  <si>
    <t>CUST00463</t>
  </si>
  <si>
    <t>Kiran Pandey</t>
  </si>
  <si>
    <t>kiran.pandey597@hotmail.com</t>
  </si>
  <si>
    <t>CUST00464</t>
  </si>
  <si>
    <t>Preeti Gupta</t>
  </si>
  <si>
    <t>9256886986</t>
  </si>
  <si>
    <t>preeti.gupta684@yahoo.com</t>
  </si>
  <si>
    <t>CUST00465</t>
  </si>
  <si>
    <t>Kiran Desai</t>
  </si>
  <si>
    <t>kiran.desai662@yahoo.com</t>
  </si>
  <si>
    <t>CUST00466</t>
  </si>
  <si>
    <t>Simran Bansal</t>
  </si>
  <si>
    <t>simran.bansal805@rediffmail.com</t>
  </si>
  <si>
    <t>CUST00467</t>
  </si>
  <si>
    <t>9926683522</t>
  </si>
  <si>
    <t>krishna.rathi705@outlook.com</t>
  </si>
  <si>
    <t>CUST00468</t>
  </si>
  <si>
    <t>Aryan Rathi</t>
  </si>
  <si>
    <t>aryan.rathi951@hotmail.com</t>
  </si>
  <si>
    <t>CUST00469</t>
  </si>
  <si>
    <t>mahesh.agarwal11@gmail.com</t>
  </si>
  <si>
    <t>CUST00470</t>
  </si>
  <si>
    <t>Rahul Bhatia</t>
  </si>
  <si>
    <t>rahul.bhatia227@yahoo.com</t>
  </si>
  <si>
    <t>CUST00471</t>
  </si>
  <si>
    <t>Divya Mehta</t>
  </si>
  <si>
    <t>9445830787</t>
  </si>
  <si>
    <t>divya.mehta22@hotmail.com</t>
  </si>
  <si>
    <t>CUST00472</t>
  </si>
  <si>
    <t>Vivaan Chopra</t>
  </si>
  <si>
    <t>vivaan.chopra354@outlook.com</t>
  </si>
  <si>
    <t>CUST00473</t>
  </si>
  <si>
    <t>amit.gupta955@outlook.com</t>
  </si>
  <si>
    <t>CUST00474</t>
  </si>
  <si>
    <t>Arjun Chauhan</t>
  </si>
  <si>
    <t>arjun.chauhan276@yahoo.com</t>
  </si>
  <si>
    <t>CUST00475</t>
  </si>
  <si>
    <t>9274039487</t>
  </si>
  <si>
    <t>sanjay.rao656@rediffmail.com</t>
  </si>
  <si>
    <t>CUST00476</t>
  </si>
  <si>
    <t>Sunita Iyer</t>
  </si>
  <si>
    <t>sunita.iyer619@hotmail.com</t>
  </si>
  <si>
    <t>CUST00477</t>
  </si>
  <si>
    <t>Rahul Singh</t>
  </si>
  <si>
    <t>CUST00478</t>
  </si>
  <si>
    <t>divya.shah460@hotmail.com</t>
  </si>
  <si>
    <t>CUST00479</t>
  </si>
  <si>
    <t>Seema Reddy</t>
  </si>
  <si>
    <t>seema.reddy632@hotmail.com</t>
  </si>
  <si>
    <t>CUST00480</t>
  </si>
  <si>
    <t>Mahesh Kapoor</t>
  </si>
  <si>
    <t>mahesh.kapoor921@outlook.com</t>
  </si>
  <si>
    <t>CUST00481</t>
  </si>
  <si>
    <t>Kiran Rao</t>
  </si>
  <si>
    <t>kiran.rao476@yahoo.com</t>
  </si>
  <si>
    <t>CUST00482</t>
  </si>
  <si>
    <t>Nikhil Rao</t>
  </si>
  <si>
    <t>CUST00483</t>
  </si>
  <si>
    <t>Radhika Gupta</t>
  </si>
  <si>
    <t>radhika.gupta630@gmail.com</t>
  </si>
  <si>
    <t>CUST00484</t>
  </si>
  <si>
    <t>Sanjay Saxena</t>
  </si>
  <si>
    <t>sanjay.saxena429@yahoo.com</t>
  </si>
  <si>
    <t>CUST00485</t>
  </si>
  <si>
    <t>Dhruv Sethi</t>
  </si>
  <si>
    <t>9608124995</t>
  </si>
  <si>
    <t>dhruv.sethi672@gmail.com</t>
  </si>
  <si>
    <t>CUST00486</t>
  </si>
  <si>
    <t>manju.mehta44@yahoo.com</t>
  </si>
  <si>
    <t>CUST00487</t>
  </si>
  <si>
    <t>Ashok Rathi</t>
  </si>
  <si>
    <t>9142332523</t>
  </si>
  <si>
    <t>ashok.rathi466@rediffmail.com</t>
  </si>
  <si>
    <t>CUST00488</t>
  </si>
  <si>
    <t>Karan Saxena</t>
  </si>
  <si>
    <t>karan.saxena245@hotmail.com</t>
  </si>
  <si>
    <t>CUST00489</t>
  </si>
  <si>
    <t>Sai Mehta</t>
  </si>
  <si>
    <t>sai.mehta252@hotmail.com</t>
  </si>
  <si>
    <t>CUST00490</t>
  </si>
  <si>
    <t>Tanya Mehta</t>
  </si>
  <si>
    <t>9230394179</t>
  </si>
  <si>
    <t>tanya.mehta513@rediffmail.com</t>
  </si>
  <si>
    <t>CUST00491</t>
  </si>
  <si>
    <t>Meera Rathi</t>
  </si>
  <si>
    <t>9912560909</t>
  </si>
  <si>
    <t>meera.rathi443@gmail.com</t>
  </si>
  <si>
    <t>CUST00492</t>
  </si>
  <si>
    <t>Sunita Kumar</t>
  </si>
  <si>
    <t>9738498957</t>
  </si>
  <si>
    <t>sunita.kumar534@rediffmail.com</t>
  </si>
  <si>
    <t>CUST00493</t>
  </si>
  <si>
    <t>Manish Malhotra</t>
  </si>
  <si>
    <t>9124408555</t>
  </si>
  <si>
    <t>manish.malhotra27@outlook.com</t>
  </si>
  <si>
    <t>CUST00494</t>
  </si>
  <si>
    <t>Anil Khanna</t>
  </si>
  <si>
    <t>9143741483</t>
  </si>
  <si>
    <t>anil.khanna320@hotmail.com</t>
  </si>
  <si>
    <t>CUST00495</t>
  </si>
  <si>
    <t>Vinod Saxena</t>
  </si>
  <si>
    <t>vinod.saxena522@yahoo.com</t>
  </si>
  <si>
    <t>CUST00496</t>
  </si>
  <si>
    <t>Vinod Nair</t>
  </si>
  <si>
    <t>9842277684</t>
  </si>
  <si>
    <t>vinod.nair132@rediffmail.com</t>
  </si>
  <si>
    <t>CUST00497</t>
  </si>
  <si>
    <t>Ramesh Nair</t>
  </si>
  <si>
    <t>ramesh.nair680@yahoo.com</t>
  </si>
  <si>
    <t>CUST00498</t>
  </si>
  <si>
    <t>aarav.joshi781@rediffmail.com</t>
  </si>
  <si>
    <t>CUST00499</t>
  </si>
  <si>
    <t>Vikram Bhatia</t>
  </si>
  <si>
    <t>9806837607</t>
  </si>
  <si>
    <t>vikram.bhatia529@outlook.com</t>
  </si>
  <si>
    <t>CUST00500</t>
  </si>
  <si>
    <t>Vikram Agarwal</t>
  </si>
  <si>
    <t>vikram.agarwal644@hotmail.com</t>
  </si>
  <si>
    <t>CUST00501</t>
  </si>
  <si>
    <t>Krishna Rao</t>
  </si>
  <si>
    <t>krishna.rao220@yahoo.com</t>
  </si>
  <si>
    <t>CUST00502</t>
  </si>
  <si>
    <t>Dhruv Rathi</t>
  </si>
  <si>
    <t>dhruv.rathi909@outlook.com</t>
  </si>
  <si>
    <t>CUST00503</t>
  </si>
  <si>
    <t>Swati Singh</t>
  </si>
  <si>
    <t>swati.singh121@yahoo.com</t>
  </si>
  <si>
    <t>CUST00504</t>
  </si>
  <si>
    <t>9454387726</t>
  </si>
  <si>
    <t>seema.agarwal908@hotmail.com</t>
  </si>
  <si>
    <t>CUST00505</t>
  </si>
  <si>
    <t>Suresh Agarwal</t>
  </si>
  <si>
    <t>9864986259</t>
  </si>
  <si>
    <t>suresh.agarwal756@yahoo.com</t>
  </si>
  <si>
    <t>CUST00506</t>
  </si>
  <si>
    <t>tanya.gupta739@rediffmail.com</t>
  </si>
  <si>
    <t>CUST00507</t>
  </si>
  <si>
    <t>Vinod Bansal</t>
  </si>
  <si>
    <t>vinod.bansal737@yahoo.com</t>
  </si>
  <si>
    <t>CUST00508</t>
  </si>
  <si>
    <t>Manju Rao</t>
  </si>
  <si>
    <t>manju.rao354@outlook.com</t>
  </si>
  <si>
    <t>CUST00509</t>
  </si>
  <si>
    <t>Vivaan Chauhan</t>
  </si>
  <si>
    <t>vivaan.chauhan798@rediffmail.com</t>
  </si>
  <si>
    <t>CUST00510</t>
  </si>
  <si>
    <t>Ishaan Pandey</t>
  </si>
  <si>
    <t>ishaan.pandey145@hotmail.com</t>
  </si>
  <si>
    <t>CUST00511</t>
  </si>
  <si>
    <t>kiran.rao692@outlook.com</t>
  </si>
  <si>
    <t>CUST00512</t>
  </si>
  <si>
    <t>Aditya Iyer</t>
  </si>
  <si>
    <t>aditya.iyer655@gmail.com</t>
  </si>
  <si>
    <t>CUST00513</t>
  </si>
  <si>
    <t>Aryan Joshi</t>
  </si>
  <si>
    <t>aryan.joshi138@hotmail.com</t>
  </si>
  <si>
    <t>CUST00514</t>
  </si>
  <si>
    <t>Krishna Saxena</t>
  </si>
  <si>
    <t>9741235032</t>
  </si>
  <si>
    <t>krishna.saxena537@gmail.com</t>
  </si>
  <si>
    <t>CUST00515</t>
  </si>
  <si>
    <t>Priya Desai</t>
  </si>
  <si>
    <t>9612547316</t>
  </si>
  <si>
    <t>priya.desai352@gmail.com</t>
  </si>
  <si>
    <t>CUST00516</t>
  </si>
  <si>
    <t>Rita Chopra</t>
  </si>
  <si>
    <t>rita.chopra446@gmail.com</t>
  </si>
  <si>
    <t>CUST00517</t>
  </si>
  <si>
    <t>geeta.malhotra564@yahoo.com</t>
  </si>
  <si>
    <t>CUST00518</t>
  </si>
  <si>
    <t>Karan Mishra</t>
  </si>
  <si>
    <t>9501904358</t>
  </si>
  <si>
    <t>karan.mishra630@gmail.com</t>
  </si>
  <si>
    <t>CUST00519</t>
  </si>
  <si>
    <t>Kritika Mishra</t>
  </si>
  <si>
    <t>9749248785</t>
  </si>
  <si>
    <t>kritika.mishra778@rediffmail.com</t>
  </si>
  <si>
    <t>CUST00520</t>
  </si>
  <si>
    <t>Saanvi Chopra</t>
  </si>
  <si>
    <t>9705499264</t>
  </si>
  <si>
    <t>saanvi.chopra574@gmail.com</t>
  </si>
  <si>
    <t>CUST00521</t>
  </si>
  <si>
    <t>Nikhil Saxena</t>
  </si>
  <si>
    <t>9103298787</t>
  </si>
  <si>
    <t>nikhil.saxena919@outlook.com</t>
  </si>
  <si>
    <t>CUST00522</t>
  </si>
  <si>
    <t>Diya Khanna</t>
  </si>
  <si>
    <t>diya.khanna124@outlook.com</t>
  </si>
  <si>
    <t>CUST00523</t>
  </si>
  <si>
    <t>diya.saxena875@gmail.com</t>
  </si>
  <si>
    <t>CUST00524</t>
  </si>
  <si>
    <t>Rohan Verma</t>
  </si>
  <si>
    <t>rohan.verma966@hotmail.com</t>
  </si>
  <si>
    <t>CUST00525</t>
  </si>
  <si>
    <t>Rita Patel</t>
  </si>
  <si>
    <t>9317560037</t>
  </si>
  <si>
    <t>rita.patel354@hotmail.com</t>
  </si>
  <si>
    <t>CUST00526</t>
  </si>
  <si>
    <t>Mahesh Bhatt</t>
  </si>
  <si>
    <t>9418609432</t>
  </si>
  <si>
    <t>mahesh.bhatt315@outlook.com</t>
  </si>
  <si>
    <t>CUST00527</t>
  </si>
  <si>
    <t>Rohan Mishra</t>
  </si>
  <si>
    <t>rohan.mishra900@hotmail.com</t>
  </si>
  <si>
    <t>CUST00528</t>
  </si>
  <si>
    <t>vivaan.joshi720@rediffmail.com</t>
  </si>
  <si>
    <t>CUST00529</t>
  </si>
  <si>
    <t>9212636500</t>
  </si>
  <si>
    <t>CUST00530</t>
  </si>
  <si>
    <t>Ashok Bansal</t>
  </si>
  <si>
    <t>CUST00531</t>
  </si>
  <si>
    <t>Meera Chauhan</t>
  </si>
  <si>
    <t>meera.chauhan987@rediffmail.com</t>
  </si>
  <si>
    <t>CUST00532</t>
  </si>
  <si>
    <t>Vikram Sethi</t>
  </si>
  <si>
    <t>vikram.sethi680@outlook.com</t>
  </si>
  <si>
    <t>CUST00533</t>
  </si>
  <si>
    <t>9338582374</t>
  </si>
  <si>
    <t>sunita.bhatia888@yahoo.com</t>
  </si>
  <si>
    <t>CUST00534</t>
  </si>
  <si>
    <t>Priya Shah</t>
  </si>
  <si>
    <t>9492779292</t>
  </si>
  <si>
    <t>priya.shah27@hotmail.com</t>
  </si>
  <si>
    <t>CUST00535</t>
  </si>
  <si>
    <t>Kavya Reddy</t>
  </si>
  <si>
    <t>kavya.reddy315@gmail.com</t>
  </si>
  <si>
    <t>CUST00536</t>
  </si>
  <si>
    <t>Kabir Kapoor</t>
  </si>
  <si>
    <t>9511170520</t>
  </si>
  <si>
    <t>kabir.kapoor631@rediffmail.com</t>
  </si>
  <si>
    <t>CUST00537</t>
  </si>
  <si>
    <t>Rohan Singh</t>
  </si>
  <si>
    <t>rohan.singh724@outlook.com</t>
  </si>
  <si>
    <t>CUST00538</t>
  </si>
  <si>
    <t>Krishna Mishra</t>
  </si>
  <si>
    <t>CUST00539</t>
  </si>
  <si>
    <t>Rajesh Rathi</t>
  </si>
  <si>
    <t>rajesh.rathi737@outlook.com</t>
  </si>
  <si>
    <t>CUST00540</t>
  </si>
  <si>
    <t>Meera Yadav</t>
  </si>
  <si>
    <t>9108713252</t>
  </si>
  <si>
    <t>meera.yadav907@gmail.com</t>
  </si>
  <si>
    <t>CUST00541</t>
  </si>
  <si>
    <t>Sai Desai</t>
  </si>
  <si>
    <t>sai.desai795@hotmail.com</t>
  </si>
  <si>
    <t>CUST00542</t>
  </si>
  <si>
    <t>Manju Patel</t>
  </si>
  <si>
    <t>9208243963</t>
  </si>
  <si>
    <t>manju.patel751@hotmail.com</t>
  </si>
  <si>
    <t>CUST00543</t>
  </si>
  <si>
    <t>Amit Agarwal</t>
  </si>
  <si>
    <t>amit.agarwal976@hotmail.com</t>
  </si>
  <si>
    <t>CUST00544</t>
  </si>
  <si>
    <t>reyansh.singh374@hotmail.com</t>
  </si>
  <si>
    <t>CUST00545</t>
  </si>
  <si>
    <t>rahul.khanna661@gmail.com</t>
  </si>
  <si>
    <t>CUST00546</t>
  </si>
  <si>
    <t>Aryan Khanna</t>
  </si>
  <si>
    <t>aryan.khanna591@hotmail.com</t>
  </si>
  <si>
    <t>CUST00547</t>
  </si>
  <si>
    <t>Kabir Verma</t>
  </si>
  <si>
    <t>kabir.verma633@gmail.com</t>
  </si>
  <si>
    <t>CUST00548</t>
  </si>
  <si>
    <t>Rajesh Desai</t>
  </si>
  <si>
    <t>rajesh.desai945@outlook.com</t>
  </si>
  <si>
    <t>CUST00549</t>
  </si>
  <si>
    <t>Vikram Reddy</t>
  </si>
  <si>
    <t>vikram.reddy958@outlook.com</t>
  </si>
  <si>
    <t>CUST00550</t>
  </si>
  <si>
    <t>Radhika Sharma</t>
  </si>
  <si>
    <t>radhika.sharma234@yahoo.com</t>
  </si>
  <si>
    <t>CUST00551</t>
  </si>
  <si>
    <t>Ramesh Chauhan</t>
  </si>
  <si>
    <t>ramesh.chauhan381@outlook.com</t>
  </si>
  <si>
    <t>CUST00552</t>
  </si>
  <si>
    <t>CUST00553</t>
  </si>
  <si>
    <t>9855983760</t>
  </si>
  <si>
    <t>kabir.kumar202@gmail.com</t>
  </si>
  <si>
    <t>CUST00554</t>
  </si>
  <si>
    <t>Arjun Desai</t>
  </si>
  <si>
    <t>arjun.desai851@yahoo.com</t>
  </si>
  <si>
    <t>CUST00555</t>
  </si>
  <si>
    <t>rahul.pandey68@outlook.com</t>
  </si>
  <si>
    <t>CUST00556</t>
  </si>
  <si>
    <t>Vihaan Joshi</t>
  </si>
  <si>
    <t>vihaan.joshi585@outlook.com</t>
  </si>
  <si>
    <t>CUST00557</t>
  </si>
  <si>
    <t>Rohan Pandey</t>
  </si>
  <si>
    <t>rohan.pandey676@gmail.com</t>
  </si>
  <si>
    <t>CUST00558</t>
  </si>
  <si>
    <t>Manish Bhatt</t>
  </si>
  <si>
    <t>manish.bhatt165@gmail.com</t>
  </si>
  <si>
    <t>CUST00559</t>
  </si>
  <si>
    <t>anjali.pandey605@outlook.com</t>
  </si>
  <si>
    <t>CUST00560</t>
  </si>
  <si>
    <t>preeti.tiwari572@yahoo.com</t>
  </si>
  <si>
    <t>CUST00561</t>
  </si>
  <si>
    <t>Rohan Khanna</t>
  </si>
  <si>
    <t>rohan.khanna594@yahoo.com</t>
  </si>
  <si>
    <t>CUST00562</t>
  </si>
  <si>
    <t>Dhruv Saxena</t>
  </si>
  <si>
    <t>dhruv.saxena601@yahoo.com</t>
  </si>
  <si>
    <t>CUST00563</t>
  </si>
  <si>
    <t>Aryan Tiwari</t>
  </si>
  <si>
    <t>aryan.tiwari281@gmail.com</t>
  </si>
  <si>
    <t>CUST00564</t>
  </si>
  <si>
    <t>Swati Patel</t>
  </si>
  <si>
    <t>swati.patel642@hotmail.com</t>
  </si>
  <si>
    <t>CUST00565</t>
  </si>
  <si>
    <t>Aditya Shah</t>
  </si>
  <si>
    <t>aditya.shah73@hotmail.com</t>
  </si>
  <si>
    <t>CUST00566</t>
  </si>
  <si>
    <t>vikram.rathi883@rediffmail.com</t>
  </si>
  <si>
    <t>CUST00567</t>
  </si>
  <si>
    <t>Priya Sethi</t>
  </si>
  <si>
    <t>priya.sethi803@yahoo.com</t>
  </si>
  <si>
    <t>CUST00568</t>
  </si>
  <si>
    <t>Vivaan Kumar</t>
  </si>
  <si>
    <t>vivaan.kumar182@outlook.com</t>
  </si>
  <si>
    <t>CUST00569</t>
  </si>
  <si>
    <t>9785685141</t>
  </si>
  <si>
    <t>rekha.patel832@hotmail.com</t>
  </si>
  <si>
    <t>CUST00570</t>
  </si>
  <si>
    <t>Anil Nair</t>
  </si>
  <si>
    <t>CUST00571</t>
  </si>
  <si>
    <t>Nikhil Mishra</t>
  </si>
  <si>
    <t>nikhil.mishra695@yahoo.com</t>
  </si>
  <si>
    <t>CUST00572</t>
  </si>
  <si>
    <t>CUST00573</t>
  </si>
  <si>
    <t>Sanjay Rathi</t>
  </si>
  <si>
    <t>sanjay.rathi110@gmail.com</t>
  </si>
  <si>
    <t>CUST00574</t>
  </si>
  <si>
    <t>Amit Chopra</t>
  </si>
  <si>
    <t>amit.chopra38@gmail.com</t>
  </si>
  <si>
    <t>CUST00575</t>
  </si>
  <si>
    <t>kritika.khanna172@yahoo.com</t>
  </si>
  <si>
    <t>CUST00576</t>
  </si>
  <si>
    <t>Kiran Gupta</t>
  </si>
  <si>
    <t>9410057868</t>
  </si>
  <si>
    <t>kiran.gupta64@yahoo.com</t>
  </si>
  <si>
    <t>CUST00577</t>
  </si>
  <si>
    <t>Vinod Agarwal</t>
  </si>
  <si>
    <t>vinod.agarwal449@gmail.com</t>
  </si>
  <si>
    <t>CUST00578</t>
  </si>
  <si>
    <t>9116153797</t>
  </si>
  <si>
    <t>CUST00579</t>
  </si>
  <si>
    <t>Saanvi Patel</t>
  </si>
  <si>
    <t>9489791207</t>
  </si>
  <si>
    <t>saanvi.patel465@gmail.com</t>
  </si>
  <si>
    <t>CUST00580</t>
  </si>
  <si>
    <t>Neha Iyer</t>
  </si>
  <si>
    <t>9858132966</t>
  </si>
  <si>
    <t>CUST00581</t>
  </si>
  <si>
    <t>krishna.kumar567@outlook.com</t>
  </si>
  <si>
    <t>CUST00582</t>
  </si>
  <si>
    <t>Pooja Patel</t>
  </si>
  <si>
    <t>pooja.patel167@rediffmail.com</t>
  </si>
  <si>
    <t>CUST00583</t>
  </si>
  <si>
    <t>9291126315</t>
  </si>
  <si>
    <t>aarav.bansal865@hotmail.com</t>
  </si>
  <si>
    <t>CUST00584</t>
  </si>
  <si>
    <t>Kritika Tiwari</t>
  </si>
  <si>
    <t>kritika.tiwari716@outlook.com</t>
  </si>
  <si>
    <t>CUST00585</t>
  </si>
  <si>
    <t>Isha Chauhan</t>
  </si>
  <si>
    <t>9702884927</t>
  </si>
  <si>
    <t>isha.chauhan680@rediffmail.com</t>
  </si>
  <si>
    <t>CUST00586</t>
  </si>
  <si>
    <t>CUST00587</t>
  </si>
  <si>
    <t>Anjali Mishra</t>
  </si>
  <si>
    <t>anjali.mishra317@gmail.com</t>
  </si>
  <si>
    <t>CUST00588</t>
  </si>
  <si>
    <t>kabir.kapoor804@rediffmail.com</t>
  </si>
  <si>
    <t>CUST00589</t>
  </si>
  <si>
    <t>Rekha Singh</t>
  </si>
  <si>
    <t>rekha.singh610@rediffmail.com</t>
  </si>
  <si>
    <t>CUST00590</t>
  </si>
  <si>
    <t>manish.mishra932@gmail.com</t>
  </si>
  <si>
    <t>CUST00591</t>
  </si>
  <si>
    <t>Aditya Chauhan</t>
  </si>
  <si>
    <t>9846735731</t>
  </si>
  <si>
    <t>aditya.chauhan917@yahoo.com</t>
  </si>
  <si>
    <t>CUST00592</t>
  </si>
  <si>
    <t>Lata Chopra</t>
  </si>
  <si>
    <t>9297187203</t>
  </si>
  <si>
    <t>lata.chopra293@gmail.com</t>
  </si>
  <si>
    <t>CUST00593</t>
  </si>
  <si>
    <t>Manju Sethi</t>
  </si>
  <si>
    <t>9225250114</t>
  </si>
  <si>
    <t>manju.sethi91@hotmail.com</t>
  </si>
  <si>
    <t>CUST00594</t>
  </si>
  <si>
    <t>Kavya Shah</t>
  </si>
  <si>
    <t>9659055230</t>
  </si>
  <si>
    <t>kavya.shah192@gmail.com</t>
  </si>
  <si>
    <t>CUST00595</t>
  </si>
  <si>
    <t>Nisha Kumar</t>
  </si>
  <si>
    <t>nisha.kumar109@gmail.com</t>
  </si>
  <si>
    <t>CUST00596</t>
  </si>
  <si>
    <t>Ishaan Desai</t>
  </si>
  <si>
    <t>ishaan.desai492@yahoo.com</t>
  </si>
  <si>
    <t>CUST00597</t>
  </si>
  <si>
    <t>usha.desai113@gmail.com</t>
  </si>
  <si>
    <t>CUST00598</t>
  </si>
  <si>
    <t>Diya Sethi</t>
  </si>
  <si>
    <t>diya.sethi417@outlook.com</t>
  </si>
  <si>
    <t>CUST00599</t>
  </si>
  <si>
    <t>9270855252</t>
  </si>
  <si>
    <t>simran.verma597@rediffmail.com</t>
  </si>
  <si>
    <t>CUST00600</t>
  </si>
  <si>
    <t>manju.sethi393@yahoo.com</t>
  </si>
  <si>
    <t>CUST00601</t>
  </si>
  <si>
    <t>ayaan.gupta992@yahoo.com</t>
  </si>
  <si>
    <t>CUST00602</t>
  </si>
  <si>
    <t>9383113206</t>
  </si>
  <si>
    <t>CUST00603</t>
  </si>
  <si>
    <t>CUST00604</t>
  </si>
  <si>
    <t>Diya Iyer</t>
  </si>
  <si>
    <t>9497219073</t>
  </si>
  <si>
    <t>diya.iyer23@rediffmail.com</t>
  </si>
  <si>
    <t>CUST00605</t>
  </si>
  <si>
    <t>Mahesh Nair</t>
  </si>
  <si>
    <t>9798646390</t>
  </si>
  <si>
    <t>mahesh.nair558@rediffmail.com</t>
  </si>
  <si>
    <t>CUST00606</t>
  </si>
  <si>
    <t>Ashok Bhatt</t>
  </si>
  <si>
    <t>ashok.bhatt95@rediffmail.com</t>
  </si>
  <si>
    <t>CUST00607</t>
  </si>
  <si>
    <t>9561681813</t>
  </si>
  <si>
    <t>krishna.agarwal410@outlook.com</t>
  </si>
  <si>
    <t>CUST00608</t>
  </si>
  <si>
    <t>9309237446</t>
  </si>
  <si>
    <t>mahesh.bhatia123@hotmail.com</t>
  </si>
  <si>
    <t>CUST00609</t>
  </si>
  <si>
    <t>ashok.shah361@yahoo.com</t>
  </si>
  <si>
    <t>CUST00610</t>
  </si>
  <si>
    <t>Aditya Desai</t>
  </si>
  <si>
    <t>aditya.desai399@rediffmail.com</t>
  </si>
  <si>
    <t>CUST00611</t>
  </si>
  <si>
    <t>Sunil Chopra</t>
  </si>
  <si>
    <t>sunil.chopra206@outlook.com</t>
  </si>
  <si>
    <t>CUST00612</t>
  </si>
  <si>
    <t>Isha Chopra</t>
  </si>
  <si>
    <t>9161374984</t>
  </si>
  <si>
    <t>isha.chopra387@yahoo.com</t>
  </si>
  <si>
    <t>CUST00613</t>
  </si>
  <si>
    <t>ananya.singh910@gmail.com</t>
  </si>
  <si>
    <t>CUST00614</t>
  </si>
  <si>
    <t>Sunil Khanna</t>
  </si>
  <si>
    <t>sunil.khanna351@outlook.com</t>
  </si>
  <si>
    <t>CUST00615</t>
  </si>
  <si>
    <t>Anil Tiwari</t>
  </si>
  <si>
    <t>9561705191</t>
  </si>
  <si>
    <t>anil.tiwari928@rediffmail.com</t>
  </si>
  <si>
    <t>CUST00616</t>
  </si>
  <si>
    <t>sunita.mishra964@rediffmail.com</t>
  </si>
  <si>
    <t>CUST00617</t>
  </si>
  <si>
    <t>Sanjay Verma</t>
  </si>
  <si>
    <t>9101278408</t>
  </si>
  <si>
    <t>sanjay.verma144@hotmail.com</t>
  </si>
  <si>
    <t>CUST00618</t>
  </si>
  <si>
    <t>Vinod Chopra</t>
  </si>
  <si>
    <t>9392486848</t>
  </si>
  <si>
    <t>vinod.chopra579@hotmail.com</t>
  </si>
  <si>
    <t>CUST00619</t>
  </si>
  <si>
    <t>Seema Desai</t>
  </si>
  <si>
    <t>9766541261</t>
  </si>
  <si>
    <t>seema.desai871@rediffmail.com</t>
  </si>
  <si>
    <t>CUST00620</t>
  </si>
  <si>
    <t>9717315552</t>
  </si>
  <si>
    <t>nikhil.rao903@outlook.com</t>
  </si>
  <si>
    <t>CUST00621</t>
  </si>
  <si>
    <t>Kiran Malhotra</t>
  </si>
  <si>
    <t>9497868623</t>
  </si>
  <si>
    <t>kiran.malhotra345@hotmail.com</t>
  </si>
  <si>
    <t>CUST00622</t>
  </si>
  <si>
    <t>Priya Reddy</t>
  </si>
  <si>
    <t>9455158753</t>
  </si>
  <si>
    <t>priya.reddy597@outlook.com</t>
  </si>
  <si>
    <t>CUST00623</t>
  </si>
  <si>
    <t>Aditya Bhatia</t>
  </si>
  <si>
    <t>9366997758</t>
  </si>
  <si>
    <t>aditya.bhatia200@outlook.com</t>
  </si>
  <si>
    <t>CUST00624</t>
  </si>
  <si>
    <t>9570464462</t>
  </si>
  <si>
    <t>mahesh.joshi911@outlook.com</t>
  </si>
  <si>
    <t>CUST00625</t>
  </si>
  <si>
    <t>Karan Sharma</t>
  </si>
  <si>
    <t>9246342612</t>
  </si>
  <si>
    <t>karan.sharma17@yahoo.com</t>
  </si>
  <si>
    <t>CUST00626</t>
  </si>
  <si>
    <t>suresh.shah58@gmail.com</t>
  </si>
  <si>
    <t>CUST00627</t>
  </si>
  <si>
    <t>geeta.sethi424@outlook.com</t>
  </si>
  <si>
    <t>CUST00628</t>
  </si>
  <si>
    <t>diya.chopra777@rediffmail.com</t>
  </si>
  <si>
    <t>CUST00629</t>
  </si>
  <si>
    <t>Lata Gupta</t>
  </si>
  <si>
    <t>lata.gupta876@gmail.com</t>
  </si>
  <si>
    <t>CUST00630</t>
  </si>
  <si>
    <t>Ramesh Mehta</t>
  </si>
  <si>
    <t>ramesh.mehta831@outlook.com</t>
  </si>
  <si>
    <t>CUST00631</t>
  </si>
  <si>
    <t>Ananya Reddy</t>
  </si>
  <si>
    <t>9946133097</t>
  </si>
  <si>
    <t>ananya.reddy699@hotmail.com</t>
  </si>
  <si>
    <t>CUST00632</t>
  </si>
  <si>
    <t>9878599985</t>
  </si>
  <si>
    <t>kavya.agarwal950@yahoo.com</t>
  </si>
  <si>
    <t>CUST00633</t>
  </si>
  <si>
    <t>Sneha Sharma</t>
  </si>
  <si>
    <t>sneha.sharma685@rediffmail.com</t>
  </si>
  <si>
    <t>CUST00634</t>
  </si>
  <si>
    <t>Shreya Malhotra</t>
  </si>
  <si>
    <t>9675295261</t>
  </si>
  <si>
    <t>shreya.malhotra512@hotmail.com</t>
  </si>
  <si>
    <t>CUST00635</t>
  </si>
  <si>
    <t>Usha Chopra</t>
  </si>
  <si>
    <t>usha.chopra319@gmail.com</t>
  </si>
  <si>
    <t>CUST00636</t>
  </si>
  <si>
    <t>Sai Joshi</t>
  </si>
  <si>
    <t>sai.joshi458@yahoo.com</t>
  </si>
  <si>
    <t>CUST00637</t>
  </si>
  <si>
    <t>9668503514</t>
  </si>
  <si>
    <t>vikram.rao921@yahoo.com</t>
  </si>
  <si>
    <t>CUST00638</t>
  </si>
  <si>
    <t>Dhruv Reddy</t>
  </si>
  <si>
    <t>dhruv.reddy496@hotmail.com</t>
  </si>
  <si>
    <t>CUST00639</t>
  </si>
  <si>
    <t>CUST00640</t>
  </si>
  <si>
    <t>Isha Agarwal</t>
  </si>
  <si>
    <t>9549897021</t>
  </si>
  <si>
    <t>isha.agarwal594@rediffmail.com</t>
  </si>
  <si>
    <t>CUST00641</t>
  </si>
  <si>
    <t>9783395805</t>
  </si>
  <si>
    <t>saanvi.mishra10@hotmail.com</t>
  </si>
  <si>
    <t>CUST00642</t>
  </si>
  <si>
    <t>Simran Rathi</t>
  </si>
  <si>
    <t>simran.rathi868@outlook.com</t>
  </si>
  <si>
    <t>CUST00643</t>
  </si>
  <si>
    <t>Aditya Patel</t>
  </si>
  <si>
    <t>aditya.patel143@hotmail.com</t>
  </si>
  <si>
    <t>CUST00644</t>
  </si>
  <si>
    <t>9694135942</t>
  </si>
  <si>
    <t>vinod.kumar356@hotmail.com</t>
  </si>
  <si>
    <t>CUST00645</t>
  </si>
  <si>
    <t>Vihaan Desai</t>
  </si>
  <si>
    <t>vihaan.desai492@gmail.com</t>
  </si>
  <si>
    <t>CUST00646</t>
  </si>
  <si>
    <t>Aditya Chopra</t>
  </si>
  <si>
    <t>9252217266</t>
  </si>
  <si>
    <t>aditya.chopra807@yahoo.com</t>
  </si>
  <si>
    <t>CUST00647</t>
  </si>
  <si>
    <t>Ananya Patel</t>
  </si>
  <si>
    <t>ananya.patel869@yahoo.com</t>
  </si>
  <si>
    <t>CUST00648</t>
  </si>
  <si>
    <t>Sunil Nair</t>
  </si>
  <si>
    <t>sunil.nair658@rediffmail.com</t>
  </si>
  <si>
    <t>CUST00649</t>
  </si>
  <si>
    <t>Manish Nair</t>
  </si>
  <si>
    <t>manish.nair236@outlook.com</t>
  </si>
  <si>
    <t>CUST00650</t>
  </si>
  <si>
    <t>Riya Gupta</t>
  </si>
  <si>
    <t>riya.gupta71@yahoo.com</t>
  </si>
  <si>
    <t>CUST00651</t>
  </si>
  <si>
    <t>Preeti Rathi</t>
  </si>
  <si>
    <t>9649603215</t>
  </si>
  <si>
    <t>preeti.rathi52@gmail.com</t>
  </si>
  <si>
    <t>CUST00652</t>
  </si>
  <si>
    <t>Diya Verma</t>
  </si>
  <si>
    <t>9754543767</t>
  </si>
  <si>
    <t>CUST00653</t>
  </si>
  <si>
    <t>Neha Agarwal</t>
  </si>
  <si>
    <t>9498049146</t>
  </si>
  <si>
    <t>neha.agarwal449@yahoo.com</t>
  </si>
  <si>
    <t>CUST00654</t>
  </si>
  <si>
    <t>Diya Chauhan</t>
  </si>
  <si>
    <t>diya.chauhan542@outlook.com</t>
  </si>
  <si>
    <t>CUST00655</t>
  </si>
  <si>
    <t>Diya Agarwal</t>
  </si>
  <si>
    <t>9112193966</t>
  </si>
  <si>
    <t>diya.agarwal909@gmail.com</t>
  </si>
  <si>
    <t>CUST00656</t>
  </si>
  <si>
    <t>Rahul Rathi</t>
  </si>
  <si>
    <t>rahul.rathi82@gmail.com</t>
  </si>
  <si>
    <t>CUST00657</t>
  </si>
  <si>
    <t>meera.chauhan144@hotmail.com</t>
  </si>
  <si>
    <t>CUST00658</t>
  </si>
  <si>
    <t>nikhil.rao980@rediffmail.com</t>
  </si>
  <si>
    <t>CUST00659</t>
  </si>
  <si>
    <t>ananya.mishra343@rediffmail.com</t>
  </si>
  <si>
    <t>CUST00660</t>
  </si>
  <si>
    <t>Dhruv Khanna</t>
  </si>
  <si>
    <t>dhruv.khanna590@hotmail.com</t>
  </si>
  <si>
    <t>CUST00661</t>
  </si>
  <si>
    <t>Manju Reddy</t>
  </si>
  <si>
    <t>9122841695</t>
  </si>
  <si>
    <t>manju.reddy658@hotmail.com</t>
  </si>
  <si>
    <t>CUST00662</t>
  </si>
  <si>
    <t>aarav.bansal638@gmail.com</t>
  </si>
  <si>
    <t>CUST00663</t>
  </si>
  <si>
    <t>9207057192</t>
  </si>
  <si>
    <t>sanjay.nair579@yahoo.com</t>
  </si>
  <si>
    <t>CUST00664</t>
  </si>
  <si>
    <t>Amit Saxena</t>
  </si>
  <si>
    <t>amit.saxena662@yahoo.com</t>
  </si>
  <si>
    <t>CUST00665</t>
  </si>
  <si>
    <t>aryan.malhotra598@gmail.com</t>
  </si>
  <si>
    <t>CUST00666</t>
  </si>
  <si>
    <t>9299327145</t>
  </si>
  <si>
    <t>anjali.singh123@gmail.com</t>
  </si>
  <si>
    <t>CUST00667</t>
  </si>
  <si>
    <t>Kabir Reddy</t>
  </si>
  <si>
    <t>9731052193</t>
  </si>
  <si>
    <t>kabir.reddy277@gmail.com</t>
  </si>
  <si>
    <t>CUST00668</t>
  </si>
  <si>
    <t>CUST00669</t>
  </si>
  <si>
    <t>Vinod Rao</t>
  </si>
  <si>
    <t>vinod.rao841@rediffmail.com</t>
  </si>
  <si>
    <t>CUST00670</t>
  </si>
  <si>
    <t>9666703831</t>
  </si>
  <si>
    <t>karan.agarwal421@outlook.com</t>
  </si>
  <si>
    <t>CUST00671</t>
  </si>
  <si>
    <t>Divya Agarwal</t>
  </si>
  <si>
    <t>9924760361</t>
  </si>
  <si>
    <t>divya.agarwal797@rediffmail.com</t>
  </si>
  <si>
    <t>CUST00672</t>
  </si>
  <si>
    <t>Kiran Yadav</t>
  </si>
  <si>
    <t>kiran.yadav308@rediffmail.com</t>
  </si>
  <si>
    <t>CUST00673</t>
  </si>
  <si>
    <t>Anil Agarwal</t>
  </si>
  <si>
    <t>anil.agarwal317@yahoo.com</t>
  </si>
  <si>
    <t>CUST00674</t>
  </si>
  <si>
    <t>ishaan.khanna669@yahoo.com</t>
  </si>
  <si>
    <t>CUST00675</t>
  </si>
  <si>
    <t>kritika.tiwari110@rediffmail.com</t>
  </si>
  <si>
    <t>CUST00676</t>
  </si>
  <si>
    <t>Rita Mishra</t>
  </si>
  <si>
    <t>9558719363</t>
  </si>
  <si>
    <t>rita.mishra71@outlook.com</t>
  </si>
  <si>
    <t>CUST00677</t>
  </si>
  <si>
    <t>Anjali Yadav</t>
  </si>
  <si>
    <t>CUST00678</t>
  </si>
  <si>
    <t>Vikram Gupta</t>
  </si>
  <si>
    <t>vikram.gupta901@hotmail.com</t>
  </si>
  <si>
    <t>CUST00679</t>
  </si>
  <si>
    <t>Diya Rathi</t>
  </si>
  <si>
    <t>9784186371</t>
  </si>
  <si>
    <t>diya.rathi444@outlook.com</t>
  </si>
  <si>
    <t>CUST00680</t>
  </si>
  <si>
    <t>Nikhil Desai</t>
  </si>
  <si>
    <t>nikhil.desai826@yahoo.com</t>
  </si>
  <si>
    <t>CUST00681</t>
  </si>
  <si>
    <t>Divya Malhotra</t>
  </si>
  <si>
    <t>divya.malhotra844@yahoo.com</t>
  </si>
  <si>
    <t>CUST00682</t>
  </si>
  <si>
    <t>aditya.chauhan108@hotmail.com</t>
  </si>
  <si>
    <t>CUST00683</t>
  </si>
  <si>
    <t>Pooja Singh</t>
  </si>
  <si>
    <t>pooja.singh480@rediffmail.com</t>
  </si>
  <si>
    <t>CUST00684</t>
  </si>
  <si>
    <t>9213862140</t>
  </si>
  <si>
    <t>kritika.bhatia922@gmail.com</t>
  </si>
  <si>
    <t>CUST00685</t>
  </si>
  <si>
    <t>mahesh.joshi399@hotmail.com</t>
  </si>
  <si>
    <t>CUST00686</t>
  </si>
  <si>
    <t>Dhruv Tiwari</t>
  </si>
  <si>
    <t>dhruv.tiwari712@gmail.com</t>
  </si>
  <si>
    <t>CUST00687</t>
  </si>
  <si>
    <t>Karan Pandey</t>
  </si>
  <si>
    <t>karan.pandey884@outlook.com</t>
  </si>
  <si>
    <t>CUST00688</t>
  </si>
  <si>
    <t>9205742695</t>
  </si>
  <si>
    <t>diya.rathi138@yahoo.com</t>
  </si>
  <si>
    <t>CUST00689</t>
  </si>
  <si>
    <t>Vivaan Kapoor</t>
  </si>
  <si>
    <t>9318586138</t>
  </si>
  <si>
    <t>vivaan.kapoor63@rediffmail.com</t>
  </si>
  <si>
    <t>CUST00690</t>
  </si>
  <si>
    <t>Vihaan Patel</t>
  </si>
  <si>
    <t>9704111298</t>
  </si>
  <si>
    <t>vihaan.patel177@outlook.com</t>
  </si>
  <si>
    <t>CUST00691</t>
  </si>
  <si>
    <t>Simran Singh</t>
  </si>
  <si>
    <t>9333955572</t>
  </si>
  <si>
    <t>simran.singh915@rediffmail.com</t>
  </si>
  <si>
    <t>CUST00692</t>
  </si>
  <si>
    <t>Amit Chauhan</t>
  </si>
  <si>
    <t>amit.chauhan322@yahoo.com</t>
  </si>
  <si>
    <t>CUST00693</t>
  </si>
  <si>
    <t>suresh.singh106@gmail.com</t>
  </si>
  <si>
    <t>CUST00694</t>
  </si>
  <si>
    <t>Nisha Rathi</t>
  </si>
  <si>
    <t>CUST00695</t>
  </si>
  <si>
    <t>9400285831</t>
  </si>
  <si>
    <t>kabir.nair386@rediffmail.com</t>
  </si>
  <si>
    <t>CUST00696</t>
  </si>
  <si>
    <t>Rohan Chauhan</t>
  </si>
  <si>
    <t>rohan.chauhan185@rediffmail.com</t>
  </si>
  <si>
    <t>CUST00697</t>
  </si>
  <si>
    <t>Sneha Bhatia</t>
  </si>
  <si>
    <t>CUST00698</t>
  </si>
  <si>
    <t>Lata Patel</t>
  </si>
  <si>
    <t>lata.patel981@yahoo.com</t>
  </si>
  <si>
    <t>CUST00699</t>
  </si>
  <si>
    <t>Swati Reddy</t>
  </si>
  <si>
    <t>9910731994</t>
  </si>
  <si>
    <t>swati.reddy795@yahoo.com</t>
  </si>
  <si>
    <t>CUST00700</t>
  </si>
  <si>
    <t>Vihaan Kumar</t>
  </si>
  <si>
    <t>vihaan.kumar249@hotmail.com</t>
  </si>
  <si>
    <t>CUST00701</t>
  </si>
  <si>
    <t>Rekha Nair</t>
  </si>
  <si>
    <t>rekha.nair327@yahoo.com</t>
  </si>
  <si>
    <t>CUST00702</t>
  </si>
  <si>
    <t>Reyansh Nair</t>
  </si>
  <si>
    <t>9325360943</t>
  </si>
  <si>
    <t>reyansh.nair738@yahoo.com</t>
  </si>
  <si>
    <t>CUST00703</t>
  </si>
  <si>
    <t>Vinod Khanna</t>
  </si>
  <si>
    <t>vinod.khanna310@rediffmail.com</t>
  </si>
  <si>
    <t>CUST00704</t>
  </si>
  <si>
    <t>Divya Reddy</t>
  </si>
  <si>
    <t>divya.reddy757@rediffmail.com</t>
  </si>
  <si>
    <t>CUST00705</t>
  </si>
  <si>
    <t>ashok.rathi957@hotmail.com</t>
  </si>
  <si>
    <t>CUST00706</t>
  </si>
  <si>
    <t>Aarav Nair</t>
  </si>
  <si>
    <t>aarav.nair914@outlook.com</t>
  </si>
  <si>
    <t>CUST00707</t>
  </si>
  <si>
    <t>Rita Desai</t>
  </si>
  <si>
    <t>9254152993</t>
  </si>
  <si>
    <t>rita.desai473@hotmail.com</t>
  </si>
  <si>
    <t>CUST00708</t>
  </si>
  <si>
    <t>Dhruv Bhatia</t>
  </si>
  <si>
    <t>dhruv.bhatia806@hotmail.com</t>
  </si>
  <si>
    <t>CUST00709</t>
  </si>
  <si>
    <t>Kabir Bansal</t>
  </si>
  <si>
    <t>kabir.bansal839@outlook.com</t>
  </si>
  <si>
    <t>CUST00710</t>
  </si>
  <si>
    <t>Meera Agarwal</t>
  </si>
  <si>
    <t>9374371559</t>
  </si>
  <si>
    <t>meera.agarwal460@rediffmail.com</t>
  </si>
  <si>
    <t>CUST00711</t>
  </si>
  <si>
    <t>Priya Yadav</t>
  </si>
  <si>
    <t>priya.yadav241@outlook.com</t>
  </si>
  <si>
    <t>CUST00712</t>
  </si>
  <si>
    <t>Riya Bhatia</t>
  </si>
  <si>
    <t>9601817355</t>
  </si>
  <si>
    <t>riya.bhatia135@hotmail.com</t>
  </si>
  <si>
    <t>CUST00713</t>
  </si>
  <si>
    <t>Kavya Malhotra</t>
  </si>
  <si>
    <t>9908418894</t>
  </si>
  <si>
    <t>kavya.malhotra904@hotmail.com</t>
  </si>
  <si>
    <t>CUST00714</t>
  </si>
  <si>
    <t>sai.bansal790@rediffmail.com</t>
  </si>
  <si>
    <t>CUST00715</t>
  </si>
  <si>
    <t>Nisha Singh</t>
  </si>
  <si>
    <t>9249248949</t>
  </si>
  <si>
    <t>nisha.singh849@gmail.com</t>
  </si>
  <si>
    <t>CUST00716</t>
  </si>
  <si>
    <t>Sai Pandey</t>
  </si>
  <si>
    <t>sai.pandey836@rediffmail.com</t>
  </si>
  <si>
    <t>CUST00717</t>
  </si>
  <si>
    <t>Rahul Mehta</t>
  </si>
  <si>
    <t>CUST00718</t>
  </si>
  <si>
    <t>Usha Tiwari</t>
  </si>
  <si>
    <t>9828313215</t>
  </si>
  <si>
    <t>usha.tiwari842@gmail.com</t>
  </si>
  <si>
    <t>CUST00719</t>
  </si>
  <si>
    <t>Tanya Chauhan</t>
  </si>
  <si>
    <t>tanya.chauhan118@hotmail.com</t>
  </si>
  <si>
    <t>CUST00720</t>
  </si>
  <si>
    <t>CUST00721</t>
  </si>
  <si>
    <t>Dhruv Mehta</t>
  </si>
  <si>
    <t>dhruv.mehta610@hotmail.com</t>
  </si>
  <si>
    <t>CUST00722</t>
  </si>
  <si>
    <t>Geeta Saxena</t>
  </si>
  <si>
    <t>geeta.saxena61@yahoo.com</t>
  </si>
  <si>
    <t>CUST00723</t>
  </si>
  <si>
    <t>Ayaan Shah</t>
  </si>
  <si>
    <t>9869711410</t>
  </si>
  <si>
    <t>ayaan.shah584@hotmail.com</t>
  </si>
  <si>
    <t>CUST00724</t>
  </si>
  <si>
    <t>kabir.bansal397@yahoo.com</t>
  </si>
  <si>
    <t>CUST00725</t>
  </si>
  <si>
    <t>Priya Bhatt</t>
  </si>
  <si>
    <t>CUST00726</t>
  </si>
  <si>
    <t>Swati Yadav</t>
  </si>
  <si>
    <t>swati.yadav967@gmail.com</t>
  </si>
  <si>
    <t>CUST00727</t>
  </si>
  <si>
    <t>9296120509</t>
  </si>
  <si>
    <t>vihaan.desai240@outlook.com</t>
  </si>
  <si>
    <t>CUST00728</t>
  </si>
  <si>
    <t>Diya Joshi</t>
  </si>
  <si>
    <t>diya.joshi776@outlook.com</t>
  </si>
  <si>
    <t>CUST00729</t>
  </si>
  <si>
    <t>Ishaan Tiwari</t>
  </si>
  <si>
    <t>ishaan.tiwari854@rediffmail.com</t>
  </si>
  <si>
    <t>CUST00730</t>
  </si>
  <si>
    <t>Pooja Malhotra</t>
  </si>
  <si>
    <t>pooja.malhotra79@rediffmail.com</t>
  </si>
  <si>
    <t>CUST00731</t>
  </si>
  <si>
    <t>sanjay.rathi402@outlook.com</t>
  </si>
  <si>
    <t>CUST00732</t>
  </si>
  <si>
    <t>Kavya Khanna</t>
  </si>
  <si>
    <t>kavya.khanna558@rediffmail.com</t>
  </si>
  <si>
    <t>CUST00733</t>
  </si>
  <si>
    <t>Sneha Yadav</t>
  </si>
  <si>
    <t>9749741700</t>
  </si>
  <si>
    <t>sneha.yadav572@hotmail.com</t>
  </si>
  <si>
    <t>CUST00734</t>
  </si>
  <si>
    <t>Ayaan Bansal</t>
  </si>
  <si>
    <t>CUST00735</t>
  </si>
  <si>
    <t>Nisha Mehta</t>
  </si>
  <si>
    <t>9882966815</t>
  </si>
  <si>
    <t>nisha.mehta250@rediffmail.com</t>
  </si>
  <si>
    <t>CUST00736</t>
  </si>
  <si>
    <t>Geeta Verma</t>
  </si>
  <si>
    <t>geeta.verma243@gmail.com</t>
  </si>
  <si>
    <t>CUST00737</t>
  </si>
  <si>
    <t>Nisha Kapoor</t>
  </si>
  <si>
    <t>nisha.kapoor612@outlook.com</t>
  </si>
  <si>
    <t>CUST00738</t>
  </si>
  <si>
    <t>Rajesh Bhatt</t>
  </si>
  <si>
    <t>CUST00739</t>
  </si>
  <si>
    <t>Rajesh Singh</t>
  </si>
  <si>
    <t>rajesh.singh432@hotmail.com</t>
  </si>
  <si>
    <t>CUST00740</t>
  </si>
  <si>
    <t>Sanjay Chopra</t>
  </si>
  <si>
    <t>sanjay.chopra750@outlook.com</t>
  </si>
  <si>
    <t>CUST00741</t>
  </si>
  <si>
    <t>9687270868</t>
  </si>
  <si>
    <t>neha.chopra978@gmail.com</t>
  </si>
  <si>
    <t>CUST00742</t>
  </si>
  <si>
    <t>Krishna Reddy</t>
  </si>
  <si>
    <t>krishna.reddy882@hotmail.com</t>
  </si>
  <si>
    <t>CUST00743</t>
  </si>
  <si>
    <t>Amit Tiwari</t>
  </si>
  <si>
    <t>9100142802</t>
  </si>
  <si>
    <t>amit.tiwari67@hotmail.com</t>
  </si>
  <si>
    <t>CUST00744</t>
  </si>
  <si>
    <t>simran.bansal207@rediffmail.com</t>
  </si>
  <si>
    <t>CUST00745</t>
  </si>
  <si>
    <t>Kritika Shah</t>
  </si>
  <si>
    <t>kritika.shah244@hotmail.com</t>
  </si>
  <si>
    <t>CUST00746</t>
  </si>
  <si>
    <t>Aarav Saxena</t>
  </si>
  <si>
    <t>aarav.saxena251@hotmail.com</t>
  </si>
  <si>
    <t>CUST00747</t>
  </si>
  <si>
    <t>Swati Sethi</t>
  </si>
  <si>
    <t>9438222298</t>
  </si>
  <si>
    <t>swati.sethi834@outlook.com</t>
  </si>
  <si>
    <t>CUST00748</t>
  </si>
  <si>
    <t>Aarav Tiwari</t>
  </si>
  <si>
    <t>9178634632</t>
  </si>
  <si>
    <t>aarav.tiwari187@hotmail.com</t>
  </si>
  <si>
    <t>CUST00749</t>
  </si>
  <si>
    <t>Nikhil Gupta</t>
  </si>
  <si>
    <t>CUST00750</t>
  </si>
  <si>
    <t>Vihaan Saxena</t>
  </si>
  <si>
    <t>vihaan.saxena61@rediffmail.com</t>
  </si>
  <si>
    <t>CUST00751</t>
  </si>
  <si>
    <t>Diya Desai</t>
  </si>
  <si>
    <t>CUST00752</t>
  </si>
  <si>
    <t>geeta.joshi748@gmail.com</t>
  </si>
  <si>
    <t>CUST00753</t>
  </si>
  <si>
    <t>Radhika Chauhan</t>
  </si>
  <si>
    <t>9565207619</t>
  </si>
  <si>
    <t>radhika.chauhan654@gmail.com</t>
  </si>
  <si>
    <t>CUST00754</t>
  </si>
  <si>
    <t>Ramesh Sharma</t>
  </si>
  <si>
    <t>ramesh.sharma599@rediffmail.com</t>
  </si>
  <si>
    <t>CUST00755</t>
  </si>
  <si>
    <t>Neha Shah</t>
  </si>
  <si>
    <t>CUST00756</t>
  </si>
  <si>
    <t>9875855314</t>
  </si>
  <si>
    <t>CUST00757</t>
  </si>
  <si>
    <t>ishaan.sethi844@outlook.com</t>
  </si>
  <si>
    <t>CUST00758</t>
  </si>
  <si>
    <t>Sanjay Bhatt</t>
  </si>
  <si>
    <t>sanjay.bhatt654@hotmail.com</t>
  </si>
  <si>
    <t>CUST00759</t>
  </si>
  <si>
    <t>Kavya Desai</t>
  </si>
  <si>
    <t>kavya.desai781@hotmail.com</t>
  </si>
  <si>
    <t>CUST00760</t>
  </si>
  <si>
    <t>Shreya Desai</t>
  </si>
  <si>
    <t>shreya.desai397@gmail.com</t>
  </si>
  <si>
    <t>CUST00761</t>
  </si>
  <si>
    <t>Rahul Tiwari</t>
  </si>
  <si>
    <t>rahul.tiwari46@hotmail.com</t>
  </si>
  <si>
    <t>CUST00762</t>
  </si>
  <si>
    <t>Suresh Gupta</t>
  </si>
  <si>
    <t>9663497143</t>
  </si>
  <si>
    <t>suresh.gupta490@rediffmail.com</t>
  </si>
  <si>
    <t>CUST00763</t>
  </si>
  <si>
    <t>Anil Chopra</t>
  </si>
  <si>
    <t>9979540035</t>
  </si>
  <si>
    <t>anil.chopra957@rediffmail.com</t>
  </si>
  <si>
    <t>CUST00764</t>
  </si>
  <si>
    <t>9442843619</t>
  </si>
  <si>
    <t>krishna.bansal492@yahoo.com</t>
  </si>
  <si>
    <t>CUST00765</t>
  </si>
  <si>
    <t>Manish Gupta</t>
  </si>
  <si>
    <t>9503635940</t>
  </si>
  <si>
    <t>manish.gupta876@outlook.com</t>
  </si>
  <si>
    <t>CUST00766</t>
  </si>
  <si>
    <t>9273475833</t>
  </si>
  <si>
    <t>diya.sharma920@yahoo.com</t>
  </si>
  <si>
    <t>CUST00767</t>
  </si>
  <si>
    <t>Rahul Reddy</t>
  </si>
  <si>
    <t>9927479704</t>
  </si>
  <si>
    <t>CUST00768</t>
  </si>
  <si>
    <t>Vikram Bansal</t>
  </si>
  <si>
    <t>vikram.bansal558@gmail.com</t>
  </si>
  <si>
    <t>CUST00769</t>
  </si>
  <si>
    <t>Manish Singh</t>
  </si>
  <si>
    <t>CUST00770</t>
  </si>
  <si>
    <t>9168231868</t>
  </si>
  <si>
    <t>CUST00771</t>
  </si>
  <si>
    <t>Radhika Kapoor</t>
  </si>
  <si>
    <t>radhika.kapoor530@hotmail.com</t>
  </si>
  <si>
    <t>CUST00772</t>
  </si>
  <si>
    <t>Arjun Nair</t>
  </si>
  <si>
    <t>9345715035</t>
  </si>
  <si>
    <t>CUST00773</t>
  </si>
  <si>
    <t>Vinod Reddy</t>
  </si>
  <si>
    <t>vinod.reddy414@gmail.com</t>
  </si>
  <si>
    <t>CUST00774</t>
  </si>
  <si>
    <t>rahul.reddy532@yahoo.com</t>
  </si>
  <si>
    <t>CUST00775</t>
  </si>
  <si>
    <t>Divya Chopra</t>
  </si>
  <si>
    <t>divya.chopra816@yahoo.com</t>
  </si>
  <si>
    <t>CUST00776</t>
  </si>
  <si>
    <t>Usha Saxena</t>
  </si>
  <si>
    <t>9360385581</t>
  </si>
  <si>
    <t>usha.saxena284@rediffmail.com</t>
  </si>
  <si>
    <t>CUST00777</t>
  </si>
  <si>
    <t>kavya.rao415@rediffmail.com</t>
  </si>
  <si>
    <t>CUST00778</t>
  </si>
  <si>
    <t>Ishaan Iyer</t>
  </si>
  <si>
    <t>9210872170</t>
  </si>
  <si>
    <t>ishaan.iyer347@hotmail.com</t>
  </si>
  <si>
    <t>CUST00779</t>
  </si>
  <si>
    <t>Isha Bhatia</t>
  </si>
  <si>
    <t>isha.bhatia690@rediffmail.com</t>
  </si>
  <si>
    <t>CUST00780</t>
  </si>
  <si>
    <t>Nisha Reddy</t>
  </si>
  <si>
    <t>nisha.reddy135@gmail.com</t>
  </si>
  <si>
    <t>CUST00781</t>
  </si>
  <si>
    <t>Geeta Agarwal</t>
  </si>
  <si>
    <t>geeta.agarwal518@gmail.com</t>
  </si>
  <si>
    <t>CUST00782</t>
  </si>
  <si>
    <t>Anil Gupta</t>
  </si>
  <si>
    <t>anil.gupta232@yahoo.com</t>
  </si>
  <si>
    <t>CUST00783</t>
  </si>
  <si>
    <t>Nikhil Agarwal</t>
  </si>
  <si>
    <t>nikhil.agarwal728@rediffmail.com</t>
  </si>
  <si>
    <t>CUST00784</t>
  </si>
  <si>
    <t>Vihaan Reddy</t>
  </si>
  <si>
    <t>vihaan.reddy203@gmail.com</t>
  </si>
  <si>
    <t>CUST00785</t>
  </si>
  <si>
    <t>Aarav Patel</t>
  </si>
  <si>
    <t>9659155913</t>
  </si>
  <si>
    <t>aarav.patel569@gmail.com</t>
  </si>
  <si>
    <t>CUST00786</t>
  </si>
  <si>
    <t>Ayaan Pandey</t>
  </si>
  <si>
    <t>9506895356</t>
  </si>
  <si>
    <t>ayaan.pandey126@rediffmail.com</t>
  </si>
  <si>
    <t>CUST00787</t>
  </si>
  <si>
    <t>Kavya Iyer</t>
  </si>
  <si>
    <t>9622438534</t>
  </si>
  <si>
    <t>kavya.iyer738@gmail.com</t>
  </si>
  <si>
    <t>CUST00788</t>
  </si>
  <si>
    <t>ashok.gupta160@hotmail.com</t>
  </si>
  <si>
    <t>CUST00789</t>
  </si>
  <si>
    <t>Riya Malhotra</t>
  </si>
  <si>
    <t>riya.malhotra614@gmail.com</t>
  </si>
  <si>
    <t>CUST00790</t>
  </si>
  <si>
    <t>Aditya Sharma</t>
  </si>
  <si>
    <t>aditya.sharma95@gmail.com</t>
  </si>
  <si>
    <t>CUST00791</t>
  </si>
  <si>
    <t>Aditya Bansal</t>
  </si>
  <si>
    <t>aditya.bansal476@rediffmail.com</t>
  </si>
  <si>
    <t>CUST00792</t>
  </si>
  <si>
    <t>ramesh.bhatt229@gmail.com</t>
  </si>
  <si>
    <t>CUST00793</t>
  </si>
  <si>
    <t>Vikram Patel</t>
  </si>
  <si>
    <t>9718381406</t>
  </si>
  <si>
    <t>vikram.patel917@gmail.com</t>
  </si>
  <si>
    <t>CUST00794</t>
  </si>
  <si>
    <t>Vihaan Singh</t>
  </si>
  <si>
    <t>vihaan.singh226@gmail.com</t>
  </si>
  <si>
    <t>CUST00795</t>
  </si>
  <si>
    <t>Ayaan Yadav</t>
  </si>
  <si>
    <t>9455402113</t>
  </si>
  <si>
    <t>ayaan.yadav351@yahoo.com</t>
  </si>
  <si>
    <t>CUST00796</t>
  </si>
  <si>
    <t>9970192762</t>
  </si>
  <si>
    <t>shreya.khanna143@rediffmail.com</t>
  </si>
  <si>
    <t>CUST00797</t>
  </si>
  <si>
    <t>Sunita Sharma</t>
  </si>
  <si>
    <t>sunita.sharma227@yahoo.com</t>
  </si>
  <si>
    <t>CUST00798</t>
  </si>
  <si>
    <t>Sanjay Agarwal</t>
  </si>
  <si>
    <t>sanjay.agarwal350@hotmail.com</t>
  </si>
  <si>
    <t>CUST00799</t>
  </si>
  <si>
    <t>Neha Kapoor</t>
  </si>
  <si>
    <t>neha.kapoor548@gmail.com</t>
  </si>
  <si>
    <t>CUST00800</t>
  </si>
  <si>
    <t>Vivaan Rathi</t>
  </si>
  <si>
    <t>9717936964</t>
  </si>
  <si>
    <t>vivaan.rathi164@rediffmail.com</t>
  </si>
  <si>
    <t>CUST00801</t>
  </si>
  <si>
    <t>usha.singh839@rediffmail.com</t>
  </si>
  <si>
    <t>CUST00802</t>
  </si>
  <si>
    <t>rajesh.desai390@rediffmail.com</t>
  </si>
  <si>
    <t>CUST00803</t>
  </si>
  <si>
    <t>Kavya Gupta</t>
  </si>
  <si>
    <t>9964879866</t>
  </si>
  <si>
    <t>kavya.gupta148@hotmail.com</t>
  </si>
  <si>
    <t>CUST00804</t>
  </si>
  <si>
    <t>Ananya Sharma</t>
  </si>
  <si>
    <t>ananya.sharma593@yahoo.com</t>
  </si>
  <si>
    <t>CUST00805</t>
  </si>
  <si>
    <t>mahesh.shah191@yahoo.com</t>
  </si>
  <si>
    <t>CUST00806</t>
  </si>
  <si>
    <t>ishaan.tiwari949@rediffmail.com</t>
  </si>
  <si>
    <t>CUST00807</t>
  </si>
  <si>
    <t>Sneha Khanna</t>
  </si>
  <si>
    <t>9388215682</t>
  </si>
  <si>
    <t>sneha.khanna130@hotmail.com</t>
  </si>
  <si>
    <t>CUST00808</t>
  </si>
  <si>
    <t>Seema Malhotra</t>
  </si>
  <si>
    <t>9400574412</t>
  </si>
  <si>
    <t>seema.malhotra582@gmail.com</t>
  </si>
  <si>
    <t>CUST00809</t>
  </si>
  <si>
    <t>9402629335</t>
  </si>
  <si>
    <t>arjun.verma63@outlook.com</t>
  </si>
  <si>
    <t>CUST00810</t>
  </si>
  <si>
    <t>Sunita Saxena</t>
  </si>
  <si>
    <t>9584046001</t>
  </si>
  <si>
    <t>sunita.saxena563@outlook.com</t>
  </si>
  <si>
    <t>CUST00811</t>
  </si>
  <si>
    <t>Mahesh Reddy</t>
  </si>
  <si>
    <t>mahesh.reddy424@gmail.com</t>
  </si>
  <si>
    <t>CUST00812</t>
  </si>
  <si>
    <t>Lata Chauhan</t>
  </si>
  <si>
    <t>lata.chauhan494@outlook.com</t>
  </si>
  <si>
    <t>CUST00813</t>
  </si>
  <si>
    <t>Vinod Tiwari</t>
  </si>
  <si>
    <t>vinod.tiwari169@outlook.com</t>
  </si>
  <si>
    <t>CUST00814</t>
  </si>
  <si>
    <t>ananya.singh751@hotmail.com</t>
  </si>
  <si>
    <t>CUST00815</t>
  </si>
  <si>
    <t>kiran.tiwari958@gmail.com</t>
  </si>
  <si>
    <t>CUST00816</t>
  </si>
  <si>
    <t>neha.bansal981@yahoo.com</t>
  </si>
  <si>
    <t>CUST00817</t>
  </si>
  <si>
    <t>Krishna Chopra</t>
  </si>
  <si>
    <t>CUST00818</t>
  </si>
  <si>
    <t>CUST00819</t>
  </si>
  <si>
    <t>9700735292</t>
  </si>
  <si>
    <t>radhika.sharma785@outlook.com</t>
  </si>
  <si>
    <t>CUST00820</t>
  </si>
  <si>
    <t>ayaan.yadav829@outlook.com</t>
  </si>
  <si>
    <t>CUST00821</t>
  </si>
  <si>
    <t>Ramesh Mishra</t>
  </si>
  <si>
    <t>ramesh.mishra533@gmail.com</t>
  </si>
  <si>
    <t>CUST00822</t>
  </si>
  <si>
    <t>Simran Rao</t>
  </si>
  <si>
    <t>9609351789</t>
  </si>
  <si>
    <t>simran.rao418@outlook.com</t>
  </si>
  <si>
    <t>CUST00823</t>
  </si>
  <si>
    <t>Kabir Malhotra</t>
  </si>
  <si>
    <t>9564130702</t>
  </si>
  <si>
    <t>CUST00824</t>
  </si>
  <si>
    <t>Kritika Saxena</t>
  </si>
  <si>
    <t>kritika.saxena935@rediffmail.com</t>
  </si>
  <si>
    <t>CUST00825</t>
  </si>
  <si>
    <t>Manish Desai</t>
  </si>
  <si>
    <t>manish.desai41@gmail.com</t>
  </si>
  <si>
    <t>CUST00826</t>
  </si>
  <si>
    <t>vikram.patel773@gmail.com</t>
  </si>
  <si>
    <t>CUST00827</t>
  </si>
  <si>
    <t>kiran.yadav296@gmail.com</t>
  </si>
  <si>
    <t>CUST00828</t>
  </si>
  <si>
    <t>isha.khanna204@outlook.com</t>
  </si>
  <si>
    <t>CUST00829</t>
  </si>
  <si>
    <t>Sunil Sethi</t>
  </si>
  <si>
    <t>sunil.sethi419@rediffmail.com</t>
  </si>
  <si>
    <t>CUST00830</t>
  </si>
  <si>
    <t>Nisha Verma</t>
  </si>
  <si>
    <t>CUST00831</t>
  </si>
  <si>
    <t>Karan Sethi</t>
  </si>
  <si>
    <t>karan.sethi143@hotmail.com</t>
  </si>
  <si>
    <t>CUST00832</t>
  </si>
  <si>
    <t>Kavya Joshi</t>
  </si>
  <si>
    <t>9339921653</t>
  </si>
  <si>
    <t>kavya.joshi542@yahoo.com</t>
  </si>
  <si>
    <t>CUST00833</t>
  </si>
  <si>
    <t>Reyansh Malhotra</t>
  </si>
  <si>
    <t>reyansh.malhotra205@yahoo.com</t>
  </si>
  <si>
    <t>CUST00834</t>
  </si>
  <si>
    <t>saanvi.agarwal86@rediffmail.com</t>
  </si>
  <si>
    <t>CUST00835</t>
  </si>
  <si>
    <t>aditya.iyer353@gmail.com</t>
  </si>
  <si>
    <t>CUST00836</t>
  </si>
  <si>
    <t>Divya Bhatia</t>
  </si>
  <si>
    <t>divya.bhatia208@outlook.com</t>
  </si>
  <si>
    <t>CUST00837</t>
  </si>
  <si>
    <t>CUST00838</t>
  </si>
  <si>
    <t>Sai Shah</t>
  </si>
  <si>
    <t>9310986781</t>
  </si>
  <si>
    <t>sai.shah58@outlook.com</t>
  </si>
  <si>
    <t>CUST00839</t>
  </si>
  <si>
    <t>Sunil Yadav</t>
  </si>
  <si>
    <t>sunil.yadav211@outlook.com</t>
  </si>
  <si>
    <t>CUST00840</t>
  </si>
  <si>
    <t>Shreya Pandey</t>
  </si>
  <si>
    <t>shreya.pandey174@outlook.com</t>
  </si>
  <si>
    <t>CUST00841</t>
  </si>
  <si>
    <t>Suresh Joshi</t>
  </si>
  <si>
    <t>9560002463</t>
  </si>
  <si>
    <t>CUST00842</t>
  </si>
  <si>
    <t>Swati Nair</t>
  </si>
  <si>
    <t>swati.nair659@outlook.com</t>
  </si>
  <si>
    <t>CUST00843</t>
  </si>
  <si>
    <t>anil.saxena946@hotmail.com</t>
  </si>
  <si>
    <t>CUST00844</t>
  </si>
  <si>
    <t>Aarav Iyer</t>
  </si>
  <si>
    <t>aarav.iyer114@gmail.com</t>
  </si>
  <si>
    <t>CUST00845</t>
  </si>
  <si>
    <t>karan.sharma285@rediffmail.com</t>
  </si>
  <si>
    <t>CUST00846</t>
  </si>
  <si>
    <t>krishna.desai288@hotmail.com</t>
  </si>
  <si>
    <t>CUST00847</t>
  </si>
  <si>
    <t>9399745070</t>
  </si>
  <si>
    <t>ayaan.kumar560@hotmail.com</t>
  </si>
  <si>
    <t>CUST00848</t>
  </si>
  <si>
    <t>Kabir Yadav</t>
  </si>
  <si>
    <t>kabir.yadav425@gmail.com</t>
  </si>
  <si>
    <t>CUST00849</t>
  </si>
  <si>
    <t>preeti.tiwari432@gmail.com</t>
  </si>
  <si>
    <t>CUST00850</t>
  </si>
  <si>
    <t>Ayaan Singh</t>
  </si>
  <si>
    <t>9617360044</t>
  </si>
  <si>
    <t>ayaan.singh872@outlook.com</t>
  </si>
  <si>
    <t>CUST00851</t>
  </si>
  <si>
    <t>Reyansh Saxena</t>
  </si>
  <si>
    <t>CUST00852</t>
  </si>
  <si>
    <t>Pooja Mishra</t>
  </si>
  <si>
    <t>pooja.mishra914@yahoo.com</t>
  </si>
  <si>
    <t>CUST00853</t>
  </si>
  <si>
    <t>divya.sethi860@yahoo.com</t>
  </si>
  <si>
    <t>CUST00854</t>
  </si>
  <si>
    <t>Riya Shah</t>
  </si>
  <si>
    <t>9853285439</t>
  </si>
  <si>
    <t>CUST00855</t>
  </si>
  <si>
    <t>Mahesh Sethi</t>
  </si>
  <si>
    <t>mahesh.sethi799@gmail.com</t>
  </si>
  <si>
    <t>CUST00856</t>
  </si>
  <si>
    <t>Shreya Rathi</t>
  </si>
  <si>
    <t>9910132520</t>
  </si>
  <si>
    <t>shreya.rathi197@rediffmail.com</t>
  </si>
  <si>
    <t>CUST00857</t>
  </si>
  <si>
    <t>CUST00858</t>
  </si>
  <si>
    <t>Seema Joshi</t>
  </si>
  <si>
    <t>seema.joshi887@gmail.com</t>
  </si>
  <si>
    <t>CUST00859</t>
  </si>
  <si>
    <t>Mahesh Chopra</t>
  </si>
  <si>
    <t>mahesh.chopra986@hotmail.com</t>
  </si>
  <si>
    <t>CUST00860</t>
  </si>
  <si>
    <t>Pooja Saxena</t>
  </si>
  <si>
    <t>pooja.saxena429@hotmail.com</t>
  </si>
  <si>
    <t>CUST00861</t>
  </si>
  <si>
    <t>9859575160</t>
  </si>
  <si>
    <t>riya.malhotra591@yahoo.com</t>
  </si>
  <si>
    <t>CUST00862</t>
  </si>
  <si>
    <t>CUST00863</t>
  </si>
  <si>
    <t>Suresh Khanna</t>
  </si>
  <si>
    <t>suresh.khanna881@outlook.com</t>
  </si>
  <si>
    <t>CUST00864</t>
  </si>
  <si>
    <t>kavya.kapoor432@gmail.com</t>
  </si>
  <si>
    <t>CUST00865</t>
  </si>
  <si>
    <t>Ramesh Iyer</t>
  </si>
  <si>
    <t>ramesh.iyer246@outlook.com</t>
  </si>
  <si>
    <t>CUST00866</t>
  </si>
  <si>
    <t>anil.joshi213@yahoo.com</t>
  </si>
  <si>
    <t>CUST00867</t>
  </si>
  <si>
    <t>Seema Pandey</t>
  </si>
  <si>
    <t>9918933929</t>
  </si>
  <si>
    <t>seema.pandey14@gmail.com</t>
  </si>
  <si>
    <t>CUST00868</t>
  </si>
  <si>
    <t>Arjun Iyer</t>
  </si>
  <si>
    <t>CUST00869</t>
  </si>
  <si>
    <t>deepak.rao748@yahoo.com</t>
  </si>
  <si>
    <t>CUST00870</t>
  </si>
  <si>
    <t>Vinod Desai</t>
  </si>
  <si>
    <t>CUST00871</t>
  </si>
  <si>
    <t>9824041303</t>
  </si>
  <si>
    <t>arjun.desai193@gmail.com</t>
  </si>
  <si>
    <t>CUST00872</t>
  </si>
  <si>
    <t>9967208728</t>
  </si>
  <si>
    <t>CUST00873</t>
  </si>
  <si>
    <t>Reyansh Tiwari</t>
  </si>
  <si>
    <t>reyansh.tiwari898@outlook.com</t>
  </si>
  <si>
    <t>CUST00874</t>
  </si>
  <si>
    <t>Sanjay Kumar</t>
  </si>
  <si>
    <t>9150951873</t>
  </si>
  <si>
    <t>sanjay.kumar632@hotmail.com</t>
  </si>
  <si>
    <t>CUST00875</t>
  </si>
  <si>
    <t>reyansh.khanna767@hotmail.com</t>
  </si>
  <si>
    <t>CUST00876</t>
  </si>
  <si>
    <t>Sunita Bansal</t>
  </si>
  <si>
    <t>9710401558</t>
  </si>
  <si>
    <t>sunita.bansal798@hotmail.com</t>
  </si>
  <si>
    <t>CUST00877</t>
  </si>
  <si>
    <t>9387044869</t>
  </si>
  <si>
    <t>mahesh.kapoor573@outlook.com</t>
  </si>
  <si>
    <t>CUST00878</t>
  </si>
  <si>
    <t>Kiran Khanna</t>
  </si>
  <si>
    <t>kiran.khanna187@outlook.com</t>
  </si>
  <si>
    <t>CUST00879</t>
  </si>
  <si>
    <t>Isha Malhotra</t>
  </si>
  <si>
    <t>isha.malhotra138@yahoo.com</t>
  </si>
  <si>
    <t>CUST00880</t>
  </si>
  <si>
    <t>Vikram Pandey</t>
  </si>
  <si>
    <t>CUST00881</t>
  </si>
  <si>
    <t>Radhika Shah</t>
  </si>
  <si>
    <t>radhika.shah981@hotmail.com</t>
  </si>
  <si>
    <t>CUST00882</t>
  </si>
  <si>
    <t>CUST00883</t>
  </si>
  <si>
    <t>Sai Rao</t>
  </si>
  <si>
    <t>sai.rao652@yahoo.com</t>
  </si>
  <si>
    <t>CUST00884</t>
  </si>
  <si>
    <t>Saanvi Nair</t>
  </si>
  <si>
    <t>saanvi.nair230@outlook.com</t>
  </si>
  <si>
    <t>CUST00885</t>
  </si>
  <si>
    <t>9266680994</t>
  </si>
  <si>
    <t>suresh.mishra177@outlook.com</t>
  </si>
  <si>
    <t>CUST00886</t>
  </si>
  <si>
    <t>Kavya Rathi</t>
  </si>
  <si>
    <t>kavya.rathi409@hotmail.com</t>
  </si>
  <si>
    <t>CUST00887</t>
  </si>
  <si>
    <t>Sanjay Desai</t>
  </si>
  <si>
    <t>sanjay.desai358@hotmail.com</t>
  </si>
  <si>
    <t>CUST00888</t>
  </si>
  <si>
    <t>Suresh Desai</t>
  </si>
  <si>
    <t>suresh.desai296@hotmail.com</t>
  </si>
  <si>
    <t>CUST00889</t>
  </si>
  <si>
    <t>Kabir Desai</t>
  </si>
  <si>
    <t>kabir.desai690@yahoo.com</t>
  </si>
  <si>
    <t>CUST00890</t>
  </si>
  <si>
    <t>Ashok Sharma</t>
  </si>
  <si>
    <t>9991279188</t>
  </si>
  <si>
    <t>ashok.sharma597@outlook.com</t>
  </si>
  <si>
    <t>CUST00891</t>
  </si>
  <si>
    <t>kavya.kapoor345@hotmail.com</t>
  </si>
  <si>
    <t>CUST00892</t>
  </si>
  <si>
    <t>Anjali Shah</t>
  </si>
  <si>
    <t>anjali.shah101@hotmail.com</t>
  </si>
  <si>
    <t>CUST00893</t>
  </si>
  <si>
    <t>Nikhil Kumar</t>
  </si>
  <si>
    <t>nikhil.kumar358@outlook.com</t>
  </si>
  <si>
    <t>CUST00894</t>
  </si>
  <si>
    <t>Simran Patel</t>
  </si>
  <si>
    <t>simran.patel321@outlook.com</t>
  </si>
  <si>
    <t>CUST00895</t>
  </si>
  <si>
    <t>Shreya Bhatt</t>
  </si>
  <si>
    <t>shreya.bhatt277@gmail.com</t>
  </si>
  <si>
    <t>CUST00896</t>
  </si>
  <si>
    <t>Sunil Bhatia</t>
  </si>
  <si>
    <t>9816787711</t>
  </si>
  <si>
    <t>sunil.bhatia12@gmail.com</t>
  </si>
  <si>
    <t>CUST00897</t>
  </si>
  <si>
    <t>9961427999</t>
  </si>
  <si>
    <t>aryan.rathi171@gmail.com</t>
  </si>
  <si>
    <t>CUST00898</t>
  </si>
  <si>
    <t>reyansh.rathi705@rediffmail.com</t>
  </si>
  <si>
    <t>CUST00899</t>
  </si>
  <si>
    <t>9810683780</t>
  </si>
  <si>
    <t>arjun.nair535@yahoo.com</t>
  </si>
  <si>
    <t>CUST00900</t>
  </si>
  <si>
    <t>pooja.malhotra495@gmail.com</t>
  </si>
  <si>
    <t>CUST00901</t>
  </si>
  <si>
    <t>Priya Verma</t>
  </si>
  <si>
    <t>priya.verma736@yahoo.com</t>
  </si>
  <si>
    <t>CUST00902</t>
  </si>
  <si>
    <t>Ayaan Mehta</t>
  </si>
  <si>
    <t>ayaan.mehta69@rediffmail.com</t>
  </si>
  <si>
    <t>CUST00903</t>
  </si>
  <si>
    <t>Aarav Malhotra</t>
  </si>
  <si>
    <t>9488788775</t>
  </si>
  <si>
    <t>aarav.malhotra460@yahoo.com</t>
  </si>
  <si>
    <t>CUST00904</t>
  </si>
  <si>
    <t>Anil Bhatia</t>
  </si>
  <si>
    <t>9747356865</t>
  </si>
  <si>
    <t>anil.bhatia465@gmail.com</t>
  </si>
  <si>
    <t>CUST00905</t>
  </si>
  <si>
    <t>Usha Pandey</t>
  </si>
  <si>
    <t>usha.pandey879@gmail.com</t>
  </si>
  <si>
    <t>CUST00906</t>
  </si>
  <si>
    <t>Anjali Sethi</t>
  </si>
  <si>
    <t>anjali.sethi890@outlook.com</t>
  </si>
  <si>
    <t>CUST00907</t>
  </si>
  <si>
    <t>9215430014</t>
  </si>
  <si>
    <t>ayaan.kumar53@hotmail.com</t>
  </si>
  <si>
    <t>CUST00908</t>
  </si>
  <si>
    <t>Vinod Malhotra</t>
  </si>
  <si>
    <t>9112249011</t>
  </si>
  <si>
    <t>vinod.malhotra864@hotmail.com</t>
  </si>
  <si>
    <t>CUST00909</t>
  </si>
  <si>
    <t>9355940198</t>
  </si>
  <si>
    <t>CUST00910</t>
  </si>
  <si>
    <t>amit.tiwari697@gmail.com</t>
  </si>
  <si>
    <t>CUST00911</t>
  </si>
  <si>
    <t>Rajesh Chauhan</t>
  </si>
  <si>
    <t>9921056754</t>
  </si>
  <si>
    <t>rajesh.chauhan819@rediffmail.com</t>
  </si>
  <si>
    <t>CUST00912</t>
  </si>
  <si>
    <t>Krishna Patel</t>
  </si>
  <si>
    <t>krishna.patel256@gmail.com</t>
  </si>
  <si>
    <t>CUST00913</t>
  </si>
  <si>
    <t>Manish Iyer</t>
  </si>
  <si>
    <t>9223324899</t>
  </si>
  <si>
    <t>manish.iyer438@gmail.com</t>
  </si>
  <si>
    <t>CUST00914</t>
  </si>
  <si>
    <t>Krishna Pandey</t>
  </si>
  <si>
    <t>krishna.pandey70@gmail.com</t>
  </si>
  <si>
    <t>CUST00915</t>
  </si>
  <si>
    <t>anjali.singh706@rediffmail.com</t>
  </si>
  <si>
    <t>CUST00916</t>
  </si>
  <si>
    <t>Isha Gupta</t>
  </si>
  <si>
    <t>isha.gupta134@gmail.com</t>
  </si>
  <si>
    <t>CUST00917</t>
  </si>
  <si>
    <t>9189423283</t>
  </si>
  <si>
    <t>suresh.kapoor290@rediffmail.com</t>
  </si>
  <si>
    <t>CUST00918</t>
  </si>
  <si>
    <t>rita.mishra726@hotmail.com</t>
  </si>
  <si>
    <t>CUST00919</t>
  </si>
  <si>
    <t>Shreya Mishra</t>
  </si>
  <si>
    <t>shreya.mishra657@outlook.com</t>
  </si>
  <si>
    <t>CUST00920</t>
  </si>
  <si>
    <t>anil.gupta981@outlook.com</t>
  </si>
  <si>
    <t>CUST00921</t>
  </si>
  <si>
    <t>CUST00922</t>
  </si>
  <si>
    <t>nisha.verma995@gmail.com</t>
  </si>
  <si>
    <t>CUST00923</t>
  </si>
  <si>
    <t>vikram.agarwal637@yahoo.com</t>
  </si>
  <si>
    <t>CUST00924</t>
  </si>
  <si>
    <t>Sunita Pandey</t>
  </si>
  <si>
    <t>sunita.pandey52@yahoo.com</t>
  </si>
  <si>
    <t>CUST00925</t>
  </si>
  <si>
    <t>Radhika Nair</t>
  </si>
  <si>
    <t>9780805896</t>
  </si>
  <si>
    <t>radhika.nair716@gmail.com</t>
  </si>
  <si>
    <t>CUST00926</t>
  </si>
  <si>
    <t>Manish Bansal</t>
  </si>
  <si>
    <t>9372653510</t>
  </si>
  <si>
    <t>manish.bansal954@gmail.com</t>
  </si>
  <si>
    <t>CUST00927</t>
  </si>
  <si>
    <t>Krishna Sharma</t>
  </si>
  <si>
    <t>krishna.sharma1@hotmail.com</t>
  </si>
  <si>
    <t>CUST00928</t>
  </si>
  <si>
    <t>9886708679</t>
  </si>
  <si>
    <t>rekha.verma222@rediffmail.com</t>
  </si>
  <si>
    <t>CUST00929</t>
  </si>
  <si>
    <t>radhika.chopra410@rediffmail.com</t>
  </si>
  <si>
    <t>CUST00930</t>
  </si>
  <si>
    <t>sunil.chopra455@rediffmail.com</t>
  </si>
  <si>
    <t>CUST00931</t>
  </si>
  <si>
    <t>simran.rathi841@hotmail.com</t>
  </si>
  <si>
    <t>CUST00932</t>
  </si>
  <si>
    <t>Kritika Joshi</t>
  </si>
  <si>
    <t>kritika.joshi607@yahoo.com</t>
  </si>
  <si>
    <t>CUST00933</t>
  </si>
  <si>
    <t>Rahul Desai</t>
  </si>
  <si>
    <t>rahul.desai490@yahoo.com</t>
  </si>
  <si>
    <t>CUST00934</t>
  </si>
  <si>
    <t>9516059856</t>
  </si>
  <si>
    <t>riya.chauhan157@rediffmail.com</t>
  </si>
  <si>
    <t>CUST00935</t>
  </si>
  <si>
    <t>divya.agarwal45@outlook.com</t>
  </si>
  <si>
    <t>CUST00936</t>
  </si>
  <si>
    <t>preeti.rathi311@outlook.com</t>
  </si>
  <si>
    <t>CUST00937</t>
  </si>
  <si>
    <t>rahul.pandey419@gmail.com</t>
  </si>
  <si>
    <t>CUST00938</t>
  </si>
  <si>
    <t>Sai Nair</t>
  </si>
  <si>
    <t>sai.nair203@gmail.com</t>
  </si>
  <si>
    <t>CUST00939</t>
  </si>
  <si>
    <t>sneha.kapoor218@gmail.com</t>
  </si>
  <si>
    <t>CUST00940</t>
  </si>
  <si>
    <t>reyansh.tiwari403@rediffmail.com</t>
  </si>
  <si>
    <t>CUST00941</t>
  </si>
  <si>
    <t>priya.verma954@outlook.com</t>
  </si>
  <si>
    <t>CUST00942</t>
  </si>
  <si>
    <t>Ananya Agarwal</t>
  </si>
  <si>
    <t>9432798029</t>
  </si>
  <si>
    <t>CUST00943</t>
  </si>
  <si>
    <t>Ashok Malhotra</t>
  </si>
  <si>
    <t>ashok.malhotra948@outlook.com</t>
  </si>
  <si>
    <t>CUST00944</t>
  </si>
  <si>
    <t>Neha Reddy</t>
  </si>
  <si>
    <t>9709804832</t>
  </si>
  <si>
    <t>neha.reddy890@outlook.com</t>
  </si>
  <si>
    <t>CUST00945</t>
  </si>
  <si>
    <t>pooja.khanna400@hotmail.com</t>
  </si>
  <si>
    <t>CUST00946</t>
  </si>
  <si>
    <t>Nikhil Pandey</t>
  </si>
  <si>
    <t>nikhil.pandey662@outlook.com</t>
  </si>
  <si>
    <t>CUST00947</t>
  </si>
  <si>
    <t>Vihaan Gupta</t>
  </si>
  <si>
    <t>CUST00948</t>
  </si>
  <si>
    <t>Aryan Pandey</t>
  </si>
  <si>
    <t>aryan.pandey76@gmail.com</t>
  </si>
  <si>
    <t>CUST00949</t>
  </si>
  <si>
    <t>9776127827</t>
  </si>
  <si>
    <t>arjun.mishra643@yahoo.com</t>
  </si>
  <si>
    <t>CUST00950</t>
  </si>
  <si>
    <t>Shreya Singh</t>
  </si>
  <si>
    <t>shreya.singh825@hotmail.com</t>
  </si>
  <si>
    <t>CUST00951</t>
  </si>
  <si>
    <t>Manju Kumar</t>
  </si>
  <si>
    <t>manju.kumar317@yahoo.com</t>
  </si>
  <si>
    <t>CUST00952</t>
  </si>
  <si>
    <t>Neha Patel</t>
  </si>
  <si>
    <t>neha.patel423@yahoo.com</t>
  </si>
  <si>
    <t>CUST00953</t>
  </si>
  <si>
    <t>tanya.nair88@gmail.com</t>
  </si>
  <si>
    <t>CUST00954</t>
  </si>
  <si>
    <t>Nisha Patel</t>
  </si>
  <si>
    <t>nisha.patel259@rediffmail.com</t>
  </si>
  <si>
    <t>CUST00955</t>
  </si>
  <si>
    <t>Ramesh Gupta</t>
  </si>
  <si>
    <t>ramesh.gupta699@yahoo.com</t>
  </si>
  <si>
    <t>CUST00956</t>
  </si>
  <si>
    <t>tanya.singh247@outlook.com</t>
  </si>
  <si>
    <t>CUST00957</t>
  </si>
  <si>
    <t>Sunita Bhatt</t>
  </si>
  <si>
    <t>9605995936</t>
  </si>
  <si>
    <t>sunita.bhatt745@outlook.com</t>
  </si>
  <si>
    <t>CUST00958</t>
  </si>
  <si>
    <t>Rohan Desai</t>
  </si>
  <si>
    <t>9103857880</t>
  </si>
  <si>
    <t>rohan.desai601@yahoo.com</t>
  </si>
  <si>
    <t>CUST00959</t>
  </si>
  <si>
    <t>aryan.kapoor456@outlook.com</t>
  </si>
  <si>
    <t>CUST00960</t>
  </si>
  <si>
    <t>9670719782</t>
  </si>
  <si>
    <t>tanya.nair602@gmail.com</t>
  </si>
  <si>
    <t>CUST00961</t>
  </si>
  <si>
    <t>Ananya Kapoor</t>
  </si>
  <si>
    <t>9632495830</t>
  </si>
  <si>
    <t>ananya.kapoor614@rediffmail.com</t>
  </si>
  <si>
    <t>CUST00962</t>
  </si>
  <si>
    <t>Sunil Reddy</t>
  </si>
  <si>
    <t>sunil.reddy389@rediffmail.com</t>
  </si>
  <si>
    <t>CUST00963</t>
  </si>
  <si>
    <t>Rajesh Khanna</t>
  </si>
  <si>
    <t>CUST00964</t>
  </si>
  <si>
    <t>Radhika Bansal</t>
  </si>
  <si>
    <t>radhika.bansal966@outlook.com</t>
  </si>
  <si>
    <t>CUST00965</t>
  </si>
  <si>
    <t>9756296671</t>
  </si>
  <si>
    <t>sneha.reddy529@outlook.com</t>
  </si>
  <si>
    <t>CUST00966</t>
  </si>
  <si>
    <t>Reyansh Sethi</t>
  </si>
  <si>
    <t>reyansh.sethi653@yahoo.com</t>
  </si>
  <si>
    <t>CUST00967</t>
  </si>
  <si>
    <t>Neha Rao</t>
  </si>
  <si>
    <t>9436684605</t>
  </si>
  <si>
    <t>neha.rao712@outlook.com</t>
  </si>
  <si>
    <t>CUST00968</t>
  </si>
  <si>
    <t>Arjun Reddy</t>
  </si>
  <si>
    <t>arjun.reddy998@outlook.com</t>
  </si>
  <si>
    <t>CUST00969</t>
  </si>
  <si>
    <t>CUST00970</t>
  </si>
  <si>
    <t>divya.patel760@yahoo.com</t>
  </si>
  <si>
    <t>CUST00971</t>
  </si>
  <si>
    <t>dhruv.nair627@gmail.com</t>
  </si>
  <si>
    <t>CUST00972</t>
  </si>
  <si>
    <t>ishaan.desai669@hotmail.com</t>
  </si>
  <si>
    <t>CUST00973</t>
  </si>
  <si>
    <t>Amit Malhotra</t>
  </si>
  <si>
    <t>CUST00974</t>
  </si>
  <si>
    <t>deepak.tiwari280@hotmail.com</t>
  </si>
  <si>
    <t>CUST00975</t>
  </si>
  <si>
    <t>arjun.mishra965@hotmail.com</t>
  </si>
  <si>
    <t>CUST00976</t>
  </si>
  <si>
    <t>Kiran Sharma</t>
  </si>
  <si>
    <t>kiran.sharma591@rediffmail.com</t>
  </si>
  <si>
    <t>CUST00977</t>
  </si>
  <si>
    <t>Tanya Bansal</t>
  </si>
  <si>
    <t>9507277898</t>
  </si>
  <si>
    <t>CUST00978</t>
  </si>
  <si>
    <t>kabir.verma13@yahoo.com</t>
  </si>
  <si>
    <t>CUST00979</t>
  </si>
  <si>
    <t>Sai Chopra</t>
  </si>
  <si>
    <t>sai.chopra116@outlook.com</t>
  </si>
  <si>
    <t>CUST00980</t>
  </si>
  <si>
    <t>mahesh.verma372@rediffmail.com</t>
  </si>
  <si>
    <t>CUST00981</t>
  </si>
  <si>
    <t>Sai Tiwari</t>
  </si>
  <si>
    <t>CUST00982</t>
  </si>
  <si>
    <t>Rekha Malhotra</t>
  </si>
  <si>
    <t>rekha.malhotra159@outlook.com</t>
  </si>
  <si>
    <t>CUST00983</t>
  </si>
  <si>
    <t>Rita Kapoor</t>
  </si>
  <si>
    <t>rita.kapoor494@rediffmail.com</t>
  </si>
  <si>
    <t>CUST00984</t>
  </si>
  <si>
    <t>amit.sethi777@outlook.com</t>
  </si>
  <si>
    <t>CUST00985</t>
  </si>
  <si>
    <t>Rahul Malhotra</t>
  </si>
  <si>
    <t>9871770122</t>
  </si>
  <si>
    <t>rahul.malhotra808@outlook.com</t>
  </si>
  <si>
    <t>CUST00986</t>
  </si>
  <si>
    <t>Kabir Rathi</t>
  </si>
  <si>
    <t>9798541955</t>
  </si>
  <si>
    <t>kabir.rathi733@hotmail.com</t>
  </si>
  <si>
    <t>CUST00987</t>
  </si>
  <si>
    <t>Sneha Mehta</t>
  </si>
  <si>
    <t>sneha.mehta411@hotmail.com</t>
  </si>
  <si>
    <t>CUST00988</t>
  </si>
  <si>
    <t>manju.patel861@rediffmail.com</t>
  </si>
  <si>
    <t>CUST00989</t>
  </si>
  <si>
    <t>Krishna Malhotra</t>
  </si>
  <si>
    <t>krishna.malhotra720@outlook.com</t>
  </si>
  <si>
    <t>CUST00990</t>
  </si>
  <si>
    <t>9798333855</t>
  </si>
  <si>
    <t>kabir.reddy133@hotmail.com</t>
  </si>
  <si>
    <t>CUST00991</t>
  </si>
  <si>
    <t>Nikhil Khanna</t>
  </si>
  <si>
    <t>9540818891</t>
  </si>
  <si>
    <t>nikhil.khanna534@rediffmail.com</t>
  </si>
  <si>
    <t>CUST00992</t>
  </si>
  <si>
    <t>saanvi.joshi234@yahoo.com</t>
  </si>
  <si>
    <t>CUST00993</t>
  </si>
  <si>
    <t>krishna.tiwari231@yahoo.com</t>
  </si>
  <si>
    <t>CUST00994</t>
  </si>
  <si>
    <t>Rajesh Mishra</t>
  </si>
  <si>
    <t>9583024678</t>
  </si>
  <si>
    <t>rajesh.mishra503@yahoo.com</t>
  </si>
  <si>
    <t>CUST00995</t>
  </si>
  <si>
    <t>manju.sethi920@gmail.com</t>
  </si>
  <si>
    <t>CUST00996</t>
  </si>
  <si>
    <t>Preeti Reddy</t>
  </si>
  <si>
    <t>9143336417</t>
  </si>
  <si>
    <t>preeti.reddy809@yahoo.com</t>
  </si>
  <si>
    <t>CUST00997</t>
  </si>
  <si>
    <t>9718340557</t>
  </si>
  <si>
    <t>kiran.sharma257@gmail.com</t>
  </si>
  <si>
    <t>CUST00998</t>
  </si>
  <si>
    <t>9883682170</t>
  </si>
  <si>
    <t>manish.yadav239@outlook.com</t>
  </si>
  <si>
    <t>CUST00999</t>
  </si>
  <si>
    <t>Radhika Bhatia</t>
  </si>
  <si>
    <t>radhika.bhatia574@gmail.com</t>
  </si>
  <si>
    <t>CUST01000</t>
  </si>
  <si>
    <t>manju.bhatia409@hotmail.com</t>
  </si>
  <si>
    <t>Assumptions &amp; Methodology</t>
  </si>
  <si>
    <t>- All customer data on this sheet is randomly generated/imaginary for demonstration purposes only.</t>
  </si>
  <si>
    <t>- Blue text = hardcoded input values. Black text = live formulas that recalculate automatically.</t>
  </si>
  <si>
    <t>- Debt-to-Income Ratio = (Monthly EMI Outstanding x 12) / Annual Income.</t>
  </si>
  <si>
    <t>- Risk Score (0-100, higher = riskier) = 40% credit-score component + 30% DTI component + 20% missed-payments component + 10% credit-utilization component.</t>
  </si>
  <si>
    <t>- Risk Category: Low (Score &lt;=30), Medium (Score 31-60), High (Score &gt;60).</t>
  </si>
  <si>
    <t>- Eligibility Status: 'Eligible' requires Credit Score &gt;=650, DTI &lt;=40%, Missed Payments &lt;=2, Risk Score &lt;=50.</t>
  </si>
  <si>
    <t>- 'Review' requires Credit Score &gt;=550, Missed Payments &lt;=4, Risk Score &lt;=75. All others are 'Not Eligible'.</t>
  </si>
  <si>
    <t>- These thresholds are illustrative sample underwriting rules, not a real bank's actual credit policy.</t>
  </si>
  <si>
    <t>Annual Income</t>
  </si>
  <si>
    <t>Credit Score</t>
  </si>
  <si>
    <t>Existing Outstanding Debt</t>
  </si>
  <si>
    <t>Monthly EMI Outstanding</t>
  </si>
  <si>
    <t>Requested Loan Type</t>
  </si>
  <si>
    <t>Requested Amount</t>
  </si>
  <si>
    <t>Co-Applicant Income</t>
  </si>
  <si>
    <t>Collateral Value</t>
  </si>
  <si>
    <t xml:space="preserve">  Rajesh Kumar  </t>
  </si>
  <si>
    <t>36</t>
  </si>
  <si>
    <t>MALE</t>
  </si>
  <si>
    <t>SALARIED - GOVERNMENT</t>
  </si>
  <si>
    <t>664,647</t>
  </si>
  <si>
    <t>2</t>
  </si>
  <si>
    <t>0</t>
  </si>
  <si>
    <t>Yes</t>
  </si>
  <si>
    <t>false</t>
  </si>
  <si>
    <t>327</t>
  </si>
  <si>
    <t>223817.91</t>
  </si>
  <si>
    <t>3926.63</t>
  </si>
  <si>
    <t>₹3,349,189</t>
  </si>
  <si>
    <t>31.4</t>
  </si>
  <si>
    <t>13.1</t>
  </si>
  <si>
    <t>4.4</t>
  </si>
  <si>
    <t>722621.0</t>
  </si>
  <si>
    <t>NO</t>
  </si>
  <si>
    <t>240</t>
  </si>
  <si>
    <t>4561172.0</t>
  </si>
  <si>
    <t>2026/07/01</t>
  </si>
  <si>
    <t>95933037</t>
  </si>
  <si>
    <t>45</t>
  </si>
  <si>
    <t>1,816,807</t>
  </si>
  <si>
    <t>1</t>
  </si>
  <si>
    <t>no</t>
  </si>
  <si>
    <t>596</t>
  </si>
  <si>
    <t>₹1,073,974</t>
  </si>
  <si>
    <t>41306.71</t>
  </si>
  <si>
    <t>219295</t>
  </si>
  <si>
    <t>65.4</t>
  </si>
  <si>
    <t>5.6</t>
  </si>
  <si>
    <t>married</t>
  </si>
  <si>
    <t>22.5</t>
  </si>
  <si>
    <t>18</t>
  </si>
  <si>
    <t>35</t>
  </si>
  <si>
    <t>delhi</t>
  </si>
  <si>
    <t>434638</t>
  </si>
  <si>
    <t>YES</t>
  </si>
  <si>
    <t>880</t>
  </si>
  <si>
    <t>228541.6</t>
  </si>
  <si>
    <t>7141.93</t>
  </si>
  <si>
    <t>PERSONAL LOAN</t>
  </si>
  <si>
    <t>₹737,277</t>
  </si>
  <si>
    <t>89.0</t>
  </si>
  <si>
    <t>9.7</t>
  </si>
  <si>
    <t>7.7</t>
  </si>
  <si>
    <t>16 Dec 2025</t>
  </si>
  <si>
    <t>09629908599</t>
  </si>
  <si>
    <t>krishna.desai94 at gmail.com</t>
  </si>
  <si>
    <t>28</t>
  </si>
  <si>
    <t>Calcutta</t>
  </si>
  <si>
    <t>566454</t>
  </si>
  <si>
    <t>yes</t>
  </si>
  <si>
    <t>866</t>
  </si>
  <si>
    <t>292,555</t>
  </si>
  <si>
    <t>24379.6</t>
  </si>
  <si>
    <t>4</t>
  </si>
  <si>
    <t>76.3</t>
  </si>
  <si>
    <t>11.6</t>
  </si>
  <si>
    <t>0.3</t>
  </si>
  <si>
    <t>true</t>
  </si>
  <si>
    <t>2026/05/12</t>
  </si>
  <si>
    <t>+91-9420452650</t>
  </si>
  <si>
    <t>USHA.MISHRA862@REDIFFMAIL.COM</t>
  </si>
  <si>
    <t>59</t>
  </si>
  <si>
    <t>M</t>
  </si>
  <si>
    <t>977,585</t>
  </si>
  <si>
    <t>631</t>
  </si>
  <si>
    <t>286,592</t>
  </si>
  <si>
    <t>15083.8</t>
  </si>
  <si>
    <t>-944903</t>
  </si>
  <si>
    <t>27.9</t>
  </si>
  <si>
    <t>8.6</t>
  </si>
  <si>
    <t>29.3</t>
  </si>
  <si>
    <t>72</t>
  </si>
  <si>
    <t>1023354.0</t>
  </si>
  <si>
    <t>2026-05-23</t>
  </si>
  <si>
    <t>40</t>
  </si>
  <si>
    <t>FEMALE</t>
  </si>
  <si>
    <t>KANPUR</t>
  </si>
  <si>
    <t>867</t>
  </si>
  <si>
    <t>N/A</t>
  </si>
  <si>
    <t>13121.16</t>
  </si>
  <si>
    <t>credit card</t>
  </si>
  <si>
    <t>₹57,220</t>
  </si>
  <si>
    <t>10.6</t>
  </si>
  <si>
    <t>1.2</t>
  </si>
  <si>
    <t>5.5</t>
  </si>
  <si>
    <t>2025/12/28</t>
  </si>
  <si>
    <t>preeti.malhotra97@gmail,com</t>
  </si>
  <si>
    <t>63</t>
  </si>
  <si>
    <t>female</t>
  </si>
  <si>
    <t>2024287</t>
  </si>
  <si>
    <t>400</t>
  </si>
  <si>
    <t>₹73,618</t>
  </si>
  <si>
    <t>1269.28</t>
  </si>
  <si>
    <t>23.1</t>
  </si>
  <si>
    <t>6.8</t>
  </si>
  <si>
    <t>27.7</t>
  </si>
  <si>
    <t>24</t>
  </si>
  <si>
    <t>624628.0</t>
  </si>
  <si>
    <t>05/29/2026</t>
  </si>
  <si>
    <t>09909134796</t>
  </si>
  <si>
    <t xml:space="preserve"> sai.khanna870@yahoo.com </t>
  </si>
  <si>
    <t>31</t>
  </si>
  <si>
    <t>BUSINESS OWNER</t>
  </si>
  <si>
    <t>₹1,196,521</t>
  </si>
  <si>
    <t>No</t>
  </si>
  <si>
    <t>699</t>
  </si>
  <si>
    <t>190,393</t>
  </si>
  <si>
    <t>4643.72</t>
  </si>
  <si>
    <t>1187110</t>
  </si>
  <si>
    <t>74.4</t>
  </si>
  <si>
    <t>11.8</t>
  </si>
  <si>
    <t>2.4</t>
  </si>
  <si>
    <t>701803.0</t>
  </si>
  <si>
    <t>1385162.0</t>
  </si>
  <si>
    <t>10-05-2026</t>
  </si>
  <si>
    <t>26</t>
  </si>
  <si>
    <t>BENGALURU</t>
  </si>
  <si>
    <t>1,286,516</t>
  </si>
  <si>
    <t>340</t>
  </si>
  <si>
    <t>478106.53</t>
  </si>
  <si>
    <t>12581.75</t>
  </si>
  <si>
    <t>846,865</t>
  </si>
  <si>
    <t>73.0</t>
  </si>
  <si>
    <t>3.7</t>
  </si>
  <si>
    <t>OWNED</t>
  </si>
  <si>
    <t>1.8</t>
  </si>
  <si>
    <t>1057920.0</t>
  </si>
  <si>
    <t>02-10-2025</t>
  </si>
  <si>
    <t>09242224154</t>
  </si>
  <si>
    <t>25</t>
  </si>
  <si>
    <t xml:space="preserve">  Male  </t>
  </si>
  <si>
    <t>961638</t>
  </si>
  <si>
    <t>841</t>
  </si>
  <si>
    <t>4513.8</t>
  </si>
  <si>
    <t>96.04</t>
  </si>
  <si>
    <t>₹517,236</t>
  </si>
  <si>
    <t>5</t>
  </si>
  <si>
    <t>17.8</t>
  </si>
  <si>
    <t>1.9</t>
  </si>
  <si>
    <t>2.5</t>
  </si>
  <si>
    <t>48</t>
  </si>
  <si>
    <t>595381.0</t>
  </si>
  <si>
    <t>2026-01-01</t>
  </si>
  <si>
    <t>38</t>
  </si>
  <si>
    <t>F</t>
  </si>
  <si>
    <t>737</t>
  </si>
  <si>
    <t>285623.98</t>
  </si>
  <si>
    <t>15032.84</t>
  </si>
  <si>
    <t>CREDIT CARD</t>
  </si>
  <si>
    <t>19.2</t>
  </si>
  <si>
    <t>0.7</t>
  </si>
  <si>
    <t>MARRIED</t>
  </si>
  <si>
    <t>1.0</t>
  </si>
  <si>
    <t>3</t>
  </si>
  <si>
    <t>12</t>
  </si>
  <si>
    <t>2026/02/25</t>
  </si>
  <si>
    <t xml:space="preserve"> rahul.pandey363@rediffmail.com </t>
  </si>
  <si>
    <t>47</t>
  </si>
  <si>
    <t>AHMEDABAD</t>
  </si>
  <si>
    <t>721</t>
  </si>
  <si>
    <t>501851.51</t>
  </si>
  <si>
    <t>8505.96</t>
  </si>
  <si>
    <t>₹329,766</t>
  </si>
  <si>
    <t>71.6</t>
  </si>
  <si>
    <t>5.9</t>
  </si>
  <si>
    <t>23.9</t>
  </si>
  <si>
    <t>765402.0</t>
  </si>
  <si>
    <t>2026-03-18</t>
  </si>
  <si>
    <t>+91-9930353157</t>
  </si>
  <si>
    <t xml:space="preserve"> usha.gupta286@outlook.com </t>
  </si>
  <si>
    <t>62</t>
  </si>
  <si>
    <t>415765</t>
  </si>
  <si>
    <t>571</t>
  </si>
  <si>
    <t>9543.6</t>
  </si>
  <si>
    <t>190.87</t>
  </si>
  <si>
    <t>₹4,399,833</t>
  </si>
  <si>
    <t>34.8</t>
  </si>
  <si>
    <t>9.2</t>
  </si>
  <si>
    <t>7.9</t>
  </si>
  <si>
    <t>360</t>
  </si>
  <si>
    <t>5815322.0</t>
  </si>
  <si>
    <t>04-08-2026</t>
  </si>
  <si>
    <t>saanvi gupta</t>
  </si>
  <si>
    <t>98132 19781</t>
  </si>
  <si>
    <t>60</t>
  </si>
  <si>
    <t>₹2,427,025</t>
  </si>
  <si>
    <t>430</t>
  </si>
  <si>
    <t>5173.34</t>
  </si>
  <si>
    <t>₹7,181,754</t>
  </si>
  <si>
    <t>21.5</t>
  </si>
  <si>
    <t>owned</t>
  </si>
  <si>
    <t>6.5</t>
  </si>
  <si>
    <t>300</t>
  </si>
  <si>
    <t>9052888.0</t>
  </si>
  <si>
    <t>12/13/2025</t>
  </si>
  <si>
    <t>verified</t>
  </si>
  <si>
    <t>99547 25078</t>
  </si>
  <si>
    <t>KIRAN.SETHI754@YAHOO.COM</t>
  </si>
  <si>
    <t>503</t>
  </si>
  <si>
    <t>₹150,821</t>
  </si>
  <si>
    <t>10772.93</t>
  </si>
  <si>
    <t>₹548,216</t>
  </si>
  <si>
    <t>78.0</t>
  </si>
  <si>
    <t>6.9</t>
  </si>
  <si>
    <t>RENTED</t>
  </si>
  <si>
    <t>11.7</t>
  </si>
  <si>
    <t>2026/03/31</t>
  </si>
  <si>
    <t>56</t>
  </si>
  <si>
    <t>₹859,264</t>
  </si>
  <si>
    <t>753</t>
  </si>
  <si>
    <t>52643.01</t>
  </si>
  <si>
    <t>907.64</t>
  </si>
  <si>
    <t>20.1</t>
  </si>
  <si>
    <t>13.0</t>
  </si>
  <si>
    <t xml:space="preserve">  Married  </t>
  </si>
  <si>
    <t>8.5</t>
  </si>
  <si>
    <t>7128348.0</t>
  </si>
  <si>
    <t>2026/01/19</t>
  </si>
  <si>
    <t>30</t>
  </si>
  <si>
    <t>male</t>
  </si>
  <si>
    <t>1197383</t>
  </si>
  <si>
    <t>511</t>
  </si>
  <si>
    <t>₹598,374</t>
  </si>
  <si>
    <t>16621.5</t>
  </si>
  <si>
    <t>59.7</t>
  </si>
  <si>
    <t>7.3</t>
  </si>
  <si>
    <t>8.1</t>
  </si>
  <si>
    <t>02-05-2026</t>
  </si>
  <si>
    <t>saanvi joshi</t>
  </si>
  <si>
    <t>91311 65166</t>
  </si>
  <si>
    <t xml:space="preserve">  Female  </t>
  </si>
  <si>
    <t>KOLKATA</t>
  </si>
  <si>
    <t>₹7,012</t>
  </si>
  <si>
    <t>179.8</t>
  </si>
  <si>
    <t>958,959</t>
  </si>
  <si>
    <t>9.8</t>
  </si>
  <si>
    <t>5.8</t>
  </si>
  <si>
    <t>23-04-2026</t>
  </si>
  <si>
    <t>1136179</t>
  </si>
  <si>
    <t>417</t>
  </si>
  <si>
    <t>-384462.24</t>
  </si>
  <si>
    <t>15378.49</t>
  </si>
  <si>
    <t>7367537</t>
  </si>
  <si>
    <t>40.0</t>
  </si>
  <si>
    <t>5.2</t>
  </si>
  <si>
    <t>584014.0</t>
  </si>
  <si>
    <t>9203259.0</t>
  </si>
  <si>
    <t>05-12-2025</t>
  </si>
  <si>
    <t>DEEPAK.SAXENA249@GMAIL.COM</t>
  </si>
  <si>
    <t>65</t>
  </si>
  <si>
    <t>SALARIED - PRIVATE</t>
  </si>
  <si>
    <t>₹1,756,278</t>
  </si>
  <si>
    <t>312</t>
  </si>
  <si>
    <t>20819.87</t>
  </si>
  <si>
    <t>₹247,291</t>
  </si>
  <si>
    <t>6</t>
  </si>
  <si>
    <t>12.5</t>
  </si>
  <si>
    <t>29.0</t>
  </si>
  <si>
    <t>756149.0</t>
  </si>
  <si>
    <t>rekha.rao958 at gmail.com</t>
  </si>
  <si>
    <t>1889596</t>
  </si>
  <si>
    <t>663</t>
  </si>
  <si>
    <t>₹904,548</t>
  </si>
  <si>
    <t>27410.56</t>
  </si>
  <si>
    <t>54.1</t>
  </si>
  <si>
    <t>3.0</t>
  </si>
  <si>
    <t>4.3</t>
  </si>
  <si>
    <t>939712.0</t>
  </si>
  <si>
    <t>09812921644</t>
  </si>
  <si>
    <t>1,687,439</t>
  </si>
  <si>
    <t>497</t>
  </si>
  <si>
    <t>319480.74</t>
  </si>
  <si>
    <t>5414.93</t>
  </si>
  <si>
    <t>personal loan</t>
  </si>
  <si>
    <t>250845</t>
  </si>
  <si>
    <t>51.0</t>
  </si>
  <si>
    <t>10.9</t>
  </si>
  <si>
    <t>3.3</t>
  </si>
  <si>
    <t>320612.0</t>
  </si>
  <si>
    <t>10/29/2025</t>
  </si>
  <si>
    <t>09413679331</t>
  </si>
  <si>
    <t>61</t>
  </si>
  <si>
    <t>₹1,492,605</t>
  </si>
  <si>
    <t>102,172</t>
  </si>
  <si>
    <t>6385.76</t>
  </si>
  <si>
    <t>₹5,625,069</t>
  </si>
  <si>
    <t>64.8</t>
  </si>
  <si>
    <t>29.8</t>
  </si>
  <si>
    <t>723333.0</t>
  </si>
  <si>
    <t>180</t>
  </si>
  <si>
    <t>7559662.0</t>
  </si>
  <si>
    <t>08-03-2026</t>
  </si>
  <si>
    <t>97319 24051</t>
  </si>
  <si>
    <t>57</t>
  </si>
  <si>
    <t>₹1,185,103</t>
  </si>
  <si>
    <t>460</t>
  </si>
  <si>
    <t>1902.6</t>
  </si>
  <si>
    <t>47.56</t>
  </si>
  <si>
    <t>3943260</t>
  </si>
  <si>
    <t>32.4</t>
  </si>
  <si>
    <t>8.2</t>
  </si>
  <si>
    <t>4953857.0</t>
  </si>
  <si>
    <t>05/31/2026</t>
  </si>
  <si>
    <t>1510520</t>
  </si>
  <si>
    <t>578</t>
  </si>
  <si>
    <t>10548.46</t>
  </si>
  <si>
    <t>2,174,795</t>
  </si>
  <si>
    <t>89.5</t>
  </si>
  <si>
    <t>11.1</t>
  </si>
  <si>
    <t>2.8</t>
  </si>
  <si>
    <t>2814319.0</t>
  </si>
  <si>
    <t>2025-11-23</t>
  </si>
  <si>
    <t>Bangalore</t>
  </si>
  <si>
    <t>₹1,759,454</t>
  </si>
  <si>
    <t>24409.74</t>
  </si>
  <si>
    <t>48.2</t>
  </si>
  <si>
    <t>4.9</t>
  </si>
  <si>
    <t>14.0</t>
  </si>
  <si>
    <t>9168240.0</t>
  </si>
  <si>
    <t>05/18/2026</t>
  </si>
  <si>
    <t>anil.joshi453 at gmail.com</t>
  </si>
  <si>
    <t>34</t>
  </si>
  <si>
    <t>-1508081</t>
  </si>
  <si>
    <t>545</t>
  </si>
  <si>
    <t>-642246.0</t>
  </si>
  <si>
    <t>20717.61</t>
  </si>
  <si>
    <t>₹309,538</t>
  </si>
  <si>
    <t>26.3</t>
  </si>
  <si>
    <t>12.7</t>
  </si>
  <si>
    <t>2.3</t>
  </si>
  <si>
    <t>30-04-2026</t>
  </si>
  <si>
    <t>+91-9691916368</t>
  </si>
  <si>
    <t>33</t>
  </si>
  <si>
    <t>Banglore</t>
  </si>
  <si>
    <t>2,040,394</t>
  </si>
  <si>
    <t>605</t>
  </si>
  <si>
    <t>1025268.51</t>
  </si>
  <si>
    <t>20923.85</t>
  </si>
  <si>
    <t>5.1</t>
  </si>
  <si>
    <t>10.5</t>
  </si>
  <si>
    <t>3188454.0</t>
  </si>
  <si>
    <t>25 Apr 2026</t>
  </si>
  <si>
    <t>95145 48900</t>
  </si>
  <si>
    <t>PREETI.CHOPRA680@YAHOO.COM</t>
  </si>
  <si>
    <t>52</t>
  </si>
  <si>
    <t>CHENNAI</t>
  </si>
  <si>
    <t>767</t>
  </si>
  <si>
    <t>2597.56</t>
  </si>
  <si>
    <t>123.69</t>
  </si>
  <si>
    <t>₹6,992,703</t>
  </si>
  <si>
    <t>12.1</t>
  </si>
  <si>
    <t>2.7</t>
  </si>
  <si>
    <t>655768.0</t>
  </si>
  <si>
    <t>9566687.0</t>
  </si>
  <si>
    <t>13 Sep 2025</t>
  </si>
  <si>
    <t>VERIFIED</t>
  </si>
  <si>
    <t xml:space="preserve"> rahul.mishra944@outlook.com </t>
  </si>
  <si>
    <t>721557</t>
  </si>
  <si>
    <t>357</t>
  </si>
  <si>
    <t>3628.83</t>
  </si>
  <si>
    <t>₹2,721,127</t>
  </si>
  <si>
    <t>44.1</t>
  </si>
  <si>
    <t>10.3</t>
  </si>
  <si>
    <t>3443008.0</t>
  </si>
  <si>
    <t>01/03/2026</t>
  </si>
  <si>
    <t xml:space="preserve">  Mahesh Sharma  </t>
  </si>
  <si>
    <t>64</t>
  </si>
  <si>
    <t xml:space="preserve">bengaluru </t>
  </si>
  <si>
    <t xml:space="preserve">  Business Owner  </t>
  </si>
  <si>
    <t>1,749,407</t>
  </si>
  <si>
    <t>887268.36</t>
  </si>
  <si>
    <t>36969.51</t>
  </si>
  <si>
    <t>41.2</t>
  </si>
  <si>
    <t>25.0</t>
  </si>
  <si>
    <t>120</t>
  </si>
  <si>
    <t>7650724.0</t>
  </si>
  <si>
    <t>2026-05-07</t>
  </si>
  <si>
    <t>lata iyer</t>
  </si>
  <si>
    <t>99329 45529</t>
  </si>
  <si>
    <t>1351204</t>
  </si>
  <si>
    <t>399</t>
  </si>
  <si>
    <t>122,068</t>
  </si>
  <si>
    <t>2303.17</t>
  </si>
  <si>
    <t>₹181,969</t>
  </si>
  <si>
    <t>12.6</t>
  </si>
  <si>
    <t>739885.0</t>
  </si>
  <si>
    <t>+91-9965960427</t>
  </si>
  <si>
    <t>₹1,246,296</t>
  </si>
  <si>
    <t>870</t>
  </si>
  <si>
    <t>45586.4</t>
  </si>
  <si>
    <t>1232.06</t>
  </si>
  <si>
    <t>₹158,652</t>
  </si>
  <si>
    <t>10.2</t>
  </si>
  <si>
    <t>6.6</t>
  </si>
  <si>
    <t>325366.0</t>
  </si>
  <si>
    <t>2026-07-04</t>
  </si>
  <si>
    <t>₹490,198</t>
  </si>
  <si>
    <t>850</t>
  </si>
  <si>
    <t>₹39,901</t>
  </si>
  <si>
    <t>973.2</t>
  </si>
  <si>
    <t>1432865</t>
  </si>
  <si>
    <t>75.5</t>
  </si>
  <si>
    <t>12.4</t>
  </si>
  <si>
    <t>1631946.0</t>
  </si>
  <si>
    <t>2025/12/24</t>
  </si>
  <si>
    <t>812374</t>
  </si>
  <si>
    <t>321</t>
  </si>
  <si>
    <t>-24653.2</t>
  </si>
  <si>
    <t>747.07</t>
  </si>
  <si>
    <t>182040</t>
  </si>
  <si>
    <t>24.5</t>
  </si>
  <si>
    <t>0.9</t>
  </si>
  <si>
    <t>2025-11-08</t>
  </si>
  <si>
    <t>₹1,802,577</t>
  </si>
  <si>
    <t>353</t>
  </si>
  <si>
    <t>3607.77</t>
  </si>
  <si>
    <t>47.6</t>
  </si>
  <si>
    <t>18.6</t>
  </si>
  <si>
    <t>2026-04-17</t>
  </si>
  <si>
    <t>96143 02907</t>
  </si>
  <si>
    <t>VIVAAN.VERMA868@HOTMAIL.COM</t>
  </si>
  <si>
    <t>608242</t>
  </si>
  <si>
    <t>899</t>
  </si>
  <si>
    <t>₹200,120</t>
  </si>
  <si>
    <t>6253.75</t>
  </si>
  <si>
    <t>48.1</t>
  </si>
  <si>
    <t>17.7</t>
  </si>
  <si>
    <t>8933633.0</t>
  </si>
  <si>
    <t>neha chopra</t>
  </si>
  <si>
    <t>09546665485</t>
  </si>
  <si>
    <t>neha.chopra748@gmail,com</t>
  </si>
  <si>
    <t>41</t>
  </si>
  <si>
    <t>-1869932</t>
  </si>
  <si>
    <t>387</t>
  </si>
  <si>
    <t>₹104,600</t>
  </si>
  <si>
    <t>5811.13</t>
  </si>
  <si>
    <t>572871</t>
  </si>
  <si>
    <t>60.7</t>
  </si>
  <si>
    <t>13.4</t>
  </si>
  <si>
    <t>670306.0</t>
  </si>
  <si>
    <t>02/22/2026</t>
  </si>
  <si>
    <t>+91-9266140258</t>
  </si>
  <si>
    <t>1,841,662</t>
  </si>
  <si>
    <t>874</t>
  </si>
  <si>
    <t>21115.12</t>
  </si>
  <si>
    <t xml:space="preserve">  Credit Card  </t>
  </si>
  <si>
    <t>-339288</t>
  </si>
  <si>
    <t>83.8</t>
  </si>
  <si>
    <t>4.2</t>
  </si>
  <si>
    <t>5.0</t>
  </si>
  <si>
    <t>802397.0</t>
  </si>
  <si>
    <t>+91-9669601448</t>
  </si>
  <si>
    <t>sai.yadav221 at hotmail.com</t>
  </si>
  <si>
    <t>lucknow</t>
  </si>
  <si>
    <t>1852115</t>
  </si>
  <si>
    <t>₹172,891</t>
  </si>
  <si>
    <t>2881.52</t>
  </si>
  <si>
    <t>-373353</t>
  </si>
  <si>
    <t>47.1</t>
  </si>
  <si>
    <t>13.5</t>
  </si>
  <si>
    <t>233167.0</t>
  </si>
  <si>
    <t>18 Sep 2025</t>
  </si>
  <si>
    <t>845</t>
  </si>
  <si>
    <t>16084.43</t>
  </si>
  <si>
    <t>6.7</t>
  </si>
  <si>
    <t>475593.0</t>
  </si>
  <si>
    <t>02/08/2026</t>
  </si>
  <si>
    <t>99933810</t>
  </si>
  <si>
    <t>2127359</t>
  </si>
  <si>
    <t>647</t>
  </si>
  <si>
    <t>₹47,136</t>
  </si>
  <si>
    <t>2142.56</t>
  </si>
  <si>
    <t>287,640</t>
  </si>
  <si>
    <t>55.4</t>
  </si>
  <si>
    <t>3.1</t>
  </si>
  <si>
    <t>COMPANY PROVIDED</t>
  </si>
  <si>
    <t>227103.0</t>
  </si>
  <si>
    <t>07/27/2026</t>
  </si>
  <si>
    <t>58</t>
  </si>
  <si>
    <t>933161</t>
  </si>
  <si>
    <t>12315.7</t>
  </si>
  <si>
    <t>1268344</t>
  </si>
  <si>
    <t>10.4</t>
  </si>
  <si>
    <t>84</t>
  </si>
  <si>
    <t>1559017.0</t>
  </si>
  <si>
    <t>2026-04-13</t>
  </si>
  <si>
    <t>93021 20588</t>
  </si>
  <si>
    <t>51</t>
  </si>
  <si>
    <t>₹734,118</t>
  </si>
  <si>
    <t>476</t>
  </si>
  <si>
    <t>302.47</t>
  </si>
  <si>
    <t>5186137</t>
  </si>
  <si>
    <t>62.9</t>
  </si>
  <si>
    <t>20.5</t>
  </si>
  <si>
    <t>623165.0</t>
  </si>
  <si>
    <t>6843600.0</t>
  </si>
  <si>
    <t>2026-01-18</t>
  </si>
  <si>
    <t>42</t>
  </si>
  <si>
    <t>1601206</t>
  </si>
  <si>
    <t>386</t>
  </si>
  <si>
    <t>49570.44</t>
  </si>
  <si>
    <t>1376.96</t>
  </si>
  <si>
    <t>568002</t>
  </si>
  <si>
    <t>9.1</t>
  </si>
  <si>
    <t>635223.0</t>
  </si>
  <si>
    <t>01-05-2026</t>
  </si>
  <si>
    <t>KRISHNA SINGH</t>
  </si>
  <si>
    <t>91828 55381</t>
  </si>
  <si>
    <t>53</t>
  </si>
  <si>
    <t>₹1,880,077</t>
  </si>
  <si>
    <t>469</t>
  </si>
  <si>
    <t>-813527.74</t>
  </si>
  <si>
    <t>58109.12</t>
  </si>
  <si>
    <t>27.6</t>
  </si>
  <si>
    <t>16.2</t>
  </si>
  <si>
    <t>756468.0</t>
  </si>
  <si>
    <t>6011944.0</t>
  </si>
  <si>
    <t>2026/06/14</t>
  </si>
  <si>
    <t>PENDING</t>
  </si>
  <si>
    <t>94025500</t>
  </si>
  <si>
    <t>880,485</t>
  </si>
  <si>
    <t>405</t>
  </si>
  <si>
    <t>375,827</t>
  </si>
  <si>
    <t>8351.71</t>
  </si>
  <si>
    <t>20.2</t>
  </si>
  <si>
    <t xml:space="preserve">  Owned  </t>
  </si>
  <si>
    <t>27.3</t>
  </si>
  <si>
    <t>22-09-2025</t>
  </si>
  <si>
    <t>1706309</t>
  </si>
  <si>
    <t>442</t>
  </si>
  <si>
    <t>₹776,890</t>
  </si>
  <si>
    <t>18497.39</t>
  </si>
  <si>
    <t>HOME LOAN</t>
  </si>
  <si>
    <t>4.0</t>
  </si>
  <si>
    <t>7.5</t>
  </si>
  <si>
    <t>366076.0</t>
  </si>
  <si>
    <t>8725363.0</t>
  </si>
  <si>
    <t>2026-07-10</t>
  </si>
  <si>
    <t>22</t>
  </si>
  <si>
    <t xml:space="preserve">  Salaried - IT/Tech  </t>
  </si>
  <si>
    <t>₹659,703</t>
  </si>
  <si>
    <t>18848.66</t>
  </si>
  <si>
    <t>₹295,806</t>
  </si>
  <si>
    <t>79.7</t>
  </si>
  <si>
    <t>0.6</t>
  </si>
  <si>
    <t>2026-02-18</t>
  </si>
  <si>
    <t>92113082</t>
  </si>
  <si>
    <t xml:space="preserve"> mahesh.mishra791@rediffmail.com </t>
  </si>
  <si>
    <t>-1719970</t>
  </si>
  <si>
    <t>790</t>
  </si>
  <si>
    <t>32597.0</t>
  </si>
  <si>
    <t>48.5</t>
  </si>
  <si>
    <t>4.5</t>
  </si>
  <si>
    <t>19.6</t>
  </si>
  <si>
    <t>13-09-2025</t>
  </si>
  <si>
    <t>1843584</t>
  </si>
  <si>
    <t>25048.48</t>
  </si>
  <si>
    <t>4581529</t>
  </si>
  <si>
    <t>54.3</t>
  </si>
  <si>
    <t>24.7</t>
  </si>
  <si>
    <t>5619813.0</t>
  </si>
  <si>
    <t>06/30/2026</t>
  </si>
  <si>
    <t>95766 42996</t>
  </si>
  <si>
    <t xml:space="preserve"> rohan.tiwari360@hotmail.com </t>
  </si>
  <si>
    <t>23</t>
  </si>
  <si>
    <t>indore</t>
  </si>
  <si>
    <t>540,577</t>
  </si>
  <si>
    <t>463</t>
  </si>
  <si>
    <t>14715.89</t>
  </si>
  <si>
    <t>27.4</t>
  </si>
  <si>
    <t>2317806.0</t>
  </si>
  <si>
    <t>2026-05-24</t>
  </si>
  <si>
    <t>+91-9399240862</t>
  </si>
  <si>
    <t>chandigarh</t>
  </si>
  <si>
    <t>1923142</t>
  </si>
  <si>
    <t>519</t>
  </si>
  <si>
    <t>1149690.96</t>
  </si>
  <si>
    <t>38323.03</t>
  </si>
  <si>
    <t>86.0</t>
  </si>
  <si>
    <t>0.8</t>
  </si>
  <si>
    <t>4093240.0</t>
  </si>
  <si>
    <t>2026-01-21</t>
  </si>
  <si>
    <t>rekha.patel727 at yahoo.com</t>
  </si>
  <si>
    <t>44</t>
  </si>
  <si>
    <t>882491</t>
  </si>
  <si>
    <t>778</t>
  </si>
  <si>
    <t>425,535</t>
  </si>
  <si>
    <t>9053.93</t>
  </si>
  <si>
    <t>691674</t>
  </si>
  <si>
    <t>11.2</t>
  </si>
  <si>
    <t>6.1</t>
  </si>
  <si>
    <t>9.6</t>
  </si>
  <si>
    <t>2026/04/13</t>
  </si>
  <si>
    <t>+91-9237798236</t>
  </si>
  <si>
    <t xml:space="preserve"> divya.shah900@rediffmail.com </t>
  </si>
  <si>
    <t>2409163</t>
  </si>
  <si>
    <t>468</t>
  </si>
  <si>
    <t>234122.88</t>
  </si>
  <si>
    <t>4107.42</t>
  </si>
  <si>
    <t>412831</t>
  </si>
  <si>
    <t>2026/06/25</t>
  </si>
  <si>
    <t xml:space="preserve"> ishaan.patel640@rediffmail.com </t>
  </si>
  <si>
    <t>₹490,680</t>
  </si>
  <si>
    <t>885</t>
  </si>
  <si>
    <t>₹20,441</t>
  </si>
  <si>
    <t>393.1</t>
  </si>
  <si>
    <t>281115</t>
  </si>
  <si>
    <t>56.8</t>
  </si>
  <si>
    <t>8.7</t>
  </si>
  <si>
    <t>04/30/2026</t>
  </si>
  <si>
    <t>2459983</t>
  </si>
  <si>
    <t>553</t>
  </si>
  <si>
    <t>-34655.66</t>
  </si>
  <si>
    <t>2310.38</t>
  </si>
  <si>
    <t>₹1,105,620</t>
  </si>
  <si>
    <t>44.7</t>
  </si>
  <si>
    <t>14.4</t>
  </si>
  <si>
    <t>company provided</t>
  </si>
  <si>
    <t>15.9</t>
  </si>
  <si>
    <t>269507.0</t>
  </si>
  <si>
    <t>1270882.0</t>
  </si>
  <si>
    <t>43</t>
  </si>
  <si>
    <t>New Delhi</t>
  </si>
  <si>
    <t>308</t>
  </si>
  <si>
    <t>201265.79</t>
  </si>
  <si>
    <t>5160.66</t>
  </si>
  <si>
    <t>₹975,321</t>
  </si>
  <si>
    <t>39.7</t>
  </si>
  <si>
    <t>6.2</t>
  </si>
  <si>
    <t>439762.0</t>
  </si>
  <si>
    <t>95229 50895</t>
  </si>
  <si>
    <t>2435414</t>
  </si>
  <si>
    <t>785</t>
  </si>
  <si>
    <t>₹758,874</t>
  </si>
  <si>
    <t>36136.86</t>
  </si>
  <si>
    <t>393,897</t>
  </si>
  <si>
    <t>35.3</t>
  </si>
  <si>
    <t>6.0</t>
  </si>
  <si>
    <t>15.4</t>
  </si>
  <si>
    <t>03-09-2025</t>
  </si>
  <si>
    <t>689</t>
  </si>
  <si>
    <t>2022.19</t>
  </si>
  <si>
    <t>83104</t>
  </si>
  <si>
    <t>71.5</t>
  </si>
  <si>
    <t>6.4</t>
  </si>
  <si>
    <t>2026-08-22</t>
  </si>
  <si>
    <t>9449019278-XX</t>
  </si>
  <si>
    <t>54</t>
  </si>
  <si>
    <t>2227968</t>
  </si>
  <si>
    <t>570</t>
  </si>
  <si>
    <t>135,923</t>
  </si>
  <si>
    <t>5663.46</t>
  </si>
  <si>
    <t>26.4</t>
  </si>
  <si>
    <t>14.6</t>
  </si>
  <si>
    <t>21.2</t>
  </si>
  <si>
    <t>411602.0</t>
  </si>
  <si>
    <t>2026-01-20</t>
  </si>
  <si>
    <t>9507693523-XX</t>
  </si>
  <si>
    <t>RAMESH.BHATT918@HOTMAIL.COM</t>
  </si>
  <si>
    <t>₹193,411</t>
  </si>
  <si>
    <t>4204.59</t>
  </si>
  <si>
    <t>1,478,637</t>
  </si>
  <si>
    <t>18.0</t>
  </si>
  <si>
    <t>9.3</t>
  </si>
  <si>
    <t>1692272.0</t>
  </si>
  <si>
    <t>09 Aug 2026</t>
  </si>
  <si>
    <t>₹1,497,118</t>
  </si>
  <si>
    <t>847</t>
  </si>
  <si>
    <t>663,541</t>
  </si>
  <si>
    <t>47395.75</t>
  </si>
  <si>
    <t>488,184</t>
  </si>
  <si>
    <t>21.7</t>
  </si>
  <si>
    <t>13.8</t>
  </si>
  <si>
    <t>28.1</t>
  </si>
  <si>
    <t>25-01-2026</t>
  </si>
  <si>
    <t>563</t>
  </si>
  <si>
    <t>₹975,722</t>
  </si>
  <si>
    <t>81310.14</t>
  </si>
  <si>
    <t>918,710</t>
  </si>
  <si>
    <t>76.9</t>
  </si>
  <si>
    <t>15.6</t>
  </si>
  <si>
    <t>651942.0</t>
  </si>
  <si>
    <t>1136596.0</t>
  </si>
  <si>
    <t>08/29/2025</t>
  </si>
  <si>
    <t>+91-9909340042</t>
  </si>
  <si>
    <t xml:space="preserve"> rahul.kapoor274@outlook.com </t>
  </si>
  <si>
    <t>814</t>
  </si>
  <si>
    <t>715,107</t>
  </si>
  <si>
    <t>12545.73</t>
  </si>
  <si>
    <t>546,238</t>
  </si>
  <si>
    <t>94.4</t>
  </si>
  <si>
    <t>8.8</t>
  </si>
  <si>
    <t>656289.0</t>
  </si>
  <si>
    <t>08/01/2026</t>
  </si>
  <si>
    <t xml:space="preserve"> anil.rao773@rediffmail.com </t>
  </si>
  <si>
    <t>SALARIED - HEALTHCARE</t>
  </si>
  <si>
    <t>627586</t>
  </si>
  <si>
    <t>507</t>
  </si>
  <si>
    <t>10269.13</t>
  </si>
  <si>
    <t>-394056</t>
  </si>
  <si>
    <t>47.0</t>
  </si>
  <si>
    <t>248958.0</t>
  </si>
  <si>
    <t>19-04-2026</t>
  </si>
  <si>
    <t>91233 75849</t>
  </si>
  <si>
    <t>21</t>
  </si>
  <si>
    <t>370</t>
  </si>
  <si>
    <t>29261.72</t>
  </si>
  <si>
    <t>78.1</t>
  </si>
  <si>
    <t>11.5</t>
  </si>
  <si>
    <t>06-03-2026</t>
  </si>
  <si>
    <t>231,724</t>
  </si>
  <si>
    <t>3995.24</t>
  </si>
  <si>
    <t>5962182</t>
  </si>
  <si>
    <t>26.8</t>
  </si>
  <si>
    <t>7.0</t>
  </si>
  <si>
    <t>5.4</t>
  </si>
  <si>
    <t>645148.0</t>
  </si>
  <si>
    <t>7215233.0</t>
  </si>
  <si>
    <t>29-09-2025</t>
  </si>
  <si>
    <t>3107.62</t>
  </si>
  <si>
    <t>CAR LOAN</t>
  </si>
  <si>
    <t>972483</t>
  </si>
  <si>
    <t>88.2</t>
  </si>
  <si>
    <t>14.8</t>
  </si>
  <si>
    <t>1104196.0</t>
  </si>
  <si>
    <t>05/06/2026</t>
  </si>
  <si>
    <t>9820848547-XX</t>
  </si>
  <si>
    <t>isha.mishra391 at rediffmail.com</t>
  </si>
  <si>
    <t>₹1,557,823</t>
  </si>
  <si>
    <t>607</t>
  </si>
  <si>
    <t>801538.48</t>
  </si>
  <si>
    <t>38168.5</t>
  </si>
  <si>
    <t>₹1,983,384</t>
  </si>
  <si>
    <t>96.9</t>
  </si>
  <si>
    <t>8.4</t>
  </si>
  <si>
    <t>2306446.0</t>
  </si>
  <si>
    <t>07-03-2026</t>
  </si>
  <si>
    <t>91781 51583</t>
  </si>
  <si>
    <t>₹1,696,553</t>
  </si>
  <si>
    <t>420</t>
  </si>
  <si>
    <t>₹760,272</t>
  </si>
  <si>
    <t>12671.2</t>
  </si>
  <si>
    <t>home loan</t>
  </si>
  <si>
    <t>3,535,019</t>
  </si>
  <si>
    <t>71.9</t>
  </si>
  <si>
    <t>14.1</t>
  </si>
  <si>
    <t>4477105.0</t>
  </si>
  <si>
    <t>04/23/2026</t>
  </si>
  <si>
    <t>09318106480</t>
  </si>
  <si>
    <t>₹368,031</t>
  </si>
  <si>
    <t>456</t>
  </si>
  <si>
    <t>₹43,323</t>
  </si>
  <si>
    <t>1666.26</t>
  </si>
  <si>
    <t>6279740</t>
  </si>
  <si>
    <t>52.4</t>
  </si>
  <si>
    <t>9.9</t>
  </si>
  <si>
    <t>rented</t>
  </si>
  <si>
    <t>25.1</t>
  </si>
  <si>
    <t>7487437.0</t>
  </si>
  <si>
    <t>01-06-2026</t>
  </si>
  <si>
    <t>+91-9682115008</t>
  </si>
  <si>
    <t>seema.sethi658 at gmail.com</t>
  </si>
  <si>
    <t>326775</t>
  </si>
  <si>
    <t>309</t>
  </si>
  <si>
    <t>42,883</t>
  </si>
  <si>
    <t>1045.93</t>
  </si>
  <si>
    <t>426773</t>
  </si>
  <si>
    <t>68.3</t>
  </si>
  <si>
    <t>16.7</t>
  </si>
  <si>
    <t>547063.0</t>
  </si>
  <si>
    <t>490978.0</t>
  </si>
  <si>
    <t>18-08-2026</t>
  </si>
  <si>
    <t>92924863</t>
  </si>
  <si>
    <t>preeti.khanna110 at gmail.com</t>
  </si>
  <si>
    <t>₹1,358,718</t>
  </si>
  <si>
    <t>715</t>
  </si>
  <si>
    <t>₹374,189</t>
  </si>
  <si>
    <t>13858.86</t>
  </si>
  <si>
    <t>85.5</t>
  </si>
  <si>
    <t>SINGLE</t>
  </si>
  <si>
    <t>2025/10/07</t>
  </si>
  <si>
    <t>9942217648-XX</t>
  </si>
  <si>
    <t>27</t>
  </si>
  <si>
    <t>₹2,294,392</t>
  </si>
  <si>
    <t>856</t>
  </si>
  <si>
    <t>₹775,748</t>
  </si>
  <si>
    <t>55410.54</t>
  </si>
  <si>
    <t>₹941,737</t>
  </si>
  <si>
    <t>96.3</t>
  </si>
  <si>
    <t>8.9</t>
  </si>
  <si>
    <t>330354.0</t>
  </si>
  <si>
    <t>02/11/2026</t>
  </si>
  <si>
    <t>+91-9948790854</t>
  </si>
  <si>
    <t>706</t>
  </si>
  <si>
    <t>1,240,188</t>
  </si>
  <si>
    <t>38755.87</t>
  </si>
  <si>
    <t>₹352,463</t>
  </si>
  <si>
    <t>99.3</t>
  </si>
  <si>
    <t>2026-08-26</t>
  </si>
  <si>
    <t>vikram.singh729@yahoo,com</t>
  </si>
  <si>
    <t>683864</t>
  </si>
  <si>
    <t>435</t>
  </si>
  <si>
    <t>918.45</t>
  </si>
  <si>
    <t>43.8</t>
  </si>
  <si>
    <t>8.0</t>
  </si>
  <si>
    <t>8216672.0</t>
  </si>
  <si>
    <t>2026/06/08</t>
  </si>
  <si>
    <t>rahul agarwal</t>
  </si>
  <si>
    <t>09659531734</t>
  </si>
  <si>
    <t>rahul.agarwal174 at hotmail.com</t>
  </si>
  <si>
    <t>-1425779</t>
  </si>
  <si>
    <t>795</t>
  </si>
  <si>
    <t>19129.88</t>
  </si>
  <si>
    <t>817136</t>
  </si>
  <si>
    <t>52.1</t>
  </si>
  <si>
    <t>4.1</t>
  </si>
  <si>
    <t>912698.0</t>
  </si>
  <si>
    <t>2026-07-25</t>
  </si>
  <si>
    <t>pending</t>
  </si>
  <si>
    <t>KRISHNA IYER</t>
  </si>
  <si>
    <t>1,638,560</t>
  </si>
  <si>
    <t>548</t>
  </si>
  <si>
    <t>320390.49</t>
  </si>
  <si>
    <t>11047.95</t>
  </si>
  <si>
    <t>₹4,561,972</t>
  </si>
  <si>
    <t>58.6</t>
  </si>
  <si>
    <t>9.0</t>
  </si>
  <si>
    <t>28.6</t>
  </si>
  <si>
    <t>6194339.0</t>
  </si>
  <si>
    <t>2025-09-30</t>
  </si>
  <si>
    <t>95393 12437</t>
  </si>
  <si>
    <t>29</t>
  </si>
  <si>
    <t>₹946,523</t>
  </si>
  <si>
    <t>330664.41</t>
  </si>
  <si>
    <t>7188.36</t>
  </si>
  <si>
    <t>₹6,060,426</t>
  </si>
  <si>
    <t>97.0</t>
  </si>
  <si>
    <t>1.1</t>
  </si>
  <si>
    <t>648520.0</t>
  </si>
  <si>
    <t>8459761.0</t>
  </si>
  <si>
    <t>07-08-2026</t>
  </si>
  <si>
    <t>2441931</t>
  </si>
  <si>
    <t>683</t>
  </si>
  <si>
    <t>95512.27</t>
  </si>
  <si>
    <t>1736.59</t>
  </si>
  <si>
    <t>411,724</t>
  </si>
  <si>
    <t>10</t>
  </si>
  <si>
    <t>50.9</t>
  </si>
  <si>
    <t>4.6</t>
  </si>
  <si>
    <t>05/19/2026</t>
  </si>
  <si>
    <t>₹782,702</t>
  </si>
  <si>
    <t>549</t>
  </si>
  <si>
    <t>5155.78</t>
  </si>
  <si>
    <t>397,067</t>
  </si>
  <si>
    <t>96.1</t>
  </si>
  <si>
    <t>3.6</t>
  </si>
  <si>
    <t>610580.0</t>
  </si>
  <si>
    <t>2025/08/28</t>
  </si>
  <si>
    <t>840</t>
  </si>
  <si>
    <t>₹1,063,038</t>
  </si>
  <si>
    <t>33219.92</t>
  </si>
  <si>
    <t>6628026</t>
  </si>
  <si>
    <t>24.1</t>
  </si>
  <si>
    <t>7817527.0</t>
  </si>
  <si>
    <t>2026-01-29</t>
  </si>
  <si>
    <t xml:space="preserve">  Verified  </t>
  </si>
  <si>
    <t>KAVYA TIWARI</t>
  </si>
  <si>
    <t>92517 82582</t>
  </si>
  <si>
    <t>kavya.tiwari524 at hotmail.com</t>
  </si>
  <si>
    <t>₹1,079,107</t>
  </si>
  <si>
    <t>477</t>
  </si>
  <si>
    <t>359286.03</t>
  </si>
  <si>
    <t>8355.49</t>
  </si>
  <si>
    <t>85.0</t>
  </si>
  <si>
    <t>9.4</t>
  </si>
  <si>
    <t>5.3</t>
  </si>
  <si>
    <t>705307.0</t>
  </si>
  <si>
    <t>26 Mar 2026</t>
  </si>
  <si>
    <t>+91-9279587066</t>
  </si>
  <si>
    <t xml:space="preserve"> tanya.joshi85@rediffmail.com </t>
  </si>
  <si>
    <t>807</t>
  </si>
  <si>
    <t>479,191</t>
  </si>
  <si>
    <t>25220.56</t>
  </si>
  <si>
    <t>83.2</t>
  </si>
  <si>
    <t>01/25/2026</t>
  </si>
  <si>
    <t>93821 95698</t>
  </si>
  <si>
    <t>49</t>
  </si>
  <si>
    <t>1,770,652</t>
  </si>
  <si>
    <t>144,048</t>
  </si>
  <si>
    <t>9603.19</t>
  </si>
  <si>
    <t>56.2</t>
  </si>
  <si>
    <t>single</t>
  </si>
  <si>
    <t>1747332.0</t>
  </si>
  <si>
    <t>01/14/2026</t>
  </si>
  <si>
    <t>92424 75723</t>
  </si>
  <si>
    <t>896,311</t>
  </si>
  <si>
    <t>395</t>
  </si>
  <si>
    <t>-216647.75</t>
  </si>
  <si>
    <t>3672.0</t>
  </si>
  <si>
    <t>1,073,998</t>
  </si>
  <si>
    <t>51.4</t>
  </si>
  <si>
    <t>19.5</t>
  </si>
  <si>
    <t>1213127.0</t>
  </si>
  <si>
    <t>2026-04-02</t>
  </si>
  <si>
    <t>anjali.nair849 at outlook.com</t>
  </si>
  <si>
    <t>461</t>
  </si>
  <si>
    <t>133191.48</t>
  </si>
  <si>
    <t>11099.29</t>
  </si>
  <si>
    <t>₹3,197,168</t>
  </si>
  <si>
    <t>91.4</t>
  </si>
  <si>
    <t>13.3</t>
  </si>
  <si>
    <t>2.2</t>
  </si>
  <si>
    <t>3718136.0</t>
  </si>
  <si>
    <t>2026/07/12</t>
  </si>
  <si>
    <t>09351410032</t>
  </si>
  <si>
    <t>₹626,898</t>
  </si>
  <si>
    <t>651</t>
  </si>
  <si>
    <t>7880.68</t>
  </si>
  <si>
    <t>₹550,905</t>
  </si>
  <si>
    <t>41.4</t>
  </si>
  <si>
    <t>11.0</t>
  </si>
  <si>
    <t>09/30/2025</t>
  </si>
  <si>
    <t>97979538</t>
  </si>
  <si>
    <t>2155492</t>
  </si>
  <si>
    <t>693</t>
  </si>
  <si>
    <t>-454639.36</t>
  </si>
  <si>
    <t>11657.42</t>
  </si>
  <si>
    <t>66.2</t>
  </si>
  <si>
    <t>3.9</t>
  </si>
  <si>
    <t>20.7</t>
  </si>
  <si>
    <t>785303.0</t>
  </si>
  <si>
    <t>683362.0</t>
  </si>
  <si>
    <t>2026/03/14</t>
  </si>
  <si>
    <t>99523 12670</t>
  </si>
  <si>
    <t>669</t>
  </si>
  <si>
    <t>67113.7</t>
  </si>
  <si>
    <t>6267920</t>
  </si>
  <si>
    <t>56.9</t>
  </si>
  <si>
    <t>311807.0</t>
  </si>
  <si>
    <t>8001957.0</t>
  </si>
  <si>
    <t>13 Jul 2026</t>
  </si>
  <si>
    <t>9554810443-XX</t>
  </si>
  <si>
    <t xml:space="preserve">  Jaipur  </t>
  </si>
  <si>
    <t>634</t>
  </si>
  <si>
    <t>375065.44</t>
  </si>
  <si>
    <t>7212.8</t>
  </si>
  <si>
    <t>74.3</t>
  </si>
  <si>
    <t>2025/10/26</t>
  </si>
  <si>
    <t>09112187618</t>
  </si>
  <si>
    <t>832,385</t>
  </si>
  <si>
    <t>330</t>
  </si>
  <si>
    <t>167314.89</t>
  </si>
  <si>
    <t>4290.13</t>
  </si>
  <si>
    <t>72.7</t>
  </si>
  <si>
    <t>1718676.0</t>
  </si>
  <si>
    <t>08/06/2026</t>
  </si>
  <si>
    <t>96463 46564</t>
  </si>
  <si>
    <t>880195.94</t>
  </si>
  <si>
    <t>15442.03</t>
  </si>
  <si>
    <t>44.5</t>
  </si>
  <si>
    <t>4720997.0</t>
  </si>
  <si>
    <t>03/19/2026</t>
  </si>
  <si>
    <t>+91-9403124688</t>
  </si>
  <si>
    <t xml:space="preserve"> neha.bhatia793@outlook.com </t>
  </si>
  <si>
    <t>333425</t>
  </si>
  <si>
    <t>92,811</t>
  </si>
  <si>
    <t>1894.1</t>
  </si>
  <si>
    <t>7,981,149</t>
  </si>
  <si>
    <t>74.6</t>
  </si>
  <si>
    <t>8.3</t>
  </si>
  <si>
    <t>11075820.0</t>
  </si>
  <si>
    <t>2025/08/26</t>
  </si>
  <si>
    <t>MEERA BHATIA</t>
  </si>
  <si>
    <t>09892510222</t>
  </si>
  <si>
    <t>2,060,835</t>
  </si>
  <si>
    <t>54,283</t>
  </si>
  <si>
    <t>2087.8</t>
  </si>
  <si>
    <t>48.6</t>
  </si>
  <si>
    <t>11.3</t>
  </si>
  <si>
    <t>8922791.0</t>
  </si>
  <si>
    <t>01/06/2026</t>
  </si>
  <si>
    <t>95219297</t>
  </si>
  <si>
    <t>rita.rathi718 at outlook.com</t>
  </si>
  <si>
    <t>408</t>
  </si>
  <si>
    <t>60482.86</t>
  </si>
  <si>
    <t>1475.19</t>
  </si>
  <si>
    <t>39.0</t>
  </si>
  <si>
    <t>2.1</t>
  </si>
  <si>
    <t>1219440.0</t>
  </si>
  <si>
    <t>02/09/2026</t>
  </si>
  <si>
    <t>+91-9481975879</t>
  </si>
  <si>
    <t>sanjay.rao406 at rediffmail.com</t>
  </si>
  <si>
    <t>₹430,367</t>
  </si>
  <si>
    <t>396</t>
  </si>
  <si>
    <t>994.24</t>
  </si>
  <si>
    <t>79.2</t>
  </si>
  <si>
    <t>3.5</t>
  </si>
  <si>
    <t>589589.0</t>
  </si>
  <si>
    <t>2025-12-05</t>
  </si>
  <si>
    <t>+91-9238288872</t>
  </si>
  <si>
    <t>bhopal</t>
  </si>
  <si>
    <t>691</t>
  </si>
  <si>
    <t>2984.15</t>
  </si>
  <si>
    <t>-750292</t>
  </si>
  <si>
    <t>31.1</t>
  </si>
  <si>
    <t>829789.0</t>
  </si>
  <si>
    <t>2025/11/04</t>
  </si>
  <si>
    <t>2311942</t>
  </si>
  <si>
    <t>697</t>
  </si>
  <si>
    <t>375138.97</t>
  </si>
  <si>
    <t>28856.84</t>
  </si>
  <si>
    <t>82.0</t>
  </si>
  <si>
    <t>17.6</t>
  </si>
  <si>
    <t>269719.0</t>
  </si>
  <si>
    <t>921248.0</t>
  </si>
  <si>
    <t>23 Sep 2025</t>
  </si>
  <si>
    <t>32</t>
  </si>
  <si>
    <t>-1804845</t>
  </si>
  <si>
    <t>877</t>
  </si>
  <si>
    <t>153883.57</t>
  </si>
  <si>
    <t>6411.82</t>
  </si>
  <si>
    <t>51.6</t>
  </si>
  <si>
    <t>1.5</t>
  </si>
  <si>
    <t>8343941.0</t>
  </si>
  <si>
    <t>02/07/2026</t>
  </si>
  <si>
    <t>1,959,248</t>
  </si>
  <si>
    <t>747</t>
  </si>
  <si>
    <t>3607.94</t>
  </si>
  <si>
    <t>665329</t>
  </si>
  <si>
    <t>58.4</t>
  </si>
  <si>
    <t>795578.0</t>
  </si>
  <si>
    <t>08/20/2026</t>
  </si>
  <si>
    <t>₹736,669</t>
  </si>
  <si>
    <t>627</t>
  </si>
  <si>
    <t>4365.09</t>
  </si>
  <si>
    <t>1236650</t>
  </si>
  <si>
    <t>24.9</t>
  </si>
  <si>
    <t>0.4</t>
  </si>
  <si>
    <t>1420436.0</t>
  </si>
  <si>
    <t>03/07/2026</t>
  </si>
  <si>
    <t>+91-9989924715</t>
  </si>
  <si>
    <t>609,159</t>
  </si>
  <si>
    <t>407</t>
  </si>
  <si>
    <t>-27119.91</t>
  </si>
  <si>
    <t>1232.72</t>
  </si>
  <si>
    <t>2849764</t>
  </si>
  <si>
    <t>57.0</t>
  </si>
  <si>
    <t>856832.0</t>
  </si>
  <si>
    <t>3315384.0</t>
  </si>
  <si>
    <t>11-02-2026</t>
  </si>
  <si>
    <t>+91-9848609261</t>
  </si>
  <si>
    <t>37</t>
  </si>
  <si>
    <t>702300</t>
  </si>
  <si>
    <t>₹1,608</t>
  </si>
  <si>
    <t>94.58</t>
  </si>
  <si>
    <t>7.4</t>
  </si>
  <si>
    <t>1540512.0</t>
  </si>
  <si>
    <t>12-03-2026</t>
  </si>
  <si>
    <t>72,240</t>
  </si>
  <si>
    <t>2124.71</t>
  </si>
  <si>
    <t>7845620</t>
  </si>
  <si>
    <t>57.6</t>
  </si>
  <si>
    <t>9796834.0</t>
  </si>
  <si>
    <t>26-08-2026</t>
  </si>
  <si>
    <t>96549 28450</t>
  </si>
  <si>
    <t>1025106</t>
  </si>
  <si>
    <t>260402.49</t>
  </si>
  <si>
    <t>4734.59</t>
  </si>
  <si>
    <t>64.6</t>
  </si>
  <si>
    <t>4087842.0</t>
  </si>
  <si>
    <t>2025/09/01</t>
  </si>
  <si>
    <t>96610966</t>
  </si>
  <si>
    <t>SWATI.AGARWAL801@HOTMAIL.COM</t>
  </si>
  <si>
    <t>720286</t>
  </si>
  <si>
    <t>848</t>
  </si>
  <si>
    <t>₹380,370</t>
  </si>
  <si>
    <t>10009.73</t>
  </si>
  <si>
    <t>59.3</t>
  </si>
  <si>
    <t>7.2</t>
  </si>
  <si>
    <t>1210889.0</t>
  </si>
  <si>
    <t>26 Apr 2026</t>
  </si>
  <si>
    <t xml:space="preserve">  Pending  </t>
  </si>
  <si>
    <t>lata.shah346 at outlook.com</t>
  </si>
  <si>
    <t>₹1,256,122</t>
  </si>
  <si>
    <t>575</t>
  </si>
  <si>
    <t>₹549,277</t>
  </si>
  <si>
    <t>10985.53</t>
  </si>
  <si>
    <t>91.8</t>
  </si>
  <si>
    <t>1.4</t>
  </si>
  <si>
    <t>09710607239</t>
  </si>
  <si>
    <t>438,710</t>
  </si>
  <si>
    <t>775</t>
  </si>
  <si>
    <t>132962.4</t>
  </si>
  <si>
    <t>2556.97</t>
  </si>
  <si>
    <t>₹377,131</t>
  </si>
  <si>
    <t>40.4</t>
  </si>
  <si>
    <t>820869.0</t>
  </si>
  <si>
    <t>09-09-2025</t>
  </si>
  <si>
    <t xml:space="preserve"> rohan.bhatia799@yahoo.com </t>
  </si>
  <si>
    <t>2017597</t>
  </si>
  <si>
    <t>1,103,442</t>
  </si>
  <si>
    <t>20819.67</t>
  </si>
  <si>
    <t>680,343</t>
  </si>
  <si>
    <t>2026/04/21</t>
  </si>
  <si>
    <t>kochi</t>
  </si>
  <si>
    <t>1485632</t>
  </si>
  <si>
    <t>632</t>
  </si>
  <si>
    <t>-767915.69</t>
  </si>
  <si>
    <t>27425.56</t>
  </si>
  <si>
    <t>77.7</t>
  </si>
  <si>
    <t>765831.0</t>
  </si>
  <si>
    <t>2026-03-28</t>
  </si>
  <si>
    <t>97260 16935</t>
  </si>
  <si>
    <t>2295378</t>
  </si>
  <si>
    <t>871</t>
  </si>
  <si>
    <t>₹41,578</t>
  </si>
  <si>
    <t>2309.86</t>
  </si>
  <si>
    <t>2573273</t>
  </si>
  <si>
    <t>73.9</t>
  </si>
  <si>
    <t>317496.0</t>
  </si>
  <si>
    <t>3198374.0</t>
  </si>
  <si>
    <t>2399154</t>
  </si>
  <si>
    <t>454</t>
  </si>
  <si>
    <t>197736.25</t>
  </si>
  <si>
    <t>8239.01</t>
  </si>
  <si>
    <t>8</t>
  </si>
  <si>
    <t>89.8</t>
  </si>
  <si>
    <t>889980.0</t>
  </si>
  <si>
    <t>1279400.0</t>
  </si>
  <si>
    <t>2025-11-20</t>
  </si>
  <si>
    <t>₹2,099,463</t>
  </si>
  <si>
    <t>682</t>
  </si>
  <si>
    <t>37399.39</t>
  </si>
  <si>
    <t>64.5</t>
  </si>
  <si>
    <t>2026/01/21</t>
  </si>
  <si>
    <t>96627670</t>
  </si>
  <si>
    <t xml:space="preserve"> divya.bansal346@hotmail.com </t>
  </si>
  <si>
    <t>319</t>
  </si>
  <si>
    <t>4269.39</t>
  </si>
  <si>
    <t>₹271,449</t>
  </si>
  <si>
    <t>61.0</t>
  </si>
  <si>
    <t>551050.0</t>
  </si>
  <si>
    <t>2026/07/26</t>
  </si>
  <si>
    <t>92243 28383</t>
  </si>
  <si>
    <t>vihaan.tiwari427 at hotmail.com</t>
  </si>
  <si>
    <t>2,289,762</t>
  </si>
  <si>
    <t>730</t>
  </si>
  <si>
    <t>₹909,033</t>
  </si>
  <si>
    <t>16833.94</t>
  </si>
  <si>
    <t>₹587,652</t>
  </si>
  <si>
    <t>90.4</t>
  </si>
  <si>
    <t>7.8</t>
  </si>
  <si>
    <t>659101.0</t>
  </si>
  <si>
    <t>23-03-2026</t>
  </si>
  <si>
    <t>aditya.bhatt933 at yahoo.com</t>
  </si>
  <si>
    <t>311484</t>
  </si>
  <si>
    <t>805</t>
  </si>
  <si>
    <t>27873.67</t>
  </si>
  <si>
    <t>1639.63</t>
  </si>
  <si>
    <t>91.0</t>
  </si>
  <si>
    <t>2026-08-07</t>
  </si>
  <si>
    <t>92020 03827</t>
  </si>
  <si>
    <t>kolkata</t>
  </si>
  <si>
    <t>681</t>
  </si>
  <si>
    <t>146659.18</t>
  </si>
  <si>
    <t>6376.49</t>
  </si>
  <si>
    <t>₹230,122</t>
  </si>
  <si>
    <t>48.4</t>
  </si>
  <si>
    <t>15-11-2025</t>
  </si>
  <si>
    <t>₹1,804,072</t>
  </si>
  <si>
    <t>433</t>
  </si>
  <si>
    <t>2026.77</t>
  </si>
  <si>
    <t>485354</t>
  </si>
  <si>
    <t>2026-05-18</t>
  </si>
  <si>
    <t>DEEPAK BANSAL</t>
  </si>
  <si>
    <t>275882.62</t>
  </si>
  <si>
    <t>17242.66</t>
  </si>
  <si>
    <t>₹4,189,671</t>
  </si>
  <si>
    <t>97.2</t>
  </si>
  <si>
    <t>5286389.0</t>
  </si>
  <si>
    <t>25-10-2025</t>
  </si>
  <si>
    <t xml:space="preserve">  Coimbatore  </t>
  </si>
  <si>
    <t>₹300,711</t>
  </si>
  <si>
    <t>820</t>
  </si>
  <si>
    <t>₹16,910</t>
  </si>
  <si>
    <t>319.06</t>
  </si>
  <si>
    <t>-4359292</t>
  </si>
  <si>
    <t>5015580.0</t>
  </si>
  <si>
    <t>2026-02-23</t>
  </si>
  <si>
    <t>09688078280</t>
  </si>
  <si>
    <t>DELHI</t>
  </si>
  <si>
    <t>2365368</t>
  </si>
  <si>
    <t>500</t>
  </si>
  <si>
    <t>266165.49</t>
  </si>
  <si>
    <t>7193.66</t>
  </si>
  <si>
    <t>529247</t>
  </si>
  <si>
    <t>20.3</t>
  </si>
  <si>
    <t>818816.0</t>
  </si>
  <si>
    <t>2025-11-02</t>
  </si>
  <si>
    <t>1,028,342</t>
  </si>
  <si>
    <t>629</t>
  </si>
  <si>
    <t>311038.57</t>
  </si>
  <si>
    <t>8639.96</t>
  </si>
  <si>
    <t>6608609</t>
  </si>
  <si>
    <t>77.4</t>
  </si>
  <si>
    <t xml:space="preserve">  Rented  </t>
  </si>
  <si>
    <t>8992788.0</t>
  </si>
  <si>
    <t>2026/06/02</t>
  </si>
  <si>
    <t>SANJAY.YADAV648@YAHOO.COM</t>
  </si>
  <si>
    <t>-856465</t>
  </si>
  <si>
    <t>630</t>
  </si>
  <si>
    <t>60,839</t>
  </si>
  <si>
    <t>1013.99</t>
  </si>
  <si>
    <t>₹1,479,187</t>
  </si>
  <si>
    <t>59.2</t>
  </si>
  <si>
    <t>10.1</t>
  </si>
  <si>
    <t>1665822.0</t>
  </si>
  <si>
    <t>+91-9905505027</t>
  </si>
  <si>
    <t xml:space="preserve"> aryan.nair805@yahoo.com </t>
  </si>
  <si>
    <t>39</t>
  </si>
  <si>
    <t>salaried - private</t>
  </si>
  <si>
    <t>₹1,537,909</t>
  </si>
  <si>
    <t>875</t>
  </si>
  <si>
    <t>₹798,028</t>
  </si>
  <si>
    <t>13525.91</t>
  </si>
  <si>
    <t>3,493,095</t>
  </si>
  <si>
    <t>80.7</t>
  </si>
  <si>
    <t>4028381.0</t>
  </si>
  <si>
    <t>490263.32</t>
  </si>
  <si>
    <t>25803.33</t>
  </si>
  <si>
    <t>-1840864</t>
  </si>
  <si>
    <t>57.9</t>
  </si>
  <si>
    <t>21.4</t>
  </si>
  <si>
    <t>265278.0</t>
  </si>
  <si>
    <t>2505020.0</t>
  </si>
  <si>
    <t>94844 91474</t>
  </si>
  <si>
    <t>-585952</t>
  </si>
  <si>
    <t>657</t>
  </si>
  <si>
    <t>77766.87</t>
  </si>
  <si>
    <t>3110.67</t>
  </si>
  <si>
    <t>₹994,296</t>
  </si>
  <si>
    <t>25.8</t>
  </si>
  <si>
    <t>29.4</t>
  </si>
  <si>
    <t>651704.0</t>
  </si>
  <si>
    <t>1226684.0</t>
  </si>
  <si>
    <t>+91-9444603491</t>
  </si>
  <si>
    <t>ramesh.sethi391 at gmail.com</t>
  </si>
  <si>
    <t>403,623</t>
  </si>
  <si>
    <t>756</t>
  </si>
  <si>
    <t>19648.56</t>
  </si>
  <si>
    <t>654.95</t>
  </si>
  <si>
    <t>95.1</t>
  </si>
  <si>
    <t>10/18/2025</t>
  </si>
  <si>
    <t>sunita.tiwari794 at hotmail.com</t>
  </si>
  <si>
    <t>557</t>
  </si>
  <si>
    <t>-745420.8</t>
  </si>
  <si>
    <t>15529.6</t>
  </si>
  <si>
    <t>321212</t>
  </si>
  <si>
    <t>47.9</t>
  </si>
  <si>
    <t>0.5</t>
  </si>
  <si>
    <t>2026/08/19</t>
  </si>
  <si>
    <t>96399 17068</t>
  </si>
  <si>
    <t>₹2,135,746</t>
  </si>
  <si>
    <t>525</t>
  </si>
  <si>
    <t>174765.7</t>
  </si>
  <si>
    <t>4723.4</t>
  </si>
  <si>
    <t>602,148</t>
  </si>
  <si>
    <t>89.3</t>
  </si>
  <si>
    <t>14.5</t>
  </si>
  <si>
    <t>704110.0</t>
  </si>
  <si>
    <t>05/28/2026</t>
  </si>
  <si>
    <t>₹975,091</t>
  </si>
  <si>
    <t>8310.22</t>
  </si>
  <si>
    <t>6907921</t>
  </si>
  <si>
    <t>32.6</t>
  </si>
  <si>
    <t>641605.0</t>
  </si>
  <si>
    <t>8492919.0</t>
  </si>
  <si>
    <t>98445949</t>
  </si>
  <si>
    <t>746</t>
  </si>
  <si>
    <t>4777.83</t>
  </si>
  <si>
    <t>88.4</t>
  </si>
  <si>
    <t>7.1</t>
  </si>
  <si>
    <t>2026-05-28</t>
  </si>
  <si>
    <t>ashok sethi</t>
  </si>
  <si>
    <t>09772826911</t>
  </si>
  <si>
    <t>₹453,747</t>
  </si>
  <si>
    <t>452</t>
  </si>
  <si>
    <t>16598.91</t>
  </si>
  <si>
    <t>638.42</t>
  </si>
  <si>
    <t>580,769</t>
  </si>
  <si>
    <t>53.5</t>
  </si>
  <si>
    <t>628302.0</t>
  </si>
  <si>
    <t>2026-06-11</t>
  </si>
  <si>
    <t>1,272,029</t>
  </si>
  <si>
    <t>7224.38</t>
  </si>
  <si>
    <t>40921</t>
  </si>
  <si>
    <t>35.8</t>
  </si>
  <si>
    <t>9654762561-XX</t>
  </si>
  <si>
    <t>750</t>
  </si>
  <si>
    <t>14544.61</t>
  </si>
  <si>
    <t>743,583</t>
  </si>
  <si>
    <t>19.9</t>
  </si>
  <si>
    <t>4.8</t>
  </si>
  <si>
    <t>656422.0</t>
  </si>
  <si>
    <t>904697.0</t>
  </si>
  <si>
    <t>2025-09-06</t>
  </si>
  <si>
    <t>KRISHNA AGARWAL</t>
  </si>
  <si>
    <t>+91-9736028462</t>
  </si>
  <si>
    <t>997,686</t>
  </si>
  <si>
    <t>6580.83</t>
  </si>
  <si>
    <t>479827</t>
  </si>
  <si>
    <t>62.6</t>
  </si>
  <si>
    <t>529203.0</t>
  </si>
  <si>
    <t>2026/08/12</t>
  </si>
  <si>
    <t>neha.bansal71@yahoo,com</t>
  </si>
  <si>
    <t>₹369,468</t>
  </si>
  <si>
    <t>453</t>
  </si>
  <si>
    <t>134230.17</t>
  </si>
  <si>
    <t>5836.09</t>
  </si>
  <si>
    <t>-6656881</t>
  </si>
  <si>
    <t>8524210.0</t>
  </si>
  <si>
    <t>2026-03-03</t>
  </si>
  <si>
    <t>₹211,241</t>
  </si>
  <si>
    <t>8801.7</t>
  </si>
  <si>
    <t>5.7</t>
  </si>
  <si>
    <t>19.4</t>
  </si>
  <si>
    <t>06-01-2026</t>
  </si>
  <si>
    <t xml:space="preserve">  Saanvi Agarwal  </t>
  </si>
  <si>
    <t>891</t>
  </si>
  <si>
    <t>8422.65</t>
  </si>
  <si>
    <t>87.1</t>
  </si>
  <si>
    <t>2.0</t>
  </si>
  <si>
    <t>10160008.0</t>
  </si>
  <si>
    <t>710</t>
  </si>
  <si>
    <t>209,524</t>
  </si>
  <si>
    <t>4656.09</t>
  </si>
  <si>
    <t>420,508</t>
  </si>
  <si>
    <t>82.9</t>
  </si>
  <si>
    <t>175207.0</t>
  </si>
  <si>
    <t>493272.0</t>
  </si>
  <si>
    <t>RAHUL MISHRA</t>
  </si>
  <si>
    <t>2000584</t>
  </si>
  <si>
    <t>392</t>
  </si>
  <si>
    <t>659,704</t>
  </si>
  <si>
    <t>11374.2</t>
  </si>
  <si>
    <t>31.3</t>
  </si>
  <si>
    <t>4.7</t>
  </si>
  <si>
    <t>1150089.0</t>
  </si>
  <si>
    <t>10/24/2025</t>
  </si>
  <si>
    <t>amit.sethi833 at rediffmail.com</t>
  </si>
  <si>
    <t>nagpur</t>
  </si>
  <si>
    <t>900</t>
  </si>
  <si>
    <t>113818.19</t>
  </si>
  <si>
    <t>2709.96</t>
  </si>
  <si>
    <t>65.2</t>
  </si>
  <si>
    <t>14.9</t>
  </si>
  <si>
    <t>15.3</t>
  </si>
  <si>
    <t>20-01-2026</t>
  </si>
  <si>
    <t>494</t>
  </si>
  <si>
    <t>22240.96</t>
  </si>
  <si>
    <t>821,153</t>
  </si>
  <si>
    <t>30.2</t>
  </si>
  <si>
    <t>23.4</t>
  </si>
  <si>
    <t>208866.0</t>
  </si>
  <si>
    <t>30-05-2026</t>
  </si>
  <si>
    <t>2443849</t>
  </si>
  <si>
    <t>733</t>
  </si>
  <si>
    <t>701365.22</t>
  </si>
  <si>
    <t>15247.07</t>
  </si>
  <si>
    <t>283441</t>
  </si>
  <si>
    <t>86.7</t>
  </si>
  <si>
    <t>655577.0</t>
  </si>
  <si>
    <t>07/05/2026</t>
  </si>
  <si>
    <t>93822 32003</t>
  </si>
  <si>
    <t>₹2,391,993</t>
  </si>
  <si>
    <t>401323.13</t>
  </si>
  <si>
    <t>17448.83</t>
  </si>
  <si>
    <t>82.3</t>
  </si>
  <si>
    <t>11/24/2025</t>
  </si>
  <si>
    <t>krishna.sethi530@rediffmail,com</t>
  </si>
  <si>
    <t>787</t>
  </si>
  <si>
    <t>251,745</t>
  </si>
  <si>
    <t>13985.85</t>
  </si>
  <si>
    <t>7746100</t>
  </si>
  <si>
    <t>39.3</t>
  </si>
  <si>
    <t>10166496.0</t>
  </si>
  <si>
    <t>1501766</t>
  </si>
  <si>
    <t>7452.58</t>
  </si>
  <si>
    <t>2,098,477</t>
  </si>
  <si>
    <t>37.6</t>
  </si>
  <si>
    <t>12.0</t>
  </si>
  <si>
    <t>2686541.0</t>
  </si>
  <si>
    <t>13 Apr 2026</t>
  </si>
  <si>
    <t>91248 04609</t>
  </si>
  <si>
    <t>KABIR.BHATIA129@YAHOO.COM</t>
  </si>
  <si>
    <t>₹1,000,073</t>
  </si>
  <si>
    <t>355</t>
  </si>
  <si>
    <t>15820.1</t>
  </si>
  <si>
    <t>427.57</t>
  </si>
  <si>
    <t>74,488</t>
  </si>
  <si>
    <t>19.8</t>
  </si>
  <si>
    <t>12-09-2025</t>
  </si>
  <si>
    <t>usha.khanna885 at hotmail.com</t>
  </si>
  <si>
    <t>50</t>
  </si>
  <si>
    <t>coimbatore</t>
  </si>
  <si>
    <t>226200.06</t>
  </si>
  <si>
    <t>4350.0</t>
  </si>
  <si>
    <t>₹1,028,064</t>
  </si>
  <si>
    <t>26.6</t>
  </si>
  <si>
    <t>1175940.0</t>
  </si>
  <si>
    <t>30 Aug 2025</t>
  </si>
  <si>
    <t>96122468</t>
  </si>
  <si>
    <t>₹1,867,176</t>
  </si>
  <si>
    <t>928091.25</t>
  </si>
  <si>
    <t>35695.82</t>
  </si>
  <si>
    <t>₹466,114</t>
  </si>
  <si>
    <t>27.8</t>
  </si>
  <si>
    <t>506424.0</t>
  </si>
  <si>
    <t>95861 55117</t>
  </si>
  <si>
    <t xml:space="preserve"> neha.bansal279@rediffmail.com </t>
  </si>
  <si>
    <t>938,160</t>
  </si>
  <si>
    <t>70,384</t>
  </si>
  <si>
    <t>1759.6</t>
  </si>
  <si>
    <t>142059</t>
  </si>
  <si>
    <t>3.4</t>
  </si>
  <si>
    <t>2025/09/23</t>
  </si>
  <si>
    <t>+91-9683247918</t>
  </si>
  <si>
    <t>59860.95</t>
  </si>
  <si>
    <t>4275.78</t>
  </si>
  <si>
    <t>13.9</t>
  </si>
  <si>
    <t>696178.0</t>
  </si>
  <si>
    <t>02-01-2026</t>
  </si>
  <si>
    <t xml:space="preserve"> manish.reddy909@gmail.com </t>
  </si>
  <si>
    <t>2121005</t>
  </si>
  <si>
    <t>11,364</t>
  </si>
  <si>
    <t>811.73</t>
  </si>
  <si>
    <t>7274772</t>
  </si>
  <si>
    <t>40.3</t>
  </si>
  <si>
    <t>9641488.0</t>
  </si>
  <si>
    <t>19-10-2025</t>
  </si>
  <si>
    <t>KARAN MEHTA</t>
  </si>
  <si>
    <t>KARAN.MEHTA808@OUTLOOK.COM</t>
  </si>
  <si>
    <t>₹1,802,263</t>
  </si>
  <si>
    <t>872</t>
  </si>
  <si>
    <t>5690.93</t>
  </si>
  <si>
    <t>3091955</t>
  </si>
  <si>
    <t>56.6</t>
  </si>
  <si>
    <t>548353.0</t>
  </si>
  <si>
    <t>3839522.0</t>
  </si>
  <si>
    <t>2025-08-26</t>
  </si>
  <si>
    <t>809</t>
  </si>
  <si>
    <t>2062.65</t>
  </si>
  <si>
    <t>35.6</t>
  </si>
  <si>
    <t>1.6</t>
  </si>
  <si>
    <t>230291.0</t>
  </si>
  <si>
    <t>1188704.0</t>
  </si>
  <si>
    <t>28-07-2026</t>
  </si>
  <si>
    <t>SWATI.TIWARI263@GMAIL.COM</t>
  </si>
  <si>
    <t>362</t>
  </si>
  <si>
    <t>42,427</t>
  </si>
  <si>
    <t>719.11</t>
  </si>
  <si>
    <t>539614.0</t>
  </si>
  <si>
    <t>5503056.0</t>
  </si>
  <si>
    <t>22-05-2026</t>
  </si>
  <si>
    <t>+91-9292090149</t>
  </si>
  <si>
    <t>kanpur</t>
  </si>
  <si>
    <t>2,091,282</t>
  </si>
  <si>
    <t>645</t>
  </si>
  <si>
    <t>17935.89</t>
  </si>
  <si>
    <t>4455508</t>
  </si>
  <si>
    <t>57.3</t>
  </si>
  <si>
    <t>15.0</t>
  </si>
  <si>
    <t>330542.0</t>
  </si>
  <si>
    <t>6155448.0</t>
  </si>
  <si>
    <t>95263727</t>
  </si>
  <si>
    <t>1,566,015</t>
  </si>
  <si>
    <t>582</t>
  </si>
  <si>
    <t>19627.41</t>
  </si>
  <si>
    <t>38.8</t>
  </si>
  <si>
    <t>14.7</t>
  </si>
  <si>
    <t>449849.0</t>
  </si>
  <si>
    <t>salaried - education</t>
  </si>
  <si>
    <t>₹629,158</t>
  </si>
  <si>
    <t>744</t>
  </si>
  <si>
    <t>₹26,206</t>
  </si>
  <si>
    <t>1379.25</t>
  </si>
  <si>
    <t>-833997</t>
  </si>
  <si>
    <t>62.2</t>
  </si>
  <si>
    <t>2025-11-12</t>
  </si>
  <si>
    <t>ASHOK CHOPRA</t>
  </si>
  <si>
    <t>95784767</t>
  </si>
  <si>
    <t>ashok.chopra771@rediffmail,com</t>
  </si>
  <si>
    <t>1515438</t>
  </si>
  <si>
    <t>350</t>
  </si>
  <si>
    <t>17800.52</t>
  </si>
  <si>
    <t>-228942</t>
  </si>
  <si>
    <t>78.5</t>
  </si>
  <si>
    <t>19.7</t>
  </si>
  <si>
    <t>611998.0</t>
  </si>
  <si>
    <t>2026-01-09</t>
  </si>
  <si>
    <t>1760909</t>
  </si>
  <si>
    <t>473</t>
  </si>
  <si>
    <t>20460.77</t>
  </si>
  <si>
    <t>6727630</t>
  </si>
  <si>
    <t>12.3</t>
  </si>
  <si>
    <t>25.6</t>
  </si>
  <si>
    <t>190904.0</t>
  </si>
  <si>
    <t>7759873.0</t>
  </si>
  <si>
    <t>16 Aug 2026</t>
  </si>
  <si>
    <t>96059 36741</t>
  </si>
  <si>
    <t>-2494736</t>
  </si>
  <si>
    <t>318</t>
  </si>
  <si>
    <t>93953.42</t>
  </si>
  <si>
    <t>1739.88</t>
  </si>
  <si>
    <t>32.0</t>
  </si>
  <si>
    <t>11.9</t>
  </si>
  <si>
    <t>2025-10-20</t>
  </si>
  <si>
    <t>usha.sethi396 at yahoo.com</t>
  </si>
  <si>
    <t>322</t>
  </si>
  <si>
    <t>15961.03</t>
  </si>
  <si>
    <t>354.69</t>
  </si>
  <si>
    <t>75.7</t>
  </si>
  <si>
    <t>1225179.0</t>
  </si>
  <si>
    <t>2025/09/10</t>
  </si>
  <si>
    <t>92628954</t>
  </si>
  <si>
    <t>vikram.rao350 at hotmail.com</t>
  </si>
  <si>
    <t>2,484,048</t>
  </si>
  <si>
    <t>546</t>
  </si>
  <si>
    <t>₹142,311</t>
  </si>
  <si>
    <t>3648.99</t>
  </si>
  <si>
    <t>17.5</t>
  </si>
  <si>
    <t>1237345.0</t>
  </si>
  <si>
    <t>08 Nov 2025</t>
  </si>
  <si>
    <t>27615.78</t>
  </si>
  <si>
    <t>468.06</t>
  </si>
  <si>
    <t>15.1</t>
  </si>
  <si>
    <t>2.9</t>
  </si>
  <si>
    <t>17.1</t>
  </si>
  <si>
    <t>324137.0</t>
  </si>
  <si>
    <t>746103.0</t>
  </si>
  <si>
    <t>₹876,770</t>
  </si>
  <si>
    <t>576</t>
  </si>
  <si>
    <t>19225.5</t>
  </si>
  <si>
    <t>844586</t>
  </si>
  <si>
    <t>21.8</t>
  </si>
  <si>
    <t>14.3</t>
  </si>
  <si>
    <t>2026-03-08</t>
  </si>
  <si>
    <t>98972 18787</t>
  </si>
  <si>
    <t>55</t>
  </si>
  <si>
    <t>₹2,194,187</t>
  </si>
  <si>
    <t>520826.97</t>
  </si>
  <si>
    <t>8827.58</t>
  </si>
  <si>
    <t>-312395</t>
  </si>
  <si>
    <t>23.3</t>
  </si>
  <si>
    <t>274865.0</t>
  </si>
  <si>
    <t>20-04-2026</t>
  </si>
  <si>
    <t>tanya.gupta513 at gmail.com</t>
  </si>
  <si>
    <t>1656693</t>
  </si>
  <si>
    <t>506</t>
  </si>
  <si>
    <t>877267.1</t>
  </si>
  <si>
    <t>51603.95</t>
  </si>
  <si>
    <t>979,634</t>
  </si>
  <si>
    <t>91.2</t>
  </si>
  <si>
    <t>1148537.0</t>
  </si>
  <si>
    <t>11/15/2025</t>
  </si>
  <si>
    <t>self employed - business</t>
  </si>
  <si>
    <t>7911.74</t>
  </si>
  <si>
    <t>491094</t>
  </si>
  <si>
    <t>24.3</t>
  </si>
  <si>
    <t>16.4</t>
  </si>
  <si>
    <t>812027.0</t>
  </si>
  <si>
    <t>2026-04-15</t>
  </si>
  <si>
    <t>09744354734</t>
  </si>
  <si>
    <t xml:space="preserve"> sai.bansal7@yahoo.com </t>
  </si>
  <si>
    <t>₹505,180</t>
  </si>
  <si>
    <t>333</t>
  </si>
  <si>
    <t>₹202,172</t>
  </si>
  <si>
    <t>4043.44</t>
  </si>
  <si>
    <t>994390</t>
  </si>
  <si>
    <t>20.8</t>
  </si>
  <si>
    <t>1193136.0</t>
  </si>
  <si>
    <t>02/26/2026</t>
  </si>
  <si>
    <t>SAI.CHAUHAN331@OUTLOOK.COM</t>
  </si>
  <si>
    <t>572318</t>
  </si>
  <si>
    <t>839</t>
  </si>
  <si>
    <t>₹142,081</t>
  </si>
  <si>
    <t>5683.23</t>
  </si>
  <si>
    <t>₹691,784</t>
  </si>
  <si>
    <t>2026-01-05</t>
  </si>
  <si>
    <t>+91-9239278422</t>
  </si>
  <si>
    <t>22586.09</t>
  </si>
  <si>
    <t>38.2</t>
  </si>
  <si>
    <t>375213.0</t>
  </si>
  <si>
    <t>6571917.0</t>
  </si>
  <si>
    <t>2026/02/16</t>
  </si>
  <si>
    <t>91312 64549</t>
  </si>
  <si>
    <t>2,290,199</t>
  </si>
  <si>
    <t>849</t>
  </si>
  <si>
    <t>205185.48</t>
  </si>
  <si>
    <t>5004.52</t>
  </si>
  <si>
    <t>₹7,729,251</t>
  </si>
  <si>
    <t>54.5</t>
  </si>
  <si>
    <t>837140.0</t>
  </si>
  <si>
    <t>9430575.0</t>
  </si>
  <si>
    <t>10-09-2025</t>
  </si>
  <si>
    <t>1,593,025</t>
  </si>
  <si>
    <t>808</t>
  </si>
  <si>
    <t>838296.33</t>
  </si>
  <si>
    <t>23951.32</t>
  </si>
  <si>
    <t>-4038633</t>
  </si>
  <si>
    <t>33.7</t>
  </si>
  <si>
    <t>511997.0</t>
  </si>
  <si>
    <t>5383943.0</t>
  </si>
  <si>
    <t>21 May 2026</t>
  </si>
  <si>
    <t>2226730</t>
  </si>
  <si>
    <t>345</t>
  </si>
  <si>
    <t>18358.56</t>
  </si>
  <si>
    <t>194739</t>
  </si>
  <si>
    <t>25-05-2026</t>
  </si>
  <si>
    <t>2456126</t>
  </si>
  <si>
    <t>590</t>
  </si>
  <si>
    <t>846012.02</t>
  </si>
  <si>
    <t>38455.09</t>
  </si>
  <si>
    <t>183,251</t>
  </si>
  <si>
    <t>37.2</t>
  </si>
  <si>
    <t>1.3</t>
  </si>
  <si>
    <t>469849.0</t>
  </si>
  <si>
    <t>2026/07/07</t>
  </si>
  <si>
    <t>93127 58864</t>
  </si>
  <si>
    <t>DIYA.SAXENA731@REDIFFMAIL.COM</t>
  </si>
  <si>
    <t>₹2,264,091</t>
  </si>
  <si>
    <t>781</t>
  </si>
  <si>
    <t>₹314,746</t>
  </si>
  <si>
    <t>12105.62</t>
  </si>
  <si>
    <t>29.5</t>
  </si>
  <si>
    <t>515630.0</t>
  </si>
  <si>
    <t>04/19/2026</t>
  </si>
  <si>
    <t>723</t>
  </si>
  <si>
    <t>238593.81</t>
  </si>
  <si>
    <t>8836.81</t>
  </si>
  <si>
    <t>-555806</t>
  </si>
  <si>
    <t>37.4</t>
  </si>
  <si>
    <t>12.2</t>
  </si>
  <si>
    <t>2026/08/25</t>
  </si>
  <si>
    <t>1,591,995</t>
  </si>
  <si>
    <t>688</t>
  </si>
  <si>
    <t>5900.74</t>
  </si>
  <si>
    <t>₹67,465</t>
  </si>
  <si>
    <t>18.2</t>
  </si>
  <si>
    <t>2025/12/04</t>
  </si>
  <si>
    <t>+91-9421838360</t>
  </si>
  <si>
    <t>manju.mehta584@outlook,com</t>
  </si>
  <si>
    <t>2440872</t>
  </si>
  <si>
    <t>862</t>
  </si>
  <si>
    <t>-1417511.3</t>
  </si>
  <si>
    <t>118125.94</t>
  </si>
  <si>
    <t>87.2</t>
  </si>
  <si>
    <t>571300.0</t>
  </si>
  <si>
    <t>06-06-2026</t>
  </si>
  <si>
    <t>95480 03203</t>
  </si>
  <si>
    <t>600924</t>
  </si>
  <si>
    <t>439</t>
  </si>
  <si>
    <t>₹30,526</t>
  </si>
  <si>
    <t>575.96</t>
  </si>
  <si>
    <t>₹5,325,445</t>
  </si>
  <si>
    <t>71.1</t>
  </si>
  <si>
    <t>6893707.0</t>
  </si>
  <si>
    <t>7619.25</t>
  </si>
  <si>
    <t>1275042</t>
  </si>
  <si>
    <t>54.7</t>
  </si>
  <si>
    <t>1352252.0</t>
  </si>
  <si>
    <t>2026-02-17</t>
  </si>
  <si>
    <t>95875 16124</t>
  </si>
  <si>
    <t>-239980.17</t>
  </si>
  <si>
    <t>4615.0</t>
  </si>
  <si>
    <t>₹6,349,798</t>
  </si>
  <si>
    <t>8279816.0</t>
  </si>
  <si>
    <t>2026/01/13</t>
  </si>
  <si>
    <t>aarav yadav</t>
  </si>
  <si>
    <t>1035678</t>
  </si>
  <si>
    <t>-213048.08</t>
  </si>
  <si>
    <t>12532.24</t>
  </si>
  <si>
    <t>2025-09-22</t>
  </si>
  <si>
    <t>+91-9224548001</t>
  </si>
  <si>
    <t>CHANDIGARH</t>
  </si>
  <si>
    <t>5192.47</t>
  </si>
  <si>
    <t>₹1,599,514</t>
  </si>
  <si>
    <t>2206546.0</t>
  </si>
  <si>
    <t>2026-01-12</t>
  </si>
  <si>
    <t>46</t>
  </si>
  <si>
    <t>1237972.15</t>
  </si>
  <si>
    <t>103164.35</t>
  </si>
  <si>
    <t>₹2,319,556</t>
  </si>
  <si>
    <t>70.1</t>
  </si>
  <si>
    <t>595604.0</t>
  </si>
  <si>
    <t>3037507.0</t>
  </si>
  <si>
    <t>2026/08/23</t>
  </si>
  <si>
    <t>97492 76419</t>
  </si>
  <si>
    <t>583</t>
  </si>
  <si>
    <t>11231.82</t>
  </si>
  <si>
    <t>839673</t>
  </si>
  <si>
    <t>28.7</t>
  </si>
  <si>
    <t>480431.0</t>
  </si>
  <si>
    <t>947594.0</t>
  </si>
  <si>
    <t>07/22/2026</t>
  </si>
  <si>
    <t>733,217</t>
  </si>
  <si>
    <t>18781.09</t>
  </si>
  <si>
    <t>₹39,836</t>
  </si>
  <si>
    <t>30.3</t>
  </si>
  <si>
    <t>28.2</t>
  </si>
  <si>
    <t>+91-9978295746</t>
  </si>
  <si>
    <t>1980300</t>
  </si>
  <si>
    <t>648</t>
  </si>
  <si>
    <t>95597.14</t>
  </si>
  <si>
    <t>2331.64</t>
  </si>
  <si>
    <t>₹725,974</t>
  </si>
  <si>
    <t>789782.0</t>
  </si>
  <si>
    <t>93560714</t>
  </si>
  <si>
    <t>343</t>
  </si>
  <si>
    <t>₹531,507</t>
  </si>
  <si>
    <t>21260.27</t>
  </si>
  <si>
    <t>₹7,188,129</t>
  </si>
  <si>
    <t>56.0</t>
  </si>
  <si>
    <t>830384.0</t>
  </si>
  <si>
    <t>8292163.0</t>
  </si>
  <si>
    <t>2026-07-15</t>
  </si>
  <si>
    <t>+91-9952225776</t>
  </si>
  <si>
    <t>manish.saxena100 at hotmail.com</t>
  </si>
  <si>
    <t>778,904</t>
  </si>
  <si>
    <t>736</t>
  </si>
  <si>
    <t>157,655</t>
  </si>
  <si>
    <t>2672.11</t>
  </si>
  <si>
    <t>4219879</t>
  </si>
  <si>
    <t>70.0</t>
  </si>
  <si>
    <t>1.7</t>
  </si>
  <si>
    <t>197416.0</t>
  </si>
  <si>
    <t>5587432.0</t>
  </si>
  <si>
    <t>2026-06-05</t>
  </si>
  <si>
    <t>₹2,342,489</t>
  </si>
  <si>
    <t>₹584,998</t>
  </si>
  <si>
    <t>13928.51</t>
  </si>
  <si>
    <t>₹266,174</t>
  </si>
  <si>
    <t>30.7</t>
  </si>
  <si>
    <t>2026-02-20</t>
  </si>
  <si>
    <t>93060 54135</t>
  </si>
  <si>
    <t>₹1,219,710</t>
  </si>
  <si>
    <t>415</t>
  </si>
  <si>
    <t>582,982</t>
  </si>
  <si>
    <t>10599.67</t>
  </si>
  <si>
    <t>₹5,673,456</t>
  </si>
  <si>
    <t>68.7</t>
  </si>
  <si>
    <t>7836264.0</t>
  </si>
  <si>
    <t>24 Nov 2025</t>
  </si>
  <si>
    <t>₹1,133,623</t>
  </si>
  <si>
    <t>533</t>
  </si>
  <si>
    <t>66700.65</t>
  </si>
  <si>
    <t>1130.52</t>
  </si>
  <si>
    <t>26.0</t>
  </si>
  <si>
    <t>4155992.0</t>
  </si>
  <si>
    <t>01/11/2026</t>
  </si>
  <si>
    <t>1053296.23</t>
  </si>
  <si>
    <t>20255.7</t>
  </si>
  <si>
    <t>86.2</t>
  </si>
  <si>
    <t>2025-12-30</t>
  </si>
  <si>
    <t>+91-9735409949</t>
  </si>
  <si>
    <t>RADHIKA.RAO969@YAHOO.COM</t>
  </si>
  <si>
    <t>468,018</t>
  </si>
  <si>
    <t>703</t>
  </si>
  <si>
    <t>22430.67</t>
  </si>
  <si>
    <t>400.55</t>
  </si>
  <si>
    <t>257209</t>
  </si>
  <si>
    <t>12.9</t>
  </si>
  <si>
    <t>899214.0</t>
  </si>
  <si>
    <t>08/21/2026</t>
  </si>
  <si>
    <t>1,853,656</t>
  </si>
  <si>
    <t>694</t>
  </si>
  <si>
    <t>30111.27</t>
  </si>
  <si>
    <t>₹175,498</t>
  </si>
  <si>
    <t>30.6</t>
  </si>
  <si>
    <t>14.2</t>
  </si>
  <si>
    <t>2.6</t>
  </si>
  <si>
    <t>09/21/2025</t>
  </si>
  <si>
    <t>9764789481-XX</t>
  </si>
  <si>
    <t>894</t>
  </si>
  <si>
    <t>605589.28</t>
  </si>
  <si>
    <t>10814.09</t>
  </si>
  <si>
    <t>514670.0</t>
  </si>
  <si>
    <t>08-08-2026</t>
  </si>
  <si>
    <t>95853 08092</t>
  </si>
  <si>
    <t xml:space="preserve"> lata.iyer636@outlook.com </t>
  </si>
  <si>
    <t>₹666,199</t>
  </si>
  <si>
    <t>65860.25</t>
  </si>
  <si>
    <t>3466.33</t>
  </si>
  <si>
    <t>₹570,438</t>
  </si>
  <si>
    <t>24.4</t>
  </si>
  <si>
    <t>28.0</t>
  </si>
  <si>
    <t>2026-01-22</t>
  </si>
  <si>
    <t>99611 29245</t>
  </si>
  <si>
    <t xml:space="preserve"> vivaan.bhatia238@rediffmail.com </t>
  </si>
  <si>
    <t>₹1,668,628</t>
  </si>
  <si>
    <t>768</t>
  </si>
  <si>
    <t>₹304,440</t>
  </si>
  <si>
    <t>15222.01</t>
  </si>
  <si>
    <t>660158</t>
  </si>
  <si>
    <t>26.5</t>
  </si>
  <si>
    <t>730827.0</t>
  </si>
  <si>
    <t>2025/11/23</t>
  </si>
  <si>
    <t>98154 94270</t>
  </si>
  <si>
    <t>₹1,628,025</t>
  </si>
  <si>
    <t>335</t>
  </si>
  <si>
    <t>-108353.74</t>
  </si>
  <si>
    <t>3186.87</t>
  </si>
  <si>
    <t>₹441,029</t>
  </si>
  <si>
    <t>97.7</t>
  </si>
  <si>
    <t>12-05-2026</t>
  </si>
  <si>
    <t>615</t>
  </si>
  <si>
    <t>11,472</t>
  </si>
  <si>
    <t>224.94</t>
  </si>
  <si>
    <t>517,636</t>
  </si>
  <si>
    <t>36.0</t>
  </si>
  <si>
    <t>212692.0</t>
  </si>
  <si>
    <t>2026/05/15</t>
  </si>
  <si>
    <t>09747650867</t>
  </si>
  <si>
    <t>₹2,093,654</t>
  </si>
  <si>
    <t>1,098,291</t>
  </si>
  <si>
    <t>64605.36</t>
  </si>
  <si>
    <t>813,209</t>
  </si>
  <si>
    <t>75.4</t>
  </si>
  <si>
    <t>09-10-2025</t>
  </si>
  <si>
    <t>manish joshi</t>
  </si>
  <si>
    <t>2,017,402</t>
  </si>
  <si>
    <t>881</t>
  </si>
  <si>
    <t>45708.91</t>
  </si>
  <si>
    <t>245041</t>
  </si>
  <si>
    <t>32.5</t>
  </si>
  <si>
    <t>2026-01-07</t>
  </si>
  <si>
    <t>₹2,363,121</t>
  </si>
  <si>
    <t>804</t>
  </si>
  <si>
    <t>1409837.45</t>
  </si>
  <si>
    <t>88114.84</t>
  </si>
  <si>
    <t>1307651</t>
  </si>
  <si>
    <t>87.5</t>
  </si>
  <si>
    <t>9.5</t>
  </si>
  <si>
    <t>15.5</t>
  </si>
  <si>
    <t>1411253.0</t>
  </si>
  <si>
    <t>krishna.shah55 at outlook.com</t>
  </si>
  <si>
    <t>487</t>
  </si>
  <si>
    <t>13908.89</t>
  </si>
  <si>
    <t>35.0</t>
  </si>
  <si>
    <t>9542375728-XX</t>
  </si>
  <si>
    <t>SUNIL.JOSHI349@YAHOO.COM</t>
  </si>
  <si>
    <t>chennai</t>
  </si>
  <si>
    <t>1227417</t>
  </si>
  <si>
    <t>838</t>
  </si>
  <si>
    <t>-103848.04</t>
  </si>
  <si>
    <t>1821.9</t>
  </si>
  <si>
    <t>-238809</t>
  </si>
  <si>
    <t>2025/11/22</t>
  </si>
  <si>
    <t>+91-9974642290</t>
  </si>
  <si>
    <t>414</t>
  </si>
  <si>
    <t>38513.07</t>
  </si>
  <si>
    <t>916.98</t>
  </si>
  <si>
    <t>1856657</t>
  </si>
  <si>
    <t>10.0</t>
  </si>
  <si>
    <t>157704.0</t>
  </si>
  <si>
    <t>2230495.0</t>
  </si>
  <si>
    <t>2025-12-06</t>
  </si>
  <si>
    <t>ISHA.SHARMA150@OUTLOOK.COM</t>
  </si>
  <si>
    <t>892</t>
  </si>
  <si>
    <t>1098985.31</t>
  </si>
  <si>
    <t>24421.9</t>
  </si>
  <si>
    <t>800,582</t>
  </si>
  <si>
    <t>31.8</t>
  </si>
  <si>
    <t>+91-9996297562</t>
  </si>
  <si>
    <t>reyansh.patel364 at hotmail.com</t>
  </si>
  <si>
    <t>2,009,505</t>
  </si>
  <si>
    <t>597806.86</t>
  </si>
  <si>
    <t>17080.2</t>
  </si>
  <si>
    <t>12.8</t>
  </si>
  <si>
    <t>1597251.0</t>
  </si>
  <si>
    <t>9829211472-XX</t>
  </si>
  <si>
    <t>HYDERABAD</t>
  </si>
  <si>
    <t>2137349</t>
  </si>
  <si>
    <t>404</t>
  </si>
  <si>
    <t>950819.57</t>
  </si>
  <si>
    <t>43219.07</t>
  </si>
  <si>
    <t>₹210,688</t>
  </si>
  <si>
    <t>07/21/2026</t>
  </si>
  <si>
    <t>9815838988-XX</t>
  </si>
  <si>
    <t>753138</t>
  </si>
  <si>
    <t>3000.6</t>
  </si>
  <si>
    <t>281166</t>
  </si>
  <si>
    <t>97.3</t>
  </si>
  <si>
    <t>3.2</t>
  </si>
  <si>
    <t>713707.0</t>
  </si>
  <si>
    <t>2026/01/23</t>
  </si>
  <si>
    <t>799684</t>
  </si>
  <si>
    <t>1571.55</t>
  </si>
  <si>
    <t>644,235</t>
  </si>
  <si>
    <t>10.8</t>
  </si>
  <si>
    <t>741732.0</t>
  </si>
  <si>
    <t>14-03-2026</t>
  </si>
  <si>
    <t>97624339</t>
  </si>
  <si>
    <t xml:space="preserve"> radhika.chopra693@outlook.com </t>
  </si>
  <si>
    <t>₹489,240</t>
  </si>
  <si>
    <t>649</t>
  </si>
  <si>
    <t>2864.49</t>
  </si>
  <si>
    <t>3.8</t>
  </si>
  <si>
    <t>1170371.0</t>
  </si>
  <si>
    <t>2026/04/18</t>
  </si>
  <si>
    <t>SAANVI.AGARWAL924@HOTMAIL.COM</t>
  </si>
  <si>
    <t>₹1,627,557</t>
  </si>
  <si>
    <t>402</t>
  </si>
  <si>
    <t>674652.29</t>
  </si>
  <si>
    <t>26986.09</t>
  </si>
  <si>
    <t>₹1,341,721</t>
  </si>
  <si>
    <t>1466254.0</t>
  </si>
  <si>
    <t>08-01-2026</t>
  </si>
  <si>
    <t>+91-9963935915</t>
  </si>
  <si>
    <t xml:space="preserve"> nisha.chopra232@rediffmail.com </t>
  </si>
  <si>
    <t>582149</t>
  </si>
  <si>
    <t>378</t>
  </si>
  <si>
    <t>37,929</t>
  </si>
  <si>
    <t>1223.52</t>
  </si>
  <si>
    <t>1207879</t>
  </si>
  <si>
    <t>6.3</t>
  </si>
  <si>
    <t>1407624.0</t>
  </si>
  <si>
    <t>FREELANCER</t>
  </si>
  <si>
    <t>₹1,141,578</t>
  </si>
  <si>
    <t>578178.66</t>
  </si>
  <si>
    <t>15215.23</t>
  </si>
  <si>
    <t>₹435,114</t>
  </si>
  <si>
    <t>85.4</t>
  </si>
  <si>
    <t>262472.0</t>
  </si>
  <si>
    <t>497262.0</t>
  </si>
  <si>
    <t>09139732456</t>
  </si>
  <si>
    <t>saanvi.mishra207 at yahoo.com</t>
  </si>
  <si>
    <t>1,465,060</t>
  </si>
  <si>
    <t>797</t>
  </si>
  <si>
    <t>687,612</t>
  </si>
  <si>
    <t>45840.77</t>
  </si>
  <si>
    <t>87.4</t>
  </si>
  <si>
    <t>2026-06-14</t>
  </si>
  <si>
    <t>+91-9660447662</t>
  </si>
  <si>
    <t>rita.kumar681 at rediffmail.com</t>
  </si>
  <si>
    <t>1,298,566</t>
  </si>
  <si>
    <t>1773.62</t>
  </si>
  <si>
    <t>493,410</t>
  </si>
  <si>
    <t>2026-03-30</t>
  </si>
  <si>
    <t>99421 06991</t>
  </si>
  <si>
    <t>388391</t>
  </si>
  <si>
    <t>₹160,953</t>
  </si>
  <si>
    <t>2980.61</t>
  </si>
  <si>
    <t>315271</t>
  </si>
  <si>
    <t>34.4</t>
  </si>
  <si>
    <t>20.0</t>
  </si>
  <si>
    <t>03 Jan 2026</t>
  </si>
  <si>
    <t>99124 66001</t>
  </si>
  <si>
    <t>rita.saxena242@outlook,com</t>
  </si>
  <si>
    <t>2004098</t>
  </si>
  <si>
    <t>803</t>
  </si>
  <si>
    <t>566,468</t>
  </si>
  <si>
    <t>14907.05</t>
  </si>
  <si>
    <t>1185765</t>
  </si>
  <si>
    <t>1425758.0</t>
  </si>
  <si>
    <t>-1615844</t>
  </si>
  <si>
    <t>₹821,134</t>
  </si>
  <si>
    <t>14929.7</t>
  </si>
  <si>
    <t>4,179,314</t>
  </si>
  <si>
    <t>88.0</t>
  </si>
  <si>
    <t>213299.0</t>
  </si>
  <si>
    <t>5793320.0</t>
  </si>
  <si>
    <t>06/14/2026</t>
  </si>
  <si>
    <t>VIVAAN KHANNA</t>
  </si>
  <si>
    <t>96997 17002</t>
  </si>
  <si>
    <t>₹1,131,588</t>
  </si>
  <si>
    <t>566</t>
  </si>
  <si>
    <t>2895.27</t>
  </si>
  <si>
    <t>644797</t>
  </si>
  <si>
    <t>73.3</t>
  </si>
  <si>
    <t>95631140</t>
  </si>
  <si>
    <t>MEERA.SINGH877@YAHOO.COM</t>
  </si>
  <si>
    <t>self employed - professional</t>
  </si>
  <si>
    <t>₹2,054,607</t>
  </si>
  <si>
    <t>541</t>
  </si>
  <si>
    <t>₹761,454</t>
  </si>
  <si>
    <t>28202.0</t>
  </si>
  <si>
    <t>-1260839</t>
  </si>
  <si>
    <t>49.5</t>
  </si>
  <si>
    <t>1338696.0</t>
  </si>
  <si>
    <t>02/12/2026</t>
  </si>
  <si>
    <t>09480428530</t>
  </si>
  <si>
    <t>freelancer</t>
  </si>
  <si>
    <t>₹1,897,768</t>
  </si>
  <si>
    <t>₹46,827</t>
  </si>
  <si>
    <t>2035.97</t>
  </si>
  <si>
    <t>₹656,235</t>
  </si>
  <si>
    <t>93.4</t>
  </si>
  <si>
    <t>13.2</t>
  </si>
  <si>
    <t>183122.0</t>
  </si>
  <si>
    <t>787196.0</t>
  </si>
  <si>
    <t>2026/04/03</t>
  </si>
  <si>
    <t>manju.nair850@outlook,com</t>
  </si>
  <si>
    <t>-1623482</t>
  </si>
  <si>
    <t>8640.53</t>
  </si>
  <si>
    <t>411.45</t>
  </si>
  <si>
    <t>140513</t>
  </si>
  <si>
    <t>49.7</t>
  </si>
  <si>
    <t>05/05/2026</t>
  </si>
  <si>
    <t>92589 71462</t>
  </si>
  <si>
    <t>ashok.bhatia127@outlook,com</t>
  </si>
  <si>
    <t>surat</t>
  </si>
  <si>
    <t>517</t>
  </si>
  <si>
    <t>58,698</t>
  </si>
  <si>
    <t>4891.49</t>
  </si>
  <si>
    <t>₹486,646</t>
  </si>
  <si>
    <t>28.4</t>
  </si>
  <si>
    <t>7.6</t>
  </si>
  <si>
    <t>430169.0</t>
  </si>
  <si>
    <t>2025/11/12</t>
  </si>
  <si>
    <t xml:space="preserve"> neha.saxena676@hotmail.com </t>
  </si>
  <si>
    <t>483907</t>
  </si>
  <si>
    <t>882</t>
  </si>
  <si>
    <t>-6257.89</t>
  </si>
  <si>
    <t>417.19</t>
  </si>
  <si>
    <t>977,738</t>
  </si>
  <si>
    <t>1058488.0</t>
  </si>
  <si>
    <t>2026/03/20</t>
  </si>
  <si>
    <t>1,805,940</t>
  </si>
  <si>
    <t>86042.15</t>
  </si>
  <si>
    <t>1792.54</t>
  </si>
  <si>
    <t>2256839</t>
  </si>
  <si>
    <t>3120457.0</t>
  </si>
  <si>
    <t>05/22/2026</t>
  </si>
  <si>
    <t>94121399</t>
  </si>
  <si>
    <t>₹835,989</t>
  </si>
  <si>
    <t>23940.19</t>
  </si>
  <si>
    <t>1496.26</t>
  </si>
  <si>
    <t>289,177</t>
  </si>
  <si>
    <t>45.4</t>
  </si>
  <si>
    <t>527583.0</t>
  </si>
  <si>
    <t>27 Nov 2025</t>
  </si>
  <si>
    <t>95469 46709</t>
  </si>
  <si>
    <t>1,731,660</t>
  </si>
  <si>
    <t>565</t>
  </si>
  <si>
    <t>50311.41</t>
  </si>
  <si>
    <t>42.5</t>
  </si>
  <si>
    <t>7419601.0</t>
  </si>
  <si>
    <t>05 Aug 2026</t>
  </si>
  <si>
    <t>RAMESH CHOPRA</t>
  </si>
  <si>
    <t>+91-9963976413</t>
  </si>
  <si>
    <t xml:space="preserve"> ramesh.chopra310@gmail.com </t>
  </si>
  <si>
    <t>-769395</t>
  </si>
  <si>
    <t>792</t>
  </si>
  <si>
    <t>299,428</t>
  </si>
  <si>
    <t>5649.59</t>
  </si>
  <si>
    <t>506957</t>
  </si>
  <si>
    <t>86.5</t>
  </si>
  <si>
    <t>826812.0</t>
  </si>
  <si>
    <t>04/24/2026</t>
  </si>
  <si>
    <t>09360521605</t>
  </si>
  <si>
    <t xml:space="preserve"> tanya.agarwal207@outlook.com </t>
  </si>
  <si>
    <t>-333027</t>
  </si>
  <si>
    <t>₹147,280</t>
  </si>
  <si>
    <t>2945.6</t>
  </si>
  <si>
    <t>-377630</t>
  </si>
  <si>
    <t>51.2</t>
  </si>
  <si>
    <t>438297.0</t>
  </si>
  <si>
    <t>2026/01/10</t>
  </si>
  <si>
    <t>+91-9608242781</t>
  </si>
  <si>
    <t xml:space="preserve"> riya.sethi120@hotmail.com </t>
  </si>
  <si>
    <t>₹387,270</t>
  </si>
  <si>
    <t>819</t>
  </si>
  <si>
    <t>928.19</t>
  </si>
  <si>
    <t>₹1,282,447</t>
  </si>
  <si>
    <t>32.9</t>
  </si>
  <si>
    <t>10.7</t>
  </si>
  <si>
    <t>22.1</t>
  </si>
  <si>
    <t>1399716.0</t>
  </si>
  <si>
    <t>2026/08/14</t>
  </si>
  <si>
    <t>2370833</t>
  </si>
  <si>
    <t>567</t>
  </si>
  <si>
    <t>₹507,895</t>
  </si>
  <si>
    <t>23086.13</t>
  </si>
  <si>
    <t>918,167</t>
  </si>
  <si>
    <t>52.8</t>
  </si>
  <si>
    <t>07-06-2026</t>
  </si>
  <si>
    <t>9841027438-XX</t>
  </si>
  <si>
    <t>2217365</t>
  </si>
  <si>
    <t>13044.6</t>
  </si>
  <si>
    <t>₹107,580</t>
  </si>
  <si>
    <t>87.7</t>
  </si>
  <si>
    <t>13.7</t>
  </si>
  <si>
    <t>11/04/2025</t>
  </si>
  <si>
    <t>+91-9546407987</t>
  </si>
  <si>
    <t>aryan.kapoor788 at gmail.com</t>
  </si>
  <si>
    <t>LUCKNOW</t>
  </si>
  <si>
    <t>₹2,418,218</t>
  </si>
  <si>
    <t>551</t>
  </si>
  <si>
    <t>219977.38</t>
  </si>
  <si>
    <t>3666.29</t>
  </si>
  <si>
    <t>3,414,129</t>
  </si>
  <si>
    <t>45.7</t>
  </si>
  <si>
    <t>4731678.0</t>
  </si>
  <si>
    <t>08-10-2025</t>
  </si>
  <si>
    <t>92764 42282</t>
  </si>
  <si>
    <t>2,480,108</t>
  </si>
  <si>
    <t>611</t>
  </si>
  <si>
    <t>5592.26</t>
  </si>
  <si>
    <t>90.5</t>
  </si>
  <si>
    <t>22.2</t>
  </si>
  <si>
    <t>388603.0</t>
  </si>
  <si>
    <t>24-07-2026</t>
  </si>
  <si>
    <t xml:space="preserve"> aryan.sethi87@gmail.com </t>
  </si>
  <si>
    <t>2483008</t>
  </si>
  <si>
    <t>833</t>
  </si>
  <si>
    <t>-507589.72</t>
  </si>
  <si>
    <t>9761.34</t>
  </si>
  <si>
    <t>₹74,559</t>
  </si>
  <si>
    <t>29.6</t>
  </si>
  <si>
    <t>194959.0</t>
  </si>
  <si>
    <t>28-10-2025</t>
  </si>
  <si>
    <t>443</t>
  </si>
  <si>
    <t>12199.09</t>
  </si>
  <si>
    <t>160,338</t>
  </si>
  <si>
    <t>60.3</t>
  </si>
  <si>
    <t>2026-04-26</t>
  </si>
  <si>
    <t>arjun shah</t>
  </si>
  <si>
    <t>arjun.shah539 at hotmail.com</t>
  </si>
  <si>
    <t>2075961</t>
  </si>
  <si>
    <t>726</t>
  </si>
  <si>
    <t>171,020</t>
  </si>
  <si>
    <t>8143.82</t>
  </si>
  <si>
    <t>558312</t>
  </si>
  <si>
    <t>17.3</t>
  </si>
  <si>
    <t>30-06-2026</t>
  </si>
  <si>
    <t>94968 39906</t>
  </si>
  <si>
    <t>1578946</t>
  </si>
  <si>
    <t>3256.75</t>
  </si>
  <si>
    <t>31.9</t>
  </si>
  <si>
    <t>510882.0</t>
  </si>
  <si>
    <t>9750375849-XX</t>
  </si>
  <si>
    <t xml:space="preserve"> ashok.saxena136@yahoo.com </t>
  </si>
  <si>
    <t>924,878</t>
  </si>
  <si>
    <t>719</t>
  </si>
  <si>
    <t>35814.52</t>
  </si>
  <si>
    <t>967.96</t>
  </si>
  <si>
    <t>₹1,434,547</t>
  </si>
  <si>
    <t>1541788.0</t>
  </si>
  <si>
    <t>06/08/2026</t>
  </si>
  <si>
    <t>09719393966</t>
  </si>
  <si>
    <t>378,282</t>
  </si>
  <si>
    <t>510</t>
  </si>
  <si>
    <t>55672.52</t>
  </si>
  <si>
    <t>976.71</t>
  </si>
  <si>
    <t>₹2,210,078</t>
  </si>
  <si>
    <t>62.7</t>
  </si>
  <si>
    <t>2591883.0</t>
  </si>
  <si>
    <t>15-10-2025</t>
  </si>
  <si>
    <t>92961392</t>
  </si>
  <si>
    <t>nikhil.singh262 at gmail.com</t>
  </si>
  <si>
    <t>547102</t>
  </si>
  <si>
    <t>-32413.89</t>
  </si>
  <si>
    <t>1543.52</t>
  </si>
  <si>
    <t>4,219,735</t>
  </si>
  <si>
    <t>4916658.0</t>
  </si>
  <si>
    <t>04/20/2026</t>
  </si>
  <si>
    <t>+91-9131038055</t>
  </si>
  <si>
    <t>1333124</t>
  </si>
  <si>
    <t>67116.15</t>
  </si>
  <si>
    <t>1290.7</t>
  </si>
  <si>
    <t>870910</t>
  </si>
  <si>
    <t>40.5</t>
  </si>
  <si>
    <t>09164612445</t>
  </si>
  <si>
    <t xml:space="preserve">  Nagpur  </t>
  </si>
  <si>
    <t>1,192,355</t>
  </si>
  <si>
    <t>876</t>
  </si>
  <si>
    <t>50032.57</t>
  </si>
  <si>
    <t>2943.09</t>
  </si>
  <si>
    <t>₹7,358,849</t>
  </si>
  <si>
    <t>18.3</t>
  </si>
  <si>
    <t>16.3</t>
  </si>
  <si>
    <t>661576.0</t>
  </si>
  <si>
    <t>8964942.0</t>
  </si>
  <si>
    <t>07/31/2026</t>
  </si>
  <si>
    <t>95937057</t>
  </si>
  <si>
    <t>-2298707</t>
  </si>
  <si>
    <t>800</t>
  </si>
  <si>
    <t>22861.1</t>
  </si>
  <si>
    <t>66.9</t>
  </si>
  <si>
    <t>24-11-2025</t>
  </si>
  <si>
    <t>+91-9109053121</t>
  </si>
  <si>
    <t xml:space="preserve">  Bhopal  </t>
  </si>
  <si>
    <t>1229125</t>
  </si>
  <si>
    <t>496</t>
  </si>
  <si>
    <t>11058.01</t>
  </si>
  <si>
    <t>216.82</t>
  </si>
  <si>
    <t>₹763,780</t>
  </si>
  <si>
    <t>51.9</t>
  </si>
  <si>
    <t>765843.0</t>
  </si>
  <si>
    <t>878397.0</t>
  </si>
  <si>
    <t>21-11-2025</t>
  </si>
  <si>
    <t xml:space="preserve"> mahesh.yadav689@rediffmail.com </t>
  </si>
  <si>
    <t>580</t>
  </si>
  <si>
    <t>65939.68</t>
  </si>
  <si>
    <t>1198.9</t>
  </si>
  <si>
    <t>₹383,324</t>
  </si>
  <si>
    <t>63.4</t>
  </si>
  <si>
    <t>2026-01-13</t>
  </si>
  <si>
    <t>SALARIED - IT/TECH</t>
  </si>
  <si>
    <t>-999188.96</t>
  </si>
  <si>
    <t>16935.41</t>
  </si>
  <si>
    <t>01/01/2026</t>
  </si>
  <si>
    <t>pooja.rao853@gmail,com</t>
  </si>
  <si>
    <t>701272</t>
  </si>
  <si>
    <t>334</t>
  </si>
  <si>
    <t>158,794</t>
  </si>
  <si>
    <t>2835.61</t>
  </si>
  <si>
    <t>92.3</t>
  </si>
  <si>
    <t>2026-07-08</t>
  </si>
  <si>
    <t>9743789670-XX</t>
  </si>
  <si>
    <t>KARAN.BHATIA807@REDIFFMAIL.COM</t>
  </si>
  <si>
    <t>2095605</t>
  </si>
  <si>
    <t>326</t>
  </si>
  <si>
    <t>₹95,157</t>
  </si>
  <si>
    <t>2883.53</t>
  </si>
  <si>
    <t>61.5</t>
  </si>
  <si>
    <t>04/10/2026</t>
  </si>
  <si>
    <t>91473 20653</t>
  </si>
  <si>
    <t>salaried - healthcare</t>
  </si>
  <si>
    <t>-1605218</t>
  </si>
  <si>
    <t>280332.65</t>
  </si>
  <si>
    <t>23361.05</t>
  </si>
  <si>
    <t>110101</t>
  </si>
  <si>
    <t>82.8</t>
  </si>
  <si>
    <t>201303.0</t>
  </si>
  <si>
    <t>rekha agarwal</t>
  </si>
  <si>
    <t>980,651</t>
  </si>
  <si>
    <t>303</t>
  </si>
  <si>
    <t>375844.53</t>
  </si>
  <si>
    <t>6711.51</t>
  </si>
  <si>
    <t>539199</t>
  </si>
  <si>
    <t>892409.0</t>
  </si>
  <si>
    <t>nikhil.kapoor647 at rediffmail.com</t>
  </si>
  <si>
    <t>1129738</t>
  </si>
  <si>
    <t>166725.1</t>
  </si>
  <si>
    <t>6946.88</t>
  </si>
  <si>
    <t>-112315</t>
  </si>
  <si>
    <t>91.5</t>
  </si>
  <si>
    <t>2026-07-30</t>
  </si>
  <si>
    <t>₹1,095,412</t>
  </si>
  <si>
    <t>550</t>
  </si>
  <si>
    <t>₹605,334</t>
  </si>
  <si>
    <t>10088.89</t>
  </si>
  <si>
    <t>945940</t>
  </si>
  <si>
    <t>80.0</t>
  </si>
  <si>
    <t>9279780397-XX</t>
  </si>
  <si>
    <t>2,247,278</t>
  </si>
  <si>
    <t>806</t>
  </si>
  <si>
    <t>638799.77</t>
  </si>
  <si>
    <t>13036.73</t>
  </si>
  <si>
    <t>6852817</t>
  </si>
  <si>
    <t>60.5</t>
  </si>
  <si>
    <t>816532.0</t>
  </si>
  <si>
    <t>8316800.0</t>
  </si>
  <si>
    <t>2025-10-08</t>
  </si>
  <si>
    <t>9577283948-XX</t>
  </si>
  <si>
    <t>624</t>
  </si>
  <si>
    <t>21558.3</t>
  </si>
  <si>
    <t>513143</t>
  </si>
  <si>
    <t>66.3</t>
  </si>
  <si>
    <t>2026/02/26</t>
  </si>
  <si>
    <t>9311147379-XX</t>
  </si>
  <si>
    <t xml:space="preserve"> aryan.mehta692@outlook.com </t>
  </si>
  <si>
    <t>₹878,248</t>
  </si>
  <si>
    <t>67631.78</t>
  </si>
  <si>
    <t>2254.39</t>
  </si>
  <si>
    <t>-1146853</t>
  </si>
  <si>
    <t>83.1</t>
  </si>
  <si>
    <t>11.4</t>
  </si>
  <si>
    <t>15.2</t>
  </si>
  <si>
    <t>1313018.0</t>
  </si>
  <si>
    <t>05/17/2026</t>
  </si>
  <si>
    <t>2098488</t>
  </si>
  <si>
    <t>-37903.82</t>
  </si>
  <si>
    <t>1895.19</t>
  </si>
  <si>
    <t>370,415</t>
  </si>
  <si>
    <t>22-06-2026</t>
  </si>
  <si>
    <t>1,938,446</t>
  </si>
  <si>
    <t>762</t>
  </si>
  <si>
    <t>23974.32</t>
  </si>
  <si>
    <t>109,875</t>
  </si>
  <si>
    <t>57.5</t>
  </si>
  <si>
    <t>04/15/2026</t>
  </si>
  <si>
    <t>DIVYA SHARMA</t>
  </si>
  <si>
    <t>9284496457-XX</t>
  </si>
  <si>
    <t>2054952</t>
  </si>
  <si>
    <t>₹1,073,239</t>
  </si>
  <si>
    <t>34620.6</t>
  </si>
  <si>
    <t>893314.0</t>
  </si>
  <si>
    <t>10075858.0</t>
  </si>
  <si>
    <t>22 May 2026</t>
  </si>
  <si>
    <t>nisha.sethi472 at hotmail.com</t>
  </si>
  <si>
    <t>2213888</t>
  </si>
  <si>
    <t>479</t>
  </si>
  <si>
    <t>-551328.19</t>
  </si>
  <si>
    <t>23970.79</t>
  </si>
  <si>
    <t>-5340540</t>
  </si>
  <si>
    <t>67.6</t>
  </si>
  <si>
    <t>811917.0</t>
  </si>
  <si>
    <t>7073604.0</t>
  </si>
  <si>
    <t>15-12-2025</t>
  </si>
  <si>
    <t xml:space="preserve"> riya.chauhan125@outlook.com </t>
  </si>
  <si>
    <t>374</t>
  </si>
  <si>
    <t>774332.03</t>
  </si>
  <si>
    <t>14078.76</t>
  </si>
  <si>
    <t>4697364</t>
  </si>
  <si>
    <t>42.9</t>
  </si>
  <si>
    <t>6046011.0</t>
  </si>
  <si>
    <t>12/28/2025</t>
  </si>
  <si>
    <t>tanya singh</t>
  </si>
  <si>
    <t>9605504475-XX</t>
  </si>
  <si>
    <t>1,043,384</t>
  </si>
  <si>
    <t>311</t>
  </si>
  <si>
    <t>424,062</t>
  </si>
  <si>
    <t>20193.45</t>
  </si>
  <si>
    <t>4503851</t>
  </si>
  <si>
    <t>72.9</t>
  </si>
  <si>
    <t>5619250.0</t>
  </si>
  <si>
    <t>30-01-2026</t>
  </si>
  <si>
    <t>simran sharma</t>
  </si>
  <si>
    <t>09152253317</t>
  </si>
  <si>
    <t>SIMRAN.SHARMA791@HOTMAIL.COM</t>
  </si>
  <si>
    <t>1138800</t>
  </si>
  <si>
    <t>₹464,603</t>
  </si>
  <si>
    <t>29037.67</t>
  </si>
  <si>
    <t>975143</t>
  </si>
  <si>
    <t>84.4</t>
  </si>
  <si>
    <t>620090.0</t>
  </si>
  <si>
    <t>04/02/2026</t>
  </si>
  <si>
    <t>dhruv.kumar332@yahoo,com</t>
  </si>
  <si>
    <t>₹1,932,367</t>
  </si>
  <si>
    <t>677</t>
  </si>
  <si>
    <t>50943.7</t>
  </si>
  <si>
    <t>2037.75</t>
  </si>
  <si>
    <t>₹4,029,452</t>
  </si>
  <si>
    <t>52.5</t>
  </si>
  <si>
    <t>5622512.0</t>
  </si>
  <si>
    <t>08/17/2026</t>
  </si>
  <si>
    <t>₹1,705,533</t>
  </si>
  <si>
    <t>538</t>
  </si>
  <si>
    <t>₹515,160</t>
  </si>
  <si>
    <t>9037.89</t>
  </si>
  <si>
    <t>₹141,952</t>
  </si>
  <si>
    <t>77.1</t>
  </si>
  <si>
    <t>524045.0</t>
  </si>
  <si>
    <t>simran.kapoor899 at outlook.com</t>
  </si>
  <si>
    <t>2484699</t>
  </si>
  <si>
    <t>534</t>
  </si>
  <si>
    <t>₹210,438</t>
  </si>
  <si>
    <t>6376.9</t>
  </si>
  <si>
    <t>849410.0</t>
  </si>
  <si>
    <t>2026/05/04</t>
  </si>
  <si>
    <t xml:space="preserve"> aryan.verma145@yahoo.com </t>
  </si>
  <si>
    <t>1,157,203</t>
  </si>
  <si>
    <t>502</t>
  </si>
  <si>
    <t>170056.74</t>
  </si>
  <si>
    <t>7393.77</t>
  </si>
  <si>
    <t>367824</t>
  </si>
  <si>
    <t>04-07-2026</t>
  </si>
  <si>
    <t>09980042882</t>
  </si>
  <si>
    <t>1,559,262</t>
  </si>
  <si>
    <t>774</t>
  </si>
  <si>
    <t>₹286,138</t>
  </si>
  <si>
    <t>9537.92</t>
  </si>
  <si>
    <t>₹6,215,589</t>
  </si>
  <si>
    <t>8609034.0</t>
  </si>
  <si>
    <t>2026-03-05</t>
  </si>
  <si>
    <t>97316 91986</t>
  </si>
  <si>
    <t>1114652</t>
  </si>
  <si>
    <t>656</t>
  </si>
  <si>
    <t>1321.01</t>
  </si>
  <si>
    <t>93.0</t>
  </si>
  <si>
    <t>493045.0</t>
  </si>
  <si>
    <t>2026/08/09</t>
  </si>
  <si>
    <t>rahul.bansal975 at yahoo.com</t>
  </si>
  <si>
    <t>₹1,967,935</t>
  </si>
  <si>
    <t>195798.05</t>
  </si>
  <si>
    <t>5020.46</t>
  </si>
  <si>
    <t>933800</t>
  </si>
  <si>
    <t>55.7</t>
  </si>
  <si>
    <t>1125545.0</t>
  </si>
  <si>
    <t>02/18/2026</t>
  </si>
  <si>
    <t>93249 76345</t>
  </si>
  <si>
    <t>MUMBAI</t>
  </si>
  <si>
    <t>2,362,436</t>
  </si>
  <si>
    <t>595</t>
  </si>
  <si>
    <t>1,039,059</t>
  </si>
  <si>
    <t>47229.96</t>
  </si>
  <si>
    <t>712437.0</t>
  </si>
  <si>
    <t>2026/04/08</t>
  </si>
  <si>
    <t>97833 65422</t>
  </si>
  <si>
    <t>1460824</t>
  </si>
  <si>
    <t>403</t>
  </si>
  <si>
    <t>₹8,332</t>
  </si>
  <si>
    <t>287.33</t>
  </si>
  <si>
    <t>98.8</t>
  </si>
  <si>
    <t>01-07-2026</t>
  </si>
  <si>
    <t>1,793,294</t>
  </si>
  <si>
    <t>711</t>
  </si>
  <si>
    <t>39015.99</t>
  </si>
  <si>
    <t>335573</t>
  </si>
  <si>
    <t>07/18/2026</t>
  </si>
  <si>
    <t>geeta.mehta649@outlook,com</t>
  </si>
  <si>
    <t>2332291</t>
  </si>
  <si>
    <t>24660.77</t>
  </si>
  <si>
    <t>404,973</t>
  </si>
  <si>
    <t>523444.0</t>
  </si>
  <si>
    <t>2025/11/20</t>
  </si>
  <si>
    <t>₹742,371</t>
  </si>
  <si>
    <t>692</t>
  </si>
  <si>
    <t>341,331</t>
  </si>
  <si>
    <t>13128.13</t>
  </si>
  <si>
    <t>317855.0</t>
  </si>
  <si>
    <t>1531114.0</t>
  </si>
  <si>
    <t xml:space="preserve"> vinod.yadav391@rediffmail.com </t>
  </si>
  <si>
    <t>785238</t>
  </si>
  <si>
    <t>492</t>
  </si>
  <si>
    <t>-350821.29</t>
  </si>
  <si>
    <t>18464.28</t>
  </si>
  <si>
    <t>567213</t>
  </si>
  <si>
    <t>95.6</t>
  </si>
  <si>
    <t>22.9</t>
  </si>
  <si>
    <t>701521.0</t>
  </si>
  <si>
    <t>2025-10-29</t>
  </si>
  <si>
    <t>+91-9338522684</t>
  </si>
  <si>
    <t>449</t>
  </si>
  <si>
    <t>2061.04</t>
  </si>
  <si>
    <t>₹333,985</t>
  </si>
  <si>
    <t>52.7</t>
  </si>
  <si>
    <t>25 Sep 2025</t>
  </si>
  <si>
    <t>diya.singh734 at yahoo.com</t>
  </si>
  <si>
    <t xml:space="preserve">  Kolkata  </t>
  </si>
  <si>
    <t>1,943,361</t>
  </si>
  <si>
    <t>638910.53</t>
  </si>
  <si>
    <t>19360.93</t>
  </si>
  <si>
    <t>₹7,186,626</t>
  </si>
  <si>
    <t>38.1</t>
  </si>
  <si>
    <t>9616184.0</t>
  </si>
  <si>
    <t>10520.43</t>
  </si>
  <si>
    <t>-375633</t>
  </si>
  <si>
    <t>86.6</t>
  </si>
  <si>
    <t>2026/05/16</t>
  </si>
  <si>
    <t>684</t>
  </si>
  <si>
    <t>914097.56</t>
  </si>
  <si>
    <t>16927.73</t>
  </si>
  <si>
    <t>82.7</t>
  </si>
  <si>
    <t>631057.0</t>
  </si>
  <si>
    <t>13 Jan 2026</t>
  </si>
  <si>
    <t>+91-9736598991</t>
  </si>
  <si>
    <t>reyansh.rathi186@hotmail,com</t>
  </si>
  <si>
    <t>717,086</t>
  </si>
  <si>
    <t>349,738</t>
  </si>
  <si>
    <t>26902.9</t>
  </si>
  <si>
    <t>79.4</t>
  </si>
  <si>
    <t>24.6</t>
  </si>
  <si>
    <t>7367685.0</t>
  </si>
  <si>
    <t>2026-06-28</t>
  </si>
  <si>
    <t>+91-9580212641</t>
  </si>
  <si>
    <t>aarav.bhatt820 at outlook.com</t>
  </si>
  <si>
    <t>-976164</t>
  </si>
  <si>
    <t>427</t>
  </si>
  <si>
    <t>₹296,450</t>
  </si>
  <si>
    <t>8470.01</t>
  </si>
  <si>
    <t>493601</t>
  </si>
  <si>
    <t>67.5</t>
  </si>
  <si>
    <t>2026/05/20</t>
  </si>
  <si>
    <t>isha.bansal523 at yahoo.com</t>
  </si>
  <si>
    <t>865</t>
  </si>
  <si>
    <t>58858.75</t>
  </si>
  <si>
    <t>1731.14</t>
  </si>
  <si>
    <t>45.1</t>
  </si>
  <si>
    <t>658976.0</t>
  </si>
  <si>
    <t>2025/10/01</t>
  </si>
  <si>
    <t>09848186455</t>
  </si>
  <si>
    <t>INDORE</t>
  </si>
  <si>
    <t>1,626,911</t>
  </si>
  <si>
    <t>379</t>
  </si>
  <si>
    <t>5732.21</t>
  </si>
  <si>
    <t>₹378,602</t>
  </si>
  <si>
    <t>157397.0</t>
  </si>
  <si>
    <t>2025-10-18</t>
  </si>
  <si>
    <t>349</t>
  </si>
  <si>
    <t>30109.48</t>
  </si>
  <si>
    <t>501.82</t>
  </si>
  <si>
    <t>157123.0</t>
  </si>
  <si>
    <t>3575487.0</t>
  </si>
  <si>
    <t>06/12/2026</t>
  </si>
  <si>
    <t>09878913009</t>
  </si>
  <si>
    <t>2141131</t>
  </si>
  <si>
    <t>738</t>
  </si>
  <si>
    <t>₹111,466</t>
  </si>
  <si>
    <t>1955.55</t>
  </si>
  <si>
    <t>370012</t>
  </si>
  <si>
    <t>220225.0</t>
  </si>
  <si>
    <t>06/05/2026</t>
  </si>
  <si>
    <t>91114833</t>
  </si>
  <si>
    <t>PREETI.BHATIA986@HOTMAIL.COM</t>
  </si>
  <si>
    <t>2460114</t>
  </si>
  <si>
    <t>314</t>
  </si>
  <si>
    <t>₹909,681</t>
  </si>
  <si>
    <t>15418.33</t>
  </si>
  <si>
    <t>55.8</t>
  </si>
  <si>
    <t>30.0</t>
  </si>
  <si>
    <t>96621 21467</t>
  </si>
  <si>
    <t>2454548</t>
  </si>
  <si>
    <t>497721.36</t>
  </si>
  <si>
    <t>9049.48</t>
  </si>
  <si>
    <t>922128</t>
  </si>
  <si>
    <t>77.8</t>
  </si>
  <si>
    <t>2025-09-13</t>
  </si>
  <si>
    <t>+91-9624272120</t>
  </si>
  <si>
    <t>108492.21</t>
  </si>
  <si>
    <t>2523.07</t>
  </si>
  <si>
    <t>503024.0</t>
  </si>
  <si>
    <t>05/27/2026</t>
  </si>
  <si>
    <t>REYANSH KAPOOR</t>
  </si>
  <si>
    <t>324369</t>
  </si>
  <si>
    <t>341</t>
  </si>
  <si>
    <t>₹26,017</t>
  </si>
  <si>
    <t>684.66</t>
  </si>
  <si>
    <t>366,283</t>
  </si>
  <si>
    <t>421362.0</t>
  </si>
  <si>
    <t>2026/03/13</t>
  </si>
  <si>
    <t>91227 12010</t>
  </si>
  <si>
    <t>588</t>
  </si>
  <si>
    <t>505,865</t>
  </si>
  <si>
    <t>8431.08</t>
  </si>
  <si>
    <t>-3578254</t>
  </si>
  <si>
    <t>4742211.0</t>
  </si>
  <si>
    <t>2026/05/10</t>
  </si>
  <si>
    <t>ARYAN.BHATIA645@YAHOO.COM</t>
  </si>
  <si>
    <t>460920</t>
  </si>
  <si>
    <t>504</t>
  </si>
  <si>
    <t>25148.38</t>
  </si>
  <si>
    <t>1676.56</t>
  </si>
  <si>
    <t>232541.0</t>
  </si>
  <si>
    <t>5957719.0</t>
  </si>
  <si>
    <t>19-09-2025</t>
  </si>
  <si>
    <t>722625</t>
  </si>
  <si>
    <t>₹42,008</t>
  </si>
  <si>
    <t>3500.66</t>
  </si>
  <si>
    <t xml:space="preserve">  Personal Loan  </t>
  </si>
  <si>
    <t>397300</t>
  </si>
  <si>
    <t>26 Oct 2025</t>
  </si>
  <si>
    <t>seema.sethi838 at yahoo.com</t>
  </si>
  <si>
    <t>1738218</t>
  </si>
  <si>
    <t>457</t>
  </si>
  <si>
    <t>45691.95</t>
  </si>
  <si>
    <t>1903.83</t>
  </si>
  <si>
    <t>6117892</t>
  </si>
  <si>
    <t>89.7</t>
  </si>
  <si>
    <t>7676431.0</t>
  </si>
  <si>
    <t>09394364860</t>
  </si>
  <si>
    <t>ROHAN.BANSAL714@YAHOO.COM</t>
  </si>
  <si>
    <t>748</t>
  </si>
  <si>
    <t>-886103.08</t>
  </si>
  <si>
    <t>24613.97</t>
  </si>
  <si>
    <t>4862564</t>
  </si>
  <si>
    <t>5960786.0</t>
  </si>
  <si>
    <t>352</t>
  </si>
  <si>
    <t>₹355,129</t>
  </si>
  <si>
    <t>13152.92</t>
  </si>
  <si>
    <t>610563</t>
  </si>
  <si>
    <t>66.6</t>
  </si>
  <si>
    <t>250209.0</t>
  </si>
  <si>
    <t>2026-07-12</t>
  </si>
  <si>
    <t>Bombay</t>
  </si>
  <si>
    <t>746,453</t>
  </si>
  <si>
    <t>864</t>
  </si>
  <si>
    <t>15388.8</t>
  </si>
  <si>
    <t>384.72</t>
  </si>
  <si>
    <t>390014</t>
  </si>
  <si>
    <t>2026-04-18</t>
  </si>
  <si>
    <t>usha.patel584 at hotmail.com</t>
  </si>
  <si>
    <t>mumbai</t>
  </si>
  <si>
    <t>983330</t>
  </si>
  <si>
    <t>446</t>
  </si>
  <si>
    <t>262.4</t>
  </si>
  <si>
    <t>769922.0</t>
  </si>
  <si>
    <t>8176789.0</t>
  </si>
  <si>
    <t>91144921</t>
  </si>
  <si>
    <t>rajesh.bansal812@gmail,com</t>
  </si>
  <si>
    <t>639</t>
  </si>
  <si>
    <t>254005.25</t>
  </si>
  <si>
    <t>9407.6</t>
  </si>
  <si>
    <t>304964</t>
  </si>
  <si>
    <t>2025-12-20</t>
  </si>
  <si>
    <t>ISHAAN SHAH</t>
  </si>
  <si>
    <t>+91-9803692376</t>
  </si>
  <si>
    <t>₹373,549</t>
  </si>
  <si>
    <t>19660.47</t>
  </si>
  <si>
    <t>62.4</t>
  </si>
  <si>
    <t>585401.0</t>
  </si>
  <si>
    <t>11-01-2026</t>
  </si>
  <si>
    <t>919835</t>
  </si>
  <si>
    <t>368</t>
  </si>
  <si>
    <t>62455.34</t>
  </si>
  <si>
    <t>1601.42</t>
  </si>
  <si>
    <t>603,390</t>
  </si>
  <si>
    <t>99.5</t>
  </si>
  <si>
    <t>650240.0</t>
  </si>
  <si>
    <t>1265170</t>
  </si>
  <si>
    <t>524</t>
  </si>
  <si>
    <t>19767.39</t>
  </si>
  <si>
    <t>₹306,010</t>
  </si>
  <si>
    <t>85.8</t>
  </si>
  <si>
    <t>339347.0</t>
  </si>
  <si>
    <t>07-11-2025</t>
  </si>
  <si>
    <t>+91-9552127953</t>
  </si>
  <si>
    <t>KRITIKA.KHANNA249@YAHOO.COM</t>
  </si>
  <si>
    <t>357925.7</t>
  </si>
  <si>
    <t>22370.36</t>
  </si>
  <si>
    <t>286818.0</t>
  </si>
  <si>
    <t>8216499.0</t>
  </si>
  <si>
    <t>2026-02-14</t>
  </si>
  <si>
    <t>suresh.tiwari294 at gmail.com</t>
  </si>
  <si>
    <t>2410974</t>
  </si>
  <si>
    <t>765</t>
  </si>
  <si>
    <t>28629.76</t>
  </si>
  <si>
    <t>₹776,713</t>
  </si>
  <si>
    <t>967161.0</t>
  </si>
  <si>
    <t>529,309</t>
  </si>
  <si>
    <t>₹115,189</t>
  </si>
  <si>
    <t>3490.57</t>
  </si>
  <si>
    <t>56.4</t>
  </si>
  <si>
    <t>2026/06/10</t>
  </si>
  <si>
    <t>91515 92119</t>
  </si>
  <si>
    <t>pooja.verma323@gmail,com</t>
  </si>
  <si>
    <t>1969905</t>
  </si>
  <si>
    <t>432</t>
  </si>
  <si>
    <t>₹830,500</t>
  </si>
  <si>
    <t>46138.91</t>
  </si>
  <si>
    <t xml:space="preserve">  Car Loan  </t>
  </si>
  <si>
    <t>1318746.0</t>
  </si>
  <si>
    <t>07/12/2026</t>
  </si>
  <si>
    <t>sanjay.rao827@yahoo,com</t>
  </si>
  <si>
    <t>1721955</t>
  </si>
  <si>
    <t>696</t>
  </si>
  <si>
    <t>247042.64</t>
  </si>
  <si>
    <t>4843.97</t>
  </si>
  <si>
    <t>99902</t>
  </si>
  <si>
    <t>02/02/2026</t>
  </si>
  <si>
    <t>09173188220</t>
  </si>
  <si>
    <t>1051561</t>
  </si>
  <si>
    <t>752</t>
  </si>
  <si>
    <t>₹68,382</t>
  </si>
  <si>
    <t>3419.11</t>
  </si>
  <si>
    <t>318180</t>
  </si>
  <si>
    <t>39.5</t>
  </si>
  <si>
    <t>08/10/2026</t>
  </si>
  <si>
    <t>tanya.nair44 at rediffmail.com</t>
  </si>
  <si>
    <t>333315</t>
  </si>
  <si>
    <t>44607.8</t>
  </si>
  <si>
    <t>1088.0</t>
  </si>
  <si>
    <t>202,943</t>
  </si>
  <si>
    <t>66.0</t>
  </si>
  <si>
    <t>27.5</t>
  </si>
  <si>
    <t>28-09-2025</t>
  </si>
  <si>
    <t>+91-9328315290</t>
  </si>
  <si>
    <t>SIMRAN.JOSHI720@HOTMAIL.COM</t>
  </si>
  <si>
    <t>35,689</t>
  </si>
  <si>
    <t>1019.68</t>
  </si>
  <si>
    <t>₹5,471,247</t>
  </si>
  <si>
    <t>355429.0</t>
  </si>
  <si>
    <t>7483694.0</t>
  </si>
  <si>
    <t>05/21/2026</t>
  </si>
  <si>
    <t xml:space="preserve">  Lata Nair  </t>
  </si>
  <si>
    <t>09297652556</t>
  </si>
  <si>
    <t>464</t>
  </si>
  <si>
    <t>₹573,619</t>
  </si>
  <si>
    <t>14708.19</t>
  </si>
  <si>
    <t>889776.0</t>
  </si>
  <si>
    <t>1790201.0</t>
  </si>
  <si>
    <t>02-09-2025</t>
  </si>
  <si>
    <t>9258362512-XX</t>
  </si>
  <si>
    <t>JAIPUR</t>
  </si>
  <si>
    <t>315421</t>
  </si>
  <si>
    <t>122.95</t>
  </si>
  <si>
    <t>490586</t>
  </si>
  <si>
    <t>78.6</t>
  </si>
  <si>
    <t>USHA KUMAR</t>
  </si>
  <si>
    <t>+91-9850886071</t>
  </si>
  <si>
    <t>₹2,086,140</t>
  </si>
  <si>
    <t>467030.19</t>
  </si>
  <si>
    <t>9936.81</t>
  </si>
  <si>
    <t>619,128</t>
  </si>
  <si>
    <t>32.1</t>
  </si>
  <si>
    <t>2025/10/10</t>
  </si>
  <si>
    <t>09541608179</t>
  </si>
  <si>
    <t>₹436,883</t>
  </si>
  <si>
    <t>99892.38</t>
  </si>
  <si>
    <t>4162.18</t>
  </si>
  <si>
    <t>₹2,543,883</t>
  </si>
  <si>
    <t>80.4</t>
  </si>
  <si>
    <t>3484870.0</t>
  </si>
  <si>
    <t>01/08/2026</t>
  </si>
  <si>
    <t>625</t>
  </si>
  <si>
    <t>-82449.62</t>
  </si>
  <si>
    <t>1717.7</t>
  </si>
  <si>
    <t>3,528,626</t>
  </si>
  <si>
    <t>42.2</t>
  </si>
  <si>
    <t>4413534.0</t>
  </si>
  <si>
    <t>2026/02/04</t>
  </si>
  <si>
    <t>09206920983</t>
  </si>
  <si>
    <t>967117</t>
  </si>
  <si>
    <t>283.2</t>
  </si>
  <si>
    <t>319,784</t>
  </si>
  <si>
    <t>2225721</t>
  </si>
  <si>
    <t>484</t>
  </si>
  <si>
    <t>2881.34</t>
  </si>
  <si>
    <t>799429.0</t>
  </si>
  <si>
    <t>2025/08/31</t>
  </si>
  <si>
    <t>mahesh.agarwal622 at gmail.com</t>
  </si>
  <si>
    <t>2294.11</t>
  </si>
  <si>
    <t>511181.0</t>
  </si>
  <si>
    <t>2026/07/25</t>
  </si>
  <si>
    <t>+91-9632363028</t>
  </si>
  <si>
    <t>897</t>
  </si>
  <si>
    <t>-89622.59</t>
  </si>
  <si>
    <t>1829.03</t>
  </si>
  <si>
    <t>725464.0</t>
  </si>
  <si>
    <t>1,777,457</t>
  </si>
  <si>
    <t>490</t>
  </si>
  <si>
    <t>₹381,525</t>
  </si>
  <si>
    <t>23845.33</t>
  </si>
  <si>
    <t>738866</t>
  </si>
  <si>
    <t>18.8</t>
  </si>
  <si>
    <t>03/11/2026</t>
  </si>
  <si>
    <t>DHRUV.DESAI106@REDIFFMAIL.COM</t>
  </si>
  <si>
    <t>₹1,632,879</t>
  </si>
  <si>
    <t>347</t>
  </si>
  <si>
    <t>970,185</t>
  </si>
  <si>
    <t>25531.17</t>
  </si>
  <si>
    <t>62.1</t>
  </si>
  <si>
    <t>20-03-2026</t>
  </si>
  <si>
    <t>09666413507</t>
  </si>
  <si>
    <t>654</t>
  </si>
  <si>
    <t>₹27,983</t>
  </si>
  <si>
    <t>595.37</t>
  </si>
  <si>
    <t>42.4</t>
  </si>
  <si>
    <t>1622891.0</t>
  </si>
  <si>
    <t>05 Nov 2025</t>
  </si>
  <si>
    <t>287,816</t>
  </si>
  <si>
    <t>20558.27</t>
  </si>
  <si>
    <t>495520.0</t>
  </si>
  <si>
    <t>2026/07/18</t>
  </si>
  <si>
    <t>1165389.22</t>
  </si>
  <si>
    <t>43162.56</t>
  </si>
  <si>
    <t>778723</t>
  </si>
  <si>
    <t>306496.0</t>
  </si>
  <si>
    <t>2026/02/01</t>
  </si>
  <si>
    <t>SURESH.SINGH109@YAHOO.COM</t>
  </si>
  <si>
    <t>2,453,624</t>
  </si>
  <si>
    <t>614</t>
  </si>
  <si>
    <t>1400765.99</t>
  </si>
  <si>
    <t>29182.62</t>
  </si>
  <si>
    <t>09639222830</t>
  </si>
  <si>
    <t>ISHAAN.CHOPRA442@REDIFFMAIL.COM</t>
  </si>
  <si>
    <t>601</t>
  </si>
  <si>
    <t>9147.81</t>
  </si>
  <si>
    <t>₹1,410,573</t>
  </si>
  <si>
    <t>1509604.0</t>
  </si>
  <si>
    <t>12/19/2025</t>
  </si>
  <si>
    <t>95343 92347</t>
  </si>
  <si>
    <t>1,162,790</t>
  </si>
  <si>
    <t>594</t>
  </si>
  <si>
    <t>28445.03</t>
  </si>
  <si>
    <t>577685</t>
  </si>
  <si>
    <t>64.1</t>
  </si>
  <si>
    <t>399116.0</t>
  </si>
  <si>
    <t>09182653501</t>
  </si>
  <si>
    <t>2,348,109</t>
  </si>
  <si>
    <t>597</t>
  </si>
  <si>
    <t>1176908.44</t>
  </si>
  <si>
    <t>26153.52</t>
  </si>
  <si>
    <t>₹841,666</t>
  </si>
  <si>
    <t>29.7</t>
  </si>
  <si>
    <t>514870.0</t>
  </si>
  <si>
    <t>27-01-2026</t>
  </si>
  <si>
    <t>386936</t>
  </si>
  <si>
    <t>665</t>
  </si>
  <si>
    <t>4280.65</t>
  </si>
  <si>
    <t>-4515032</t>
  </si>
  <si>
    <t>18.9</t>
  </si>
  <si>
    <t>5389766.0</t>
  </si>
  <si>
    <t>2026-08-08</t>
  </si>
  <si>
    <t>97325 92673</t>
  </si>
  <si>
    <t>1,739,797</t>
  </si>
  <si>
    <t>655</t>
  </si>
  <si>
    <t>25088.62</t>
  </si>
  <si>
    <t>69.7</t>
  </si>
  <si>
    <t>371045.0</t>
  </si>
  <si>
    <t>8561952.0</t>
  </si>
  <si>
    <t>2026/05/03</t>
  </si>
  <si>
    <t>98089415</t>
  </si>
  <si>
    <t xml:space="preserve"> saanvi.shah855@gmail.com </t>
  </si>
  <si>
    <t>388</t>
  </si>
  <si>
    <t>₹106,131</t>
  </si>
  <si>
    <t>5053.85</t>
  </si>
  <si>
    <t>01/27/2026</t>
  </si>
  <si>
    <t>kabir.agarwal696 at outlook.com</t>
  </si>
  <si>
    <t>772</t>
  </si>
  <si>
    <t>₹284,638</t>
  </si>
  <si>
    <t>7906.61</t>
  </si>
  <si>
    <t>2666740.0</t>
  </si>
  <si>
    <t>2026/03/29</t>
  </si>
  <si>
    <t>09424688774</t>
  </si>
  <si>
    <t>773</t>
  </si>
  <si>
    <t>741446.84</t>
  </si>
  <si>
    <t>16476.6</t>
  </si>
  <si>
    <t>₹1,955,889</t>
  </si>
  <si>
    <t>2579042.0</t>
  </si>
  <si>
    <t>22 Sep 2025</t>
  </si>
  <si>
    <t>divya singh</t>
  </si>
  <si>
    <t>505</t>
  </si>
  <si>
    <t>18,399</t>
  </si>
  <si>
    <t>1533.25</t>
  </si>
  <si>
    <t>683120</t>
  </si>
  <si>
    <t>54.4</t>
  </si>
  <si>
    <t>859</t>
  </si>
  <si>
    <t>46,983</t>
  </si>
  <si>
    <t>1118.64</t>
  </si>
  <si>
    <t>907,018</t>
  </si>
  <si>
    <t>974160.0</t>
  </si>
  <si>
    <t>+91-9792680500</t>
  </si>
  <si>
    <t>812</t>
  </si>
  <si>
    <t>1161824.81</t>
  </si>
  <si>
    <t>26405.11</t>
  </si>
  <si>
    <t>-415779</t>
  </si>
  <si>
    <t>54.9</t>
  </si>
  <si>
    <t>03/15/2026</t>
  </si>
  <si>
    <t>96194168</t>
  </si>
  <si>
    <t>713</t>
  </si>
  <si>
    <t>4326.37</t>
  </si>
  <si>
    <t>₹292,959</t>
  </si>
  <si>
    <t>2026-03-10</t>
  </si>
  <si>
    <t>+91-9169116659</t>
  </si>
  <si>
    <t xml:space="preserve"> riya.khanna64@rediffmail.com </t>
  </si>
  <si>
    <t>2151904</t>
  </si>
  <si>
    <t>628</t>
  </si>
  <si>
    <t>579.19</t>
  </si>
  <si>
    <t>59.5</t>
  </si>
  <si>
    <t>760378.0</t>
  </si>
  <si>
    <t>3025991.0</t>
  </si>
  <si>
    <t>08/03/2026</t>
  </si>
  <si>
    <t>09250927932</t>
  </si>
  <si>
    <t>aditya.rathi915 at gmail.com</t>
  </si>
  <si>
    <t>₹1,729,046</t>
  </si>
  <si>
    <t>197253.27</t>
  </si>
  <si>
    <t>7890.13</t>
  </si>
  <si>
    <t>5701436</t>
  </si>
  <si>
    <t>63.8</t>
  </si>
  <si>
    <t>208608.0</t>
  </si>
  <si>
    <t>7267495.0</t>
  </si>
  <si>
    <t>2025-09-21</t>
  </si>
  <si>
    <t>180247.95</t>
  </si>
  <si>
    <t>3534.27</t>
  </si>
  <si>
    <t>400906.0</t>
  </si>
  <si>
    <t>9629950772-XX</t>
  </si>
  <si>
    <t>2,045,837</t>
  </si>
  <si>
    <t>23717.83</t>
  </si>
  <si>
    <t>38664</t>
  </si>
  <si>
    <t>2026-05-26</t>
  </si>
  <si>
    <t>98340046</t>
  </si>
  <si>
    <t>1,882,208</t>
  </si>
  <si>
    <t>₹133,252</t>
  </si>
  <si>
    <t>2612.78</t>
  </si>
  <si>
    <t>1037755</t>
  </si>
  <si>
    <t>46.5</t>
  </si>
  <si>
    <t>1270888.0</t>
  </si>
  <si>
    <t>31 Dec 2025</t>
  </si>
  <si>
    <t>arjun verma</t>
  </si>
  <si>
    <t>1324435</t>
  </si>
  <si>
    <t>60,695</t>
  </si>
  <si>
    <t>1319.45</t>
  </si>
  <si>
    <t>568,970</t>
  </si>
  <si>
    <t>2026/02/05</t>
  </si>
  <si>
    <t>1153771</t>
  </si>
  <si>
    <t>694.8</t>
  </si>
  <si>
    <t>71.3</t>
  </si>
  <si>
    <t>438132.0</t>
  </si>
  <si>
    <t>+91-9510800934</t>
  </si>
  <si>
    <t>1,073,542</t>
  </si>
  <si>
    <t>603689.53</t>
  </si>
  <si>
    <t>12073.79</t>
  </si>
  <si>
    <t>850,571</t>
  </si>
  <si>
    <t>61.1</t>
  </si>
  <si>
    <t>987223.0</t>
  </si>
  <si>
    <t>SHREYA.KAPOOR587@REDIFFMAIL.COM</t>
  </si>
  <si>
    <t>₹115,995</t>
  </si>
  <si>
    <t>4296.11</t>
  </si>
  <si>
    <t>1007856</t>
  </si>
  <si>
    <t>23.2</t>
  </si>
  <si>
    <t>380171.0</t>
  </si>
  <si>
    <t>1147708.0</t>
  </si>
  <si>
    <t>2025/09/03</t>
  </si>
  <si>
    <t>neha.verma492 at rediffmail.com</t>
  </si>
  <si>
    <t>1459497</t>
  </si>
  <si>
    <t>564</t>
  </si>
  <si>
    <t>-111794.09</t>
  </si>
  <si>
    <t>3854.97</t>
  </si>
  <si>
    <t>1337941</t>
  </si>
  <si>
    <t>64.9</t>
  </si>
  <si>
    <t>1552923.0</t>
  </si>
  <si>
    <t>20-12-2025</t>
  </si>
  <si>
    <t>93764 29550</t>
  </si>
  <si>
    <t>757864</t>
  </si>
  <si>
    <t>633</t>
  </si>
  <si>
    <t>259355.87</t>
  </si>
  <si>
    <t>4715.56</t>
  </si>
  <si>
    <t>2,098,889</t>
  </si>
  <si>
    <t>2430071.0</t>
  </si>
  <si>
    <t>2026/03/02</t>
  </si>
  <si>
    <t>97348256</t>
  </si>
  <si>
    <t>2431470</t>
  </si>
  <si>
    <t>896</t>
  </si>
  <si>
    <t>136.66</t>
  </si>
  <si>
    <t>₹449,601</t>
  </si>
  <si>
    <t>66.7</t>
  </si>
  <si>
    <t>29.9</t>
  </si>
  <si>
    <t>2026/05/23</t>
  </si>
  <si>
    <t>09807808200</t>
  </si>
  <si>
    <t>1529204</t>
  </si>
  <si>
    <t>536</t>
  </si>
  <si>
    <t>69,704</t>
  </si>
  <si>
    <t>1181.43</t>
  </si>
  <si>
    <t>383369</t>
  </si>
  <si>
    <t>2025-12-21</t>
  </si>
  <si>
    <t>96772 60679</t>
  </si>
  <si>
    <t>1732655</t>
  </si>
  <si>
    <t>889</t>
  </si>
  <si>
    <t>513,767</t>
  </si>
  <si>
    <t>21406.96</t>
  </si>
  <si>
    <t>2025-10-02</t>
  </si>
  <si>
    <t>410</t>
  </si>
  <si>
    <t>55926.48</t>
  </si>
  <si>
    <t>407316</t>
  </si>
  <si>
    <t>95.2</t>
  </si>
  <si>
    <t>radhika.agarwal691 at hotmail.com</t>
  </si>
  <si>
    <t>498066.06</t>
  </si>
  <si>
    <t>10376.38</t>
  </si>
  <si>
    <t>23.7</t>
  </si>
  <si>
    <t>539351.0</t>
  </si>
  <si>
    <t>4814893.0</t>
  </si>
  <si>
    <t>18-11-2025</t>
  </si>
  <si>
    <t xml:space="preserve">  Self Employed - Professional  </t>
  </si>
  <si>
    <t>1,468,653</t>
  </si>
  <si>
    <t>328</t>
  </si>
  <si>
    <t>527297.72</t>
  </si>
  <si>
    <t>37664.12</t>
  </si>
  <si>
    <t>-56988</t>
  </si>
  <si>
    <t>490387.0</t>
  </si>
  <si>
    <t>2026/04/10</t>
  </si>
  <si>
    <t xml:space="preserve">  Anjali Nair  </t>
  </si>
  <si>
    <t>91932 69322</t>
  </si>
  <si>
    <t>1232988</t>
  </si>
  <si>
    <t>825</t>
  </si>
  <si>
    <t>5179.18</t>
  </si>
  <si>
    <t>93.6</t>
  </si>
  <si>
    <t>625873.0</t>
  </si>
  <si>
    <t>465819.0</t>
  </si>
  <si>
    <t>2025-12-16</t>
  </si>
  <si>
    <t>92626 00063</t>
  </si>
  <si>
    <t>672083</t>
  </si>
  <si>
    <t>3879.83</t>
  </si>
  <si>
    <t>794479</t>
  </si>
  <si>
    <t>22-01-2026</t>
  </si>
  <si>
    <t>1218261</t>
  </si>
  <si>
    <t>757</t>
  </si>
  <si>
    <t>237,851</t>
  </si>
  <si>
    <t>4404.65</t>
  </si>
  <si>
    <t>-2471561</t>
  </si>
  <si>
    <t>95.8</t>
  </si>
  <si>
    <t>2860191.0</t>
  </si>
  <si>
    <t>2026-01-10</t>
  </si>
  <si>
    <t>MANJU.BHATIA419@GMAIL.COM</t>
  </si>
  <si>
    <t>jaipur</t>
  </si>
  <si>
    <t>2024819</t>
  </si>
  <si>
    <t>574</t>
  </si>
  <si>
    <t>₹589,836</t>
  </si>
  <si>
    <t>22686.01</t>
  </si>
  <si>
    <t>43.9</t>
  </si>
  <si>
    <t>28.5</t>
  </si>
  <si>
    <t>490676.0</t>
  </si>
  <si>
    <t>2025-09-05</t>
  </si>
  <si>
    <t>1182747</t>
  </si>
  <si>
    <t>205,931</t>
  </si>
  <si>
    <t>9360.5</t>
  </si>
  <si>
    <t>1104975.0</t>
  </si>
  <si>
    <t>21-12-2025</t>
  </si>
  <si>
    <t>656,166</t>
  </si>
  <si>
    <t>320</t>
  </si>
  <si>
    <t>₹5,804</t>
  </si>
  <si>
    <t>126.17</t>
  </si>
  <si>
    <t>150198</t>
  </si>
  <si>
    <t>80.3</t>
  </si>
  <si>
    <t>355537.0</t>
  </si>
  <si>
    <t>93386 42289</t>
  </si>
  <si>
    <t>2424807</t>
  </si>
  <si>
    <t>1109640.74</t>
  </si>
  <si>
    <t>19467.38</t>
  </si>
  <si>
    <t>97.6</t>
  </si>
  <si>
    <t>757261.0</t>
  </si>
  <si>
    <t>12/10/2025</t>
  </si>
  <si>
    <t>anjali.agarwal86@yahoo,com</t>
  </si>
  <si>
    <t>547,182</t>
  </si>
  <si>
    <t>₹11,986</t>
  </si>
  <si>
    <t>214.04</t>
  </si>
  <si>
    <t>1546739</t>
  </si>
  <si>
    <t>2134976.0</t>
  </si>
  <si>
    <t>2135432</t>
  </si>
  <si>
    <t>837</t>
  </si>
  <si>
    <t>10580.02</t>
  </si>
  <si>
    <t>6212527.0</t>
  </si>
  <si>
    <t>08-12-2025</t>
  </si>
  <si>
    <t>sanjay shah</t>
  </si>
  <si>
    <t xml:space="preserve"> sanjay.shah620@outlook.com </t>
  </si>
  <si>
    <t>pune</t>
  </si>
  <si>
    <t>483</t>
  </si>
  <si>
    <t>4891.91</t>
  </si>
  <si>
    <t>183494</t>
  </si>
  <si>
    <t>627258.0</t>
  </si>
  <si>
    <t>2025-12-02</t>
  </si>
  <si>
    <t>1,149,716</t>
  </si>
  <si>
    <t>569</t>
  </si>
  <si>
    <t>19441.46</t>
  </si>
  <si>
    <t>4269584</t>
  </si>
  <si>
    <t>86.1</t>
  </si>
  <si>
    <t>20.9</t>
  </si>
  <si>
    <t>152003.0</t>
  </si>
  <si>
    <t>5066386.0</t>
  </si>
  <si>
    <t>2025-11-18</t>
  </si>
  <si>
    <t>91835236</t>
  </si>
  <si>
    <t>1671912</t>
  </si>
  <si>
    <t>20837.27</t>
  </si>
  <si>
    <t>1394683</t>
  </si>
  <si>
    <t>477932.0</t>
  </si>
  <si>
    <t>1655591.0</t>
  </si>
  <si>
    <t>06/07/2026</t>
  </si>
  <si>
    <t xml:space="preserve">  Indore  </t>
  </si>
  <si>
    <t>1101045</t>
  </si>
  <si>
    <t>₹238,481</t>
  </si>
  <si>
    <t>9936.69</t>
  </si>
  <si>
    <t>327331</t>
  </si>
  <si>
    <t>509051.0</t>
  </si>
  <si>
    <t>01/13/2026</t>
  </si>
  <si>
    <t>2285786</t>
  </si>
  <si>
    <t>678</t>
  </si>
  <si>
    <t>39,549</t>
  </si>
  <si>
    <t>693.84</t>
  </si>
  <si>
    <t>223107.0</t>
  </si>
  <si>
    <t>27-07-2026</t>
  </si>
  <si>
    <t>KOCHI</t>
  </si>
  <si>
    <t>1,991,030</t>
  </si>
  <si>
    <t>813</t>
  </si>
  <si>
    <t>176222.82</t>
  </si>
  <si>
    <t>6076.65</t>
  </si>
  <si>
    <t>110484</t>
  </si>
  <si>
    <t>31.2</t>
  </si>
  <si>
    <t>355322.0</t>
  </si>
  <si>
    <t>06/11/2026</t>
  </si>
  <si>
    <t>91972 39910</t>
  </si>
  <si>
    <t>₹343,783</t>
  </si>
  <si>
    <t>552</t>
  </si>
  <si>
    <t>₹63,486</t>
  </si>
  <si>
    <t>1154.29</t>
  </si>
  <si>
    <t>₹833,714</t>
  </si>
  <si>
    <t>291184.0</t>
  </si>
  <si>
    <t>2026/01/05</t>
  </si>
  <si>
    <t>AMIT.GUPTA364@REDIFFMAIL.COM</t>
  </si>
  <si>
    <t>-1015022</t>
  </si>
  <si>
    <t>515</t>
  </si>
  <si>
    <t>15518.21</t>
  </si>
  <si>
    <t>905,424</t>
  </si>
  <si>
    <t>17.9</t>
  </si>
  <si>
    <t>500766.0</t>
  </si>
  <si>
    <t>1064980.0</t>
  </si>
  <si>
    <t>2026/04/26</t>
  </si>
  <si>
    <t>+91-9499735559</t>
  </si>
  <si>
    <t>1805269</t>
  </si>
  <si>
    <t>₹202,672</t>
  </si>
  <si>
    <t>5960.94</t>
  </si>
  <si>
    <t>₹641,302</t>
  </si>
  <si>
    <t>22.7</t>
  </si>
  <si>
    <t>750444.0</t>
  </si>
  <si>
    <t>2026/04/30</t>
  </si>
  <si>
    <t>93515809</t>
  </si>
  <si>
    <t>-1980867</t>
  </si>
  <si>
    <t>836</t>
  </si>
  <si>
    <t>4914.09</t>
  </si>
  <si>
    <t>186,200</t>
  </si>
  <si>
    <t>79.9</t>
  </si>
  <si>
    <t>783926.48</t>
  </si>
  <si>
    <t>18664.92</t>
  </si>
  <si>
    <t>-5387985</t>
  </si>
  <si>
    <t>77.5</t>
  </si>
  <si>
    <t>7000257.0</t>
  </si>
  <si>
    <t>05/26/2026</t>
  </si>
  <si>
    <t>98950 29707</t>
  </si>
  <si>
    <t>1848254</t>
  </si>
  <si>
    <t>707</t>
  </si>
  <si>
    <t>₹1,014,232</t>
  </si>
  <si>
    <t>19136.46</t>
  </si>
  <si>
    <t>₹194,787</t>
  </si>
  <si>
    <t>656455.0</t>
  </si>
  <si>
    <t>25-11-2025</t>
  </si>
  <si>
    <t>99957503</t>
  </si>
  <si>
    <t>351,273</t>
  </si>
  <si>
    <t>1897.42</t>
  </si>
  <si>
    <t>5043826</t>
  </si>
  <si>
    <t>33.8</t>
  </si>
  <si>
    <t>7025760.0</t>
  </si>
  <si>
    <t>2025-10-22</t>
  </si>
  <si>
    <t>99156258</t>
  </si>
  <si>
    <t>1128849</t>
  </si>
  <si>
    <t>190,808</t>
  </si>
  <si>
    <t>10042.5</t>
  </si>
  <si>
    <t>5360862</t>
  </si>
  <si>
    <t>6763760.0</t>
  </si>
  <si>
    <t>2026-01-25</t>
  </si>
  <si>
    <t>581</t>
  </si>
  <si>
    <t>135222.46</t>
  </si>
  <si>
    <t>3298.11</t>
  </si>
  <si>
    <t>03/09/2026</t>
  </si>
  <si>
    <t>ashok.gupta950 at outlook.com</t>
  </si>
  <si>
    <t>-1377340</t>
  </si>
  <si>
    <t>419</t>
  </si>
  <si>
    <t>₹655,871</t>
  </si>
  <si>
    <t>13663.98</t>
  </si>
  <si>
    <t>935859</t>
  </si>
  <si>
    <t>1034471.0</t>
  </si>
  <si>
    <t>2026-08-04</t>
  </si>
  <si>
    <t>141.43</t>
  </si>
  <si>
    <t>441780.0</t>
  </si>
  <si>
    <t>05 Feb 2026</t>
  </si>
  <si>
    <t>tanya.singh875 at hotmail.com</t>
  </si>
  <si>
    <t>1990045</t>
  </si>
  <si>
    <t>69179.62</t>
  </si>
  <si>
    <t>₹834,346</t>
  </si>
  <si>
    <t>40.1</t>
  </si>
  <si>
    <t>413720.0</t>
  </si>
  <si>
    <t>18-01-2026</t>
  </si>
  <si>
    <t>462</t>
  </si>
  <si>
    <t>901795.8</t>
  </si>
  <si>
    <t>15284.67</t>
  </si>
  <si>
    <t>6114324</t>
  </si>
  <si>
    <t>76.4</t>
  </si>
  <si>
    <t>7799286.0</t>
  </si>
  <si>
    <t>2026/05/25</t>
  </si>
  <si>
    <t>96313 23119</t>
  </si>
  <si>
    <t xml:space="preserve"> rekha.chopra775@hotmail.com </t>
  </si>
  <si>
    <t>1977949</t>
  </si>
  <si>
    <t>₹810,981</t>
  </si>
  <si>
    <t>45054.5</t>
  </si>
  <si>
    <t xml:space="preserve">  Home Loan  </t>
  </si>
  <si>
    <t>₹6,366,716</t>
  </si>
  <si>
    <t>7839051.0</t>
  </si>
  <si>
    <t>98348 29245</t>
  </si>
  <si>
    <t>1,109,633</t>
  </si>
  <si>
    <t>314360.51</t>
  </si>
  <si>
    <t>5515.1</t>
  </si>
  <si>
    <t>388,400</t>
  </si>
  <si>
    <t>282658.0</t>
  </si>
  <si>
    <t>2026/02/11</t>
  </si>
  <si>
    <t>164,937</t>
  </si>
  <si>
    <t>3298.74</t>
  </si>
  <si>
    <t>74.0</t>
  </si>
  <si>
    <t>02-04-2026</t>
  </si>
  <si>
    <t>+91-9381856258</t>
  </si>
  <si>
    <t>SALARIED - EDUCATION</t>
  </si>
  <si>
    <t>637</t>
  </si>
  <si>
    <t>41540.56</t>
  </si>
  <si>
    <t>7448218</t>
  </si>
  <si>
    <t>9537032.0</t>
  </si>
  <si>
    <t>08-09-2025</t>
  </si>
  <si>
    <t>KAVYA AGARWAL</t>
  </si>
  <si>
    <t>+91-9489472182</t>
  </si>
  <si>
    <t>kavya.agarwal731@outlook,com</t>
  </si>
  <si>
    <t>2,144,916</t>
  </si>
  <si>
    <t>599</t>
  </si>
  <si>
    <t>₹1,105,680</t>
  </si>
  <si>
    <t>39488.56</t>
  </si>
  <si>
    <t>60.4</t>
  </si>
  <si>
    <t>16.6</t>
  </si>
  <si>
    <t>2026-07-21</t>
  </si>
  <si>
    <t>94374 73012</t>
  </si>
  <si>
    <t>REKHA.DESAI536@OUTLOOK.COM</t>
  </si>
  <si>
    <t>650</t>
  </si>
  <si>
    <t>₹313,209</t>
  </si>
  <si>
    <t>12528.38</t>
  </si>
  <si>
    <t>207379</t>
  </si>
  <si>
    <t>78.9</t>
  </si>
  <si>
    <t>21.9</t>
  </si>
  <si>
    <t>2025/12/20</t>
  </si>
  <si>
    <t>562</t>
  </si>
  <si>
    <t>302,911</t>
  </si>
  <si>
    <t>13170.05</t>
  </si>
  <si>
    <t>289431</t>
  </si>
  <si>
    <t>48.3</t>
  </si>
  <si>
    <t>01/28/2026</t>
  </si>
  <si>
    <t>385</t>
  </si>
  <si>
    <t>-146882.56</t>
  </si>
  <si>
    <t>8160.14</t>
  </si>
  <si>
    <t>677356</t>
  </si>
  <si>
    <t>59.1</t>
  </si>
  <si>
    <t>754324.0</t>
  </si>
  <si>
    <t>2026/01/01</t>
  </si>
  <si>
    <t>96289307</t>
  </si>
  <si>
    <t>1556769</t>
  </si>
  <si>
    <t>815</t>
  </si>
  <si>
    <t>288,442</t>
  </si>
  <si>
    <t>7211.05</t>
  </si>
  <si>
    <t>-416682</t>
  </si>
  <si>
    <t>51.3</t>
  </si>
  <si>
    <t>17-02-2026</t>
  </si>
  <si>
    <t>92961250</t>
  </si>
  <si>
    <t>1580872</t>
  </si>
  <si>
    <t>25791.18</t>
  </si>
  <si>
    <t>-627968</t>
  </si>
  <si>
    <t>42.6</t>
  </si>
  <si>
    <t>693199.0</t>
  </si>
  <si>
    <t>2026/01/07</t>
  </si>
  <si>
    <t>₹2,186,211</t>
  </si>
  <si>
    <t>-72548.22</t>
  </si>
  <si>
    <t>1909.16</t>
  </si>
  <si>
    <t>77.9</t>
  </si>
  <si>
    <t>689365.0</t>
  </si>
  <si>
    <t>09572557156</t>
  </si>
  <si>
    <t>1665174</t>
  </si>
  <si>
    <t>130,088</t>
  </si>
  <si>
    <t>3613.56</t>
  </si>
  <si>
    <t>3595861</t>
  </si>
  <si>
    <t>4426995.0</t>
  </si>
  <si>
    <t>25-03-2026</t>
  </si>
  <si>
    <t>97333018</t>
  </si>
  <si>
    <t>₹1,675,069</t>
  </si>
  <si>
    <t>598</t>
  </si>
  <si>
    <t>5775.39</t>
  </si>
  <si>
    <t>72.6</t>
  </si>
  <si>
    <t>501245.0</t>
  </si>
  <si>
    <t>92506 13697</t>
  </si>
  <si>
    <t>552859</t>
  </si>
  <si>
    <t>332</t>
  </si>
  <si>
    <t>9949.27</t>
  </si>
  <si>
    <t>3871010</t>
  </si>
  <si>
    <t>65.3</t>
  </si>
  <si>
    <t>5042021.0</t>
  </si>
  <si>
    <t>2025/12/01</t>
  </si>
  <si>
    <t>606292</t>
  </si>
  <si>
    <t>742</t>
  </si>
  <si>
    <t>₹323,541</t>
  </si>
  <si>
    <t>8744.34</t>
  </si>
  <si>
    <t>42.0</t>
  </si>
  <si>
    <t>377239.0</t>
  </si>
  <si>
    <t>2026-06-16</t>
  </si>
  <si>
    <t>1593865</t>
  </si>
  <si>
    <t>₹516,485</t>
  </si>
  <si>
    <t>32280.32</t>
  </si>
  <si>
    <t>961308</t>
  </si>
  <si>
    <t>1033043.0</t>
  </si>
  <si>
    <t>03/06/2026</t>
  </si>
  <si>
    <t>9894475285-XX</t>
  </si>
  <si>
    <t>₹1,133,147</t>
  </si>
  <si>
    <t>344501.62</t>
  </si>
  <si>
    <t>7030.65</t>
  </si>
  <si>
    <t>105397</t>
  </si>
  <si>
    <t>2026-05-13</t>
  </si>
  <si>
    <t>NEHA.SHARMA390@HOTMAIL.COM</t>
  </si>
  <si>
    <t>1,600,157</t>
  </si>
  <si>
    <t>104,079</t>
  </si>
  <si>
    <t>2891.1</t>
  </si>
  <si>
    <t>1,632,959</t>
  </si>
  <si>
    <t>266819.0</t>
  </si>
  <si>
    <t>2121297.0</t>
  </si>
  <si>
    <t>11-12-2025</t>
  </si>
  <si>
    <t>2,475,164</t>
  </si>
  <si>
    <t>412</t>
  </si>
  <si>
    <t>₹194,686</t>
  </si>
  <si>
    <t>14975.82</t>
  </si>
  <si>
    <t>-3211921</t>
  </si>
  <si>
    <t>64.4</t>
  </si>
  <si>
    <t>3731047.0</t>
  </si>
  <si>
    <t>07 Mar 2026</t>
  </si>
  <si>
    <t>2061116</t>
  </si>
  <si>
    <t>544648.87</t>
  </si>
  <si>
    <t>10892.98</t>
  </si>
  <si>
    <t>183279</t>
  </si>
  <si>
    <t>29 Oct 2025</t>
  </si>
  <si>
    <t>₹1,347,648</t>
  </si>
  <si>
    <t>12009.45</t>
  </si>
  <si>
    <t>576,209</t>
  </si>
  <si>
    <t>40.6</t>
  </si>
  <si>
    <t>621494.0</t>
  </si>
  <si>
    <t>09526021671</t>
  </si>
  <si>
    <t>₹49,284</t>
  </si>
  <si>
    <t>1760.13</t>
  </si>
  <si>
    <t>67.3</t>
  </si>
  <si>
    <t>3277149.0</t>
  </si>
  <si>
    <t>AMIT.GUPTA375@HOTMAIL.COM</t>
  </si>
  <si>
    <t>₹696,712</t>
  </si>
  <si>
    <t>602</t>
  </si>
  <si>
    <t>52796.52</t>
  </si>
  <si>
    <t>1552.84</t>
  </si>
  <si>
    <t>1249097</t>
  </si>
  <si>
    <t>98.5</t>
  </si>
  <si>
    <t>28.3</t>
  </si>
  <si>
    <t>1505390.0</t>
  </si>
  <si>
    <t>2025/12/05</t>
  </si>
  <si>
    <t>+91-9745250434</t>
  </si>
  <si>
    <t>isha.desai799@yahoo,com</t>
  </si>
  <si>
    <t>9459.87</t>
  </si>
  <si>
    <t>-934199</t>
  </si>
  <si>
    <t>divorced</t>
  </si>
  <si>
    <t>03/29/2026</t>
  </si>
  <si>
    <t>9246157602-XX</t>
  </si>
  <si>
    <t>720</t>
  </si>
  <si>
    <t>135277.64</t>
  </si>
  <si>
    <t>3220.9</t>
  </si>
  <si>
    <t>₹851,733</t>
  </si>
  <si>
    <t>97.8</t>
  </si>
  <si>
    <t>14 Jan 2026</t>
  </si>
  <si>
    <t>PRIYA KUMAR</t>
  </si>
  <si>
    <t>business owner</t>
  </si>
  <si>
    <t>897,304</t>
  </si>
  <si>
    <t>618</t>
  </si>
  <si>
    <t>-282242.1</t>
  </si>
  <si>
    <t>5427.73</t>
  </si>
  <si>
    <t>33.4</t>
  </si>
  <si>
    <t>4293651.0</t>
  </si>
  <si>
    <t>2026-01-03</t>
  </si>
  <si>
    <t>neha malhotra</t>
  </si>
  <si>
    <t>1440.64</t>
  </si>
  <si>
    <t>2277903.0</t>
  </si>
  <si>
    <t>09631476522</t>
  </si>
  <si>
    <t>1876313</t>
  </si>
  <si>
    <t>12539.64</t>
  </si>
  <si>
    <t>321793</t>
  </si>
  <si>
    <t>96.8</t>
  </si>
  <si>
    <t>329</t>
  </si>
  <si>
    <t>29254.81</t>
  </si>
  <si>
    <t>1044.81</t>
  </si>
  <si>
    <t>1021524</t>
  </si>
  <si>
    <t>96.7</t>
  </si>
  <si>
    <t>1205048.0</t>
  </si>
  <si>
    <t>1,254,501</t>
  </si>
  <si>
    <t>235538.34</t>
  </si>
  <si>
    <t>5477.64</t>
  </si>
  <si>
    <t>₹843,315</t>
  </si>
  <si>
    <t>30.1</t>
  </si>
  <si>
    <t>01/31/2026</t>
  </si>
  <si>
    <t>deepak.mishra304@rediffmail,com</t>
  </si>
  <si>
    <t>1,133,071</t>
  </si>
  <si>
    <t>99097.56</t>
  </si>
  <si>
    <t>3002.96</t>
  </si>
  <si>
    <t>₹1,132,059</t>
  </si>
  <si>
    <t>41.6</t>
  </si>
  <si>
    <t>18.5</t>
  </si>
  <si>
    <t>1244337.0</t>
  </si>
  <si>
    <t>13-11-2025</t>
  </si>
  <si>
    <t>vikram sharma</t>
  </si>
  <si>
    <t>+91-9630957739</t>
  </si>
  <si>
    <t>909,754</t>
  </si>
  <si>
    <t>749</t>
  </si>
  <si>
    <t>226,270</t>
  </si>
  <si>
    <t>4814.25</t>
  </si>
  <si>
    <t>₹482,352</t>
  </si>
  <si>
    <t>2026/03/03</t>
  </si>
  <si>
    <t>09352013447</t>
  </si>
  <si>
    <t>567626.95</t>
  </si>
  <si>
    <t>12339.72</t>
  </si>
  <si>
    <t>519797</t>
  </si>
  <si>
    <t>591308.0</t>
  </si>
  <si>
    <t>2026/06/24</t>
  </si>
  <si>
    <t>ROHAN.SHARMA460@REDIFFMAIL.COM</t>
  </si>
  <si>
    <t>920254</t>
  </si>
  <si>
    <t>558</t>
  </si>
  <si>
    <t>9018.66</t>
  </si>
  <si>
    <t>₹394,138</t>
  </si>
  <si>
    <t>45.9</t>
  </si>
  <si>
    <t>2025-11-07</t>
  </si>
  <si>
    <t>94376473</t>
  </si>
  <si>
    <t>554</t>
  </si>
  <si>
    <t>₹58,576</t>
  </si>
  <si>
    <t>976.27</t>
  </si>
  <si>
    <t>926336</t>
  </si>
  <si>
    <t>04 Nov 2025</t>
  </si>
  <si>
    <t>1074127</t>
  </si>
  <si>
    <t>383</t>
  </si>
  <si>
    <t>218941.56</t>
  </si>
  <si>
    <t>3649.03</t>
  </si>
  <si>
    <t>88.5</t>
  </si>
  <si>
    <t>95024 77106</t>
  </si>
  <si>
    <t>nisha.agarwal880@gmail,com</t>
  </si>
  <si>
    <t>418,754</t>
  </si>
  <si>
    <t>10468.85</t>
  </si>
  <si>
    <t>₹581,972</t>
  </si>
  <si>
    <t>2026-08-10</t>
  </si>
  <si>
    <t>09207075216</t>
  </si>
  <si>
    <t>15691.8</t>
  </si>
  <si>
    <t>₹3,079,911</t>
  </si>
  <si>
    <t>4052788.0</t>
  </si>
  <si>
    <t>2026/02/06</t>
  </si>
  <si>
    <t>nisha.agarwal545 at rediffmail.com</t>
  </si>
  <si>
    <t>868,226</t>
  </si>
  <si>
    <t>745</t>
  </si>
  <si>
    <t>4568.08</t>
  </si>
  <si>
    <t>₹277,550</t>
  </si>
  <si>
    <t>58.3</t>
  </si>
  <si>
    <t>19.3</t>
  </si>
  <si>
    <t>VINOD.SETHI556@YAHOO.COM</t>
  </si>
  <si>
    <t>₹417,285</t>
  </si>
  <si>
    <t>3749.86</t>
  </si>
  <si>
    <t>85.7</t>
  </si>
  <si>
    <t>316175.0</t>
  </si>
  <si>
    <t>9247348.0</t>
  </si>
  <si>
    <t>2026/07/19</t>
  </si>
  <si>
    <t>aditya.khanna211@gmail,com</t>
  </si>
  <si>
    <t>1042634</t>
  </si>
  <si>
    <t>325.15</t>
  </si>
  <si>
    <t>88.8</t>
  </si>
  <si>
    <t>03/26/2026</t>
  </si>
  <si>
    <t xml:space="preserve"> meera.nair837@hotmail.com </t>
  </si>
  <si>
    <t>1,182,146</t>
  </si>
  <si>
    <t>27491.77</t>
  </si>
  <si>
    <t>116132</t>
  </si>
  <si>
    <t>791631.0</t>
  </si>
  <si>
    <t>2025/12/07</t>
  </si>
  <si>
    <t>+91-9634688227</t>
  </si>
  <si>
    <t>₹758,621</t>
  </si>
  <si>
    <t>369</t>
  </si>
  <si>
    <t>110038.82</t>
  </si>
  <si>
    <t>2157.62</t>
  </si>
  <si>
    <t>1218780</t>
  </si>
  <si>
    <t>1362924.0</t>
  </si>
  <si>
    <t>9315445536-XX</t>
  </si>
  <si>
    <t xml:space="preserve">  Chennai  </t>
  </si>
  <si>
    <t>2420617</t>
  </si>
  <si>
    <t>36759.02</t>
  </si>
  <si>
    <t>918.98</t>
  </si>
  <si>
    <t>462196</t>
  </si>
  <si>
    <t>55.2</t>
  </si>
  <si>
    <t>17.2</t>
  </si>
  <si>
    <t>1,925,407</t>
  </si>
  <si>
    <t>630281.06</t>
  </si>
  <si>
    <t>48483.16</t>
  </si>
  <si>
    <t>6294021</t>
  </si>
  <si>
    <t>7992036.0</t>
  </si>
  <si>
    <t>11/12/2025</t>
  </si>
  <si>
    <t>93403 46197</t>
  </si>
  <si>
    <t>-972416</t>
  </si>
  <si>
    <t>770</t>
  </si>
  <si>
    <t>₹239,431</t>
  </si>
  <si>
    <t>5205.02</t>
  </si>
  <si>
    <t>2025/11/02</t>
  </si>
  <si>
    <t>+91-9332958281</t>
  </si>
  <si>
    <t>2012148</t>
  </si>
  <si>
    <t>855</t>
  </si>
  <si>
    <t>787438.96</t>
  </si>
  <si>
    <t>25401.26</t>
  </si>
  <si>
    <t>₹1,926,860</t>
  </si>
  <si>
    <t>37.1</t>
  </si>
  <si>
    <t>304840.0</t>
  </si>
  <si>
    <t>2586443.0</t>
  </si>
  <si>
    <t>07/20/2026</t>
  </si>
  <si>
    <t>93123 96606</t>
  </si>
  <si>
    <t>kiran.rathi155 at hotmail.com</t>
  </si>
  <si>
    <t>2,341,304</t>
  </si>
  <si>
    <t>336</t>
  </si>
  <si>
    <t>-949898.98</t>
  </si>
  <si>
    <t>59368.69</t>
  </si>
  <si>
    <t>31254</t>
  </si>
  <si>
    <t>86.9</t>
  </si>
  <si>
    <t>309759.0</t>
  </si>
  <si>
    <t>20-06-2026</t>
  </si>
  <si>
    <t>-970301</t>
  </si>
  <si>
    <t>1960.59</t>
  </si>
  <si>
    <t>7,370,873</t>
  </si>
  <si>
    <t>70.5</t>
  </si>
  <si>
    <t>13.6</t>
  </si>
  <si>
    <t>9355260.0</t>
  </si>
  <si>
    <t>2025/09/05</t>
  </si>
  <si>
    <t>+91-9573451981</t>
  </si>
  <si>
    <t>438</t>
  </si>
  <si>
    <t>₹652,283</t>
  </si>
  <si>
    <t>11859.69</t>
  </si>
  <si>
    <t>2753979</t>
  </si>
  <si>
    <t>93.8</t>
  </si>
  <si>
    <t>3178061.0</t>
  </si>
  <si>
    <t>06/24/2026</t>
  </si>
  <si>
    <t>93713 51496</t>
  </si>
  <si>
    <t>₹202,501</t>
  </si>
  <si>
    <t>6982.8</t>
  </si>
  <si>
    <t>57.4</t>
  </si>
  <si>
    <t>9308503.0</t>
  </si>
  <si>
    <t>9962371481-XX</t>
  </si>
  <si>
    <t>₹1,397,179</t>
  </si>
  <si>
    <t>₹112,539</t>
  </si>
  <si>
    <t>3516.85</t>
  </si>
  <si>
    <t>32062</t>
  </si>
  <si>
    <t>81.6</t>
  </si>
  <si>
    <t>SWATI GUPTA</t>
  </si>
  <si>
    <t>swati.gupta597 at hotmail.com</t>
  </si>
  <si>
    <t>393</t>
  </si>
  <si>
    <t>₹230,809</t>
  </si>
  <si>
    <t>13577.01</t>
  </si>
  <si>
    <t>247000</t>
  </si>
  <si>
    <t>27.1</t>
  </si>
  <si>
    <t>890947.0</t>
  </si>
  <si>
    <t>08/07/2026</t>
  </si>
  <si>
    <t>+91-9575148289</t>
  </si>
  <si>
    <t>usha.verma190@rediffmail,com</t>
  </si>
  <si>
    <t>1404199</t>
  </si>
  <si>
    <t>377</t>
  </si>
  <si>
    <t>₹158,561</t>
  </si>
  <si>
    <t>4955.03</t>
  </si>
  <si>
    <t>220313</t>
  </si>
  <si>
    <t>408569.0</t>
  </si>
  <si>
    <t>17 Jan 2026</t>
  </si>
  <si>
    <t>09167412709</t>
  </si>
  <si>
    <t>-350327</t>
  </si>
  <si>
    <t>670</t>
  </si>
  <si>
    <t>24,455</t>
  </si>
  <si>
    <t>489.11</t>
  </si>
  <si>
    <t>₹318,425</t>
  </si>
  <si>
    <t>84.8</t>
  </si>
  <si>
    <t>899323.0</t>
  </si>
  <si>
    <t>2026-08-14</t>
  </si>
  <si>
    <t>neha.sethi333 at hotmail.com</t>
  </si>
  <si>
    <t>34,176</t>
  </si>
  <si>
    <t>657.23</t>
  </si>
  <si>
    <t>468820</t>
  </si>
  <si>
    <t>46.3</t>
  </si>
  <si>
    <t>504216.0</t>
  </si>
  <si>
    <t>03/14/2026</t>
  </si>
  <si>
    <t>SUNITA BHATIA</t>
  </si>
  <si>
    <t>09689837130</t>
  </si>
  <si>
    <t>sunita.bhatia285 at yahoo.com</t>
  </si>
  <si>
    <t>2665.76</t>
  </si>
  <si>
    <t>6598744</t>
  </si>
  <si>
    <t>622844.0</t>
  </si>
  <si>
    <t>8576909.0</t>
  </si>
  <si>
    <t>24-05-2026</t>
  </si>
  <si>
    <t>ashok.shah706 at yahoo.com</t>
  </si>
  <si>
    <t>bengaluru</t>
  </si>
  <si>
    <t>2175181</t>
  </si>
  <si>
    <t>620</t>
  </si>
  <si>
    <t>827271.05</t>
  </si>
  <si>
    <t>19696.93</t>
  </si>
  <si>
    <t>₹1,463,910</t>
  </si>
  <si>
    <t>1680155.0</t>
  </si>
  <si>
    <t>2026-04-23</t>
  </si>
  <si>
    <t>09202631097</t>
  </si>
  <si>
    <t>₹2,359,153</t>
  </si>
  <si>
    <t>636242.23</t>
  </si>
  <si>
    <t>26510.09</t>
  </si>
  <si>
    <t>₹600,067</t>
  </si>
  <si>
    <t>18.7</t>
  </si>
  <si>
    <t>748318.0</t>
  </si>
  <si>
    <t>ARYAN.SAXENA662@YAHOO.COM</t>
  </si>
  <si>
    <t>1117650</t>
  </si>
  <si>
    <t>-199954.52</t>
  </si>
  <si>
    <t>7998.18</t>
  </si>
  <si>
    <t>360486</t>
  </si>
  <si>
    <t>20 Oct 2025</t>
  </si>
  <si>
    <t>neha.nair724@rediffmail,com</t>
  </si>
  <si>
    <t>-1653936</t>
  </si>
  <si>
    <t>2425.35</t>
  </si>
  <si>
    <t>717369.0</t>
  </si>
  <si>
    <t>7791290.0</t>
  </si>
  <si>
    <t>09/29/2025</t>
  </si>
  <si>
    <t>9275429796-XX</t>
  </si>
  <si>
    <t>159980.44</t>
  </si>
  <si>
    <t>4323.8</t>
  </si>
  <si>
    <t>₹624,721</t>
  </si>
  <si>
    <t>82.4</t>
  </si>
  <si>
    <t>28-04-2026</t>
  </si>
  <si>
    <t>09349822837</t>
  </si>
  <si>
    <t>724</t>
  </si>
  <si>
    <t>646,883</t>
  </si>
  <si>
    <t>46205.96</t>
  </si>
  <si>
    <t>668,312</t>
  </si>
  <si>
    <t>2026-07-13</t>
  </si>
  <si>
    <t xml:space="preserve"> nikhil.nair384@rediffmail.com </t>
  </si>
  <si>
    <t>salaried - it/tech</t>
  </si>
  <si>
    <t>1,702,934</t>
  </si>
  <si>
    <t>₹29,445</t>
  </si>
  <si>
    <t>588.89</t>
  </si>
  <si>
    <t>₹3,216,225</t>
  </si>
  <si>
    <t>4356264.0</t>
  </si>
  <si>
    <t>2026-02-26</t>
  </si>
  <si>
    <t>₹521,724</t>
  </si>
  <si>
    <t>12724.98</t>
  </si>
  <si>
    <t>6548373</t>
  </si>
  <si>
    <t>92.5</t>
  </si>
  <si>
    <t>230446.0</t>
  </si>
  <si>
    <t>8933890.0</t>
  </si>
  <si>
    <t>manish.kapoor747@rediffmail,com</t>
  </si>
  <si>
    <t>1,203,069</t>
  </si>
  <si>
    <t>586</t>
  </si>
  <si>
    <t>3863.58</t>
  </si>
  <si>
    <t>457792.0</t>
  </si>
  <si>
    <t>AYAAN.GUPTA241@HOTMAIL.COM</t>
  </si>
  <si>
    <t>-2312112</t>
  </si>
  <si>
    <t>686</t>
  </si>
  <si>
    <t>-41476.67</t>
  </si>
  <si>
    <t>964.57</t>
  </si>
  <si>
    <t>5406588</t>
  </si>
  <si>
    <t>97.4</t>
  </si>
  <si>
    <t>509378.0</t>
  </si>
  <si>
    <t>7519469.0</t>
  </si>
  <si>
    <t>2025-11-30</t>
  </si>
  <si>
    <t xml:space="preserve"> tanya.rathi666@gmail.com </t>
  </si>
  <si>
    <t>1,271,068</t>
  </si>
  <si>
    <t>676</t>
  </si>
  <si>
    <t>8284.78</t>
  </si>
  <si>
    <t>₹441,399</t>
  </si>
  <si>
    <t>2025-11-09</t>
  </si>
  <si>
    <t>96309 76793</t>
  </si>
  <si>
    <t>1361999</t>
  </si>
  <si>
    <t>852</t>
  </si>
  <si>
    <t>117377.07</t>
  </si>
  <si>
    <t>5335.32</t>
  </si>
  <si>
    <t>200068</t>
  </si>
  <si>
    <t>08/15/2026</t>
  </si>
  <si>
    <t>geeta.malhotra514 at rediffmail.com</t>
  </si>
  <si>
    <t>990,809</t>
  </si>
  <si>
    <t>2071.79</t>
  </si>
  <si>
    <t>-5888257</t>
  </si>
  <si>
    <t>42.3</t>
  </si>
  <si>
    <t>7825791.0</t>
  </si>
  <si>
    <t>2026/05/11</t>
  </si>
  <si>
    <t>+91-9177531324</t>
  </si>
  <si>
    <t>705116</t>
  </si>
  <si>
    <t>512</t>
  </si>
  <si>
    <t>₹78,570</t>
  </si>
  <si>
    <t>1428.55</t>
  </si>
  <si>
    <t>₹55,138</t>
  </si>
  <si>
    <t>95.3</t>
  </si>
  <si>
    <t>17-07-2026</t>
  </si>
  <si>
    <t>9627565288-XX</t>
  </si>
  <si>
    <t xml:space="preserve">mumbai </t>
  </si>
  <si>
    <t>659</t>
  </si>
  <si>
    <t>1302050.21</t>
  </si>
  <si>
    <t>23673.64</t>
  </si>
  <si>
    <t>96.5</t>
  </si>
  <si>
    <t>2312454.0</t>
  </si>
  <si>
    <t>2025-12-27</t>
  </si>
  <si>
    <t>pooja verma</t>
  </si>
  <si>
    <t>818</t>
  </si>
  <si>
    <t>₹91,510</t>
  </si>
  <si>
    <t>2079.78</t>
  </si>
  <si>
    <t>535679</t>
  </si>
  <si>
    <t>58.7</t>
  </si>
  <si>
    <t>2025-09-15</t>
  </si>
  <si>
    <t>685</t>
  </si>
  <si>
    <t>1538.93</t>
  </si>
  <si>
    <t>406589</t>
  </si>
  <si>
    <t>248999.0</t>
  </si>
  <si>
    <t>95616 80490</t>
  </si>
  <si>
    <t>kiran.tiwari22 at rediffmail.com</t>
  </si>
  <si>
    <t>2,055,838</t>
  </si>
  <si>
    <t>366</t>
  </si>
  <si>
    <t>₹107,614</t>
  </si>
  <si>
    <t>1992.86</t>
  </si>
  <si>
    <t>1504528.0</t>
  </si>
  <si>
    <t>2026/04/27</t>
  </si>
  <si>
    <t>ahmedabad</t>
  </si>
  <si>
    <t>918,186</t>
  </si>
  <si>
    <t>822</t>
  </si>
  <si>
    <t>434166.32</t>
  </si>
  <si>
    <t>22850.86</t>
  </si>
  <si>
    <t>88.6</t>
  </si>
  <si>
    <t>1639448.0</t>
  </si>
  <si>
    <t>2026/07/13</t>
  </si>
  <si>
    <t>2453291</t>
  </si>
  <si>
    <t>35317.76</t>
  </si>
  <si>
    <t>918195</t>
  </si>
  <si>
    <t>2025/10/30</t>
  </si>
  <si>
    <t>KIRAN DESAI</t>
  </si>
  <si>
    <t>95365 10229</t>
  </si>
  <si>
    <t>11676.85</t>
  </si>
  <si>
    <t>49.1</t>
  </si>
  <si>
    <t>861372.0</t>
  </si>
  <si>
    <t>1029780.0</t>
  </si>
  <si>
    <t>2026-06-08</t>
  </si>
  <si>
    <t>salaried - government</t>
  </si>
  <si>
    <t>₹2,353,848</t>
  </si>
  <si>
    <t>1,319,324</t>
  </si>
  <si>
    <t>43977.45</t>
  </si>
  <si>
    <t>378258</t>
  </si>
  <si>
    <t>₹1,646,969</t>
  </si>
  <si>
    <t>25241.92</t>
  </si>
  <si>
    <t>-683942</t>
  </si>
  <si>
    <t>81.9</t>
  </si>
  <si>
    <t>341044.0</t>
  </si>
  <si>
    <t>829364.0</t>
  </si>
  <si>
    <t>2026-03-15</t>
  </si>
  <si>
    <t>+91-9373601073</t>
  </si>
  <si>
    <t>₹1,135,463</t>
  </si>
  <si>
    <t>₹324,539</t>
  </si>
  <si>
    <t>9014.97</t>
  </si>
  <si>
    <t>₹550,493</t>
  </si>
  <si>
    <t>653625.0</t>
  </si>
  <si>
    <t>2025/12/08</t>
  </si>
  <si>
    <t>1309486</t>
  </si>
  <si>
    <t>10288.24</t>
  </si>
  <si>
    <t>₹74,069</t>
  </si>
  <si>
    <t>35.1</t>
  </si>
  <si>
    <t>95363 71041</t>
  </si>
  <si>
    <t>RAHUL.BHATIA227@YAHOO.COM</t>
  </si>
  <si>
    <t>695</t>
  </si>
  <si>
    <t>394102.63</t>
  </si>
  <si>
    <t>15157.79</t>
  </si>
  <si>
    <t>464219</t>
  </si>
  <si>
    <t>2026-04-06</t>
  </si>
  <si>
    <t>1864312</t>
  </si>
  <si>
    <t>472</t>
  </si>
  <si>
    <t>35261.0</t>
  </si>
  <si>
    <t>379474</t>
  </si>
  <si>
    <t>31.0</t>
  </si>
  <si>
    <t>28.8</t>
  </si>
  <si>
    <t>97138115</t>
  </si>
  <si>
    <t>2167839</t>
  </si>
  <si>
    <t>₹1,185,719</t>
  </si>
  <si>
    <t>42347.12</t>
  </si>
  <si>
    <t>₹2,826,223</t>
  </si>
  <si>
    <t>23.5</t>
  </si>
  <si>
    <t>3315426.0</t>
  </si>
  <si>
    <t>+91-9663987043</t>
  </si>
  <si>
    <t>SURAT</t>
  </si>
  <si>
    <t>2128270</t>
  </si>
  <si>
    <t>5016.12</t>
  </si>
  <si>
    <t>320212</t>
  </si>
  <si>
    <t>79.5</t>
  </si>
  <si>
    <t>2026-06-30</t>
  </si>
  <si>
    <t>92089958</t>
  </si>
  <si>
    <t xml:space="preserve"> arjun.chauhan276@yahoo.com </t>
  </si>
  <si>
    <t>-1847407</t>
  </si>
  <si>
    <t>₹360,774</t>
  </si>
  <si>
    <t>16398.82</t>
  </si>
  <si>
    <t>1,376,354</t>
  </si>
  <si>
    <t>52.6</t>
  </si>
  <si>
    <t>25.4</t>
  </si>
  <si>
    <t>606727.0</t>
  </si>
  <si>
    <t>1512830.0</t>
  </si>
  <si>
    <t>sanjay.rao656 at rediffmail.com</t>
  </si>
  <si>
    <t>302,404</t>
  </si>
  <si>
    <t>863</t>
  </si>
  <si>
    <t>₹98,245</t>
  </si>
  <si>
    <t>2655.28</t>
  </si>
  <si>
    <t>₹6,930,392</t>
  </si>
  <si>
    <t>38.6</t>
  </si>
  <si>
    <t>8328413.0</t>
  </si>
  <si>
    <t>2026-06-29</t>
  </si>
  <si>
    <t>92240560</t>
  </si>
  <si>
    <t>400,142</t>
  </si>
  <si>
    <t>450</t>
  </si>
  <si>
    <t>2204.57</t>
  </si>
  <si>
    <t>730600</t>
  </si>
  <si>
    <t>42.7</t>
  </si>
  <si>
    <t>2026/03/26</t>
  </si>
  <si>
    <t>+91-9787219326</t>
  </si>
  <si>
    <t>₹2,250,726</t>
  </si>
  <si>
    <t>10888.64</t>
  </si>
  <si>
    <t>2143482.0</t>
  </si>
  <si>
    <t>divya.shah460 at hotmail.com</t>
  </si>
  <si>
    <t>₹1,495,071</t>
  </si>
  <si>
    <t>799</t>
  </si>
  <si>
    <t>₹388,786</t>
  </si>
  <si>
    <t>8836.04</t>
  </si>
  <si>
    <t>74.2</t>
  </si>
  <si>
    <t>9200061572-XX</t>
  </si>
  <si>
    <t>484605</t>
  </si>
  <si>
    <t>727</t>
  </si>
  <si>
    <t>232456.78</t>
  </si>
  <si>
    <t>11069.37</t>
  </si>
  <si>
    <t>6,089,038</t>
  </si>
  <si>
    <t>99.1</t>
  </si>
  <si>
    <t>8410212.0</t>
  </si>
  <si>
    <t>99715 45262</t>
  </si>
  <si>
    <t>MAHESH.KAPOOR921@OUTLOOK.COM</t>
  </si>
  <si>
    <t>-1686636</t>
  </si>
  <si>
    <t>832</t>
  </si>
  <si>
    <t>₹690,780</t>
  </si>
  <si>
    <t>13815.6</t>
  </si>
  <si>
    <t>46.2</t>
  </si>
  <si>
    <t>593770.0</t>
  </si>
  <si>
    <t>2026-06-06</t>
  </si>
  <si>
    <t>93670 80413</t>
  </si>
  <si>
    <t>2,058,636</t>
  </si>
  <si>
    <t>367</t>
  </si>
  <si>
    <t>-957223.79</t>
  </si>
  <si>
    <t>63814.92</t>
  </si>
  <si>
    <t>4905143</t>
  </si>
  <si>
    <t>5903375.0</t>
  </si>
  <si>
    <t>04/03/2026</t>
  </si>
  <si>
    <t>9755597471-XX</t>
  </si>
  <si>
    <t>647,617</t>
  </si>
  <si>
    <t>11260.5</t>
  </si>
  <si>
    <t>DIVORCED</t>
  </si>
  <si>
    <t>17.4</t>
  </si>
  <si>
    <t>2026-02-11</t>
  </si>
  <si>
    <t>751049</t>
  </si>
  <si>
    <t>591</t>
  </si>
  <si>
    <t>62464.45</t>
  </si>
  <si>
    <t>1523.52</t>
  </si>
  <si>
    <t>630079</t>
  </si>
  <si>
    <t>781513.0</t>
  </si>
  <si>
    <t>sanjay saxena</t>
  </si>
  <si>
    <t>+91-9530671434</t>
  </si>
  <si>
    <t>₹2,234,776</t>
  </si>
  <si>
    <t>₹198,019</t>
  </si>
  <si>
    <t>4950.47</t>
  </si>
  <si>
    <t>₹206,580</t>
  </si>
  <si>
    <t>dhruv.sethi672 at gmail.com</t>
  </si>
  <si>
    <t>1747394</t>
  </si>
  <si>
    <t>491</t>
  </si>
  <si>
    <t>₹851,874</t>
  </si>
  <si>
    <t>20777.42</t>
  </si>
  <si>
    <t>₹7,448,711</t>
  </si>
  <si>
    <t>47.7</t>
  </si>
  <si>
    <t>22.0</t>
  </si>
  <si>
    <t>10343074.0</t>
  </si>
  <si>
    <t>manju.mehta44@yahoo,com</t>
  </si>
  <si>
    <t>-1057126</t>
  </si>
  <si>
    <t>₹213,865</t>
  </si>
  <si>
    <t>11881.39</t>
  </si>
  <si>
    <t>11014997.0</t>
  </si>
  <si>
    <t>12/04/2025</t>
  </si>
  <si>
    <t>ashok.rathi466@rediffmail,com</t>
  </si>
  <si>
    <t>486,703</t>
  </si>
  <si>
    <t>364</t>
  </si>
  <si>
    <t>138,569</t>
  </si>
  <si>
    <t>3646.57</t>
  </si>
  <si>
    <t>92.7</t>
  </si>
  <si>
    <t>8035945.0</t>
  </si>
  <si>
    <t>95823784</t>
  </si>
  <si>
    <t>1,447,707</t>
  </si>
  <si>
    <t>613</t>
  </si>
  <si>
    <t>₹667,886</t>
  </si>
  <si>
    <t>12368.26</t>
  </si>
  <si>
    <t>280380</t>
  </si>
  <si>
    <t>25.3</t>
  </si>
  <si>
    <t>97945 42361</t>
  </si>
  <si>
    <t>₹1,008,932</t>
  </si>
  <si>
    <t>508</t>
  </si>
  <si>
    <t>₹73,567</t>
  </si>
  <si>
    <t>2101.93</t>
  </si>
  <si>
    <t>₹421,128</t>
  </si>
  <si>
    <t>2025/11/25</t>
  </si>
  <si>
    <t>tanya.mehta513@rediffmail,com</t>
  </si>
  <si>
    <t>858</t>
  </si>
  <si>
    <t>368102.22</t>
  </si>
  <si>
    <t>6346.59</t>
  </si>
  <si>
    <t>497584</t>
  </si>
  <si>
    <t>81.4</t>
  </si>
  <si>
    <t>10 Sep 2025</t>
  </si>
  <si>
    <t>1097520</t>
  </si>
  <si>
    <t>532</t>
  </si>
  <si>
    <t>2129.98</t>
  </si>
  <si>
    <t>4748703</t>
  </si>
  <si>
    <t>6612075.0</t>
  </si>
  <si>
    <t>2026-04-20</t>
  </si>
  <si>
    <t>8300.81</t>
  </si>
  <si>
    <t>404956.0</t>
  </si>
  <si>
    <t>428511.0</t>
  </si>
  <si>
    <t>2026-05-08</t>
  </si>
  <si>
    <t>manish.malhotra27 at outlook.com</t>
  </si>
  <si>
    <t>719944</t>
  </si>
  <si>
    <t>426</t>
  </si>
  <si>
    <t>3155.41</t>
  </si>
  <si>
    <t>34.6</t>
  </si>
  <si>
    <t>16-10-2025</t>
  </si>
  <si>
    <t>₹874,165</t>
  </si>
  <si>
    <t>788</t>
  </si>
  <si>
    <t>637.26</t>
  </si>
  <si>
    <t>7664197.0</t>
  </si>
  <si>
    <t>+91-9832773091</t>
  </si>
  <si>
    <t>1086641</t>
  </si>
  <si>
    <t>125488.65</t>
  </si>
  <si>
    <t>2788.64</t>
  </si>
  <si>
    <t>97.5</t>
  </si>
  <si>
    <t>1272943.0</t>
  </si>
  <si>
    <t>2026/03/21</t>
  </si>
  <si>
    <t>vinod nair</t>
  </si>
  <si>
    <t>468,637</t>
  </si>
  <si>
    <t>704</t>
  </si>
  <si>
    <t>37386.57</t>
  </si>
  <si>
    <t>1495.46</t>
  </si>
  <si>
    <t>536,167</t>
  </si>
  <si>
    <t>693236.0</t>
  </si>
  <si>
    <t>667769.0</t>
  </si>
  <si>
    <t>2026-03-07</t>
  </si>
  <si>
    <t>95761097</t>
  </si>
  <si>
    <t>1781336</t>
  </si>
  <si>
    <t>-1014445.57</t>
  </si>
  <si>
    <t>26011.42</t>
  </si>
  <si>
    <t>49.0</t>
  </si>
  <si>
    <t>2025/11/24</t>
  </si>
  <si>
    <t>+91-9943633823</t>
  </si>
  <si>
    <t>1,240,848</t>
  </si>
  <si>
    <t>200748.98</t>
  </si>
  <si>
    <t>4779.74</t>
  </si>
  <si>
    <t>509,411</t>
  </si>
  <si>
    <t>2026/01/03</t>
  </si>
  <si>
    <t>₹1,311,774</t>
  </si>
  <si>
    <t>869</t>
  </si>
  <si>
    <t>673,609</t>
  </si>
  <si>
    <t>14033.52</t>
  </si>
  <si>
    <t>₹708,001</t>
  </si>
  <si>
    <t>510764.0</t>
  </si>
  <si>
    <t>01 Jan 2026</t>
  </si>
  <si>
    <t>9314175750-XX</t>
  </si>
  <si>
    <t xml:space="preserve"> vikram.agarwal644@hotmail.com </t>
  </si>
  <si>
    <t>-2279101</t>
  </si>
  <si>
    <t>107433.14</t>
  </si>
  <si>
    <t>3979.01</t>
  </si>
  <si>
    <t>₹1,334,211</t>
  </si>
  <si>
    <t>96.0</t>
  </si>
  <si>
    <t>500312.0</t>
  </si>
  <si>
    <t>1582631.0</t>
  </si>
  <si>
    <t>02 Jun 2026</t>
  </si>
  <si>
    <t>KRISHNA.RAO220@YAHOO.COM</t>
  </si>
  <si>
    <t>349064</t>
  </si>
  <si>
    <t>760</t>
  </si>
  <si>
    <t>-31175.0</t>
  </si>
  <si>
    <t>1833.82</t>
  </si>
  <si>
    <t>₹796,415</t>
  </si>
  <si>
    <t>952300.0</t>
  </si>
  <si>
    <t>05/03/2026</t>
  </si>
  <si>
    <t>+91-9542176536</t>
  </si>
  <si>
    <t>1464632</t>
  </si>
  <si>
    <t>611576.72</t>
  </si>
  <si>
    <t>47044.36</t>
  </si>
  <si>
    <t>-348836</t>
  </si>
  <si>
    <t>68.4</t>
  </si>
  <si>
    <t>+91-9133813100</t>
  </si>
  <si>
    <t>₹565,365</t>
  </si>
  <si>
    <t>₹180,814</t>
  </si>
  <si>
    <t>3287.52</t>
  </si>
  <si>
    <t>₹2,410,368</t>
  </si>
  <si>
    <t>3344366.0</t>
  </si>
  <si>
    <t>₹94,658</t>
  </si>
  <si>
    <t>7281.36</t>
  </si>
  <si>
    <t>475,529</t>
  </si>
  <si>
    <t>78.4</t>
  </si>
  <si>
    <t>702753.0</t>
  </si>
  <si>
    <t>2026/04/28</t>
  </si>
  <si>
    <t>830273</t>
  </si>
  <si>
    <t>375</t>
  </si>
  <si>
    <t>2559.66</t>
  </si>
  <si>
    <t>197792</t>
  </si>
  <si>
    <t>TANYA.GUPTA739@REDIFFMAIL.COM</t>
  </si>
  <si>
    <t>-1458933</t>
  </si>
  <si>
    <t>678670.18</t>
  </si>
  <si>
    <t>12119.11</t>
  </si>
  <si>
    <t>472400</t>
  </si>
  <si>
    <t>864816.0</t>
  </si>
  <si>
    <t>2025/09/24</t>
  </si>
  <si>
    <t>VINOD BANSAL</t>
  </si>
  <si>
    <t>09127746847</t>
  </si>
  <si>
    <t>vinod.bansal737 at yahoo.com</t>
  </si>
  <si>
    <t>451</t>
  </si>
  <si>
    <t>869549.15</t>
  </si>
  <si>
    <t>18115.61</t>
  </si>
  <si>
    <t>501656.0</t>
  </si>
  <si>
    <t>5081023.0</t>
  </si>
  <si>
    <t>27-08-2025</t>
  </si>
  <si>
    <t>+91-9505762456</t>
  </si>
  <si>
    <t>manju.rao354 at outlook.com</t>
  </si>
  <si>
    <t>928,971</t>
  </si>
  <si>
    <t>₹285,203</t>
  </si>
  <si>
    <t>8912.59</t>
  </si>
  <si>
    <t>83.0</t>
  </si>
  <si>
    <t>305937.0</t>
  </si>
  <si>
    <t>459949.0</t>
  </si>
  <si>
    <t>23-02-2026</t>
  </si>
  <si>
    <t>vivaan chauhan</t>
  </si>
  <si>
    <t>9770442392-XX</t>
  </si>
  <si>
    <t>1,423,279</t>
  </si>
  <si>
    <t>₹17,686</t>
  </si>
  <si>
    <t>376.3</t>
  </si>
  <si>
    <t>-157157</t>
  </si>
  <si>
    <t>2026/03/18</t>
  </si>
  <si>
    <t>09170362901</t>
  </si>
  <si>
    <t>₹351,258</t>
  </si>
  <si>
    <t>6056.17</t>
  </si>
  <si>
    <t>₹3,294,107</t>
  </si>
  <si>
    <t>4412175.0</t>
  </si>
  <si>
    <t>2025/09/16</t>
  </si>
  <si>
    <t>09874301128</t>
  </si>
  <si>
    <t>397576</t>
  </si>
  <si>
    <t>-20394.86</t>
  </si>
  <si>
    <t>453.22</t>
  </si>
  <si>
    <t>₹424,769</t>
  </si>
  <si>
    <t>05-08-2026</t>
  </si>
  <si>
    <t>98374753</t>
  </si>
  <si>
    <t>aditya.iyer655 at gmail.com</t>
  </si>
  <si>
    <t>1176346</t>
  </si>
  <si>
    <t>622</t>
  </si>
  <si>
    <t>623,567</t>
  </si>
  <si>
    <t>32819.32</t>
  </si>
  <si>
    <t>₹7,610,690</t>
  </si>
  <si>
    <t>18.4</t>
  </si>
  <si>
    <t>9211021.0</t>
  </si>
  <si>
    <t>2025-10-11</t>
  </si>
  <si>
    <t>+91-9332768176</t>
  </si>
  <si>
    <t>₹2,005,600</t>
  </si>
  <si>
    <t>817</t>
  </si>
  <si>
    <t>99611.41</t>
  </si>
  <si>
    <t>3112.86</t>
  </si>
  <si>
    <t>-2299499</t>
  </si>
  <si>
    <t>765262.0</t>
  </si>
  <si>
    <t>2836770.0</t>
  </si>
  <si>
    <t>krishna.saxena537 at gmail.com</t>
  </si>
  <si>
    <t>₹2,386,044</t>
  </si>
  <si>
    <t>725</t>
  </si>
  <si>
    <t>₹1,312,332</t>
  </si>
  <si>
    <t>25732.0</t>
  </si>
  <si>
    <t>₹460,791</t>
  </si>
  <si>
    <t>80.2</t>
  </si>
  <si>
    <t>1015551</t>
  </si>
  <si>
    <t>44786.74</t>
  </si>
  <si>
    <t>1119.67</t>
  </si>
  <si>
    <t>₹1,002,947</t>
  </si>
  <si>
    <t>1179562.0</t>
  </si>
  <si>
    <t>14-02-2026</t>
  </si>
  <si>
    <t>-2088937</t>
  </si>
  <si>
    <t>356</t>
  </si>
  <si>
    <t>₹652,070</t>
  </si>
  <si>
    <t>26082.8</t>
  </si>
  <si>
    <t>₹1,119,126</t>
  </si>
  <si>
    <t>1231940.0</t>
  </si>
  <si>
    <t>9646615999-XX</t>
  </si>
  <si>
    <t>2080371</t>
  </si>
  <si>
    <t>1037761.71</t>
  </si>
  <si>
    <t>34592.06</t>
  </si>
  <si>
    <t>90.2</t>
  </si>
  <si>
    <t>03/22/2026</t>
  </si>
  <si>
    <t>375724</t>
  </si>
  <si>
    <t>₹181,088</t>
  </si>
  <si>
    <t>6036.28</t>
  </si>
  <si>
    <t>48.0</t>
  </si>
  <si>
    <t>2026-07-28</t>
  </si>
  <si>
    <t>₹1,539,616</t>
  </si>
  <si>
    <t>6947.89</t>
  </si>
  <si>
    <t>174354</t>
  </si>
  <si>
    <t>288716.0</t>
  </si>
  <si>
    <t>2025/11/06</t>
  </si>
  <si>
    <t>950120</t>
  </si>
  <si>
    <t>331</t>
  </si>
  <si>
    <t>15910.86</t>
  </si>
  <si>
    <t>23.6</t>
  </si>
  <si>
    <t>03 Sep 2025</t>
  </si>
  <si>
    <t>1,731,682</t>
  </si>
  <si>
    <t>667</t>
  </si>
  <si>
    <t>26940.05</t>
  </si>
  <si>
    <t>₹7,044,187</t>
  </si>
  <si>
    <t>21.6</t>
  </si>
  <si>
    <t>511447.0</t>
  </si>
  <si>
    <t>9450642.0</t>
  </si>
  <si>
    <t>05/23/2026</t>
  </si>
  <si>
    <t>+91-9905759254</t>
  </si>
  <si>
    <t>-924750</t>
  </si>
  <si>
    <t>₹474,195</t>
  </si>
  <si>
    <t>21554.33</t>
  </si>
  <si>
    <t>7811025</t>
  </si>
  <si>
    <t>775283.0</t>
  </si>
  <si>
    <t>9141270.0</t>
  </si>
  <si>
    <t>09984038250</t>
  </si>
  <si>
    <t>₹534,823</t>
  </si>
  <si>
    <t>458.74</t>
  </si>
  <si>
    <t>359850.0</t>
  </si>
  <si>
    <t>28-06-2026</t>
  </si>
  <si>
    <t>98669902</t>
  </si>
  <si>
    <t>875429</t>
  </si>
  <si>
    <t>484722.71</t>
  </si>
  <si>
    <t>32314.85</t>
  </si>
  <si>
    <t>642887</t>
  </si>
  <si>
    <t>296451.0</t>
  </si>
  <si>
    <t>2026-02-02</t>
  </si>
  <si>
    <t>rita.patel354@hotmail,com</t>
  </si>
  <si>
    <t>4816.9</t>
  </si>
  <si>
    <t>2026/04/12</t>
  </si>
  <si>
    <t>₹500,427</t>
  </si>
  <si>
    <t>₹129,458</t>
  </si>
  <si>
    <t>4315.28</t>
  </si>
  <si>
    <t>₹143,998</t>
  </si>
  <si>
    <t>69.8</t>
  </si>
  <si>
    <t>27.2</t>
  </si>
  <si>
    <t>03 Oct 2025</t>
  </si>
  <si>
    <t>09199072590</t>
  </si>
  <si>
    <t>ROHAN.MISHRA900@HOTMAIL.COM</t>
  </si>
  <si>
    <t>1395125</t>
  </si>
  <si>
    <t>11938.13</t>
  </si>
  <si>
    <t>3461797</t>
  </si>
  <si>
    <t>87.3</t>
  </si>
  <si>
    <t>4179175.0</t>
  </si>
  <si>
    <t>99435 39825</t>
  </si>
  <si>
    <t>vivaan.joshi720 at rediffmail.com</t>
  </si>
  <si>
    <t>2,202,426</t>
  </si>
  <si>
    <t>714</t>
  </si>
  <si>
    <t>₹684,881</t>
  </si>
  <si>
    <t>32613.36</t>
  </si>
  <si>
    <t>₹211,410</t>
  </si>
  <si>
    <t>40.7</t>
  </si>
  <si>
    <t>₹1,030,709</t>
  </si>
  <si>
    <t>₹466,888</t>
  </si>
  <si>
    <t>33349.16</t>
  </si>
  <si>
    <t>-793290</t>
  </si>
  <si>
    <t>22.3</t>
  </si>
  <si>
    <t>398161.0</t>
  </si>
  <si>
    <t>869414.0</t>
  </si>
  <si>
    <t>2026/05/30</t>
  </si>
  <si>
    <t>ASHOK BANSAL</t>
  </si>
  <si>
    <t>98696 05587</t>
  </si>
  <si>
    <t>1716504</t>
  </si>
  <si>
    <t>292045.24</t>
  </si>
  <si>
    <t>7301.13</t>
  </si>
  <si>
    <t>9022637.0</t>
  </si>
  <si>
    <t>2026-07-07</t>
  </si>
  <si>
    <t>+91-9183743117</t>
  </si>
  <si>
    <t>705,735</t>
  </si>
  <si>
    <t>33606.42</t>
  </si>
  <si>
    <t>02-03-2026</t>
  </si>
  <si>
    <t>vikram.sethi680 at outlook.com</t>
  </si>
  <si>
    <t>460708</t>
  </si>
  <si>
    <t>8125.76</t>
  </si>
  <si>
    <t>682847</t>
  </si>
  <si>
    <t>817963.0</t>
  </si>
  <si>
    <t>SUNITA.BHATIA888@YAHOO.COM</t>
  </si>
  <si>
    <t>-989633</t>
  </si>
  <si>
    <t>428,959</t>
  </si>
  <si>
    <t>10213.31</t>
  </si>
  <si>
    <t>₹410,029</t>
  </si>
  <si>
    <t>10/19/2025</t>
  </si>
  <si>
    <t>9307.57</t>
  </si>
  <si>
    <t>-551611</t>
  </si>
  <si>
    <t>89.9</t>
  </si>
  <si>
    <t>18.1</t>
  </si>
  <si>
    <t>299361.0</t>
  </si>
  <si>
    <t>608883.0</t>
  </si>
  <si>
    <t>14-09-2025</t>
  </si>
  <si>
    <t>kavya.reddy315@gmail,com</t>
  </si>
  <si>
    <t>1670563</t>
  </si>
  <si>
    <t>819450.06</t>
  </si>
  <si>
    <t>19510.72</t>
  </si>
  <si>
    <t>144,858</t>
  </si>
  <si>
    <t>47.5</t>
  </si>
  <si>
    <t>2025/09/13</t>
  </si>
  <si>
    <t>kabir kapoor</t>
  </si>
  <si>
    <t>826</t>
  </si>
  <si>
    <t>7921.4</t>
  </si>
  <si>
    <t>-2865577</t>
  </si>
  <si>
    <t>3681489.0</t>
  </si>
  <si>
    <t>16 Jan 2026</t>
  </si>
  <si>
    <t>96290 45335</t>
  </si>
  <si>
    <t>1,724,118</t>
  </si>
  <si>
    <t>-30650.53</t>
  </si>
  <si>
    <t>1532.53</t>
  </si>
  <si>
    <t>₹548,843</t>
  </si>
  <si>
    <t>82.2</t>
  </si>
  <si>
    <t>751216.0</t>
  </si>
  <si>
    <t>672707.0</t>
  </si>
  <si>
    <t>2025/10/02</t>
  </si>
  <si>
    <t>+91-9986714725</t>
  </si>
  <si>
    <t>735</t>
  </si>
  <si>
    <t>4686.31</t>
  </si>
  <si>
    <t>168,850</t>
  </si>
  <si>
    <t>85.9</t>
  </si>
  <si>
    <t>30 Mar 2026</t>
  </si>
  <si>
    <t>RAJESH RATHI</t>
  </si>
  <si>
    <t>95735 88674</t>
  </si>
  <si>
    <t>₹844,154</t>
  </si>
  <si>
    <t>9114.12</t>
  </si>
  <si>
    <t>72.2</t>
  </si>
  <si>
    <t>07/11/2026</t>
  </si>
  <si>
    <t>2,353,270</t>
  </si>
  <si>
    <t>1,082,883</t>
  </si>
  <si>
    <t>29267.11</t>
  </si>
  <si>
    <t>368733</t>
  </si>
  <si>
    <t>79.8</t>
  </si>
  <si>
    <t>2026-02-08</t>
  </si>
  <si>
    <t>+91-9976890591</t>
  </si>
  <si>
    <t>sai.desai795 at hotmail.com</t>
  </si>
  <si>
    <t>hyderabad</t>
  </si>
  <si>
    <t>522,702</t>
  </si>
  <si>
    <t>780</t>
  </si>
  <si>
    <t>1342.83</t>
  </si>
  <si>
    <t>₹257,954</t>
  </si>
  <si>
    <t>73.1</t>
  </si>
  <si>
    <t>286342.0</t>
  </si>
  <si>
    <t>13-12-2025</t>
  </si>
  <si>
    <t>SELF EMPLOYED - PROFESSIONAL</t>
  </si>
  <si>
    <t>-427881.98</t>
  </si>
  <si>
    <t>9301.78</t>
  </si>
  <si>
    <t>385757</t>
  </si>
  <si>
    <t>34.3</t>
  </si>
  <si>
    <t>756181.0</t>
  </si>
  <si>
    <t>2026-02-12</t>
  </si>
  <si>
    <t>99705506</t>
  </si>
  <si>
    <t>₹2,140,443</t>
  </si>
  <si>
    <t>6331.16</t>
  </si>
  <si>
    <t>52.3</t>
  </si>
  <si>
    <t>9109456.0</t>
  </si>
  <si>
    <t>99517281</t>
  </si>
  <si>
    <t>reyansh.singh374 at hotmail.com</t>
  </si>
  <si>
    <t>₹486,502</t>
  </si>
  <si>
    <t>776</t>
  </si>
  <si>
    <t>151,387</t>
  </si>
  <si>
    <t>3440.61</t>
  </si>
  <si>
    <t>4430249</t>
  </si>
  <si>
    <t>70.9</t>
  </si>
  <si>
    <t>5318509.0</t>
  </si>
  <si>
    <t>15-01-2026</t>
  </si>
  <si>
    <t>884</t>
  </si>
  <si>
    <t>₹311,903</t>
  </si>
  <si>
    <t>18347.24</t>
  </si>
  <si>
    <t>₹428,391</t>
  </si>
  <si>
    <t>59.8</t>
  </si>
  <si>
    <t>508477.0</t>
  </si>
  <si>
    <t>09/24/2025</t>
  </si>
  <si>
    <t>+91-9105274731</t>
  </si>
  <si>
    <t>455</t>
  </si>
  <si>
    <t>2173.91</t>
  </si>
  <si>
    <t>92298763</t>
  </si>
  <si>
    <t>337</t>
  </si>
  <si>
    <t>376,220</t>
  </si>
  <si>
    <t>15675.82</t>
  </si>
  <si>
    <t>55.9</t>
  </si>
  <si>
    <t>723270.0</t>
  </si>
  <si>
    <t>5420185.0</t>
  </si>
  <si>
    <t>92509 80140</t>
  </si>
  <si>
    <t>675</t>
  </si>
  <si>
    <t>26371.72</t>
  </si>
  <si>
    <t>2053795</t>
  </si>
  <si>
    <t>74.9</t>
  </si>
  <si>
    <t>0.2</t>
  </si>
  <si>
    <t>734414.0</t>
  </si>
  <si>
    <t>2479374.0</t>
  </si>
  <si>
    <t>09555118480</t>
  </si>
  <si>
    <t>COIMBATORE</t>
  </si>
  <si>
    <t>1,924,742</t>
  </si>
  <si>
    <t>376</t>
  </si>
  <si>
    <t>₹1,025,621</t>
  </si>
  <si>
    <t>48839.08</t>
  </si>
  <si>
    <t>93,843</t>
  </si>
  <si>
    <t>599300.0</t>
  </si>
  <si>
    <t>03 Apr 2026</t>
  </si>
  <si>
    <t>09542747932</t>
  </si>
  <si>
    <t>1736089</t>
  </si>
  <si>
    <t>307</t>
  </si>
  <si>
    <t>4053.99</t>
  </si>
  <si>
    <t>₹367,912</t>
  </si>
  <si>
    <t>16.8</t>
  </si>
  <si>
    <t>432143.0</t>
  </si>
  <si>
    <t>94736 96649</t>
  </si>
  <si>
    <t>RAMESH.CHAUHAN381@OUTLOOK.COM</t>
  </si>
  <si>
    <t>-2311468</t>
  </si>
  <si>
    <t>302</t>
  </si>
  <si>
    <t>₹153,334</t>
  </si>
  <si>
    <t>3262.42</t>
  </si>
  <si>
    <t>423259</t>
  </si>
  <si>
    <t>486994.0</t>
  </si>
  <si>
    <t>16-11-2025</t>
  </si>
  <si>
    <t>91140 97170</t>
  </si>
  <si>
    <t>₹921,311</t>
  </si>
  <si>
    <t>₹256,192</t>
  </si>
  <si>
    <t>10674.66</t>
  </si>
  <si>
    <t>26.1</t>
  </si>
  <si>
    <t xml:space="preserve"> kabir.kumar202@gmail.com </t>
  </si>
  <si>
    <t>1,790,376</t>
  </si>
  <si>
    <t>509</t>
  </si>
  <si>
    <t>129440.29</t>
  </si>
  <si>
    <t>10786.69</t>
  </si>
  <si>
    <t>717259</t>
  </si>
  <si>
    <t>81.3</t>
  </si>
  <si>
    <t>871210.0</t>
  </si>
  <si>
    <t>05-10-2025</t>
  </si>
  <si>
    <t>93582 86271</t>
  </si>
  <si>
    <t>541511</t>
  </si>
  <si>
    <t>638</t>
  </si>
  <si>
    <t>33943.95</t>
  </si>
  <si>
    <t>2611.07</t>
  </si>
  <si>
    <t>436863</t>
  </si>
  <si>
    <t>326964.0</t>
  </si>
  <si>
    <t>2026-06-15</t>
  </si>
  <si>
    <t>+91-9859918130</t>
  </si>
  <si>
    <t>458954</t>
  </si>
  <si>
    <t>4793.47</t>
  </si>
  <si>
    <t>6859327</t>
  </si>
  <si>
    <t>8142775.0</t>
  </si>
  <si>
    <t>96152 79977</t>
  </si>
  <si>
    <t>₹2,132,465</t>
  </si>
  <si>
    <t>39250.64</t>
  </si>
  <si>
    <t>188236.0</t>
  </si>
  <si>
    <t>1909312.0</t>
  </si>
  <si>
    <t>24-03-2026</t>
  </si>
  <si>
    <t>98144 22691</t>
  </si>
  <si>
    <t>₹651,014</t>
  </si>
  <si>
    <t>816</t>
  </si>
  <si>
    <t>7054.48</t>
  </si>
  <si>
    <t>2,729,819</t>
  </si>
  <si>
    <t>646115.0</t>
  </si>
  <si>
    <t>3801620.0</t>
  </si>
  <si>
    <t>68,889</t>
  </si>
  <si>
    <t>4592.59</t>
  </si>
  <si>
    <t>156053</t>
  </si>
  <si>
    <t>44.8</t>
  </si>
  <si>
    <t>14-11-2025</t>
  </si>
  <si>
    <t>9977399710-XX</t>
  </si>
  <si>
    <t>₹930,978</t>
  </si>
  <si>
    <t>371,228</t>
  </si>
  <si>
    <t>24748.5</t>
  </si>
  <si>
    <t>car loan</t>
  </si>
  <si>
    <t>390460</t>
  </si>
  <si>
    <t>423808.0</t>
  </si>
  <si>
    <t>+91-9694006191</t>
  </si>
  <si>
    <t>₹2,230,384</t>
  </si>
  <si>
    <t>486</t>
  </si>
  <si>
    <t>₹65,317</t>
  </si>
  <si>
    <t>4665.48</t>
  </si>
  <si>
    <t>7388895</t>
  </si>
  <si>
    <t>84.3</t>
  </si>
  <si>
    <t>533775.0</t>
  </si>
  <si>
    <t>9533214.0</t>
  </si>
  <si>
    <t>17-10-2025</t>
  </si>
  <si>
    <t>09481791843</t>
  </si>
  <si>
    <t>824530</t>
  </si>
  <si>
    <t>572</t>
  </si>
  <si>
    <t>264487.16</t>
  </si>
  <si>
    <t>5749.72</t>
  </si>
  <si>
    <t>46.4</t>
  </si>
  <si>
    <t>16.0</t>
  </si>
  <si>
    <t>10 Oct 2025</t>
  </si>
  <si>
    <t>92212 75056</t>
  </si>
  <si>
    <t>752819</t>
  </si>
  <si>
    <t>31651.07</t>
  </si>
  <si>
    <t>973642</t>
  </si>
  <si>
    <t>376566.0</t>
  </si>
  <si>
    <t>1105847.0</t>
  </si>
  <si>
    <t>2026-07-24</t>
  </si>
  <si>
    <t>94104 74779</t>
  </si>
  <si>
    <t>₹2,271,516</t>
  </si>
  <si>
    <t>828</t>
  </si>
  <si>
    <t>28,798</t>
  </si>
  <si>
    <t>1028.49</t>
  </si>
  <si>
    <t>SWATI PATEL</t>
  </si>
  <si>
    <t>95236122</t>
  </si>
  <si>
    <t>61,228</t>
  </si>
  <si>
    <t>3601.62</t>
  </si>
  <si>
    <t>1013629</t>
  </si>
  <si>
    <t>98.0</t>
  </si>
  <si>
    <t>783614.0</t>
  </si>
  <si>
    <t>1205608.0</t>
  </si>
  <si>
    <t>2026/03/09</t>
  </si>
  <si>
    <t>92217 49994</t>
  </si>
  <si>
    <t>117,386</t>
  </si>
  <si>
    <t>2395.63</t>
  </si>
  <si>
    <t>₹987,139</t>
  </si>
  <si>
    <t>547765.0</t>
  </si>
  <si>
    <t>1218230.0</t>
  </si>
  <si>
    <t>98951 70314</t>
  </si>
  <si>
    <t>vikram.rathi883@rediffmail,com</t>
  </si>
  <si>
    <t>₹2,021,595</t>
  </si>
  <si>
    <t>₹381,775</t>
  </si>
  <si>
    <t>10907.87</t>
  </si>
  <si>
    <t>₹7,844,021</t>
  </si>
  <si>
    <t>56.1</t>
  </si>
  <si>
    <t>529816.0</t>
  </si>
  <si>
    <t>10701279.0</t>
  </si>
  <si>
    <t>03/03/2026</t>
  </si>
  <si>
    <t>95093 75233</t>
  </si>
  <si>
    <t>priya.sethi803 at yahoo.com</t>
  </si>
  <si>
    <t>840,008</t>
  </si>
  <si>
    <t>70000.68</t>
  </si>
  <si>
    <t>2,844,393</t>
  </si>
  <si>
    <t>28.9</t>
  </si>
  <si>
    <t>3814195.0</t>
  </si>
  <si>
    <t>2026/07/05</t>
  </si>
  <si>
    <t>91848 95487</t>
  </si>
  <si>
    <t>12193.89</t>
  </si>
  <si>
    <t>290.33</t>
  </si>
  <si>
    <t>5536601</t>
  </si>
  <si>
    <t>99.2</t>
  </si>
  <si>
    <t>6984582.0</t>
  </si>
  <si>
    <t>2026-03-23</t>
  </si>
  <si>
    <t>rekha.patel832 at hotmail.com</t>
  </si>
  <si>
    <t>₹524,274</t>
  </si>
  <si>
    <t>₹71,713</t>
  </si>
  <si>
    <t>2109.21</t>
  </si>
  <si>
    <t>48.8</t>
  </si>
  <si>
    <t>245938.0</t>
  </si>
  <si>
    <t>9968239.0</t>
  </si>
  <si>
    <t>01/02/2026</t>
  </si>
  <si>
    <t>2259679</t>
  </si>
  <si>
    <t>7905.7</t>
  </si>
  <si>
    <t>797556</t>
  </si>
  <si>
    <t>2025-12-09</t>
  </si>
  <si>
    <t>+91-9788822198</t>
  </si>
  <si>
    <t>123,921</t>
  </si>
  <si>
    <t>8261.41</t>
  </si>
  <si>
    <t>₹338,106</t>
  </si>
  <si>
    <t>96.4</t>
  </si>
  <si>
    <t>09 Jan 2026</t>
  </si>
  <si>
    <t>9346443488-XX</t>
  </si>
  <si>
    <t>₹49,705</t>
  </si>
  <si>
    <t>1461.9</t>
  </si>
  <si>
    <t>92.1</t>
  </si>
  <si>
    <t>551310.0</t>
  </si>
  <si>
    <t>09 Jul 2026</t>
  </si>
  <si>
    <t>96932 11288</t>
  </si>
  <si>
    <t>SANJAY.RATHI110@GMAIL.COM</t>
  </si>
  <si>
    <t>₹916,913</t>
  </si>
  <si>
    <t>851</t>
  </si>
  <si>
    <t>₹404,546</t>
  </si>
  <si>
    <t>7932.28</t>
  </si>
  <si>
    <t>6418457</t>
  </si>
  <si>
    <t>78.8</t>
  </si>
  <si>
    <t>7821276.0</t>
  </si>
  <si>
    <t>+91-9349699944</t>
  </si>
  <si>
    <t>SELF EMPLOYED - BUSINESS</t>
  </si>
  <si>
    <t>1,423,233</t>
  </si>
  <si>
    <t>138,965</t>
  </si>
  <si>
    <t>5146.85</t>
  </si>
  <si>
    <t>645604</t>
  </si>
  <si>
    <t>811173.0</t>
  </si>
  <si>
    <t>09/20/2025</t>
  </si>
  <si>
    <t>+91-9327731112</t>
  </si>
  <si>
    <t>kritika.khanna172@yahoo,com</t>
  </si>
  <si>
    <t>₹1,076,425</t>
  </si>
  <si>
    <t>297938.81</t>
  </si>
  <si>
    <t>8276.08</t>
  </si>
  <si>
    <t>43755</t>
  </si>
  <si>
    <t>53.3</t>
  </si>
  <si>
    <t>30-11-2025</t>
  </si>
  <si>
    <t>-656735</t>
  </si>
  <si>
    <t>-42130.5</t>
  </si>
  <si>
    <t>1755.44</t>
  </si>
  <si>
    <t>948712</t>
  </si>
  <si>
    <t>98.3</t>
  </si>
  <si>
    <t>996813.0</t>
  </si>
  <si>
    <t>2026-01-15</t>
  </si>
  <si>
    <t>95071 51520</t>
  </si>
  <si>
    <t>2115507</t>
  </si>
  <si>
    <t>313</t>
  </si>
  <si>
    <t>1148703.92</t>
  </si>
  <si>
    <t>31046.05</t>
  </si>
  <si>
    <t>-927238</t>
  </si>
  <si>
    <t>72.4</t>
  </si>
  <si>
    <t>1023460.0</t>
  </si>
  <si>
    <t>07/08/2026</t>
  </si>
  <si>
    <t>1148516</t>
  </si>
  <si>
    <t>109779.03</t>
  </si>
  <si>
    <t>2195.58</t>
  </si>
  <si>
    <t>1629407</t>
  </si>
  <si>
    <t>56.3</t>
  </si>
  <si>
    <t>2022128.0</t>
  </si>
  <si>
    <t>SAANVI.PATEL465@GMAIL.COM</t>
  </si>
  <si>
    <t>₹352,639</t>
  </si>
  <si>
    <t>6781.52</t>
  </si>
  <si>
    <t>₹448,606</t>
  </si>
  <si>
    <t>97.9</t>
  </si>
  <si>
    <t>204630.0</t>
  </si>
  <si>
    <t>10/25/2025</t>
  </si>
  <si>
    <t>neha iyer</t>
  </si>
  <si>
    <t>587</t>
  </si>
  <si>
    <t>33802.29</t>
  </si>
  <si>
    <t>593.02</t>
  </si>
  <si>
    <t>₹2,655,705</t>
  </si>
  <si>
    <t>3532756.0</t>
  </si>
  <si>
    <t>01-03-2026</t>
  </si>
  <si>
    <t>+91-9984019695</t>
  </si>
  <si>
    <t xml:space="preserve"> krishna.kumar567@outlook.com </t>
  </si>
  <si>
    <t>490,301</t>
  </si>
  <si>
    <t>444</t>
  </si>
  <si>
    <t>-37163.4</t>
  </si>
  <si>
    <t>1061.81</t>
  </si>
  <si>
    <t>27.0</t>
  </si>
  <si>
    <t>2035922.0</t>
  </si>
  <si>
    <t xml:space="preserve">  Pooja Patel  </t>
  </si>
  <si>
    <t>09640198103</t>
  </si>
  <si>
    <t>52619.34</t>
  </si>
  <si>
    <t>1879.26</t>
  </si>
  <si>
    <t>₹3,516,373</t>
  </si>
  <si>
    <t>99.4</t>
  </si>
  <si>
    <t>199433.0</t>
  </si>
  <si>
    <t>4124237.0</t>
  </si>
  <si>
    <t>₹2,092,660</t>
  </si>
  <si>
    <t>751</t>
  </si>
  <si>
    <t>66848.07</t>
  </si>
  <si>
    <t>1392.67</t>
  </si>
  <si>
    <t>48.9</t>
  </si>
  <si>
    <t>06/15/2026</t>
  </si>
  <si>
    <t>+91-9451359250</t>
  </si>
  <si>
    <t>2033104</t>
  </si>
  <si>
    <t>4172.62</t>
  </si>
  <si>
    <t>₹7,925,599</t>
  </si>
  <si>
    <t>84.5</t>
  </si>
  <si>
    <t>383141.0</t>
  </si>
  <si>
    <t>9184821.0</t>
  </si>
  <si>
    <t>₹2,264,075</t>
  </si>
  <si>
    <t>668</t>
  </si>
  <si>
    <t>13217.68</t>
  </si>
  <si>
    <t>403784</t>
  </si>
  <si>
    <t>2026-01-26</t>
  </si>
  <si>
    <t>9687511227-XX</t>
  </si>
  <si>
    <t>754</t>
  </si>
  <si>
    <t>19539.8</t>
  </si>
  <si>
    <t>₹226,293</t>
  </si>
  <si>
    <t>63.9</t>
  </si>
  <si>
    <t>ANJALI.MISHRA317@GMAIL.COM</t>
  </si>
  <si>
    <t>308.15</t>
  </si>
  <si>
    <t>70.2</t>
  </si>
  <si>
    <t>839938.0</t>
  </si>
  <si>
    <t>10105945.0</t>
  </si>
  <si>
    <t>+91-9436883282</t>
  </si>
  <si>
    <t>kabir.kapoor804@rediffmail,com</t>
  </si>
  <si>
    <t>2,051,880</t>
  </si>
  <si>
    <t>264198.57</t>
  </si>
  <si>
    <t>4555.15</t>
  </si>
  <si>
    <t>971182</t>
  </si>
  <si>
    <t>80.8</t>
  </si>
  <si>
    <t>2026-04-09</t>
  </si>
  <si>
    <t>9597889349-XX</t>
  </si>
  <si>
    <t>rekha.singh610@rediffmail,com</t>
  </si>
  <si>
    <t>₹1,267,204</t>
  </si>
  <si>
    <t>727927.06</t>
  </si>
  <si>
    <t>14273.08</t>
  </si>
  <si>
    <t>368,832</t>
  </si>
  <si>
    <t>27-09-2025</t>
  </si>
  <si>
    <t>1806485</t>
  </si>
  <si>
    <t>158,799</t>
  </si>
  <si>
    <t>4537.1</t>
  </si>
  <si>
    <t>2092753</t>
  </si>
  <si>
    <t>43.7</t>
  </si>
  <si>
    <t>2692711.0</t>
  </si>
  <si>
    <t>07 Apr 2026</t>
  </si>
  <si>
    <t>1113046</t>
  </si>
  <si>
    <t>575592.61</t>
  </si>
  <si>
    <t>44276.35</t>
  </si>
  <si>
    <t>225851</t>
  </si>
  <si>
    <t>40.8</t>
  </si>
  <si>
    <t>19.1</t>
  </si>
  <si>
    <t>02-02-2026</t>
  </si>
  <si>
    <t>526</t>
  </si>
  <si>
    <t>33,337</t>
  </si>
  <si>
    <t>1852.05</t>
  </si>
  <si>
    <t>27986</t>
  </si>
  <si>
    <t>723229.0</t>
  </si>
  <si>
    <t>manju.sethi91@hotmail,com</t>
  </si>
  <si>
    <t>₹327,242</t>
  </si>
  <si>
    <t>₹65,596</t>
  </si>
  <si>
    <t>1366.57</t>
  </si>
  <si>
    <t>4,211,849</t>
  </si>
  <si>
    <t>86.8</t>
  </si>
  <si>
    <t>864938.0</t>
  </si>
  <si>
    <t>5683195.0</t>
  </si>
  <si>
    <t>16-08-2026</t>
  </si>
  <si>
    <t>kavya.shah192@gmail,com</t>
  </si>
  <si>
    <t>828,827</t>
  </si>
  <si>
    <t>465</t>
  </si>
  <si>
    <t>-112214.77</t>
  </si>
  <si>
    <t>1870.25</t>
  </si>
  <si>
    <t>₹114,860</t>
  </si>
  <si>
    <t>9565719249-XX</t>
  </si>
  <si>
    <t>nisha.kumar109@gmail,com</t>
  </si>
  <si>
    <t>1857883</t>
  </si>
  <si>
    <t>14921.95</t>
  </si>
  <si>
    <t>2904918</t>
  </si>
  <si>
    <t>551234.0</t>
  </si>
  <si>
    <t>3389436.0</t>
  </si>
  <si>
    <t>2026/03/06</t>
  </si>
  <si>
    <t>ishaan desai</t>
  </si>
  <si>
    <t>ishaan.desai492 at yahoo.com</t>
  </si>
  <si>
    <t>₹524,061</t>
  </si>
  <si>
    <t>51,100</t>
  </si>
  <si>
    <t>3406.68</t>
  </si>
  <si>
    <t>₹627,974</t>
  </si>
  <si>
    <t>33.0</t>
  </si>
  <si>
    <t>216510.0</t>
  </si>
  <si>
    <t>2025/11/01</t>
  </si>
  <si>
    <t>usha desai</t>
  </si>
  <si>
    <t>09902914771</t>
  </si>
  <si>
    <t>usha.desai113@gmail,com</t>
  </si>
  <si>
    <t>351</t>
  </si>
  <si>
    <t>138064.28</t>
  </si>
  <si>
    <t>2422.18</t>
  </si>
  <si>
    <t>279656</t>
  </si>
  <si>
    <t>91505 03264</t>
  </si>
  <si>
    <t>diya.sethi417 at outlook.com</t>
  </si>
  <si>
    <t>₹1,744,662</t>
  </si>
  <si>
    <t>62085.35</t>
  </si>
  <si>
    <t>1267.05</t>
  </si>
  <si>
    <t>340,395</t>
  </si>
  <si>
    <t>1,339,941</t>
  </si>
  <si>
    <t>15002.82</t>
  </si>
  <si>
    <t>94.2</t>
  </si>
  <si>
    <t>91435717</t>
  </si>
  <si>
    <t>₹2,448,091</t>
  </si>
  <si>
    <t>560</t>
  </si>
  <si>
    <t>₹441,395</t>
  </si>
  <si>
    <t>31528.24</t>
  </si>
  <si>
    <t>5119560</t>
  </si>
  <si>
    <t>603389.0</t>
  </si>
  <si>
    <t>6380687.0</t>
  </si>
  <si>
    <t>2026/04/05</t>
  </si>
  <si>
    <t>94173 09724</t>
  </si>
  <si>
    <t>118233.85</t>
  </si>
  <si>
    <t>2687.13</t>
  </si>
  <si>
    <t>₹299,865</t>
  </si>
  <si>
    <t>28 Jul 2026</t>
  </si>
  <si>
    <t>₹1,481,675</t>
  </si>
  <si>
    <t>358</t>
  </si>
  <si>
    <t>12007.18</t>
  </si>
  <si>
    <t>307449</t>
  </si>
  <si>
    <t>24.2</t>
  </si>
  <si>
    <t xml:space="preserve">  Single  </t>
  </si>
  <si>
    <t>01/09/2026</t>
  </si>
  <si>
    <t>NEHA CHAUHAN</t>
  </si>
  <si>
    <t>98814308</t>
  </si>
  <si>
    <t>643</t>
  </si>
  <si>
    <t>₹1,251,303</t>
  </si>
  <si>
    <t>35751.52</t>
  </si>
  <si>
    <t>₹507,793</t>
  </si>
  <si>
    <t>49.9</t>
  </si>
  <si>
    <t>29-10-2025</t>
  </si>
  <si>
    <t>diya.iyer23 at rediffmail.com</t>
  </si>
  <si>
    <t>₹1,147,180</t>
  </si>
  <si>
    <t>32776.58</t>
  </si>
  <si>
    <t>4830905</t>
  </si>
  <si>
    <t>47.4</t>
  </si>
  <si>
    <t>732690.0</t>
  </si>
  <si>
    <t>6020281.0</t>
  </si>
  <si>
    <t>mahesh.nair558 at rediffmail.com</t>
  </si>
  <si>
    <t>787981</t>
  </si>
  <si>
    <t>214081.13</t>
  </si>
  <si>
    <t>5633.71</t>
  </si>
  <si>
    <t>-739738</t>
  </si>
  <si>
    <t>855110.0</t>
  </si>
  <si>
    <t>26-10-2025</t>
  </si>
  <si>
    <t>9579569759-XX</t>
  </si>
  <si>
    <t>₹1,821,475</t>
  </si>
  <si>
    <t>871587.24</t>
  </si>
  <si>
    <t>31128.12</t>
  </si>
  <si>
    <t>₹1,344,497</t>
  </si>
  <si>
    <t>52.2</t>
  </si>
  <si>
    <t>1471569.0</t>
  </si>
  <si>
    <t>10-04-2026</t>
  </si>
  <si>
    <t>krishna.agarwal410@outlook,com</t>
  </si>
  <si>
    <t>314,282</t>
  </si>
  <si>
    <t>₹153,739</t>
  </si>
  <si>
    <t>3843.47</t>
  </si>
  <si>
    <t>₹32,890</t>
  </si>
  <si>
    <t>39.9</t>
  </si>
  <si>
    <t>2025/11/29</t>
  </si>
  <si>
    <t>mahesh.bhatia123 at hotmail.com</t>
  </si>
  <si>
    <t>27542.56</t>
  </si>
  <si>
    <t>37.9</t>
  </si>
  <si>
    <t>12/30/2025</t>
  </si>
  <si>
    <t>09760748777</t>
  </si>
  <si>
    <t>2,156,792</t>
  </si>
  <si>
    <t>478</t>
  </si>
  <si>
    <t>₹1,843</t>
  </si>
  <si>
    <t>52.66</t>
  </si>
  <si>
    <t>-7298121</t>
  </si>
  <si>
    <t>90.0</t>
  </si>
  <si>
    <t>10048414.0</t>
  </si>
  <si>
    <t>93012 59541</t>
  </si>
  <si>
    <t>aditya.desai399 at rediffmail.com</t>
  </si>
  <si>
    <t>₹1,138,455</t>
  </si>
  <si>
    <t>241,959</t>
  </si>
  <si>
    <t>5148.06</t>
  </si>
  <si>
    <t>986324</t>
  </si>
  <si>
    <t>69.4</t>
  </si>
  <si>
    <t>+91-9613760094</t>
  </si>
  <si>
    <t>sunil.chopra206 at outlook.com</t>
  </si>
  <si>
    <t>₹1,180,049</t>
  </si>
  <si>
    <t>445</t>
  </si>
  <si>
    <t>112374.18</t>
  </si>
  <si>
    <t>1971.48</t>
  </si>
  <si>
    <t>761765.0</t>
  </si>
  <si>
    <t>9736.42</t>
  </si>
  <si>
    <t>55.5</t>
  </si>
  <si>
    <t>27-10-2025</t>
  </si>
  <si>
    <t>91145 51406</t>
  </si>
  <si>
    <t>784</t>
  </si>
  <si>
    <t>₹213,004</t>
  </si>
  <si>
    <t>5916.77</t>
  </si>
  <si>
    <t>₹184,537</t>
  </si>
  <si>
    <t>80.1</t>
  </si>
  <si>
    <t>+91-9822875673</t>
  </si>
  <si>
    <t>sunil.khanna351 at outlook.com</t>
  </si>
  <si>
    <t>666</t>
  </si>
  <si>
    <t>₹906,404</t>
  </si>
  <si>
    <t>60426.92</t>
  </si>
  <si>
    <t>-1504428</t>
  </si>
  <si>
    <t>1845738.0</t>
  </si>
  <si>
    <t>07-12-2025</t>
  </si>
  <si>
    <t>2002817</t>
  </si>
  <si>
    <t>₹589,489</t>
  </si>
  <si>
    <t>14035.44</t>
  </si>
  <si>
    <t>133784</t>
  </si>
  <si>
    <t>98.6</t>
  </si>
  <si>
    <t>582582.0</t>
  </si>
  <si>
    <t>2026-03-29</t>
  </si>
  <si>
    <t>₹684,598</t>
  </si>
  <si>
    <t>824</t>
  </si>
  <si>
    <t>276076.53</t>
  </si>
  <si>
    <t>5634.21</t>
  </si>
  <si>
    <t>777203.0</t>
  </si>
  <si>
    <t>2026/01/18</t>
  </si>
  <si>
    <t>758</t>
  </si>
  <si>
    <t>-568231.88</t>
  </si>
  <si>
    <t>18330.06</t>
  </si>
  <si>
    <t>240090</t>
  </si>
  <si>
    <t>05 Dec 2025</t>
  </si>
  <si>
    <t>vinod.chopra579@hotmail,com</t>
  </si>
  <si>
    <t>₹84,420</t>
  </si>
  <si>
    <t>3376.8</t>
  </si>
  <si>
    <t>₹384,234</t>
  </si>
  <si>
    <t>49.3</t>
  </si>
  <si>
    <t>SEEMA DESAI</t>
  </si>
  <si>
    <t>₹1,481,505</t>
  </si>
  <si>
    <t>568</t>
  </si>
  <si>
    <t>777,487</t>
  </si>
  <si>
    <t>25916.23</t>
  </si>
  <si>
    <t>79.6</t>
  </si>
  <si>
    <t>605596.0</t>
  </si>
  <si>
    <t>1,018,640</t>
  </si>
  <si>
    <t>17688.79</t>
  </si>
  <si>
    <t>509,209</t>
  </si>
  <si>
    <t>509053.0</t>
  </si>
  <si>
    <t>570085.0</t>
  </si>
  <si>
    <t>kiran malhotra</t>
  </si>
  <si>
    <t>1,325,229</t>
  </si>
  <si>
    <t>690</t>
  </si>
  <si>
    <t>738,603</t>
  </si>
  <si>
    <t>35171.59</t>
  </si>
  <si>
    <t>644,095</t>
  </si>
  <si>
    <t>₹329,692</t>
  </si>
  <si>
    <t>9419.77</t>
  </si>
  <si>
    <t>36.1</t>
  </si>
  <si>
    <t>753470.0</t>
  </si>
  <si>
    <t>893</t>
  </si>
  <si>
    <t>8477.06</t>
  </si>
  <si>
    <t>₹6,032,132</t>
  </si>
  <si>
    <t>7167667.0</t>
  </si>
  <si>
    <t>26-07-2026</t>
  </si>
  <si>
    <t>457453</t>
  </si>
  <si>
    <t>11817.87</t>
  </si>
  <si>
    <t>904659</t>
  </si>
  <si>
    <t>94.7</t>
  </si>
  <si>
    <t>₹1,157,362</t>
  </si>
  <si>
    <t>779</t>
  </si>
  <si>
    <t>306219.38</t>
  </si>
  <si>
    <t>5279.64</t>
  </si>
  <si>
    <t>371,444</t>
  </si>
  <si>
    <t>2,345,294</t>
  </si>
  <si>
    <t>434</t>
  </si>
  <si>
    <t>1427.57</t>
  </si>
  <si>
    <t>-1261444</t>
  </si>
  <si>
    <t>1398355.0</t>
  </si>
  <si>
    <t>2026/03/05</t>
  </si>
  <si>
    <t xml:space="preserve">  Geeta Sethi  </t>
  </si>
  <si>
    <t>98754 69593</t>
  </si>
  <si>
    <t>-1320167.53</t>
  </si>
  <si>
    <t>88011.17</t>
  </si>
  <si>
    <t>4517891</t>
  </si>
  <si>
    <t>5871900.0</t>
  </si>
  <si>
    <t>2026/06/21</t>
  </si>
  <si>
    <t>95232 72165</t>
  </si>
  <si>
    <t>1337693</t>
  </si>
  <si>
    <t>637,621</t>
  </si>
  <si>
    <t>35423.41</t>
  </si>
  <si>
    <t>138642</t>
  </si>
  <si>
    <t>2026-08-03</t>
  </si>
  <si>
    <t>+91-9587923963</t>
  </si>
  <si>
    <t>933552</t>
  </si>
  <si>
    <t>3119.28</t>
  </si>
  <si>
    <t>16.9</t>
  </si>
  <si>
    <t>166098.0</t>
  </si>
  <si>
    <t>306323</t>
  </si>
  <si>
    <t>609</t>
  </si>
  <si>
    <t>81387.32</t>
  </si>
  <si>
    <t>6260.56</t>
  </si>
  <si>
    <t>₹1,353,196</t>
  </si>
  <si>
    <t>430643.0</t>
  </si>
  <si>
    <t>1515407.0</t>
  </si>
  <si>
    <t>2026-07-05</t>
  </si>
  <si>
    <t>2,091,549</t>
  </si>
  <si>
    <t>₹519,685</t>
  </si>
  <si>
    <t>17920.17</t>
  </si>
  <si>
    <t>₹524,323</t>
  </si>
  <si>
    <t>50.0</t>
  </si>
  <si>
    <t>KAVYA.AGARWAL950@YAHOO.COM</t>
  </si>
  <si>
    <t>-1652999</t>
  </si>
  <si>
    <t>-97760.41</t>
  </si>
  <si>
    <t>3055.01</t>
  </si>
  <si>
    <t>4034354.0</t>
  </si>
  <si>
    <t>2026/07/31</t>
  </si>
  <si>
    <t>97939 66999</t>
  </si>
  <si>
    <t>₹748,661</t>
  </si>
  <si>
    <t>887</t>
  </si>
  <si>
    <t>₹240,065</t>
  </si>
  <si>
    <t>9233.28</t>
  </si>
  <si>
    <t>117352</t>
  </si>
  <si>
    <t>647060.0</t>
  </si>
  <si>
    <t>shreya.malhotra512 at hotmail.com</t>
  </si>
  <si>
    <t>1,670,348</t>
  </si>
  <si>
    <t>436</t>
  </si>
  <si>
    <t>839020.82</t>
  </si>
  <si>
    <t>15254.92</t>
  </si>
  <si>
    <t>2026-07-18</t>
  </si>
  <si>
    <t>99041 62114</t>
  </si>
  <si>
    <t xml:space="preserve"> usha.chopra319@gmail.com </t>
  </si>
  <si>
    <t>₹1,542,328</t>
  </si>
  <si>
    <t>448</t>
  </si>
  <si>
    <t>₹165,688</t>
  </si>
  <si>
    <t>6903.68</t>
  </si>
  <si>
    <t>2026-08-19</t>
  </si>
  <si>
    <t>9760348367-XX</t>
  </si>
  <si>
    <t>511874.11</t>
  </si>
  <si>
    <t>13124.98</t>
  </si>
  <si>
    <t>75.8</t>
  </si>
  <si>
    <t>557979.0</t>
  </si>
  <si>
    <t>2191644.0</t>
  </si>
  <si>
    <t xml:space="preserve"> vikram.rao921@yahoo.com </t>
  </si>
  <si>
    <t>₹978,801</t>
  </si>
  <si>
    <t>878</t>
  </si>
  <si>
    <t>₹75,104</t>
  </si>
  <si>
    <t>5006.93</t>
  </si>
  <si>
    <t>256507</t>
  </si>
  <si>
    <t>2026/08/05</t>
  </si>
  <si>
    <t>dhruv reddy</t>
  </si>
  <si>
    <t>411</t>
  </si>
  <si>
    <t>61.17</t>
  </si>
  <si>
    <t>212,584</t>
  </si>
  <si>
    <t>2026-04-19</t>
  </si>
  <si>
    <t>09167968595</t>
  </si>
  <si>
    <t>2,367,826</t>
  </si>
  <si>
    <t>679</t>
  </si>
  <si>
    <t>1172815.16</t>
  </si>
  <si>
    <t>53309.78</t>
  </si>
  <si>
    <t>isha.agarwal594 at rediffmail.com</t>
  </si>
  <si>
    <t>₹1,767,769</t>
  </si>
  <si>
    <t>744,049</t>
  </si>
  <si>
    <t>20668.02</t>
  </si>
  <si>
    <t>₹1,137,295</t>
  </si>
  <si>
    <t>77.6</t>
  </si>
  <si>
    <t>530422.0</t>
  </si>
  <si>
    <t>1268346.0</t>
  </si>
  <si>
    <t>saanvi.mishra10 at hotmail.com</t>
  </si>
  <si>
    <t>1424564</t>
  </si>
  <si>
    <t>1344.7</t>
  </si>
  <si>
    <t>5563703</t>
  </si>
  <si>
    <t>6502951.0</t>
  </si>
  <si>
    <t>1,512,050</t>
  </si>
  <si>
    <t>895</t>
  </si>
  <si>
    <t>₹81,112</t>
  </si>
  <si>
    <t>1763.3</t>
  </si>
  <si>
    <t>219659</t>
  </si>
  <si>
    <t>9527855608-XX</t>
  </si>
  <si>
    <t>173723.89</t>
  </si>
  <si>
    <t>6681.69</t>
  </si>
  <si>
    <t>311651</t>
  </si>
  <si>
    <t>59.4</t>
  </si>
  <si>
    <t>07-01-2026</t>
  </si>
  <si>
    <t>vinod.kumar356@hotmail,com</t>
  </si>
  <si>
    <t>1854232</t>
  </si>
  <si>
    <t>845276.46</t>
  </si>
  <si>
    <t>22845.31</t>
  </si>
  <si>
    <t>330,469</t>
  </si>
  <si>
    <t>79.0</t>
  </si>
  <si>
    <t>345794.0</t>
  </si>
  <si>
    <t>2026/04/04</t>
  </si>
  <si>
    <t>₹979,458</t>
  </si>
  <si>
    <t>251,364</t>
  </si>
  <si>
    <t>4488.65</t>
  </si>
  <si>
    <t>₹44,958</t>
  </si>
  <si>
    <t>03/05/2026</t>
  </si>
  <si>
    <t>2,303,563</t>
  </si>
  <si>
    <t>485</t>
  </si>
  <si>
    <t>14383.93</t>
  </si>
  <si>
    <t>₹794,742</t>
  </si>
  <si>
    <t>893666.0</t>
  </si>
  <si>
    <t>2025/12/18</t>
  </si>
  <si>
    <t>92034 96796</t>
  </si>
  <si>
    <t>ananya.patel869 at yahoo.com</t>
  </si>
  <si>
    <t>₹2,351,429</t>
  </si>
  <si>
    <t>523</t>
  </si>
  <si>
    <t>426.73</t>
  </si>
  <si>
    <t>06-05-2026</t>
  </si>
  <si>
    <t>09675602611</t>
  </si>
  <si>
    <t xml:space="preserve"> sunil.nair658@rediffmail.com </t>
  </si>
  <si>
    <t>1647331</t>
  </si>
  <si>
    <t>4322.49</t>
  </si>
  <si>
    <t>773,973</t>
  </si>
  <si>
    <t>18877.4</t>
  </si>
  <si>
    <t>₹206,859</t>
  </si>
  <si>
    <t>71.7</t>
  </si>
  <si>
    <t>323526.0</t>
  </si>
  <si>
    <t>9945588120-XX</t>
  </si>
  <si>
    <t>riya.gupta71@yahoo,com</t>
  </si>
  <si>
    <t>₹2,451,593</t>
  </si>
  <si>
    <t>22552.08</t>
  </si>
  <si>
    <t>-6057573</t>
  </si>
  <si>
    <t>8369419.0</t>
  </si>
  <si>
    <t>2306413</t>
  </si>
  <si>
    <t>612,620</t>
  </si>
  <si>
    <t>17017.22</t>
  </si>
  <si>
    <t>₹671,270</t>
  </si>
  <si>
    <t>60.9</t>
  </si>
  <si>
    <t>01/07/2026</t>
  </si>
  <si>
    <t>844</t>
  </si>
  <si>
    <t>-273008.49</t>
  </si>
  <si>
    <t>4963.79</t>
  </si>
  <si>
    <t>₹643,357</t>
  </si>
  <si>
    <t>713810.0</t>
  </si>
  <si>
    <t>neha.agarwal449 at yahoo.com</t>
  </si>
  <si>
    <t>11836.26</t>
  </si>
  <si>
    <t>74.5</t>
  </si>
  <si>
    <t>555336.0</t>
  </si>
  <si>
    <t>10655307.0</t>
  </si>
  <si>
    <t>2026/04/19</t>
  </si>
  <si>
    <t>97234139</t>
  </si>
  <si>
    <t>835</t>
  </si>
  <si>
    <t>₹73,231</t>
  </si>
  <si>
    <t>3183.95</t>
  </si>
  <si>
    <t>₹719,196</t>
  </si>
  <si>
    <t>13-01-2026</t>
  </si>
  <si>
    <t>794,578</t>
  </si>
  <si>
    <t>30560.69</t>
  </si>
  <si>
    <t>487548</t>
  </si>
  <si>
    <t>67.4</t>
  </si>
  <si>
    <t>777101.0</t>
  </si>
  <si>
    <t>513873.0</t>
  </si>
  <si>
    <t>2025/10/27</t>
  </si>
  <si>
    <t>+91-9727594615</t>
  </si>
  <si>
    <t>rahul.rathi82 at gmail.com</t>
  </si>
  <si>
    <t>863,719</t>
  </si>
  <si>
    <t>297448.12</t>
  </si>
  <si>
    <t>5311.57</t>
  </si>
  <si>
    <t>86.3</t>
  </si>
  <si>
    <t>1758350.0</t>
  </si>
  <si>
    <t>95317054</t>
  </si>
  <si>
    <t>1981677</t>
  </si>
  <si>
    <t>745068.54</t>
  </si>
  <si>
    <t>16197.14</t>
  </si>
  <si>
    <t>1202198</t>
  </si>
  <si>
    <t>65.1</t>
  </si>
  <si>
    <t>1345672.0</t>
  </si>
  <si>
    <t>2025-10-24</t>
  </si>
  <si>
    <t>95218 59610</t>
  </si>
  <si>
    <t>731</t>
  </si>
  <si>
    <t>1362244.39</t>
  </si>
  <si>
    <t>25702.72</t>
  </si>
  <si>
    <t>4,938,148</t>
  </si>
  <si>
    <t>6448545.0</t>
  </si>
  <si>
    <t>2026/08/17</t>
  </si>
  <si>
    <t>09319835447</t>
  </si>
  <si>
    <t>351.87</t>
  </si>
  <si>
    <t>8.18</t>
  </si>
  <si>
    <t>58,674</t>
  </si>
  <si>
    <t>352941.0</t>
  </si>
  <si>
    <t>2026-06-25</t>
  </si>
  <si>
    <t>+91-9123201132</t>
  </si>
  <si>
    <t>DHRUV.KHANNA590@HOTMAIL.COM</t>
  </si>
  <si>
    <t>1986663</t>
  </si>
  <si>
    <t>679042.77</t>
  </si>
  <si>
    <t>29523.6</t>
  </si>
  <si>
    <t>-1367759</t>
  </si>
  <si>
    <t>1667533.0</t>
  </si>
  <si>
    <t>2025-10-28</t>
  </si>
  <si>
    <t>1436610</t>
  </si>
  <si>
    <t>513</t>
  </si>
  <si>
    <t>₹509,118</t>
  </si>
  <si>
    <t>8485.3</t>
  </si>
  <si>
    <t>₹285,948</t>
  </si>
  <si>
    <t>57.1</t>
  </si>
  <si>
    <t>13-10-2025</t>
  </si>
  <si>
    <t>+91-9113374929</t>
  </si>
  <si>
    <t>aarav.bansal638@gmail,com</t>
  </si>
  <si>
    <t>₹397,274</t>
  </si>
  <si>
    <t>470</t>
  </si>
  <si>
    <t>8256.67</t>
  </si>
  <si>
    <t>363518</t>
  </si>
  <si>
    <t>351398.0</t>
  </si>
  <si>
    <t>sanjay nair</t>
  </si>
  <si>
    <t>sanjay.nair579 at yahoo.com</t>
  </si>
  <si>
    <t>₹615,761</t>
  </si>
  <si>
    <t>447</t>
  </si>
  <si>
    <t>1837.07</t>
  </si>
  <si>
    <t>1,736,233</t>
  </si>
  <si>
    <t>283092.0</t>
  </si>
  <si>
    <t>2341072.0</t>
  </si>
  <si>
    <t>2025-11-28</t>
  </si>
  <si>
    <t>1587.22</t>
  </si>
  <si>
    <t>98281</t>
  </si>
  <si>
    <t>744317.0</t>
  </si>
  <si>
    <t>₹934,467</t>
  </si>
  <si>
    <t>71882.08</t>
  </si>
  <si>
    <t>3313515</t>
  </si>
  <si>
    <t>555402.0</t>
  </si>
  <si>
    <t>4202046.0</t>
  </si>
  <si>
    <t>10/03/2025</t>
  </si>
  <si>
    <t>18229.39</t>
  </si>
  <si>
    <t>3654490</t>
  </si>
  <si>
    <t>4794641.0</t>
  </si>
  <si>
    <t>2025/09/02</t>
  </si>
  <si>
    <t>KABIR.REDDY277@GMAIL.COM</t>
  </si>
  <si>
    <t>2170985</t>
  </si>
  <si>
    <t>23117.66</t>
  </si>
  <si>
    <t>878006.0</t>
  </si>
  <si>
    <t>1079518.0</t>
  </si>
  <si>
    <t>2026-05-29</t>
  </si>
  <si>
    <t>09241103890</t>
  </si>
  <si>
    <t>681341</t>
  </si>
  <si>
    <t>592</t>
  </si>
  <si>
    <t>299,452</t>
  </si>
  <si>
    <t>6509.83</t>
  </si>
  <si>
    <t>3641605</t>
  </si>
  <si>
    <t>4471856.0</t>
  </si>
  <si>
    <t>95706446</t>
  </si>
  <si>
    <t>1,522,958</t>
  </si>
  <si>
    <t>₹368,858</t>
  </si>
  <si>
    <t>6251.83</t>
  </si>
  <si>
    <t>462,130</t>
  </si>
  <si>
    <t>2026-05-11</t>
  </si>
  <si>
    <t>340803</t>
  </si>
  <si>
    <t>-177126.21</t>
  </si>
  <si>
    <t>5209.59</t>
  </si>
  <si>
    <t>77.3</t>
  </si>
  <si>
    <t>325023.0</t>
  </si>
  <si>
    <t>2025-08-28</t>
  </si>
  <si>
    <t>2003700</t>
  </si>
  <si>
    <t>682521.22</t>
  </si>
  <si>
    <t>11568.16</t>
  </si>
  <si>
    <t>910251</t>
  </si>
  <si>
    <t>03/12/2026</t>
  </si>
  <si>
    <t>94616 77486</t>
  </si>
  <si>
    <t>827</t>
  </si>
  <si>
    <t>321068.3</t>
  </si>
  <si>
    <t>12348.78</t>
  </si>
  <si>
    <t>₹505,671</t>
  </si>
  <si>
    <t>646615.0</t>
  </si>
  <si>
    <t>09964207402</t>
  </si>
  <si>
    <t>157235.25</t>
  </si>
  <si>
    <t>4367.65</t>
  </si>
  <si>
    <t>894298</t>
  </si>
  <si>
    <t>810926.0</t>
  </si>
  <si>
    <t>1076733.0</t>
  </si>
  <si>
    <t>10/11/2025</t>
  </si>
  <si>
    <t>09247932385</t>
  </si>
  <si>
    <t>926175</t>
  </si>
  <si>
    <t>371</t>
  </si>
  <si>
    <t>276119.07</t>
  </si>
  <si>
    <t>4930.7</t>
  </si>
  <si>
    <t>585,093</t>
  </si>
  <si>
    <t>490825.0</t>
  </si>
  <si>
    <t>625429.0</t>
  </si>
  <si>
    <t>KRITIKA.TIWARI110@REDIFFMAIL.COM</t>
  </si>
  <si>
    <t>₹886,760</t>
  </si>
  <si>
    <t>59117.35</t>
  </si>
  <si>
    <t>6546712</t>
  </si>
  <si>
    <t>7856879.0</t>
  </si>
  <si>
    <t>₹350,083</t>
  </si>
  <si>
    <t>6035.92</t>
  </si>
  <si>
    <t>478919</t>
  </si>
  <si>
    <t>25-12-2025</t>
  </si>
  <si>
    <t>09898350328</t>
  </si>
  <si>
    <t>₹1,285,151</t>
  </si>
  <si>
    <t>130373.63</t>
  </si>
  <si>
    <t>4074.18</t>
  </si>
  <si>
    <t>₹412,929</t>
  </si>
  <si>
    <t>83.5</t>
  </si>
  <si>
    <t>97672244</t>
  </si>
  <si>
    <t>VIKRAM.GUPTA901@HOTMAIL.COM</t>
  </si>
  <si>
    <t>1530826</t>
  </si>
  <si>
    <t>₹332,133</t>
  </si>
  <si>
    <t>23723.8</t>
  </si>
  <si>
    <t>307106.0</t>
  </si>
  <si>
    <t>3105501.0</t>
  </si>
  <si>
    <t>10/21/2025</t>
  </si>
  <si>
    <t>1377004</t>
  </si>
  <si>
    <t>661812.78</t>
  </si>
  <si>
    <t>12487.03</t>
  </si>
  <si>
    <t>792881.0</t>
  </si>
  <si>
    <t>₹397,304</t>
  </si>
  <si>
    <t>194653.22</t>
  </si>
  <si>
    <t>13903.8</t>
  </si>
  <si>
    <t>145533</t>
  </si>
  <si>
    <t>07/04/2026</t>
  </si>
  <si>
    <t>+91-9104500357</t>
  </si>
  <si>
    <t>₹1,915,019</t>
  </si>
  <si>
    <t>120,686</t>
  </si>
  <si>
    <t>3017.15</t>
  </si>
  <si>
    <t>62038</t>
  </si>
  <si>
    <t>667394.0</t>
  </si>
  <si>
    <t>25-07-2026</t>
  </si>
  <si>
    <t>1383684</t>
  </si>
  <si>
    <t>7795.84</t>
  </si>
  <si>
    <t>-349612</t>
  </si>
  <si>
    <t>POOJA.SINGH480@REDIFFMAIL.COM</t>
  </si>
  <si>
    <t>2042740</t>
  </si>
  <si>
    <t>1,196,165</t>
  </si>
  <si>
    <t>56960.23</t>
  </si>
  <si>
    <t>61.6</t>
  </si>
  <si>
    <t>12-04-2026</t>
  </si>
  <si>
    <t>717712.72</t>
  </si>
  <si>
    <t>13290.98</t>
  </si>
  <si>
    <t>707171</t>
  </si>
  <si>
    <t>894986.0</t>
  </si>
  <si>
    <t>792373.0</t>
  </si>
  <si>
    <t>2026-04-16</t>
  </si>
  <si>
    <t>mahesh.joshi399 at hotmail.com</t>
  </si>
  <si>
    <t>796581</t>
  </si>
  <si>
    <t>2849.93</t>
  </si>
  <si>
    <t>459,735</t>
  </si>
  <si>
    <t>33.3</t>
  </si>
  <si>
    <t>855763.0</t>
  </si>
  <si>
    <t>2025/11/14</t>
  </si>
  <si>
    <t>+91-9903220734</t>
  </si>
  <si>
    <t>₹550,796</t>
  </si>
  <si>
    <t>34424.73</t>
  </si>
  <si>
    <t>₹185,880</t>
  </si>
  <si>
    <t>23.0</t>
  </si>
  <si>
    <t>08/26/2026</t>
  </si>
  <si>
    <t>+91-9759776218</t>
  </si>
  <si>
    <t>692051</t>
  </si>
  <si>
    <t>810</t>
  </si>
  <si>
    <t>174,651</t>
  </si>
  <si>
    <t>8316.7</t>
  </si>
  <si>
    <t>₹5,740,981</t>
  </si>
  <si>
    <t>60.6</t>
  </si>
  <si>
    <t>7707882.0</t>
  </si>
  <si>
    <t>346</t>
  </si>
  <si>
    <t>326,158</t>
  </si>
  <si>
    <t>6523.15</t>
  </si>
  <si>
    <t>₹2,848,688</t>
  </si>
  <si>
    <t>3302113.0</t>
  </si>
  <si>
    <t>2025-09-28</t>
  </si>
  <si>
    <t>VIVAAN.KAPOOR63@REDIFFMAIL.COM</t>
  </si>
  <si>
    <t>-93407.38</t>
  </si>
  <si>
    <t>6227.16</t>
  </si>
  <si>
    <t>₹152,448</t>
  </si>
  <si>
    <t>34.2</t>
  </si>
  <si>
    <t>₹918,662</t>
  </si>
  <si>
    <t>6341.52</t>
  </si>
  <si>
    <t>67.0</t>
  </si>
  <si>
    <t>403693.0</t>
  </si>
  <si>
    <t>670428.0</t>
  </si>
  <si>
    <t>426708</t>
  </si>
  <si>
    <t>539</t>
  </si>
  <si>
    <t>7525.63</t>
  </si>
  <si>
    <t>134.39</t>
  </si>
  <si>
    <t>₹1,077,029</t>
  </si>
  <si>
    <t>1259301.0</t>
  </si>
  <si>
    <t>04/13/2026</t>
  </si>
  <si>
    <t>9109486047-XX</t>
  </si>
  <si>
    <t>542,317</t>
  </si>
  <si>
    <t>18669.91</t>
  </si>
  <si>
    <t>848.63</t>
  </si>
  <si>
    <t>2,145,708</t>
  </si>
  <si>
    <t>87.0</t>
  </si>
  <si>
    <t>2564262.0</t>
  </si>
  <si>
    <t>22-08-2026</t>
  </si>
  <si>
    <t>2086464</t>
  </si>
  <si>
    <t>4289.44</t>
  </si>
  <si>
    <t>₹539,117</t>
  </si>
  <si>
    <t>586255.0</t>
  </si>
  <si>
    <t>11/26/2025</t>
  </si>
  <si>
    <t>96901 21043</t>
  </si>
  <si>
    <t>761</t>
  </si>
  <si>
    <t>662849.75</t>
  </si>
  <si>
    <t>11047.5</t>
  </si>
  <si>
    <t>133265</t>
  </si>
  <si>
    <t>KABIR.NAIR386@REDIFFMAIL.COM</t>
  </si>
  <si>
    <t>1,468,688</t>
  </si>
  <si>
    <t>₹195,887</t>
  </si>
  <si>
    <t>4080.98</t>
  </si>
  <si>
    <t>408,724</t>
  </si>
  <si>
    <t>93.3</t>
  </si>
  <si>
    <t>10/30/2025</t>
  </si>
  <si>
    <t>96296299</t>
  </si>
  <si>
    <t xml:space="preserve"> rohan.chauhan185@rediffmail.com </t>
  </si>
  <si>
    <t>₹1,232,010</t>
  </si>
  <si>
    <t>739</t>
  </si>
  <si>
    <t>43,983</t>
  </si>
  <si>
    <t>1127.76</t>
  </si>
  <si>
    <t>36.5</t>
  </si>
  <si>
    <t>6585551.0</t>
  </si>
  <si>
    <t>2026/04/14</t>
  </si>
  <si>
    <t>96864 04315</t>
  </si>
  <si>
    <t>2,031,338</t>
  </si>
  <si>
    <t>688,678</t>
  </si>
  <si>
    <t>31303.55</t>
  </si>
  <si>
    <t>2026-06-21</t>
  </si>
  <si>
    <t>+91-9474194628</t>
  </si>
  <si>
    <t>207,193</t>
  </si>
  <si>
    <t>13812.87</t>
  </si>
  <si>
    <t>344110</t>
  </si>
  <si>
    <t>1953034</t>
  </si>
  <si>
    <t>₹406,410</t>
  </si>
  <si>
    <t>6888.31</t>
  </si>
  <si>
    <t>₹178,396</t>
  </si>
  <si>
    <t>598833.0</t>
  </si>
  <si>
    <t>06 Jul 2026</t>
  </si>
  <si>
    <t>+91-9253161692</t>
  </si>
  <si>
    <t>243687.53</t>
  </si>
  <si>
    <t>8403.02</t>
  </si>
  <si>
    <t>316,934</t>
  </si>
  <si>
    <t>+91-9608365807</t>
  </si>
  <si>
    <t>rekha.nair327 at yahoo.com</t>
  </si>
  <si>
    <t>731,533</t>
  </si>
  <si>
    <t>423</t>
  </si>
  <si>
    <t>7572.53</t>
  </si>
  <si>
    <t>₹22,364</t>
  </si>
  <si>
    <t>678863.0</t>
  </si>
  <si>
    <t>507070</t>
  </si>
  <si>
    <t>1587.71</t>
  </si>
  <si>
    <t>442546</t>
  </si>
  <si>
    <t>21 Oct 2025</t>
  </si>
  <si>
    <t>540</t>
  </si>
  <si>
    <t>₹1,075,683</t>
  </si>
  <si>
    <t>21952.72</t>
  </si>
  <si>
    <t>4472001</t>
  </si>
  <si>
    <t>87.9</t>
  </si>
  <si>
    <t>6021113.0</t>
  </si>
  <si>
    <t>2026-02-25</t>
  </si>
  <si>
    <t>99907 14291</t>
  </si>
  <si>
    <t>793</t>
  </si>
  <si>
    <t>65130.8</t>
  </si>
  <si>
    <t>1329.2</t>
  </si>
  <si>
    <t>-430017</t>
  </si>
  <si>
    <t>269268.0</t>
  </si>
  <si>
    <t>26-05-2026</t>
  </si>
  <si>
    <t>₹1,033,886</t>
  </si>
  <si>
    <t>46994.84</t>
  </si>
  <si>
    <t>307,618</t>
  </si>
  <si>
    <t>11/02/2025</t>
  </si>
  <si>
    <t>99923268</t>
  </si>
  <si>
    <t>aarav.nair914 at outlook.com</t>
  </si>
  <si>
    <t>537</t>
  </si>
  <si>
    <t>₹396,889</t>
  </si>
  <si>
    <t>26459.26</t>
  </si>
  <si>
    <t>₹321,424</t>
  </si>
  <si>
    <t>40.2</t>
  </si>
  <si>
    <t>593915.0</t>
  </si>
  <si>
    <t>28-03-2026</t>
  </si>
  <si>
    <t>rita.desai473 at hotmail.com</t>
  </si>
  <si>
    <t>₹1,478,543</t>
  </si>
  <si>
    <t>₹420,499</t>
  </si>
  <si>
    <t>10782.03</t>
  </si>
  <si>
    <t>₹459,911</t>
  </si>
  <si>
    <t>72.3</t>
  </si>
  <si>
    <t>467744.0</t>
  </si>
  <si>
    <t>2025-12-18</t>
  </si>
  <si>
    <t>09312845035</t>
  </si>
  <si>
    <t>dhruv.bhatia806 at hotmail.com</t>
  </si>
  <si>
    <t>-690714</t>
  </si>
  <si>
    <t>698</t>
  </si>
  <si>
    <t>₹144,621</t>
  </si>
  <si>
    <t>4820.71</t>
  </si>
  <si>
    <t>₹499,929</t>
  </si>
  <si>
    <t>48.7</t>
  </si>
  <si>
    <t>91483214</t>
  </si>
  <si>
    <t>-1726822</t>
  </si>
  <si>
    <t>13376.88</t>
  </si>
  <si>
    <t>22.4</t>
  </si>
  <si>
    <t>522158.0</t>
  </si>
  <si>
    <t>04-12-2025</t>
  </si>
  <si>
    <t>MEERA.AGARWAL460@REDIFFMAIL.COM</t>
  </si>
  <si>
    <t>1,850,731</t>
  </si>
  <si>
    <t>₹7,674</t>
  </si>
  <si>
    <t>137.03</t>
  </si>
  <si>
    <t>3748859.0</t>
  </si>
  <si>
    <t>₹1,017,333</t>
  </si>
  <si>
    <t>33911.11</t>
  </si>
  <si>
    <t>527742</t>
  </si>
  <si>
    <t>91.1</t>
  </si>
  <si>
    <t>26-03-2026</t>
  </si>
  <si>
    <t>₹1,842,425</t>
  </si>
  <si>
    <t>829</t>
  </si>
  <si>
    <t>₹825,272</t>
  </si>
  <si>
    <t>17193.16</t>
  </si>
  <si>
    <t>51357</t>
  </si>
  <si>
    <t>50.2</t>
  </si>
  <si>
    <t>490817.0</t>
  </si>
  <si>
    <t>kavya.malhotra904 at hotmail.com</t>
  </si>
  <si>
    <t>6013.11</t>
  </si>
  <si>
    <t>₹7,085,738</t>
  </si>
  <si>
    <t>9762773.0</t>
  </si>
  <si>
    <t>+91-9117335231</t>
  </si>
  <si>
    <t>sai.bansal790@rediffmail,com</t>
  </si>
  <si>
    <t>2,407,140</t>
  </si>
  <si>
    <t>782</t>
  </si>
  <si>
    <t>₹1,085,278</t>
  </si>
  <si>
    <t>22609.96</t>
  </si>
  <si>
    <t>3,214,214</t>
  </si>
  <si>
    <t>4377888.0</t>
  </si>
  <si>
    <t>04 Aug 2026</t>
  </si>
  <si>
    <t>NISHA SINGH</t>
  </si>
  <si>
    <t>nisha.singh849 at gmail.com</t>
  </si>
  <si>
    <t>2072460</t>
  </si>
  <si>
    <t>₹6,163</t>
  </si>
  <si>
    <t>166.58</t>
  </si>
  <si>
    <t>245893</t>
  </si>
  <si>
    <t>13 May 2026</t>
  </si>
  <si>
    <t>9708436177-XX</t>
  </si>
  <si>
    <t>945580</t>
  </si>
  <si>
    <t>263,051</t>
  </si>
  <si>
    <t>6415.88</t>
  </si>
  <si>
    <t>299,913</t>
  </si>
  <si>
    <t>83.9</t>
  </si>
  <si>
    <t>10/09/2025</t>
  </si>
  <si>
    <t>94247 92824</t>
  </si>
  <si>
    <t>₹1,804,884</t>
  </si>
  <si>
    <t>648474.32</t>
  </si>
  <si>
    <t>40529.64</t>
  </si>
  <si>
    <t>₹1,429,543</t>
  </si>
  <si>
    <t>1733099.0</t>
  </si>
  <si>
    <t>2026/08/18</t>
  </si>
  <si>
    <t>USHA.TIWARI842@GMAIL.COM</t>
  </si>
  <si>
    <t>577</t>
  </si>
  <si>
    <t>957387.4</t>
  </si>
  <si>
    <t>17407.04</t>
  </si>
  <si>
    <t>200,218</t>
  </si>
  <si>
    <t>55.1</t>
  </si>
  <si>
    <t>19.0</t>
  </si>
  <si>
    <t>729299.0</t>
  </si>
  <si>
    <t>2026/02/10</t>
  </si>
  <si>
    <t>+91-9149801596</t>
  </si>
  <si>
    <t>478389</t>
  </si>
  <si>
    <t>148,563</t>
  </si>
  <si>
    <t>9285.2</t>
  </si>
  <si>
    <t>-2836590</t>
  </si>
  <si>
    <t>544933.0</t>
  </si>
  <si>
    <t>3586615.0</t>
  </si>
  <si>
    <t>09706607116</t>
  </si>
  <si>
    <t xml:space="preserve"> radhika.mehta189@hotmail.com </t>
  </si>
  <si>
    <t>48170.9</t>
  </si>
  <si>
    <t>-4906987</t>
  </si>
  <si>
    <t>5881782.0</t>
  </si>
  <si>
    <t>2026-01-08</t>
  </si>
  <si>
    <t>₹1,098,862</t>
  </si>
  <si>
    <t>36628.73</t>
  </si>
  <si>
    <t>362744</t>
  </si>
  <si>
    <t>88.3</t>
  </si>
  <si>
    <t>423174.0</t>
  </si>
  <si>
    <t>2026-06-13</t>
  </si>
  <si>
    <t>+91-9856146133</t>
  </si>
  <si>
    <t>853,057</t>
  </si>
  <si>
    <t>21,512</t>
  </si>
  <si>
    <t>632.7</t>
  </si>
  <si>
    <t>782,326</t>
  </si>
  <si>
    <t>162201.0</t>
  </si>
  <si>
    <t>14-05-2026</t>
  </si>
  <si>
    <t>1459495</t>
  </si>
  <si>
    <t>14437.81</t>
  </si>
  <si>
    <t>4,882,556</t>
  </si>
  <si>
    <t>762447.0</t>
  </si>
  <si>
    <t>5779589.0</t>
  </si>
  <si>
    <t>₹467,753</t>
  </si>
  <si>
    <t>19489.7</t>
  </si>
  <si>
    <t>1,090,532</t>
  </si>
  <si>
    <t>1308965.0</t>
  </si>
  <si>
    <t xml:space="preserve">  Priya Bhatt  </t>
  </si>
  <si>
    <t>96527 27806</t>
  </si>
  <si>
    <t>priya.bhatt476 at hotmail.com</t>
  </si>
  <si>
    <t>₹351,830</t>
  </si>
  <si>
    <t>6999.17</t>
  </si>
  <si>
    <t>191636</t>
  </si>
  <si>
    <t>822604.0</t>
  </si>
  <si>
    <t>09902077579</t>
  </si>
  <si>
    <t>596,608</t>
  </si>
  <si>
    <t>₹115,049</t>
  </si>
  <si>
    <t>2212.48</t>
  </si>
  <si>
    <t>2610611</t>
  </si>
  <si>
    <t>63.2</t>
  </si>
  <si>
    <t>3217256.0</t>
  </si>
  <si>
    <t>26216.59</t>
  </si>
  <si>
    <t>546.18</t>
  </si>
  <si>
    <t>360281</t>
  </si>
  <si>
    <t>+91-9264212912</t>
  </si>
  <si>
    <t>DIYA.JOSHI776@OUTLOOK.COM</t>
  </si>
  <si>
    <t>₹2,358,365</t>
  </si>
  <si>
    <t>498</t>
  </si>
  <si>
    <t>13377.81</t>
  </si>
  <si>
    <t>1,148,726</t>
  </si>
  <si>
    <t>1381181.0</t>
  </si>
  <si>
    <t>9458120745-XX</t>
  </si>
  <si>
    <t>600</t>
  </si>
  <si>
    <t>38432.73</t>
  </si>
  <si>
    <t>1,240,685</t>
  </si>
  <si>
    <t>62.8</t>
  </si>
  <si>
    <t>1531751.0</t>
  </si>
  <si>
    <t>08/28/2025</t>
  </si>
  <si>
    <t>+91-9445049909</t>
  </si>
  <si>
    <t>37648.07</t>
  </si>
  <si>
    <t>706491.0</t>
  </si>
  <si>
    <t>1275148.0</t>
  </si>
  <si>
    <t>14-04-2026</t>
  </si>
  <si>
    <t>97648121</t>
  </si>
  <si>
    <t>₹2,363,165</t>
  </si>
  <si>
    <t>1016384.73</t>
  </si>
  <si>
    <t>31762.02</t>
  </si>
  <si>
    <t>554721.0</t>
  </si>
  <si>
    <t>657086.0</t>
  </si>
  <si>
    <t>09/15/2025</t>
  </si>
  <si>
    <t>09981292633</t>
  </si>
  <si>
    <t>59695.99</t>
  </si>
  <si>
    <t>1530.67</t>
  </si>
  <si>
    <t>959064</t>
  </si>
  <si>
    <t>787503.0</t>
  </si>
  <si>
    <t>04/04/2026</t>
  </si>
  <si>
    <t>688629</t>
  </si>
  <si>
    <t>₹357,668</t>
  </si>
  <si>
    <t>21039.3</t>
  </si>
  <si>
    <t>2025-11-29</t>
  </si>
  <si>
    <t>09804586994</t>
  </si>
  <si>
    <t>375,872</t>
  </si>
  <si>
    <t>-214691.99</t>
  </si>
  <si>
    <t>6134.06</t>
  </si>
  <si>
    <t>1020682.0</t>
  </si>
  <si>
    <t>2012006</t>
  </si>
  <si>
    <t>890</t>
  </si>
  <si>
    <t>₹453,820</t>
  </si>
  <si>
    <t>37818.36</t>
  </si>
  <si>
    <t>₹786,726</t>
  </si>
  <si>
    <t>907400.0</t>
  </si>
  <si>
    <t>09522378602</t>
  </si>
  <si>
    <t>335,079</t>
  </si>
  <si>
    <t>₹53,475</t>
  </si>
  <si>
    <t>4456.25</t>
  </si>
  <si>
    <t>16.1</t>
  </si>
  <si>
    <t>251442.0</t>
  </si>
  <si>
    <t>18 Apr 2026</t>
  </si>
  <si>
    <t>₹474,734</t>
  </si>
  <si>
    <t>99357.14</t>
  </si>
  <si>
    <t>2310.63</t>
  </si>
  <si>
    <t>974,613</t>
  </si>
  <si>
    <t>1123494.0</t>
  </si>
  <si>
    <t>28 Oct 2025</t>
  </si>
  <si>
    <t>92296 81831</t>
  </si>
  <si>
    <t>111698.52</t>
  </si>
  <si>
    <t>5077.21</t>
  </si>
  <si>
    <t>₹613,331</t>
  </si>
  <si>
    <t>63.6</t>
  </si>
  <si>
    <t>464999.0</t>
  </si>
  <si>
    <t>698908.0</t>
  </si>
  <si>
    <t>24-01-2026</t>
  </si>
  <si>
    <t>563770</t>
  </si>
  <si>
    <t>304</t>
  </si>
  <si>
    <t>22,952</t>
  </si>
  <si>
    <t>882.75</t>
  </si>
  <si>
    <t>241,857</t>
  </si>
  <si>
    <t>206290.0</t>
  </si>
  <si>
    <t>12 Jun 2026</t>
  </si>
  <si>
    <t>93836 98081</t>
  </si>
  <si>
    <t>SANJAY.CHOPRA750@OUTLOOK.COM</t>
  </si>
  <si>
    <t>528,229</t>
  </si>
  <si>
    <t>201960.44</t>
  </si>
  <si>
    <t>4390.44</t>
  </si>
  <si>
    <t>₹5,146,756</t>
  </si>
  <si>
    <t>94.0</t>
  </si>
  <si>
    <t>6555547.0</t>
  </si>
  <si>
    <t>13-07-2026</t>
  </si>
  <si>
    <t>₹1,318,743</t>
  </si>
  <si>
    <t>390</t>
  </si>
  <si>
    <t>71,484</t>
  </si>
  <si>
    <t>2647.55</t>
  </si>
  <si>
    <t>58.5</t>
  </si>
  <si>
    <t>2025-12-12</t>
  </si>
  <si>
    <t xml:space="preserve"> krishna.reddy882@hotmail.com </t>
  </si>
  <si>
    <t>859400</t>
  </si>
  <si>
    <t>771</t>
  </si>
  <si>
    <t>193912.64</t>
  </si>
  <si>
    <t>3957.4</t>
  </si>
  <si>
    <t>-320833</t>
  </si>
  <si>
    <t>15.7</t>
  </si>
  <si>
    <t>09/06/2025</t>
  </si>
  <si>
    <t xml:space="preserve"> amit.tiwari67@hotmail.com </t>
  </si>
  <si>
    <t>2465375</t>
  </si>
  <si>
    <t>372</t>
  </si>
  <si>
    <t>19875.85</t>
  </si>
  <si>
    <t>81.0</t>
  </si>
  <si>
    <t>822524.0</t>
  </si>
  <si>
    <t>+91-9174560682</t>
  </si>
  <si>
    <t>1,161,580</t>
  </si>
  <si>
    <t>20027.23</t>
  </si>
  <si>
    <t>₹184,512</t>
  </si>
  <si>
    <t>49.4</t>
  </si>
  <si>
    <t>448819.0</t>
  </si>
  <si>
    <t>+91-9156221065</t>
  </si>
  <si>
    <t>2411510</t>
  </si>
  <si>
    <t>338</t>
  </si>
  <si>
    <t>16253.91</t>
  </si>
  <si>
    <t>412,503</t>
  </si>
  <si>
    <t>490082.0</t>
  </si>
  <si>
    <t>502582.0</t>
  </si>
  <si>
    <t>+91-9142960220</t>
  </si>
  <si>
    <t>aarav.saxena251 at hotmail.com</t>
  </si>
  <si>
    <t>31403.29</t>
  </si>
  <si>
    <t>₹294,055</t>
  </si>
  <si>
    <t>98.2</t>
  </si>
  <si>
    <t>897942.0</t>
  </si>
  <si>
    <t>swati.sethi834@outlook,com</t>
  </si>
  <si>
    <t>2,048,797</t>
  </si>
  <si>
    <t>527</t>
  </si>
  <si>
    <t>1198988.38</t>
  </si>
  <si>
    <t>42821.01</t>
  </si>
  <si>
    <t>2350850</t>
  </si>
  <si>
    <t>800268.0</t>
  </si>
  <si>
    <t>3251687.0</t>
  </si>
  <si>
    <t xml:space="preserve"> aarav.tiwari187@hotmail.com </t>
  </si>
  <si>
    <t>1575847</t>
  </si>
  <si>
    <t>₹53,738</t>
  </si>
  <si>
    <t>942.77</t>
  </si>
  <si>
    <t>₹7,762,290</t>
  </si>
  <si>
    <t>51.7</t>
  </si>
  <si>
    <t>9566688.0</t>
  </si>
  <si>
    <t>06/01/2026</t>
  </si>
  <si>
    <t>+91-9516539714</t>
  </si>
  <si>
    <t>434991.78</t>
  </si>
  <si>
    <t>7249.86</t>
  </si>
  <si>
    <t>₹1,380,691</t>
  </si>
  <si>
    <t>47.2</t>
  </si>
  <si>
    <t>1492296.0</t>
  </si>
  <si>
    <t>03/16/2026</t>
  </si>
  <si>
    <t>09683045299</t>
  </si>
  <si>
    <t>VIHAAN.SAXENA61@REDIFFMAIL.COM</t>
  </si>
  <si>
    <t>₹1,980,976</t>
  </si>
  <si>
    <t>21406.55</t>
  </si>
  <si>
    <t>993200</t>
  </si>
  <si>
    <t>874547.0</t>
  </si>
  <si>
    <t>1044220.0</t>
  </si>
  <si>
    <t>2026-03-11</t>
  </si>
  <si>
    <t>962,634</t>
  </si>
  <si>
    <t>31052.73</t>
  </si>
  <si>
    <t>511827.0</t>
  </si>
  <si>
    <t>09144986086</t>
  </si>
  <si>
    <t>₹342,573</t>
  </si>
  <si>
    <t>9015.07</t>
  </si>
  <si>
    <t>110,889</t>
  </si>
  <si>
    <t>865935</t>
  </si>
  <si>
    <t>514</t>
  </si>
  <si>
    <t>3693.76</t>
  </si>
  <si>
    <t>1404416</t>
  </si>
  <si>
    <t>35.2</t>
  </si>
  <si>
    <t>532080.0</t>
  </si>
  <si>
    <t>1654464.0</t>
  </si>
  <si>
    <t>09461617321</t>
  </si>
  <si>
    <t>28486.62</t>
  </si>
  <si>
    <t>1412426</t>
  </si>
  <si>
    <t>180652.0</t>
  </si>
  <si>
    <t>1612944.0</t>
  </si>
  <si>
    <t>01/19/2026</t>
  </si>
  <si>
    <t>neha shah</t>
  </si>
  <si>
    <t>+91-9754620092</t>
  </si>
  <si>
    <t>₹2,084,092</t>
  </si>
  <si>
    <t>₹770</t>
  </si>
  <si>
    <t>17.11</t>
  </si>
  <si>
    <t>929859</t>
  </si>
  <si>
    <t xml:space="preserve">  Company Provided  </t>
  </si>
  <si>
    <t>2061565</t>
  </si>
  <si>
    <t>₹238,073</t>
  </si>
  <si>
    <t>19839.45</t>
  </si>
  <si>
    <t>₹4,879,393</t>
  </si>
  <si>
    <t>6271096.0</t>
  </si>
  <si>
    <t>2025/11/10</t>
  </si>
  <si>
    <t>09509616187</t>
  </si>
  <si>
    <t>398161</t>
  </si>
  <si>
    <t>1251.72</t>
  </si>
  <si>
    <t>94.9</t>
  </si>
  <si>
    <t>681322.0</t>
  </si>
  <si>
    <t>₹1,654,595</t>
  </si>
  <si>
    <t>621</t>
  </si>
  <si>
    <t>311,601</t>
  </si>
  <si>
    <t>6359.21</t>
  </si>
  <si>
    <t>₹449,152</t>
  </si>
  <si>
    <t>56.7</t>
  </si>
  <si>
    <t>97533982</t>
  </si>
  <si>
    <t>2420337</t>
  </si>
  <si>
    <t>459</t>
  </si>
  <si>
    <t>1393365.97</t>
  </si>
  <si>
    <t>25333.93</t>
  </si>
  <si>
    <t>4843646</t>
  </si>
  <si>
    <t>787293.0</t>
  </si>
  <si>
    <t>5691003.0</t>
  </si>
  <si>
    <t>SHREYA DESAI</t>
  </si>
  <si>
    <t>9791033824-XX</t>
  </si>
  <si>
    <t>329539</t>
  </si>
  <si>
    <t>28771.27</t>
  </si>
  <si>
    <t>1918.08</t>
  </si>
  <si>
    <t>50.7</t>
  </si>
  <si>
    <t>679830.0</t>
  </si>
  <si>
    <t>8353915.0</t>
  </si>
  <si>
    <t>-2035459</t>
  </si>
  <si>
    <t>495</t>
  </si>
  <si>
    <t>68,863</t>
  </si>
  <si>
    <t>1229.71</t>
  </si>
  <si>
    <t>1,611,314</t>
  </si>
  <si>
    <t>396952.0</t>
  </si>
  <si>
    <t>2030247.0</t>
  </si>
  <si>
    <t>11 Sep 2025</t>
  </si>
  <si>
    <t>1475062</t>
  </si>
  <si>
    <t>₹860,131</t>
  </si>
  <si>
    <t>27746.16</t>
  </si>
  <si>
    <t>₹181,778</t>
  </si>
  <si>
    <t>2025-10-23</t>
  </si>
  <si>
    <t>ANIL CHOPRA</t>
  </si>
  <si>
    <t>1056284.92</t>
  </si>
  <si>
    <t>20313.17</t>
  </si>
  <si>
    <t>32.7</t>
  </si>
  <si>
    <t>729113.0</t>
  </si>
  <si>
    <t>1272335.0</t>
  </si>
  <si>
    <t>2389683</t>
  </si>
  <si>
    <t>-949965.5</t>
  </si>
  <si>
    <t>36537.13</t>
  </si>
  <si>
    <t>286,885</t>
  </si>
  <si>
    <t>58.2</t>
  </si>
  <si>
    <t>MANISH.GUPTA876@OUTLOOK.COM</t>
  </si>
  <si>
    <t>1337834</t>
  </si>
  <si>
    <t>6686.74</t>
  </si>
  <si>
    <t>₹7,447,682</t>
  </si>
  <si>
    <t>8778777.0</t>
  </si>
  <si>
    <t>09/27/2025</t>
  </si>
  <si>
    <t>DIYA.SHARMA920@YAHOO.COM</t>
  </si>
  <si>
    <t>302189.4</t>
  </si>
  <si>
    <t>5596.1</t>
  </si>
  <si>
    <t>₹4,743,069</t>
  </si>
  <si>
    <t>897168.0</t>
  </si>
  <si>
    <t>6090118.0</t>
  </si>
  <si>
    <t>₹1,912,587</t>
  </si>
  <si>
    <t>519175.44</t>
  </si>
  <si>
    <t>27325.02</t>
  </si>
  <si>
    <t>4,985,364</t>
  </si>
  <si>
    <t>95.5</t>
  </si>
  <si>
    <t>5899729.0</t>
  </si>
  <si>
    <t>9731771542-XX</t>
  </si>
  <si>
    <t>1225713</t>
  </si>
  <si>
    <t>₹635,589</t>
  </si>
  <si>
    <t>12462.53</t>
  </si>
  <si>
    <t>₹191,650</t>
  </si>
  <si>
    <t>33.9</t>
  </si>
  <si>
    <t>+91-9968661351</t>
  </si>
  <si>
    <t>₹837,880</t>
  </si>
  <si>
    <t>₹449,252</t>
  </si>
  <si>
    <t>8639.46</t>
  </si>
  <si>
    <t>1,046,617</t>
  </si>
  <si>
    <t>183736.0</t>
  </si>
  <si>
    <t>1166638.0</t>
  </si>
  <si>
    <t>11/25/2025</t>
  </si>
  <si>
    <t>1,974,912</t>
  </si>
  <si>
    <t>5938.36</t>
  </si>
  <si>
    <t>92.9</t>
  </si>
  <si>
    <t>06 Jan 2026</t>
  </si>
  <si>
    <t>09664770094</t>
  </si>
  <si>
    <t>4302.12</t>
  </si>
  <si>
    <t>5064536</t>
  </si>
  <si>
    <t>6561483.0</t>
  </si>
  <si>
    <t>2026/02/08</t>
  </si>
  <si>
    <t>137,023</t>
  </si>
  <si>
    <t>4281.97</t>
  </si>
  <si>
    <t>4026584</t>
  </si>
  <si>
    <t>5005334.0</t>
  </si>
  <si>
    <t>9113139785-XX</t>
  </si>
  <si>
    <t>1,076,027</t>
  </si>
  <si>
    <t>97913.47</t>
  </si>
  <si>
    <t>7531.81</t>
  </si>
  <si>
    <t>589628</t>
  </si>
  <si>
    <t>342071.0</t>
  </si>
  <si>
    <t>630365.0</t>
  </si>
  <si>
    <t>19-03-2026</t>
  </si>
  <si>
    <t>+91-9894771417</t>
  </si>
  <si>
    <t>₹456,691</t>
  </si>
  <si>
    <t>488</t>
  </si>
  <si>
    <t>12145.04</t>
  </si>
  <si>
    <t>1,092,263</t>
  </si>
  <si>
    <t>550639.0</t>
  </si>
  <si>
    <t>1196645.0</t>
  </si>
  <si>
    <t>divya chopra</t>
  </si>
  <si>
    <t>divya.chopra816@yahoo,com</t>
  </si>
  <si>
    <t>2026880</t>
  </si>
  <si>
    <t>11706.25</t>
  </si>
  <si>
    <t>6666232.0</t>
  </si>
  <si>
    <t>1273302</t>
  </si>
  <si>
    <t>₹750,105</t>
  </si>
  <si>
    <t>20273.1</t>
  </si>
  <si>
    <t>997335</t>
  </si>
  <si>
    <t>1107071.0</t>
  </si>
  <si>
    <t>09-01-2026</t>
  </si>
  <si>
    <t>93675 91057</t>
  </si>
  <si>
    <t>2,151,917</t>
  </si>
  <si>
    <t>₹143,516</t>
  </si>
  <si>
    <t>4348.98</t>
  </si>
  <si>
    <t>337381.0</t>
  </si>
  <si>
    <t>2026-05-05</t>
  </si>
  <si>
    <t>BHOPAL</t>
  </si>
  <si>
    <t>593</t>
  </si>
  <si>
    <t>8397.59</t>
  </si>
  <si>
    <t>4803533.0</t>
  </si>
  <si>
    <t>10/04/2025</t>
  </si>
  <si>
    <t>319,985</t>
  </si>
  <si>
    <t>8888.48</t>
  </si>
  <si>
    <t>267217</t>
  </si>
  <si>
    <t>2026/03/11</t>
  </si>
  <si>
    <t>24642.14</t>
  </si>
  <si>
    <t>457477</t>
  </si>
  <si>
    <t>33.2</t>
  </si>
  <si>
    <t>08/31/2025</t>
  </si>
  <si>
    <t>1907541</t>
  </si>
  <si>
    <t>₹471,194</t>
  </si>
  <si>
    <t>10025.4</t>
  </si>
  <si>
    <t>279,062</t>
  </si>
  <si>
    <t>62.0</t>
  </si>
  <si>
    <t>451014.0</t>
  </si>
  <si>
    <t>93090440</t>
  </si>
  <si>
    <t>2,058,512</t>
  </si>
  <si>
    <t>846</t>
  </si>
  <si>
    <t>32712.47</t>
  </si>
  <si>
    <t>452812</t>
  </si>
  <si>
    <t>205435.0</t>
  </si>
  <si>
    <t>2026/03/19</t>
  </si>
  <si>
    <t>+91-9802713346</t>
  </si>
  <si>
    <t>842</t>
  </si>
  <si>
    <t>541,619</t>
  </si>
  <si>
    <t>14253.14</t>
  </si>
  <si>
    <t>866080.0</t>
  </si>
  <si>
    <t>3062544.0</t>
  </si>
  <si>
    <t>94427 93673</t>
  </si>
  <si>
    <t>82394.93</t>
  </si>
  <si>
    <t>2574.84</t>
  </si>
  <si>
    <t>2329482</t>
  </si>
  <si>
    <t>2855628.0</t>
  </si>
  <si>
    <t>1032248.15</t>
  </si>
  <si>
    <t>20644.96</t>
  </si>
  <si>
    <t>507325</t>
  </si>
  <si>
    <t>6960.71</t>
  </si>
  <si>
    <t>₹6,506,421</t>
  </si>
  <si>
    <t>8935628.0</t>
  </si>
  <si>
    <t>27 Aug 2025</t>
  </si>
  <si>
    <t>1,805,285</t>
  </si>
  <si>
    <t>1062765.85</t>
  </si>
  <si>
    <t>81751.22</t>
  </si>
  <si>
    <t>522228</t>
  </si>
  <si>
    <t>64.7</t>
  </si>
  <si>
    <t>637300.0</t>
  </si>
  <si>
    <t>95892 87766</t>
  </si>
  <si>
    <t xml:space="preserve"> ashok.gupta160@hotmail.com </t>
  </si>
  <si>
    <t>-1839134</t>
  </si>
  <si>
    <t>91592.3</t>
  </si>
  <si>
    <t>1728.16</t>
  </si>
  <si>
    <t>533269</t>
  </si>
  <si>
    <t>675325.0</t>
  </si>
  <si>
    <t>560298.0</t>
  </si>
  <si>
    <t>09681426233</t>
  </si>
  <si>
    <t xml:space="preserve"> riya.malhotra614@gmail.com </t>
  </si>
  <si>
    <t>868,645</t>
  </si>
  <si>
    <t>413</t>
  </si>
  <si>
    <t>1174.74</t>
  </si>
  <si>
    <t>+91-9393045122</t>
  </si>
  <si>
    <t>ADITYA.SHARMA95@GMAIL.COM</t>
  </si>
  <si>
    <t>1,257,027</t>
  </si>
  <si>
    <t>503072.64</t>
  </si>
  <si>
    <t>15721.02</t>
  </si>
  <si>
    <t>384164</t>
  </si>
  <si>
    <t>94.6</t>
  </si>
  <si>
    <t>847111.0</t>
  </si>
  <si>
    <t>99151 53519</t>
  </si>
  <si>
    <t>372115</t>
  </si>
  <si>
    <t>54161.67</t>
  </si>
  <si>
    <t>3385.1</t>
  </si>
  <si>
    <t>564760</t>
  </si>
  <si>
    <t>597111.0</t>
  </si>
  <si>
    <t>2025/10/08</t>
  </si>
  <si>
    <t>09755243601</t>
  </si>
  <si>
    <t>404595</t>
  </si>
  <si>
    <t>23,632</t>
  </si>
  <si>
    <t>437.62</t>
  </si>
  <si>
    <t>90.9</t>
  </si>
  <si>
    <t>408360.0</t>
  </si>
  <si>
    <t>4417939.0</t>
  </si>
  <si>
    <t>1806955</t>
  </si>
  <si>
    <t>-12048.34</t>
  </si>
  <si>
    <t>803.22</t>
  </si>
  <si>
    <t>₹4,281,322</t>
  </si>
  <si>
    <t>460781.0</t>
  </si>
  <si>
    <t>4997493.0</t>
  </si>
  <si>
    <t>2026/06/22</t>
  </si>
  <si>
    <t>vihaan singh</t>
  </si>
  <si>
    <t>+91-9484092859</t>
  </si>
  <si>
    <t>₹356,364</t>
  </si>
  <si>
    <t>8287.53</t>
  </si>
  <si>
    <t>₹388,803</t>
  </si>
  <si>
    <t>82.1</t>
  </si>
  <si>
    <t>534213.0</t>
  </si>
  <si>
    <t>2026-08-24</t>
  </si>
  <si>
    <t>₹179,462</t>
  </si>
  <si>
    <t>4173.54</t>
  </si>
  <si>
    <t>1,625,378</t>
  </si>
  <si>
    <t>20.6</t>
  </si>
  <si>
    <t>2247458.0</t>
  </si>
  <si>
    <t>10/07/2025</t>
  </si>
  <si>
    <t xml:space="preserve"> shreya.khanna143@rediffmail.com </t>
  </si>
  <si>
    <t>384958</t>
  </si>
  <si>
    <t>₹102,234</t>
  </si>
  <si>
    <t>5679.69</t>
  </si>
  <si>
    <t>3978756</t>
  </si>
  <si>
    <t>239418.0</t>
  </si>
  <si>
    <t>4955988.0</t>
  </si>
  <si>
    <t>2025-12-11</t>
  </si>
  <si>
    <t>SUNITA SHARMA</t>
  </si>
  <si>
    <t>9525432708-XX</t>
  </si>
  <si>
    <t>SUNITA.SHARMA227@YAHOO.COM</t>
  </si>
  <si>
    <t>₹962</t>
  </si>
  <si>
    <t>45.8</t>
  </si>
  <si>
    <t>239,145</t>
  </si>
  <si>
    <t>2026-07-22</t>
  </si>
  <si>
    <t>97958 18062</t>
  </si>
  <si>
    <t>sanjay.agarwal350@hotmail,com</t>
  </si>
  <si>
    <t>1,728,210</t>
  </si>
  <si>
    <t>767,286</t>
  </si>
  <si>
    <t>22567.23</t>
  </si>
  <si>
    <t>305,153</t>
  </si>
  <si>
    <t>60.0</t>
  </si>
  <si>
    <t>325467.0</t>
  </si>
  <si>
    <t>09939494253</t>
  </si>
  <si>
    <t>2150074</t>
  </si>
  <si>
    <t>421</t>
  </si>
  <si>
    <t>2203.61</t>
  </si>
  <si>
    <t>71.4</t>
  </si>
  <si>
    <t>813111.0</t>
  </si>
  <si>
    <t>03/28/2026</t>
  </si>
  <si>
    <t xml:space="preserve">  Freelancer  </t>
  </si>
  <si>
    <t>₹530,452</t>
  </si>
  <si>
    <t>₹78,265</t>
  </si>
  <si>
    <t>1423.0</t>
  </si>
  <si>
    <t>224,887</t>
  </si>
  <si>
    <t>251612.0</t>
  </si>
  <si>
    <t>21-06-2026</t>
  </si>
  <si>
    <t>+91-9506465823</t>
  </si>
  <si>
    <t>2,388,680</t>
  </si>
  <si>
    <t>972.7</t>
  </si>
  <si>
    <t>₹525,587</t>
  </si>
  <si>
    <t>15.8</t>
  </si>
  <si>
    <t>+91-9508127996</t>
  </si>
  <si>
    <t>RAJESH.DESAI390@REDIFFMAIL.COM</t>
  </si>
  <si>
    <t>1381521</t>
  </si>
  <si>
    <t>722</t>
  </si>
  <si>
    <t>283,901</t>
  </si>
  <si>
    <t>17743.83</t>
  </si>
  <si>
    <t>₹741,050</t>
  </si>
  <si>
    <t>841993.0</t>
  </si>
  <si>
    <t>16-12-2025</t>
  </si>
  <si>
    <t>701</t>
  </si>
  <si>
    <t>₹38,476</t>
  </si>
  <si>
    <t>641.27</t>
  </si>
  <si>
    <t>6,647,208</t>
  </si>
  <si>
    <t>44.0</t>
  </si>
  <si>
    <t>7680317.0</t>
  </si>
  <si>
    <t>22-03-2026</t>
  </si>
  <si>
    <t>9543751428-XX</t>
  </si>
  <si>
    <t xml:space="preserve"> ananya.sharma593@yahoo.com </t>
  </si>
  <si>
    <t>-1700070</t>
  </si>
  <si>
    <t>429</t>
  </si>
  <si>
    <t>765,739</t>
  </si>
  <si>
    <t>20151.03</t>
  </si>
  <si>
    <t>₹3,004,271</t>
  </si>
  <si>
    <t>3537715.0</t>
  </si>
  <si>
    <t>04/06/2026</t>
  </si>
  <si>
    <t>mahesh shah</t>
  </si>
  <si>
    <t>+91-9104692647</t>
  </si>
  <si>
    <t>440</t>
  </si>
  <si>
    <t>₹73,123</t>
  </si>
  <si>
    <t>1624.94</t>
  </si>
  <si>
    <t>408,925</t>
  </si>
  <si>
    <t>445161.0</t>
  </si>
  <si>
    <t>9160237222-XX</t>
  </si>
  <si>
    <t>1955523</t>
  </si>
  <si>
    <t>716</t>
  </si>
  <si>
    <t>₹739,352</t>
  </si>
  <si>
    <t>13691.71</t>
  </si>
  <si>
    <t>939928</t>
  </si>
  <si>
    <t>98.1</t>
  </si>
  <si>
    <t>2073601</t>
  </si>
  <si>
    <t>821</t>
  </si>
  <si>
    <t>₹34,502</t>
  </si>
  <si>
    <t>616.1</t>
  </si>
  <si>
    <t>5,683,946</t>
  </si>
  <si>
    <t>65.6</t>
  </si>
  <si>
    <t>6725644.0</t>
  </si>
  <si>
    <t>2026/06/09</t>
  </si>
  <si>
    <t>₹1,850,177</t>
  </si>
  <si>
    <t>76307.79</t>
  </si>
  <si>
    <t>-76770</t>
  </si>
  <si>
    <t>19-01-2026</t>
  </si>
  <si>
    <t>1914647</t>
  </si>
  <si>
    <t>100,029</t>
  </si>
  <si>
    <t>1887.34</t>
  </si>
  <si>
    <t>163,885</t>
  </si>
  <si>
    <t>841631.0</t>
  </si>
  <si>
    <t>-2240241</t>
  </si>
  <si>
    <t>5787.33</t>
  </si>
  <si>
    <t>-7386510</t>
  </si>
  <si>
    <t>576563.0</t>
  </si>
  <si>
    <t>9152344.0</t>
  </si>
  <si>
    <t>25 Aug 2026</t>
  </si>
  <si>
    <t>1696029</t>
  </si>
  <si>
    <t>11,359</t>
  </si>
  <si>
    <t>334.09</t>
  </si>
  <si>
    <t>4244325</t>
  </si>
  <si>
    <t>5305597.0</t>
  </si>
  <si>
    <t>2025-11-06</t>
  </si>
  <si>
    <t>98520477</t>
  </si>
  <si>
    <t>lata.chauhan494@outlook,com</t>
  </si>
  <si>
    <t>₹1,422,750</t>
  </si>
  <si>
    <t>₹115,924</t>
  </si>
  <si>
    <t>4830.16</t>
  </si>
  <si>
    <t>99,495</t>
  </si>
  <si>
    <t>18 Jul 2026</t>
  </si>
  <si>
    <t>91657452</t>
  </si>
  <si>
    <t>746673</t>
  </si>
  <si>
    <t>239758.59</t>
  </si>
  <si>
    <t>4994.97</t>
  </si>
  <si>
    <t>2549093</t>
  </si>
  <si>
    <t>3008485.0</t>
  </si>
  <si>
    <t>2026-05-09</t>
  </si>
  <si>
    <t>+91-9844418816</t>
  </si>
  <si>
    <t xml:space="preserve"> ananya.singh751@hotmail.com </t>
  </si>
  <si>
    <t>₹557,859</t>
  </si>
  <si>
    <t>239,766</t>
  </si>
  <si>
    <t>8267.79</t>
  </si>
  <si>
    <t>08-07-2026</t>
  </si>
  <si>
    <t>95586951</t>
  </si>
  <si>
    <t>1,829,933</t>
  </si>
  <si>
    <t>766</t>
  </si>
  <si>
    <t>74426.97</t>
  </si>
  <si>
    <t>5316.21</t>
  </si>
  <si>
    <t>7785569.0</t>
  </si>
  <si>
    <t>02/28/2026</t>
  </si>
  <si>
    <t>NEHA BANSAL</t>
  </si>
  <si>
    <t>63266.23</t>
  </si>
  <si>
    <t>2343.19</t>
  </si>
  <si>
    <t>36.8</t>
  </si>
  <si>
    <t>2409157.0</t>
  </si>
  <si>
    <t>2025-09-10</t>
  </si>
  <si>
    <t>09474359078</t>
  </si>
  <si>
    <t>₹2,211,404</t>
  </si>
  <si>
    <t>-663943.56</t>
  </si>
  <si>
    <t>26557.74</t>
  </si>
  <si>
    <t>1331791</t>
  </si>
  <si>
    <t>822185.0</t>
  </si>
  <si>
    <t>1501551.0</t>
  </si>
  <si>
    <t>92672528</t>
  </si>
  <si>
    <t>2075375</t>
  </si>
  <si>
    <t>641</t>
  </si>
  <si>
    <t>6705.65</t>
  </si>
  <si>
    <t>805,608</t>
  </si>
  <si>
    <t>443342.0</t>
  </si>
  <si>
    <t>09/03/2025</t>
  </si>
  <si>
    <t>780,422</t>
  </si>
  <si>
    <t>462,799</t>
  </si>
  <si>
    <t>14462.47</t>
  </si>
  <si>
    <t>6,998,352</t>
  </si>
  <si>
    <t>178287.0</t>
  </si>
  <si>
    <t>8458901.0</t>
  </si>
  <si>
    <t>+91-9103813398</t>
  </si>
  <si>
    <t xml:space="preserve"> ayaan.yadav829@outlook.com </t>
  </si>
  <si>
    <t>1267378</t>
  </si>
  <si>
    <t>-475261.65</t>
  </si>
  <si>
    <t>31684.11</t>
  </si>
  <si>
    <t>72.1</t>
  </si>
  <si>
    <t>05-11-2025</t>
  </si>
  <si>
    <t>+91-9560731187</t>
  </si>
  <si>
    <t>2,220,985</t>
  </si>
  <si>
    <t>8070.14</t>
  </si>
  <si>
    <t>237.36</t>
  </si>
  <si>
    <t>757,100</t>
  </si>
  <si>
    <t>254631.0</t>
  </si>
  <si>
    <t>2025/11/05</t>
  </si>
  <si>
    <t>2337684</t>
  </si>
  <si>
    <t>1219896.58</t>
  </si>
  <si>
    <t>60994.83</t>
  </si>
  <si>
    <t>479,042</t>
  </si>
  <si>
    <t>46.1</t>
  </si>
  <si>
    <t>21622.9</t>
  </si>
  <si>
    <t>263164</t>
  </si>
  <si>
    <t>03/08/2026</t>
  </si>
  <si>
    <t>93018 21554</t>
  </si>
  <si>
    <t>kritika.saxena935@rediffmail,com</t>
  </si>
  <si>
    <t>₹603,834</t>
  </si>
  <si>
    <t>53,858</t>
  </si>
  <si>
    <t>1496.07</t>
  </si>
  <si>
    <t>₹1,312,601</t>
  </si>
  <si>
    <t>1399306.0</t>
  </si>
  <si>
    <t>₹360,351</t>
  </si>
  <si>
    <t>8380.27</t>
  </si>
  <si>
    <t>1463586.0</t>
  </si>
  <si>
    <t>vikram patel</t>
  </si>
  <si>
    <t>VIKRAM.PATEL773@GMAIL.COM</t>
  </si>
  <si>
    <t>979690</t>
  </si>
  <si>
    <t>₹9,215</t>
  </si>
  <si>
    <t>418.88</t>
  </si>
  <si>
    <t>27151</t>
  </si>
  <si>
    <t>22.6</t>
  </si>
  <si>
    <t>28 Feb 2026</t>
  </si>
  <si>
    <t>+91-9781886552</t>
  </si>
  <si>
    <t>717</t>
  </si>
  <si>
    <t>595075.58</t>
  </si>
  <si>
    <t>13838.97</t>
  </si>
  <si>
    <t>693415.0</t>
  </si>
  <si>
    <t>503277.0</t>
  </si>
  <si>
    <t>2026-07-31</t>
  </si>
  <si>
    <t>96520249</t>
  </si>
  <si>
    <t>₹1,258,989</t>
  </si>
  <si>
    <t>107602.77</t>
  </si>
  <si>
    <t>2502.39</t>
  </si>
  <si>
    <t>₹505,267</t>
  </si>
  <si>
    <t>sunil sethi</t>
  </si>
  <si>
    <t>09798409334</t>
  </si>
  <si>
    <t>SUNIL.SETHI419@REDIFFMAIL.COM</t>
  </si>
  <si>
    <t>₹1,322,802</t>
  </si>
  <si>
    <t>₹4,190</t>
  </si>
  <si>
    <t>322.29</t>
  </si>
  <si>
    <t>1195631.0</t>
  </si>
  <si>
    <t>2026/06/30</t>
  </si>
  <si>
    <t xml:space="preserve">  Nisha Verma  </t>
  </si>
  <si>
    <t>09848336824</t>
  </si>
  <si>
    <t>₹1,430,956</t>
  </si>
  <si>
    <t>₹34,585</t>
  </si>
  <si>
    <t>2660.36</t>
  </si>
  <si>
    <t>241,097</t>
  </si>
  <si>
    <t>58.1</t>
  </si>
  <si>
    <t>407623.0</t>
  </si>
  <si>
    <t>2361378</t>
  </si>
  <si>
    <t>158224.6</t>
  </si>
  <si>
    <t>5860.17</t>
  </si>
  <si>
    <t>404130.0</t>
  </si>
  <si>
    <t>1,735,381</t>
  </si>
  <si>
    <t>382</t>
  </si>
  <si>
    <t>608702.57</t>
  </si>
  <si>
    <t>19021.96</t>
  </si>
  <si>
    <t>61100</t>
  </si>
  <si>
    <t>90.7</t>
  </si>
  <si>
    <t>9589226316-XX</t>
  </si>
  <si>
    <t>888868</t>
  </si>
  <si>
    <t>₹63,922</t>
  </si>
  <si>
    <t>1065.37</t>
  </si>
  <si>
    <t>₹848,019</t>
  </si>
  <si>
    <t>88.9</t>
  </si>
  <si>
    <t>SAANVI AGARWAL</t>
  </si>
  <si>
    <t>9351300022-XX</t>
  </si>
  <si>
    <t>₹1,709,399</t>
  </si>
  <si>
    <t>₹33,319</t>
  </si>
  <si>
    <t>1009.67</t>
  </si>
  <si>
    <t>69.3</t>
  </si>
  <si>
    <t>06 Jun 2026</t>
  </si>
  <si>
    <t>aditya.iyer353 at gmail.com</t>
  </si>
  <si>
    <t>₹909,221</t>
  </si>
  <si>
    <t>301,667</t>
  </si>
  <si>
    <t>5201.16</t>
  </si>
  <si>
    <t>398427.0</t>
  </si>
  <si>
    <t>03-12-2025</t>
  </si>
  <si>
    <t>+91-9859401717</t>
  </si>
  <si>
    <t>654655</t>
  </si>
  <si>
    <t>31672.8</t>
  </si>
  <si>
    <t>1666.99</t>
  </si>
  <si>
    <t>188,135</t>
  </si>
  <si>
    <t>2025/12/13</t>
  </si>
  <si>
    <t>09558875079</t>
  </si>
  <si>
    <t>1258767</t>
  </si>
  <si>
    <t>428,384</t>
  </si>
  <si>
    <t>26773.98</t>
  </si>
  <si>
    <t>1228311</t>
  </si>
  <si>
    <t>1498648.0</t>
  </si>
  <si>
    <t>2026/07/08</t>
  </si>
  <si>
    <t xml:space="preserve">  Sai Shah  </t>
  </si>
  <si>
    <t>sai.shah58 at outlook.com</t>
  </si>
  <si>
    <t>351352.42</t>
  </si>
  <si>
    <t>7475.58</t>
  </si>
  <si>
    <t>-485071</t>
  </si>
  <si>
    <t>94.3</t>
  </si>
  <si>
    <t>99468 37680</t>
  </si>
  <si>
    <t>sunil.yadav211 at outlook.com</t>
  </si>
  <si>
    <t>588,599</t>
  </si>
  <si>
    <t>2124.66</t>
  </si>
  <si>
    <t>920427</t>
  </si>
  <si>
    <t>2025-08-27</t>
  </si>
  <si>
    <t>09687234675</t>
  </si>
  <si>
    <t>1,126,222</t>
  </si>
  <si>
    <t>424</t>
  </si>
  <si>
    <t>489004.35</t>
  </si>
  <si>
    <t>9403.93</t>
  </si>
  <si>
    <t>4499226.0</t>
  </si>
  <si>
    <t>06/25/2026</t>
  </si>
  <si>
    <t>842749</t>
  </si>
  <si>
    <t>₹461,822</t>
  </si>
  <si>
    <t>11263.95</t>
  </si>
  <si>
    <t>247384</t>
  </si>
  <si>
    <t>312519.0</t>
  </si>
  <si>
    <t>2282273</t>
  </si>
  <si>
    <t>₹621,033</t>
  </si>
  <si>
    <t>14442.63</t>
  </si>
  <si>
    <t>143903</t>
  </si>
  <si>
    <t>74.8</t>
  </si>
  <si>
    <t>02-11-2025</t>
  </si>
  <si>
    <t>+91-9509828757</t>
  </si>
  <si>
    <t>17435.4</t>
  </si>
  <si>
    <t>106965</t>
  </si>
  <si>
    <t>25.7</t>
  </si>
  <si>
    <t>740594.0</t>
  </si>
  <si>
    <t>+91-9830119469</t>
  </si>
  <si>
    <t>₹371,503</t>
  </si>
  <si>
    <t>8076.15</t>
  </si>
  <si>
    <t>3,238,194</t>
  </si>
  <si>
    <t>3899150.0</t>
  </si>
  <si>
    <t>06/04/2026</t>
  </si>
  <si>
    <t>91303 94212</t>
  </si>
  <si>
    <t>1252162</t>
  </si>
  <si>
    <t>10273.85</t>
  </si>
  <si>
    <t>50.8</t>
  </si>
  <si>
    <t>707120.0</t>
  </si>
  <si>
    <t>31-05-2026</t>
  </si>
  <si>
    <t>krishna.desai288 at hotmail.com</t>
  </si>
  <si>
    <t>779042</t>
  </si>
  <si>
    <t>354</t>
  </si>
  <si>
    <t>9437.34</t>
  </si>
  <si>
    <t>1239942</t>
  </si>
  <si>
    <t>1341922.0</t>
  </si>
  <si>
    <t>11/03/2025</t>
  </si>
  <si>
    <t>ayaan.kumar560 at hotmail.com</t>
  </si>
  <si>
    <t>698126</t>
  </si>
  <si>
    <t>181,234</t>
  </si>
  <si>
    <t>4214.75</t>
  </si>
  <si>
    <t>-712534</t>
  </si>
  <si>
    <t>2026/02/22</t>
  </si>
  <si>
    <t>9908843777-XX</t>
  </si>
  <si>
    <t>516</t>
  </si>
  <si>
    <t>13214.92</t>
  </si>
  <si>
    <t>95.0</t>
  </si>
  <si>
    <t>2025/10/23</t>
  </si>
  <si>
    <t>93088105</t>
  </si>
  <si>
    <t>244861.37</t>
  </si>
  <si>
    <t>4452.02</t>
  </si>
  <si>
    <t>33.1</t>
  </si>
  <si>
    <t>ayaan.singh872 at outlook.com</t>
  </si>
  <si>
    <t xml:space="preserve">  Salaried - Healthcare  </t>
  </si>
  <si>
    <t>1,734,559</t>
  </si>
  <si>
    <t>335,815</t>
  </si>
  <si>
    <t>20988.46</t>
  </si>
  <si>
    <t>90.3</t>
  </si>
  <si>
    <t>1554337.0</t>
  </si>
  <si>
    <t>+91-9323240792</t>
  </si>
  <si>
    <t>1616807</t>
  </si>
  <si>
    <t>579,932</t>
  </si>
  <si>
    <t>12887.37</t>
  </si>
  <si>
    <t>₹396,765</t>
  </si>
  <si>
    <t>697035.0</t>
  </si>
  <si>
    <t>485342.0</t>
  </si>
  <si>
    <t>2026/08/20</t>
  </si>
  <si>
    <t>₹2,431,638</t>
  </si>
  <si>
    <t>34078.39</t>
  </si>
  <si>
    <t>₹270,724</t>
  </si>
  <si>
    <t>16.5</t>
  </si>
  <si>
    <t>278738.0</t>
  </si>
  <si>
    <t>13 Oct 2025</t>
  </si>
  <si>
    <t>DIVYA SETHI</t>
  </si>
  <si>
    <t>-499983.74</t>
  </si>
  <si>
    <t>16128.51</t>
  </si>
  <si>
    <t>862991</t>
  </si>
  <si>
    <t>907404.0</t>
  </si>
  <si>
    <t>2047046</t>
  </si>
  <si>
    <t>616</t>
  </si>
  <si>
    <t>607963.81</t>
  </si>
  <si>
    <t>25331.83</t>
  </si>
  <si>
    <t>₹490,419</t>
  </si>
  <si>
    <t>99824 10838</t>
  </si>
  <si>
    <t>1640184</t>
  </si>
  <si>
    <t>624,097</t>
  </si>
  <si>
    <t>27134.63</t>
  </si>
  <si>
    <t>553,615</t>
  </si>
  <si>
    <t>41.3</t>
  </si>
  <si>
    <t>323785.0</t>
  </si>
  <si>
    <t>2025/09/28</t>
  </si>
  <si>
    <t>shreya.rathi197@rediffmail,com</t>
  </si>
  <si>
    <t>831907</t>
  </si>
  <si>
    <t>734</t>
  </si>
  <si>
    <t>₹336,098</t>
  </si>
  <si>
    <t>7638.58</t>
  </si>
  <si>
    <t>2026-03-09</t>
  </si>
  <si>
    <t>+91-9885608295</t>
  </si>
  <si>
    <t>15045.21</t>
  </si>
  <si>
    <t>255,807</t>
  </si>
  <si>
    <t>37.3</t>
  </si>
  <si>
    <t>2026-07-03</t>
  </si>
  <si>
    <t>seema.joshi887@gmail,com</t>
  </si>
  <si>
    <t>₹1,670,527</t>
  </si>
  <si>
    <t>636</t>
  </si>
  <si>
    <t>44905.34</t>
  </si>
  <si>
    <t>1095.25</t>
  </si>
  <si>
    <t>₹440,776</t>
  </si>
  <si>
    <t>96544210</t>
  </si>
  <si>
    <t>1,160,038</t>
  </si>
  <si>
    <t>29744.57</t>
  </si>
  <si>
    <t>64.0</t>
  </si>
  <si>
    <t>10/17/2025</t>
  </si>
  <si>
    <t>POOJA SAXENA</t>
  </si>
  <si>
    <t>+91-9484932777</t>
  </si>
  <si>
    <t>2418891</t>
  </si>
  <si>
    <t>₹378,449</t>
  </si>
  <si>
    <t>6524.99</t>
  </si>
  <si>
    <t>264339</t>
  </si>
  <si>
    <t>882304.0</t>
  </si>
  <si>
    <t>2026/07/22</t>
  </si>
  <si>
    <t>RIYA.MALHOTRA591@YAHOO.COM</t>
  </si>
  <si>
    <t>₹226,677</t>
  </si>
  <si>
    <t>5397.07</t>
  </si>
  <si>
    <t>47.3</t>
  </si>
  <si>
    <t>25.9</t>
  </si>
  <si>
    <t>2026/04/02</t>
  </si>
  <si>
    <t>99921 95121</t>
  </si>
  <si>
    <t>₹1,505,955</t>
  </si>
  <si>
    <t>101075.66</t>
  </si>
  <si>
    <t>4211.49</t>
  </si>
  <si>
    <t>1374054</t>
  </si>
  <si>
    <t>1620978.0</t>
  </si>
  <si>
    <t>96408 59955</t>
  </si>
  <si>
    <t>SURESH.KHANNA881@OUTLOOK.COM</t>
  </si>
  <si>
    <t>2,498,573</t>
  </si>
  <si>
    <t>219895.89</t>
  </si>
  <si>
    <t>9162.33</t>
  </si>
  <si>
    <t>3,308,851</t>
  </si>
  <si>
    <t>69.6</t>
  </si>
  <si>
    <t>4362939.0</t>
  </si>
  <si>
    <t>11-11-2025</t>
  </si>
  <si>
    <t>14194.79</t>
  </si>
  <si>
    <t>373.55</t>
  </si>
  <si>
    <t>+91-9798000086</t>
  </si>
  <si>
    <t>ramesh.iyer246@outlook,com</t>
  </si>
  <si>
    <t>1,098,000</t>
  </si>
  <si>
    <t>₹633,965</t>
  </si>
  <si>
    <t>23480.19</t>
  </si>
  <si>
    <t>58.0</t>
  </si>
  <si>
    <t>5718423.0</t>
  </si>
  <si>
    <t>2025-10-10</t>
  </si>
  <si>
    <t>99230561</t>
  </si>
  <si>
    <t>-1465023</t>
  </si>
  <si>
    <t>21977.56</t>
  </si>
  <si>
    <t>372.5</t>
  </si>
  <si>
    <t>852,372</t>
  </si>
  <si>
    <t>300214.0</t>
  </si>
  <si>
    <t>1062712.0</t>
  </si>
  <si>
    <t>2026/07/15</t>
  </si>
  <si>
    <t>₹594,186</t>
  </si>
  <si>
    <t>18370.86</t>
  </si>
  <si>
    <t>61.8</t>
  </si>
  <si>
    <t>815049.0</t>
  </si>
  <si>
    <t>14-01-2026</t>
  </si>
  <si>
    <t>+91-9884010024</t>
  </si>
  <si>
    <t>2,012,797</t>
  </si>
  <si>
    <t>-497090.91</t>
  </si>
  <si>
    <t>9205.39</t>
  </si>
  <si>
    <t>-6093266</t>
  </si>
  <si>
    <t>7428036.0</t>
  </si>
  <si>
    <t>11/18/2025</t>
  </si>
  <si>
    <t>91038750</t>
  </si>
  <si>
    <t>1,498,617</t>
  </si>
  <si>
    <t>3013.87</t>
  </si>
  <si>
    <t>152842</t>
  </si>
  <si>
    <t xml:space="preserve">  Vinod Desai  </t>
  </si>
  <si>
    <t>171078.41</t>
  </si>
  <si>
    <t>6579.94</t>
  </si>
  <si>
    <t>38.9</t>
  </si>
  <si>
    <t>800298.0</t>
  </si>
  <si>
    <t>8104412.0</t>
  </si>
  <si>
    <t>1120386</t>
  </si>
  <si>
    <t>380</t>
  </si>
  <si>
    <t>234,785</t>
  </si>
  <si>
    <t>4603.62</t>
  </si>
  <si>
    <t>651875</t>
  </si>
  <si>
    <t>51.5</t>
  </si>
  <si>
    <t>803980.0</t>
  </si>
  <si>
    <t>₹1,202,329</t>
  </si>
  <si>
    <t>549852.42</t>
  </si>
  <si>
    <t>11455.26</t>
  </si>
  <si>
    <t>307,169</t>
  </si>
  <si>
    <t>02/01/2026</t>
  </si>
  <si>
    <t>+91-9753120819</t>
  </si>
  <si>
    <t>726161</t>
  </si>
  <si>
    <t>39508.06</t>
  </si>
  <si>
    <t>2324.0</t>
  </si>
  <si>
    <t>179244.0</t>
  </si>
  <si>
    <t>1302021.0</t>
  </si>
  <si>
    <t>2026-05-25</t>
  </si>
  <si>
    <t>sanjay.kumar632 at hotmail.com</t>
  </si>
  <si>
    <t>612</t>
  </si>
  <si>
    <t>13957.29</t>
  </si>
  <si>
    <t>430,562</t>
  </si>
  <si>
    <t>264526.0</t>
  </si>
  <si>
    <t>09846008575</t>
  </si>
  <si>
    <t>₹8,753</t>
  </si>
  <si>
    <t>312.61</t>
  </si>
  <si>
    <t>₹888,925</t>
  </si>
  <si>
    <t>43.4</t>
  </si>
  <si>
    <t>-1436614</t>
  </si>
  <si>
    <t>11446.37</t>
  </si>
  <si>
    <t>744,208</t>
  </si>
  <si>
    <t>2025-09-18</t>
  </si>
  <si>
    <t>mahesh.kapoor573 at outlook.com</t>
  </si>
  <si>
    <t>1102683</t>
  </si>
  <si>
    <t>3884.66</t>
  </si>
  <si>
    <t>₹193,635</t>
  </si>
  <si>
    <t>53.6</t>
  </si>
  <si>
    <t>04 Jun 2026</t>
  </si>
  <si>
    <t>1173.8</t>
  </si>
  <si>
    <t>10-02-2026</t>
  </si>
  <si>
    <t xml:space="preserve">  Isha Malhotra  </t>
  </si>
  <si>
    <t>09964640420</t>
  </si>
  <si>
    <t>isha.malhotra138 at yahoo.com</t>
  </si>
  <si>
    <t>543</t>
  </si>
  <si>
    <t>108480.59</t>
  </si>
  <si>
    <t>3013.35</t>
  </si>
  <si>
    <t>89.1</t>
  </si>
  <si>
    <t>24.0</t>
  </si>
  <si>
    <t>04/29/2026</t>
  </si>
  <si>
    <t>09908781262</t>
  </si>
  <si>
    <t>369945</t>
  </si>
  <si>
    <t>130,264</t>
  </si>
  <si>
    <t>2171.07</t>
  </si>
  <si>
    <t>906640.0</t>
  </si>
  <si>
    <t>91998 31937</t>
  </si>
  <si>
    <t>RADHIKA.SHAH981@HOTMAIL.COM</t>
  </si>
  <si>
    <t>-1227204</t>
  </si>
  <si>
    <t>561</t>
  </si>
  <si>
    <t>636,574</t>
  </si>
  <si>
    <t>10609.56</t>
  </si>
  <si>
    <t>-6757891</t>
  </si>
  <si>
    <t>78.2</t>
  </si>
  <si>
    <t>9245872.0</t>
  </si>
  <si>
    <t>2025-11-15</t>
  </si>
  <si>
    <t>96760 85398</t>
  </si>
  <si>
    <t>1866642</t>
  </si>
  <si>
    <t>814781.48</t>
  </si>
  <si>
    <t>14814.21</t>
  </si>
  <si>
    <t>5568126</t>
  </si>
  <si>
    <t>65.7</t>
  </si>
  <si>
    <t>7560055.0</t>
  </si>
  <si>
    <t>26-04-2026</t>
  </si>
  <si>
    <t>94837 70585</t>
  </si>
  <si>
    <t>13237.64</t>
  </si>
  <si>
    <t>482,422</t>
  </si>
  <si>
    <t>569443.0</t>
  </si>
  <si>
    <t>07 Jul 2026</t>
  </si>
  <si>
    <t>94593225</t>
  </si>
  <si>
    <t>saanvi.nair230 at outlook.com</t>
  </si>
  <si>
    <t>₹601,744</t>
  </si>
  <si>
    <t>712</t>
  </si>
  <si>
    <t>26,513</t>
  </si>
  <si>
    <t>530.26</t>
  </si>
  <si>
    <t>3,492,989</t>
  </si>
  <si>
    <t>232693.0</t>
  </si>
  <si>
    <t>4679384.0</t>
  </si>
  <si>
    <t>676.89</t>
  </si>
  <si>
    <t>832492.0</t>
  </si>
  <si>
    <t>1486215.0</t>
  </si>
  <si>
    <t>2026/04/07</t>
  </si>
  <si>
    <t>09665844292</t>
  </si>
  <si>
    <t>kavya.rathi409@hotmail,com</t>
  </si>
  <si>
    <t>1,395,613</t>
  </si>
  <si>
    <t>702</t>
  </si>
  <si>
    <t>₹34,251</t>
  </si>
  <si>
    <t>878.23</t>
  </si>
  <si>
    <t>3742471</t>
  </si>
  <si>
    <t>83.3</t>
  </si>
  <si>
    <t>843884.0</t>
  </si>
  <si>
    <t>4362754.0</t>
  </si>
  <si>
    <t>2026/06/28</t>
  </si>
  <si>
    <t>99815 54550</t>
  </si>
  <si>
    <t>478567</t>
  </si>
  <si>
    <t>₹207,503</t>
  </si>
  <si>
    <t>3915.16</t>
  </si>
  <si>
    <t>₹634,143</t>
  </si>
  <si>
    <t>9386683631-XX</t>
  </si>
  <si>
    <t>₹2,315,353</t>
  </si>
  <si>
    <t>883</t>
  </si>
  <si>
    <t>1303300.73</t>
  </si>
  <si>
    <t>26066.01</t>
  </si>
  <si>
    <t>-259119</t>
  </si>
  <si>
    <t>735564.0</t>
  </si>
  <si>
    <t>99153302</t>
  </si>
  <si>
    <t>2145388</t>
  </si>
  <si>
    <t>619685.19</t>
  </si>
  <si>
    <t>17705.29</t>
  </si>
  <si>
    <t>935,421</t>
  </si>
  <si>
    <t>1131991.0</t>
  </si>
  <si>
    <t>1310789</t>
  </si>
  <si>
    <t>777</t>
  </si>
  <si>
    <t>6553.39</t>
  </si>
  <si>
    <t>36.6</t>
  </si>
  <si>
    <t>203817.0</t>
  </si>
  <si>
    <t>09637387937</t>
  </si>
  <si>
    <t>1433986</t>
  </si>
  <si>
    <t>282895.9</t>
  </si>
  <si>
    <t>5337.66</t>
  </si>
  <si>
    <t>1280613</t>
  </si>
  <si>
    <t>68.2</t>
  </si>
  <si>
    <t>731435.0</t>
  </si>
  <si>
    <t>1469115.0</t>
  </si>
  <si>
    <t>06/28/2026</t>
  </si>
  <si>
    <t>₹1,400,968</t>
  </si>
  <si>
    <t>518</t>
  </si>
  <si>
    <t>623428.12</t>
  </si>
  <si>
    <t>11762.79</t>
  </si>
  <si>
    <t>1,231,218</t>
  </si>
  <si>
    <t>697150.0</t>
  </si>
  <si>
    <t>1492078.0</t>
  </si>
  <si>
    <t>+91-9696969321</t>
  </si>
  <si>
    <t>NIKHIL.KUMAR358@OUTLOOK.COM</t>
  </si>
  <si>
    <t>1,209,124</t>
  </si>
  <si>
    <t>425</t>
  </si>
  <si>
    <t>334791.55</t>
  </si>
  <si>
    <t>13949.65</t>
  </si>
  <si>
    <t>437413.0</t>
  </si>
  <si>
    <t>2716755.0</t>
  </si>
  <si>
    <t>₹58,624</t>
  </si>
  <si>
    <t>1196.41</t>
  </si>
  <si>
    <t>5234353</t>
  </si>
  <si>
    <t>6659471.0</t>
  </si>
  <si>
    <t>2026/04/15</t>
  </si>
  <si>
    <t>617</t>
  </si>
  <si>
    <t>₹110,172</t>
  </si>
  <si>
    <t>2118.7</t>
  </si>
  <si>
    <t>775,447</t>
  </si>
  <si>
    <t>894891.0</t>
  </si>
  <si>
    <t>199248.71</t>
  </si>
  <si>
    <t>3689.79</t>
  </si>
  <si>
    <t>3,490,487</t>
  </si>
  <si>
    <t>4104539.0</t>
  </si>
  <si>
    <t>₹1,883,814</t>
  </si>
  <si>
    <t>911044.95</t>
  </si>
  <si>
    <t>43383.09</t>
  </si>
  <si>
    <t>942009</t>
  </si>
  <si>
    <t>77.0</t>
  </si>
  <si>
    <t>1041893.0</t>
  </si>
  <si>
    <t>2025/10/04</t>
  </si>
  <si>
    <t>9929428400-XX</t>
  </si>
  <si>
    <t>reyansh.rathi705 at rediffmail.com</t>
  </si>
  <si>
    <t>1902419</t>
  </si>
  <si>
    <t>66134.2</t>
  </si>
  <si>
    <t>1407.11</t>
  </si>
  <si>
    <t>381767</t>
  </si>
  <si>
    <t>522491.0</t>
  </si>
  <si>
    <t>2025/11/18</t>
  </si>
  <si>
    <t>550,253</t>
  </si>
  <si>
    <t>₹3,770</t>
  </si>
  <si>
    <t>314.14</t>
  </si>
  <si>
    <t>5988337.0</t>
  </si>
  <si>
    <t>+91-9802448013</t>
  </si>
  <si>
    <t>₹2,392,905</t>
  </si>
  <si>
    <t>-70819.08</t>
  </si>
  <si>
    <t>2284.49</t>
  </si>
  <si>
    <t>59.6</t>
  </si>
  <si>
    <t>450454.0</t>
  </si>
  <si>
    <t>2026-06-23</t>
  </si>
  <si>
    <t>09446712607</t>
  </si>
  <si>
    <t>priya.verma736 at yahoo.com</t>
  </si>
  <si>
    <t>₹439,210</t>
  </si>
  <si>
    <t>13,105</t>
  </si>
  <si>
    <t>397.11</t>
  </si>
  <si>
    <t>-389710</t>
  </si>
  <si>
    <t>47.8</t>
  </si>
  <si>
    <t>895103.0</t>
  </si>
  <si>
    <t>93647878</t>
  </si>
  <si>
    <t>ayaan.mehta69@rediffmail,com</t>
  </si>
  <si>
    <t>1020884</t>
  </si>
  <si>
    <t>325</t>
  </si>
  <si>
    <t>337138.54</t>
  </si>
  <si>
    <t>7662.24</t>
  </si>
  <si>
    <t>53.9</t>
  </si>
  <si>
    <t>6044783.0</t>
  </si>
  <si>
    <t>2026/07/10</t>
  </si>
  <si>
    <t>-1717976</t>
  </si>
  <si>
    <t>653</t>
  </si>
  <si>
    <t>₹125,877</t>
  </si>
  <si>
    <t>5721.69</t>
  </si>
  <si>
    <t>179518</t>
  </si>
  <si>
    <t>81.7</t>
  </si>
  <si>
    <t>12/16/2025</t>
  </si>
  <si>
    <t>₹412,515</t>
  </si>
  <si>
    <t>886</t>
  </si>
  <si>
    <t>3755.51</t>
  </si>
  <si>
    <t>₹1,101,084</t>
  </si>
  <si>
    <t>329301.0</t>
  </si>
  <si>
    <t>1256017.0</t>
  </si>
  <si>
    <t>03/20/2026</t>
  </si>
  <si>
    <t>₹649,644</t>
  </si>
  <si>
    <t>12030.44</t>
  </si>
  <si>
    <t>933696</t>
  </si>
  <si>
    <t>09383497061</t>
  </si>
  <si>
    <t>anjali.sethi890@outlook,com</t>
  </si>
  <si>
    <t>1478205</t>
  </si>
  <si>
    <t>₹107,223</t>
  </si>
  <si>
    <t>4288.93</t>
  </si>
  <si>
    <t>37.7</t>
  </si>
  <si>
    <t>2026-04-27</t>
  </si>
  <si>
    <t>2185654</t>
  </si>
  <si>
    <t>671086.79</t>
  </si>
  <si>
    <t>16367.97</t>
  </si>
  <si>
    <t>224503</t>
  </si>
  <si>
    <t>22.8</t>
  </si>
  <si>
    <t>644,553</t>
  </si>
  <si>
    <t>15720.8</t>
  </si>
  <si>
    <t>₹6,500,813</t>
  </si>
  <si>
    <t>7589308.0</t>
  </si>
  <si>
    <t>1788.18</t>
  </si>
  <si>
    <t>₹104,406</t>
  </si>
  <si>
    <t>25.5</t>
  </si>
  <si>
    <t>11-06-2026</t>
  </si>
  <si>
    <t>93432 73152</t>
  </si>
  <si>
    <t>93796.33</t>
  </si>
  <si>
    <t>2131.73</t>
  </si>
  <si>
    <t>888534.0</t>
  </si>
  <si>
    <t>24 Oct 2025</t>
  </si>
  <si>
    <t>₹1,768,271</t>
  </si>
  <si>
    <t>₹1,033,830</t>
  </si>
  <si>
    <t>27206.06</t>
  </si>
  <si>
    <t>₹576,849</t>
  </si>
  <si>
    <t>81.1</t>
  </si>
  <si>
    <t>626507.0</t>
  </si>
  <si>
    <t>12/21/2025</t>
  </si>
  <si>
    <t>09231365105</t>
  </si>
  <si>
    <t xml:space="preserve"> krishna.patel256@gmail.com </t>
  </si>
  <si>
    <t>107076.93</t>
  </si>
  <si>
    <t>2549.45</t>
  </si>
  <si>
    <t>2837811</t>
  </si>
  <si>
    <t>3599685.0</t>
  </si>
  <si>
    <t>08/02/2026</t>
  </si>
  <si>
    <t>2,424,659</t>
  </si>
  <si>
    <t>766780.54</t>
  </si>
  <si>
    <t>24734.86</t>
  </si>
  <si>
    <t>466279</t>
  </si>
  <si>
    <t>526741.0</t>
  </si>
  <si>
    <t>2026/05/24</t>
  </si>
  <si>
    <t>98475 13361</t>
  </si>
  <si>
    <t>2256506</t>
  </si>
  <si>
    <t>921935.17</t>
  </si>
  <si>
    <t>19206.98</t>
  </si>
  <si>
    <t>3621163</t>
  </si>
  <si>
    <t>83.4</t>
  </si>
  <si>
    <t>557140.0</t>
  </si>
  <si>
    <t>4682947.0</t>
  </si>
  <si>
    <t>2026-03-04</t>
  </si>
  <si>
    <t>09355451415</t>
  </si>
  <si>
    <t>anjali.singh706 at rediffmail.com</t>
  </si>
  <si>
    <t>2087799</t>
  </si>
  <si>
    <t>₹287,014</t>
  </si>
  <si>
    <t>7757.13</t>
  </si>
  <si>
    <t>68.0</t>
  </si>
  <si>
    <t>230143.0</t>
  </si>
  <si>
    <t>2810056.0</t>
  </si>
  <si>
    <t>2025-09-09</t>
  </si>
  <si>
    <t>+91-9713597585</t>
  </si>
  <si>
    <t xml:space="preserve"> isha.gupta134@gmail.com </t>
  </si>
  <si>
    <t>829,857</t>
  </si>
  <si>
    <t>₹413,936</t>
  </si>
  <si>
    <t>8623.67</t>
  </si>
  <si>
    <t>-840574</t>
  </si>
  <si>
    <t>2025/12/12</t>
  </si>
  <si>
    <t xml:space="preserve"> suresh.kapoor290@rediffmail.com </t>
  </si>
  <si>
    <t>2,227,242</t>
  </si>
  <si>
    <t>399,603</t>
  </si>
  <si>
    <t>9746.41</t>
  </si>
  <si>
    <t>₹661,135</t>
  </si>
  <si>
    <t>581329.0</t>
  </si>
  <si>
    <t>+91-9566265153</t>
  </si>
  <si>
    <t>1,102,241</t>
  </si>
  <si>
    <t>343166.44</t>
  </si>
  <si>
    <t>15598.47</t>
  </si>
  <si>
    <t>4535863</t>
  </si>
  <si>
    <t>5269397.0</t>
  </si>
  <si>
    <t>2025-12-19</t>
  </si>
  <si>
    <t>91201464</t>
  </si>
  <si>
    <t>512,083</t>
  </si>
  <si>
    <t>128722.37</t>
  </si>
  <si>
    <t>3785.95</t>
  </si>
  <si>
    <t>-3413059</t>
  </si>
  <si>
    <t>346274.0</t>
  </si>
  <si>
    <t>4592177.0</t>
  </si>
  <si>
    <t>2025/12/22</t>
  </si>
  <si>
    <t>09870766683</t>
  </si>
  <si>
    <t xml:space="preserve">  Hyderabad  </t>
  </si>
  <si>
    <t>922,050</t>
  </si>
  <si>
    <t>12254.68</t>
  </si>
  <si>
    <t>438063</t>
  </si>
  <si>
    <t>96.2</t>
  </si>
  <si>
    <t>479016.0</t>
  </si>
  <si>
    <t>02/10/2026</t>
  </si>
  <si>
    <t>09581439114</t>
  </si>
  <si>
    <t>1,654,936</t>
  </si>
  <si>
    <t>7761.17</t>
  </si>
  <si>
    <t>₹822,602</t>
  </si>
  <si>
    <t>897096.0</t>
  </si>
  <si>
    <t>07/01/2026</t>
  </si>
  <si>
    <t>+91-9855024113</t>
  </si>
  <si>
    <t>-583340</t>
  </si>
  <si>
    <t>₹14,550</t>
  </si>
  <si>
    <t>246.6</t>
  </si>
  <si>
    <t>94.1</t>
  </si>
  <si>
    <t>1099181.0</t>
  </si>
  <si>
    <t>+91-9341198759</t>
  </si>
  <si>
    <t>1462562</t>
  </si>
  <si>
    <t>694,294</t>
  </si>
  <si>
    <t>12398.1</t>
  </si>
  <si>
    <t>736215.0</t>
  </si>
  <si>
    <t>2025/12/31</t>
  </si>
  <si>
    <t>09323543839</t>
  </si>
  <si>
    <t>14136.07</t>
  </si>
  <si>
    <t>26.9</t>
  </si>
  <si>
    <t>764140.0</t>
  </si>
  <si>
    <t>3470846.0</t>
  </si>
  <si>
    <t>888265.94</t>
  </si>
  <si>
    <t>44413.3</t>
  </si>
  <si>
    <t>787735</t>
  </si>
  <si>
    <t>882152.0</t>
  </si>
  <si>
    <t>18-12-2025</t>
  </si>
  <si>
    <t>2385459</t>
  </si>
  <si>
    <t>618,658</t>
  </si>
  <si>
    <t>23794.55</t>
  </si>
  <si>
    <t>589944</t>
  </si>
  <si>
    <t>789056.0</t>
  </si>
  <si>
    <t>04 Apr 2026</t>
  </si>
  <si>
    <t>9936556320-XX</t>
  </si>
  <si>
    <t>1,512,832</t>
  </si>
  <si>
    <t>₹606,020</t>
  </si>
  <si>
    <t>15947.91</t>
  </si>
  <si>
    <t>34.1</t>
  </si>
  <si>
    <t>7397046.0</t>
  </si>
  <si>
    <t>2026-03-27</t>
  </si>
  <si>
    <t xml:space="preserve"> rekha.verma222@rediffmail.com </t>
  </si>
  <si>
    <t>₹2,400,660</t>
  </si>
  <si>
    <t>700</t>
  </si>
  <si>
    <t>945538.77</t>
  </si>
  <si>
    <t>26264.97</t>
  </si>
  <si>
    <t>631,815</t>
  </si>
  <si>
    <t>07/13/2026</t>
  </si>
  <si>
    <t>₹513,562</t>
  </si>
  <si>
    <t>8854.52</t>
  </si>
  <si>
    <t>₹372,966</t>
  </si>
  <si>
    <t>97481 75471</t>
  </si>
  <si>
    <t>381</t>
  </si>
  <si>
    <t>6520.47</t>
  </si>
  <si>
    <t>₹1,483,420</t>
  </si>
  <si>
    <t>17.0</t>
  </si>
  <si>
    <t>1662713.0</t>
  </si>
  <si>
    <t>2025/09/18</t>
  </si>
  <si>
    <t>+91-9492391386</t>
  </si>
  <si>
    <t>2413009</t>
  </si>
  <si>
    <t>₹23,538</t>
  </si>
  <si>
    <t>1681.26</t>
  </si>
  <si>
    <t>-416466</t>
  </si>
  <si>
    <t>2026/03/07</t>
  </si>
  <si>
    <t>9216249057-XX</t>
  </si>
  <si>
    <t>2315306</t>
  </si>
  <si>
    <t>192395.97</t>
  </si>
  <si>
    <t>5497.03</t>
  </si>
  <si>
    <t>1006772</t>
  </si>
  <si>
    <t>572689.0</t>
  </si>
  <si>
    <t>1227584.0</t>
  </si>
  <si>
    <t>2026-03-19</t>
  </si>
  <si>
    <t>1,199,909</t>
  </si>
  <si>
    <t>37074.64</t>
  </si>
  <si>
    <t>35,680</t>
  </si>
  <si>
    <t>02 Feb 2026</t>
  </si>
  <si>
    <t xml:space="preserve"> riya.chauhan157@rediffmail.com </t>
  </si>
  <si>
    <t>-718491</t>
  </si>
  <si>
    <t>763</t>
  </si>
  <si>
    <t>₹335,387</t>
  </si>
  <si>
    <t>6449.75</t>
  </si>
  <si>
    <t>1,967,134</t>
  </si>
  <si>
    <t>2352915.0</t>
  </si>
  <si>
    <t>05 Oct 2025</t>
  </si>
  <si>
    <t>98908 95511</t>
  </si>
  <si>
    <t>divya.agarwal45@outlook,com</t>
  </si>
  <si>
    <t>873272.73</t>
  </si>
  <si>
    <t>34930.91</t>
  </si>
  <si>
    <t>561,491</t>
  </si>
  <si>
    <t>+91-9402632200</t>
  </si>
  <si>
    <t>1388512</t>
  </si>
  <si>
    <t>603325.32</t>
  </si>
  <si>
    <t>22345.38</t>
  </si>
  <si>
    <t>33.5</t>
  </si>
  <si>
    <t>264375.0</t>
  </si>
  <si>
    <t>4787091.0</t>
  </si>
  <si>
    <t>10/27/2025</t>
  </si>
  <si>
    <t>97160627</t>
  </si>
  <si>
    <t>2205053</t>
  </si>
  <si>
    <t>183,200</t>
  </si>
  <si>
    <t>3738.78</t>
  </si>
  <si>
    <t>819,274</t>
  </si>
  <si>
    <t>09/18/2025</t>
  </si>
  <si>
    <t>sai nair</t>
  </si>
  <si>
    <t>+91-9200111799</t>
  </si>
  <si>
    <t>734398</t>
  </si>
  <si>
    <t>1326.77</t>
  </si>
  <si>
    <t>253273</t>
  </si>
  <si>
    <t>68.5</t>
  </si>
  <si>
    <t>185825.0</t>
  </si>
  <si>
    <t>sneha kapoor</t>
  </si>
  <si>
    <t>9665397101-XX</t>
  </si>
  <si>
    <t>1783472</t>
  </si>
  <si>
    <t>489,803</t>
  </si>
  <si>
    <t>9070.43</t>
  </si>
  <si>
    <t>6530174</t>
  </si>
  <si>
    <t>620541.0</t>
  </si>
  <si>
    <t>7515757.0</t>
  </si>
  <si>
    <t>₹1,560,218</t>
  </si>
  <si>
    <t>328,201</t>
  </si>
  <si>
    <t>20512.55</t>
  </si>
  <si>
    <t>202,285</t>
  </si>
  <si>
    <t>PRIYA.VERMA954@OUTLOOK.COM</t>
  </si>
  <si>
    <t>1518835</t>
  </si>
  <si>
    <t>687</t>
  </si>
  <si>
    <t>2263.35</t>
  </si>
  <si>
    <t>1556833.0</t>
  </si>
  <si>
    <t>2025-12-17</t>
  </si>
  <si>
    <t>366037.33</t>
  </si>
  <si>
    <t>26145.52</t>
  </si>
  <si>
    <t>₹349,547</t>
  </si>
  <si>
    <t>413303.0</t>
  </si>
  <si>
    <t xml:space="preserve"> ashok.malhotra948@outlook.com </t>
  </si>
  <si>
    <t>2313454</t>
  </si>
  <si>
    <t>20980.06</t>
  </si>
  <si>
    <t>183,114</t>
  </si>
  <si>
    <t>2025-12-24</t>
  </si>
  <si>
    <t>₹2,377,480</t>
  </si>
  <si>
    <t>873</t>
  </si>
  <si>
    <t>1,173,548</t>
  </si>
  <si>
    <t>26078.84</t>
  </si>
  <si>
    <t>4264629</t>
  </si>
  <si>
    <t>675972.0</t>
  </si>
  <si>
    <t>5518970.0</t>
  </si>
  <si>
    <t>POOJA.KHANNA400@HOTMAIL.COM</t>
  </si>
  <si>
    <t>₹1,826,045</t>
  </si>
  <si>
    <t>₹665,621</t>
  </si>
  <si>
    <t>35032.67</t>
  </si>
  <si>
    <t>223,728</t>
  </si>
  <si>
    <t>376695.0</t>
  </si>
  <si>
    <t>853</t>
  </si>
  <si>
    <t>766057.49</t>
  </si>
  <si>
    <t>20704.26</t>
  </si>
  <si>
    <t>185933.0</t>
  </si>
  <si>
    <t>02-08-2026</t>
  </si>
  <si>
    <t>99782953</t>
  </si>
  <si>
    <t>1,107,514</t>
  </si>
  <si>
    <t>₹9,071</t>
  </si>
  <si>
    <t>533.57</t>
  </si>
  <si>
    <t>51265</t>
  </si>
  <si>
    <t>75.3</t>
  </si>
  <si>
    <t>03/21/2026</t>
  </si>
  <si>
    <t>9334130786-XX</t>
  </si>
  <si>
    <t>-202985.24</t>
  </si>
  <si>
    <t>5799.58</t>
  </si>
  <si>
    <t>1178687</t>
  </si>
  <si>
    <t>1431385.0</t>
  </si>
  <si>
    <t>arjun.mishra643 at yahoo.com</t>
  </si>
  <si>
    <t>₹1,398,062</t>
  </si>
  <si>
    <t>26,462</t>
  </si>
  <si>
    <t>508.88</t>
  </si>
  <si>
    <t>+91-9781895408</t>
  </si>
  <si>
    <t>SHREYA.SINGH825@HOTMAIL.COM</t>
  </si>
  <si>
    <t>1,308,309</t>
  </si>
  <si>
    <t>734,968</t>
  </si>
  <si>
    <t>22967.75</t>
  </si>
  <si>
    <t>694770</t>
  </si>
  <si>
    <t>33800.84</t>
  </si>
  <si>
    <t>1056.28</t>
  </si>
  <si>
    <t>416,992</t>
  </si>
  <si>
    <t>417248.0</t>
  </si>
  <si>
    <t>498700.0</t>
  </si>
  <si>
    <t>13 Mar 2026</t>
  </si>
  <si>
    <t>92248008</t>
  </si>
  <si>
    <t>911,337</t>
  </si>
  <si>
    <t>10011.12</t>
  </si>
  <si>
    <t>₹5,429,283</t>
  </si>
  <si>
    <t>73.5</t>
  </si>
  <si>
    <t>7548971.0</t>
  </si>
  <si>
    <t>98324955</t>
  </si>
  <si>
    <t>2,212,810</t>
  </si>
  <si>
    <t>₹1,271,713</t>
  </si>
  <si>
    <t>31017.39</t>
  </si>
  <si>
    <t>2373027</t>
  </si>
  <si>
    <t>3169839.0</t>
  </si>
  <si>
    <t>NISHA PATEL</t>
  </si>
  <si>
    <t>97746090</t>
  </si>
  <si>
    <t>764,018</t>
  </si>
  <si>
    <t>1968.47</t>
  </si>
  <si>
    <t>₹801,062</t>
  </si>
  <si>
    <t>38.5</t>
  </si>
  <si>
    <t>486892.0</t>
  </si>
  <si>
    <t>95690679</t>
  </si>
  <si>
    <t>ramesh.gupta699@yahoo,com</t>
  </si>
  <si>
    <t>52702.65</t>
  </si>
  <si>
    <t>210543</t>
  </si>
  <si>
    <t>09238514760</t>
  </si>
  <si>
    <t>311830</t>
  </si>
  <si>
    <t>901.23</t>
  </si>
  <si>
    <t>729310</t>
  </si>
  <si>
    <t>888334.0</t>
  </si>
  <si>
    <t>01-04-2026</t>
  </si>
  <si>
    <t>SUNITA BHATT</t>
  </si>
  <si>
    <t>1366356</t>
  </si>
  <si>
    <t>401</t>
  </si>
  <si>
    <t>357,352</t>
  </si>
  <si>
    <t>12762.57</t>
  </si>
  <si>
    <t>1989081.0</t>
  </si>
  <si>
    <t>25 Mar 2026</t>
  </si>
  <si>
    <t>325464</t>
  </si>
  <si>
    <t>191026.19</t>
  </si>
  <si>
    <t>5027.01</t>
  </si>
  <si>
    <t>403153</t>
  </si>
  <si>
    <t>645494.0</t>
  </si>
  <si>
    <t>10 May 2026</t>
  </si>
  <si>
    <t>+91-9795700566</t>
  </si>
  <si>
    <t>aryan.kapoor456 at outlook.com</t>
  </si>
  <si>
    <t>1,583,719</t>
  </si>
  <si>
    <t>₹566,162</t>
  </si>
  <si>
    <t>40440.11</t>
  </si>
  <si>
    <t>65581</t>
  </si>
  <si>
    <t>36.3</t>
  </si>
  <si>
    <t>15-09-2025</t>
  </si>
  <si>
    <t>3168.48</t>
  </si>
  <si>
    <t>1,237,425</t>
  </si>
  <si>
    <t>₹328,278</t>
  </si>
  <si>
    <t>11724.21</t>
  </si>
  <si>
    <t>518271</t>
  </si>
  <si>
    <t>612524.0</t>
  </si>
  <si>
    <t>2025/11/19</t>
  </si>
  <si>
    <t>09316270437</t>
  </si>
  <si>
    <t>₹2,455,947</t>
  </si>
  <si>
    <t>20813.98</t>
  </si>
  <si>
    <t>57374</t>
  </si>
  <si>
    <t>94525736</t>
  </si>
  <si>
    <t>₹119,993</t>
  </si>
  <si>
    <t>2068.84</t>
  </si>
  <si>
    <t>5,799,409</t>
  </si>
  <si>
    <t>832026.0</t>
  </si>
  <si>
    <t>7013243.0</t>
  </si>
  <si>
    <t xml:space="preserve">  Radhika Bansal  </t>
  </si>
  <si>
    <t>99406924</t>
  </si>
  <si>
    <t>1599004</t>
  </si>
  <si>
    <t>474</t>
  </si>
  <si>
    <t>713620.14</t>
  </si>
  <si>
    <t>35681.01</t>
  </si>
  <si>
    <t>6,870,802</t>
  </si>
  <si>
    <t>8329964.0</t>
  </si>
  <si>
    <t>1,826,199</t>
  </si>
  <si>
    <t>6693.34</t>
  </si>
  <si>
    <t>218,399</t>
  </si>
  <si>
    <t>897059.0</t>
  </si>
  <si>
    <t>2026-04-21</t>
  </si>
  <si>
    <t>reyansh.sethi653@yahoo,com</t>
  </si>
  <si>
    <t>2430123</t>
  </si>
  <si>
    <t>468839.02</t>
  </si>
  <si>
    <t>39069.92</t>
  </si>
  <si>
    <t>998111</t>
  </si>
  <si>
    <t>215249.0</t>
  </si>
  <si>
    <t>03-02-2026</t>
  </si>
  <si>
    <t>₹1,400,928</t>
  </si>
  <si>
    <t>25325.53</t>
  </si>
  <si>
    <t>1188942</t>
  </si>
  <si>
    <t>1258128.0</t>
  </si>
  <si>
    <t>23-10-2025</t>
  </si>
  <si>
    <t>ARJUN REDDY</t>
  </si>
  <si>
    <t>95489278</t>
  </si>
  <si>
    <t>ARJUN.REDDY998@OUTLOOK.COM</t>
  </si>
  <si>
    <t>53091.53</t>
  </si>
  <si>
    <t>7179094</t>
  </si>
  <si>
    <t>262070.0</t>
  </si>
  <si>
    <t>8910472.0</t>
  </si>
  <si>
    <t>2026-01-24</t>
  </si>
  <si>
    <t>09478709976</t>
  </si>
  <si>
    <t>₹1,726,522</t>
  </si>
  <si>
    <t>640</t>
  </si>
  <si>
    <t>10327.91</t>
  </si>
  <si>
    <t>₹5,587,672</t>
  </si>
  <si>
    <t>62.5</t>
  </si>
  <si>
    <t>6793007.0</t>
  </si>
  <si>
    <t>2026/03/24</t>
  </si>
  <si>
    <t>212285.27</t>
  </si>
  <si>
    <t>3859.73</t>
  </si>
  <si>
    <t>229,930</t>
  </si>
  <si>
    <t>+91-9432149914</t>
  </si>
  <si>
    <t>780269</t>
  </si>
  <si>
    <t>353419.34</t>
  </si>
  <si>
    <t>13593.05</t>
  </si>
  <si>
    <t>59.9</t>
  </si>
  <si>
    <t>213780.0</t>
  </si>
  <si>
    <t>08-06-2026</t>
  </si>
  <si>
    <t>93503682</t>
  </si>
  <si>
    <t>527084</t>
  </si>
  <si>
    <t>281190.38</t>
  </si>
  <si>
    <t>12781.38</t>
  </si>
  <si>
    <t>115157</t>
  </si>
  <si>
    <t>98555 79708</t>
  </si>
  <si>
    <t>2,359,695</t>
  </si>
  <si>
    <t>32701.95</t>
  </si>
  <si>
    <t>2805531</t>
  </si>
  <si>
    <t>3409331.0</t>
  </si>
  <si>
    <t>deepak tiwari</t>
  </si>
  <si>
    <t>97506 83028</t>
  </si>
  <si>
    <t>deepak.tiwari280 at hotmail.com</t>
  </si>
  <si>
    <t>521,701</t>
  </si>
  <si>
    <t>764</t>
  </si>
  <si>
    <t>₹298,464</t>
  </si>
  <si>
    <t>14212.56</t>
  </si>
  <si>
    <t>632926.0</t>
  </si>
  <si>
    <t>656614.0</t>
  </si>
  <si>
    <t>96539 92744</t>
  </si>
  <si>
    <t>2461371</t>
  </si>
  <si>
    <t>13291.36</t>
  </si>
  <si>
    <t>434,435</t>
  </si>
  <si>
    <t>515733.0</t>
  </si>
  <si>
    <t>9190989760-XX</t>
  </si>
  <si>
    <t xml:space="preserve"> kiran.sharma591@rediffmail.com </t>
  </si>
  <si>
    <t>₹1,164,809</t>
  </si>
  <si>
    <t>21178.35</t>
  </si>
  <si>
    <t>₹5,576,015</t>
  </si>
  <si>
    <t>7771629.0</t>
  </si>
  <si>
    <t>18 Jun 2026</t>
  </si>
  <si>
    <t>tanya bansal</t>
  </si>
  <si>
    <t>16149.42</t>
  </si>
  <si>
    <t>384.51</t>
  </si>
  <si>
    <t>57.8</t>
  </si>
  <si>
    <t>505167.0</t>
  </si>
  <si>
    <t>2026/08/21</t>
  </si>
  <si>
    <t>+91-9187948464</t>
  </si>
  <si>
    <t>91417.81</t>
  </si>
  <si>
    <t>1828.36</t>
  </si>
  <si>
    <t>76.1</t>
  </si>
  <si>
    <t>5526054.0</t>
  </si>
  <si>
    <t>94051 71866</t>
  </si>
  <si>
    <t>1836742</t>
  </si>
  <si>
    <t>535</t>
  </si>
  <si>
    <t>₹957,014</t>
  </si>
  <si>
    <t>24538.82</t>
  </si>
  <si>
    <t>₹7,720,644</t>
  </si>
  <si>
    <t>10358830.0</t>
  </si>
  <si>
    <t>2026/04/17</t>
  </si>
  <si>
    <t>mahesh.verma372 at rediffmail.com</t>
  </si>
  <si>
    <t>630682</t>
  </si>
  <si>
    <t>190459.31</t>
  </si>
  <si>
    <t>8657.24</t>
  </si>
  <si>
    <t>394,650</t>
  </si>
  <si>
    <t>723639.0</t>
  </si>
  <si>
    <t>461043.0</t>
  </si>
  <si>
    <t>10/14/2025</t>
  </si>
  <si>
    <t>+91-9160938864</t>
  </si>
  <si>
    <t>₹2,021,168</t>
  </si>
  <si>
    <t>120553.43</t>
  </si>
  <si>
    <t>5479.7</t>
  </si>
  <si>
    <t>₹147,277</t>
  </si>
  <si>
    <t>356249.0</t>
  </si>
  <si>
    <t>11/13/2025</t>
  </si>
  <si>
    <t>9384216486-XX</t>
  </si>
  <si>
    <t>₹1,704,867</t>
  </si>
  <si>
    <t>889673.74</t>
  </si>
  <si>
    <t>21182.71</t>
  </si>
  <si>
    <t>₹396,575</t>
  </si>
  <si>
    <t xml:space="preserve">  Rita Kapoor  </t>
  </si>
  <si>
    <t>92113 40208</t>
  </si>
  <si>
    <t>₹289,066</t>
  </si>
  <si>
    <t>13765.07</t>
  </si>
  <si>
    <t>494410</t>
  </si>
  <si>
    <t>2026/01/15</t>
  </si>
  <si>
    <t>+91-9585244416</t>
  </si>
  <si>
    <t>784637</t>
  </si>
  <si>
    <t>195821.32</t>
  </si>
  <si>
    <t>16318.44</t>
  </si>
  <si>
    <t>1212186</t>
  </si>
  <si>
    <t>602108.0</t>
  </si>
  <si>
    <t>1342215.0</t>
  </si>
  <si>
    <t>rahul.malhotra808 at outlook.com</t>
  </si>
  <si>
    <t>175,119</t>
  </si>
  <si>
    <t>11674.62</t>
  </si>
  <si>
    <t>1,736,750</t>
  </si>
  <si>
    <t>36.9</t>
  </si>
  <si>
    <t>247902.0</t>
  </si>
  <si>
    <t>2020213.0</t>
  </si>
  <si>
    <t>08-04-2026</t>
  </si>
  <si>
    <t>KABIR RATHI</t>
  </si>
  <si>
    <t>7564.32</t>
  </si>
  <si>
    <t>620012</t>
  </si>
  <si>
    <t>02/19/2026</t>
  </si>
  <si>
    <t>96514 73196</t>
  </si>
  <si>
    <t>834</t>
  </si>
  <si>
    <t>8150.15</t>
  </si>
  <si>
    <t>₹109,839</t>
  </si>
  <si>
    <t>+91-9843758464</t>
  </si>
  <si>
    <t>₹315,430</t>
  </si>
  <si>
    <t>7693.42</t>
  </si>
  <si>
    <t>₹435,587</t>
  </si>
  <si>
    <t>96815155</t>
  </si>
  <si>
    <t>2,240,991</t>
  </si>
  <si>
    <t>1336448.19</t>
  </si>
  <si>
    <t>31820.19</t>
  </si>
  <si>
    <t>30.5</t>
  </si>
  <si>
    <t>7882562.0</t>
  </si>
  <si>
    <t>02/17/2026</t>
  </si>
  <si>
    <t>kabir.reddy133 at hotmail.com</t>
  </si>
  <si>
    <t>-952779.42</t>
  </si>
  <si>
    <t>23238.52</t>
  </si>
  <si>
    <t>831,675</t>
  </si>
  <si>
    <t>272413.0</t>
  </si>
  <si>
    <t>NIKHIL.KHANNA534@REDIFFMAIL.COM</t>
  </si>
  <si>
    <t>462225</t>
  </si>
  <si>
    <t>99753.27</t>
  </si>
  <si>
    <t>2035.78</t>
  </si>
  <si>
    <t>606542.0</t>
  </si>
  <si>
    <t>9025411.0</t>
  </si>
  <si>
    <t>99011 30413</t>
  </si>
  <si>
    <t>25,911</t>
  </si>
  <si>
    <t>479.84</t>
  </si>
  <si>
    <t>3709333.0</t>
  </si>
  <si>
    <t>2416255</t>
  </si>
  <si>
    <t>10976.6</t>
  </si>
  <si>
    <t>188,017</t>
  </si>
  <si>
    <t>492776.0</t>
  </si>
  <si>
    <t>1897910</t>
  </si>
  <si>
    <t>₹760,438</t>
  </si>
  <si>
    <t>25347.95</t>
  </si>
  <si>
    <t>621895.0</t>
  </si>
  <si>
    <t>1522712.0</t>
  </si>
  <si>
    <t>26 Jan 2026</t>
  </si>
  <si>
    <t>94073 31728</t>
  </si>
  <si>
    <t>363</t>
  </si>
  <si>
    <t>911819.05</t>
  </si>
  <si>
    <t>16885.54</t>
  </si>
  <si>
    <t>02/05/2026</t>
  </si>
  <si>
    <t>PREETI.REDDY809@YAHOO.COM</t>
  </si>
  <si>
    <t>1,149,267</t>
  </si>
  <si>
    <t>130,019</t>
  </si>
  <si>
    <t>2241.7</t>
  </si>
  <si>
    <t>807,452</t>
  </si>
  <si>
    <t>885541.0</t>
  </si>
  <si>
    <t>21-07-2026</t>
  </si>
  <si>
    <t>1817068</t>
  </si>
  <si>
    <t>103242.73</t>
  </si>
  <si>
    <t>1811.28</t>
  </si>
  <si>
    <t>-168013</t>
  </si>
  <si>
    <t>50.5</t>
  </si>
  <si>
    <t>454977.0</t>
  </si>
  <si>
    <t>manish yadav</t>
  </si>
  <si>
    <t xml:space="preserve"> manish.yadav239@outlook.com </t>
  </si>
  <si>
    <t>1147788</t>
  </si>
  <si>
    <t>₹294,421</t>
  </si>
  <si>
    <t>7747.91</t>
  </si>
  <si>
    <t xml:space="preserve">  Radhika Bhatia  </t>
  </si>
  <si>
    <t>+91-9427829893</t>
  </si>
  <si>
    <t>radhika.bhatia574 at gmail.com</t>
  </si>
  <si>
    <t>594589</t>
  </si>
  <si>
    <t>144.95</t>
  </si>
  <si>
    <t>374471</t>
  </si>
  <si>
    <t>2025/12/23</t>
  </si>
  <si>
    <t>9772200292-XX</t>
  </si>
  <si>
    <t>manju.bhatia409 at hotmail.com</t>
  </si>
  <si>
    <t>394</t>
  </si>
  <si>
    <t>5538.74</t>
  </si>
  <si>
    <t>3937412</t>
  </si>
  <si>
    <t>4890147.0</t>
  </si>
  <si>
    <t>Note: This sheet intentionally contains data-quality issues (missing values, inconsistent formats, duplicate records, mixed date formats, invalid emails/phones, currency symbols in numeric fields, outlier ages, blank rows) to demonstrate a data-cleaning workflow. See the accompanying Python cleaning script.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</si>
</sst>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\x"/>
    <numFmt numFmtId="167" formatCode="dd\-mmm\-yyyy"/>
  </numFmts>
  <fonts count="12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b/>
      <sz val="12"/>
      <color rgb="FF1F4E78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i/>
      <sz val="9"/>
      <color rgb="FF808080"/>
      <name val="Arial"/>
      <charset val="1"/>
    </font>
    <font>
      <i/>
      <sz val="11"/>
      <color theme="1"/>
      <name val="Arial"/>
      <family val="2"/>
    </font>
    <font>
      <b/>
      <u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80808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9" fillId="0" borderId="0" xfId="0" applyFont="1" applyBorder="1"/>
    <xf numFmtId="0" fontId="3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4" fillId="0" borderId="0" xfId="0" applyFont="1"/>
    <xf numFmtId="0" fontId="5" fillId="0" borderId="1" xfId="0" applyFont="1" applyBorder="1"/>
    <xf numFmtId="10" fontId="5" fillId="0" borderId="1" xfId="0" applyNumberFormat="1" applyFont="1" applyBorder="1"/>
    <xf numFmtId="3" fontId="5" fillId="0" borderId="1" xfId="0" applyNumberFormat="1" applyFont="1" applyBorder="1"/>
    <xf numFmtId="1" fontId="5" fillId="0" borderId="1" xfId="0" applyNumberFormat="1" applyFont="1" applyBorder="1"/>
    <xf numFmtId="164" fontId="0" fillId="0" borderId="0" xfId="0" applyNumberFormat="1"/>
    <xf numFmtId="0" fontId="5" fillId="0" borderId="0" xfId="0" applyFont="1"/>
    <xf numFmtId="164" fontId="5" fillId="0" borderId="0" xfId="0" applyNumberFormat="1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3" fontId="7" fillId="0" borderId="1" xfId="0" applyNumberFormat="1" applyFont="1" applyBorder="1"/>
    <xf numFmtId="164" fontId="8" fillId="0" borderId="1" xfId="0" applyNumberFormat="1" applyFont="1" applyBorder="1"/>
    <xf numFmtId="165" fontId="7" fillId="0" borderId="1" xfId="0" applyNumberFormat="1" applyFont="1" applyBorder="1"/>
    <xf numFmtId="0" fontId="8" fillId="0" borderId="1" xfId="0" applyFont="1" applyBorder="1"/>
    <xf numFmtId="0" fontId="8" fillId="0" borderId="1" xfId="0" applyFont="1" applyBorder="1"/>
    <xf numFmtId="3" fontId="8" fillId="0" borderId="1" xfId="0" applyNumberFormat="1" applyFont="1" applyBorder="1"/>
    <xf numFmtId="10" fontId="8" fillId="0" borderId="1" xfId="0" applyNumberFormat="1" applyFont="1" applyBorder="1"/>
    <xf numFmtId="166" fontId="8" fillId="0" borderId="1" xfId="0" applyNumberFormat="1" applyFont="1" applyBorder="1"/>
    <xf numFmtId="167" fontId="7" fillId="0" borderId="1" xfId="0" applyNumberFormat="1" applyFont="1" applyBorder="1"/>
    <xf numFmtId="0" fontId="6" fillId="3" borderId="1" xfId="0" applyFont="1" applyFill="1" applyBorder="1" applyAlignment="1">
      <alignment horizontal="center" vertical="center" wrapText="1"/>
    </xf>
    <xf numFmtId="0" fontId="10" fillId="0" borderId="0" xfId="0" applyFont="1" applyBorder="1"/>
    <xf numFmtId="0" fontId="11" fillId="0" borderId="0" xfId="0" applyFont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008080"/>
      <rgbColor rgb="FFC0C0C0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Eligibility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7E9-443F-9ED5-DC9C547F3E7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7E9-443F-9ED5-DC9C547F3E7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7E9-443F-9ED5-DC9C547F3E7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7E9-443F-9ED5-DC9C547F3E7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7E9-443F-9ED5-DC9C547F3E7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7E9-443F-9ED5-DC9C547F3E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'Summary Dashboard'!$A$13:$A$15</c:f>
              <c:strCache>
                <c:ptCount val="3"/>
                <c:pt idx="0">
                  <c:v>Eligible</c:v>
                </c:pt>
                <c:pt idx="1">
                  <c:v>Review</c:v>
                </c:pt>
                <c:pt idx="2">
                  <c:v>Not Eligible</c:v>
                </c:pt>
              </c:strCache>
            </c:strRef>
          </c:cat>
          <c:val>
            <c:numRef>
              <c:f>'Summary Dashboard'!$C$13:$C$15</c:f>
              <c:numCache>
                <c:formatCode>General</c:formatCode>
                <c:ptCount val="3"/>
                <c:pt idx="0">
                  <c:v>325</c:v>
                </c:pt>
                <c:pt idx="1">
                  <c:v>212</c:v>
                </c:pt>
                <c:pt idx="2">
                  <c:v>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E9-443F-9ED5-DC9C547F3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Risk Category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Dashboard'!$A$19:$A$21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'Summary Dashboard'!$C$19:$C$21</c:f>
              <c:numCache>
                <c:formatCode>General</c:formatCode>
                <c:ptCount val="3"/>
                <c:pt idx="0">
                  <c:v>413</c:v>
                </c:pt>
                <c:pt idx="1">
                  <c:v>553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8-475D-959C-A0AE14C75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55162"/>
        <c:axId val="22293935"/>
      </c:barChart>
      <c:catAx>
        <c:axId val="409551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293935"/>
        <c:crosses val="autoZero"/>
        <c:auto val="1"/>
        <c:lblAlgn val="ctr"/>
        <c:lblOffset val="100"/>
        <c:noMultiLvlLbl val="0"/>
      </c:catAx>
      <c:valAx>
        <c:axId val="222939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955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Requested Product Mix: Applications vs Eligible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Dashboard'!$C$25</c:f>
              <c:strCache>
                <c:ptCount val="1"/>
                <c:pt idx="0">
                  <c:v>Applications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Dashboard'!$A$26:$A$29</c:f>
              <c:strCache>
                <c:ptCount val="4"/>
                <c:pt idx="0">
                  <c:v>Credit Card</c:v>
                </c:pt>
                <c:pt idx="1">
                  <c:v>Personal Loan</c:v>
                </c:pt>
                <c:pt idx="2">
                  <c:v>Car Loan</c:v>
                </c:pt>
                <c:pt idx="3">
                  <c:v>Home Loan</c:v>
                </c:pt>
              </c:strCache>
            </c:strRef>
          </c:cat>
          <c:val>
            <c:numRef>
              <c:f>'Summary Dashboard'!$C$26:$C$29</c:f>
              <c:numCache>
                <c:formatCode>General</c:formatCode>
                <c:ptCount val="4"/>
                <c:pt idx="0">
                  <c:v>250</c:v>
                </c:pt>
                <c:pt idx="1">
                  <c:v>239</c:v>
                </c:pt>
                <c:pt idx="2">
                  <c:v>236</c:v>
                </c:pt>
                <c:pt idx="3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F-4BAE-BDE8-D901F9D7ECA0}"/>
            </c:ext>
          </c:extLst>
        </c:ser>
        <c:ser>
          <c:idx val="1"/>
          <c:order val="1"/>
          <c:tx>
            <c:strRef>
              <c:f>'Summary Dashboard'!$D$25</c:f>
              <c:strCache>
                <c:ptCount val="1"/>
                <c:pt idx="0">
                  <c:v>Eligible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Dashboard'!$A$26:$A$29</c:f>
              <c:strCache>
                <c:ptCount val="4"/>
                <c:pt idx="0">
                  <c:v>Credit Card</c:v>
                </c:pt>
                <c:pt idx="1">
                  <c:v>Personal Loan</c:v>
                </c:pt>
                <c:pt idx="2">
                  <c:v>Car Loan</c:v>
                </c:pt>
                <c:pt idx="3">
                  <c:v>Home Loan</c:v>
                </c:pt>
              </c:strCache>
            </c:strRef>
          </c:cat>
          <c:val>
            <c:numRef>
              <c:f>'Summary Dashboard'!$D$26:$D$29</c:f>
              <c:numCache>
                <c:formatCode>General</c:formatCode>
                <c:ptCount val="4"/>
                <c:pt idx="0">
                  <c:v>84</c:v>
                </c:pt>
                <c:pt idx="1">
                  <c:v>77</c:v>
                </c:pt>
                <c:pt idx="2">
                  <c:v>75</c:v>
                </c:pt>
                <c:pt idx="3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2F-4BAE-BDE8-D901F9D7E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2371"/>
        <c:axId val="26726899"/>
      </c:barChart>
      <c:catAx>
        <c:axId val="77023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726899"/>
        <c:crosses val="autoZero"/>
        <c:auto val="1"/>
        <c:lblAlgn val="ctr"/>
        <c:lblOffset val="100"/>
        <c:noMultiLvlLbl val="0"/>
      </c:catAx>
      <c:valAx>
        <c:axId val="267268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Number of 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023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131040</xdr:rowOff>
    </xdr:from>
    <xdr:to>
      <xdr:col>11</xdr:col>
      <xdr:colOff>290520</xdr:colOff>
      <xdr:row>16</xdr:row>
      <xdr:rowOff>163800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130680</xdr:rowOff>
    </xdr:from>
    <xdr:to>
      <xdr:col>11</xdr:col>
      <xdr:colOff>290520</xdr:colOff>
      <xdr:row>31</xdr:row>
      <xdr:rowOff>163440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32</xdr:row>
      <xdr:rowOff>131040</xdr:rowOff>
    </xdr:from>
    <xdr:to>
      <xdr:col>11</xdr:col>
      <xdr:colOff>290520</xdr:colOff>
      <xdr:row>46</xdr:row>
      <xdr:rowOff>163800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30" customWidth="1"/>
    <col min="2" max="2" width="3" customWidth="1"/>
    <col min="3" max="4" width="14" customWidth="1"/>
  </cols>
  <sheetData>
    <row r="1" spans="1:8" ht="20.25" x14ac:dyDescent="0.3">
      <c r="A1" s="4" t="s">
        <v>0</v>
      </c>
      <c r="B1" s="4"/>
      <c r="C1" s="4"/>
      <c r="D1" s="4"/>
      <c r="E1" s="4"/>
      <c r="F1" s="4"/>
      <c r="G1" s="4"/>
      <c r="H1" s="4"/>
    </row>
    <row r="2" spans="1:8" x14ac:dyDescent="0.25">
      <c r="A2" s="3" t="s">
        <v>1</v>
      </c>
      <c r="B2" s="3"/>
      <c r="C2" s="3"/>
      <c r="D2" s="3"/>
      <c r="E2" s="3"/>
      <c r="F2" s="3"/>
      <c r="G2" s="3"/>
      <c r="H2" s="3"/>
    </row>
    <row r="4" spans="1:8" ht="15.75" x14ac:dyDescent="0.25">
      <c r="A4" s="2" t="s">
        <v>2</v>
      </c>
      <c r="B4" s="2"/>
      <c r="C4" s="2"/>
      <c r="D4" s="2"/>
      <c r="E4" s="2"/>
      <c r="F4" s="2"/>
    </row>
    <row r="5" spans="1:8" x14ac:dyDescent="0.25">
      <c r="A5" s="5" t="s">
        <v>3</v>
      </c>
      <c r="C5" s="6">
        <f>COUNTA('Customer Data'!A2:A1001)</f>
        <v>1000</v>
      </c>
    </row>
    <row r="6" spans="1:8" x14ac:dyDescent="0.25">
      <c r="A6" s="5" t="s">
        <v>4</v>
      </c>
      <c r="C6" s="6">
        <f>ROUND(AVERAGE('Customer Data'!J2:J1001),0)</f>
        <v>1420784</v>
      </c>
    </row>
    <row r="7" spans="1:8" x14ac:dyDescent="0.25">
      <c r="A7" s="5" t="s">
        <v>5</v>
      </c>
      <c r="C7" s="6">
        <f>ROUND(AVERAGE('Customer Data'!P2:P1001),0)</f>
        <v>601</v>
      </c>
    </row>
    <row r="8" spans="1:8" x14ac:dyDescent="0.25">
      <c r="A8" s="5" t="s">
        <v>6</v>
      </c>
      <c r="C8" s="7">
        <f>AVERAGE('Customer Data'!U2:U1001)</f>
        <v>0.10583152027139017</v>
      </c>
    </row>
    <row r="9" spans="1:8" x14ac:dyDescent="0.25">
      <c r="A9" s="5" t="s">
        <v>7</v>
      </c>
      <c r="C9" s="8">
        <f>ROUND(AVERAGE('Customer Data'!Y2:Y1001),1)</f>
        <v>33.9</v>
      </c>
    </row>
    <row r="10" spans="1:8" x14ac:dyDescent="0.25">
      <c r="A10" s="5" t="s">
        <v>8</v>
      </c>
      <c r="C10" s="9">
        <f>ROUND(AVERAGE('Customer Data'!K2:K1001),2)</f>
        <v>1.32</v>
      </c>
    </row>
    <row r="11" spans="1:8" x14ac:dyDescent="0.25">
      <c r="C11" s="10"/>
    </row>
    <row r="12" spans="1:8" ht="15.75" x14ac:dyDescent="0.25">
      <c r="A12" s="2" t="s">
        <v>9</v>
      </c>
      <c r="B12" s="2"/>
      <c r="C12" s="2"/>
      <c r="D12" s="2"/>
      <c r="E12" s="2"/>
      <c r="F12" s="2"/>
    </row>
    <row r="13" spans="1:8" x14ac:dyDescent="0.25">
      <c r="A13" s="5" t="s">
        <v>10</v>
      </c>
      <c r="C13" s="11">
        <f>COUNTIF('Customer Data'!AA2:AA1001,"Eligible")</f>
        <v>325</v>
      </c>
      <c r="D13" s="12">
        <f>C13/$C$16</f>
        <v>0.32500000000000001</v>
      </c>
    </row>
    <row r="14" spans="1:8" x14ac:dyDescent="0.25">
      <c r="A14" s="5" t="s">
        <v>11</v>
      </c>
      <c r="C14" s="11">
        <f>COUNTIF('Customer Data'!AA2:AA1001,"Review")</f>
        <v>212</v>
      </c>
      <c r="D14" s="12">
        <f>C14/$C$16</f>
        <v>0.21199999999999999</v>
      </c>
    </row>
    <row r="15" spans="1:8" x14ac:dyDescent="0.25">
      <c r="A15" s="5" t="s">
        <v>12</v>
      </c>
      <c r="C15" s="11">
        <f>COUNTIF('Customer Data'!AA2:AA1001,"Not Eligible")</f>
        <v>463</v>
      </c>
      <c r="D15" s="12">
        <f>C15/$C$16</f>
        <v>0.46300000000000002</v>
      </c>
    </row>
    <row r="16" spans="1:8" x14ac:dyDescent="0.25">
      <c r="A16" s="5" t="s">
        <v>13</v>
      </c>
      <c r="C16" s="5">
        <f>SUM(C13:C15)</f>
        <v>1000</v>
      </c>
    </row>
    <row r="18" spans="1:6" ht="15.75" x14ac:dyDescent="0.25">
      <c r="A18" s="2" t="s">
        <v>14</v>
      </c>
      <c r="B18" s="2"/>
      <c r="C18" s="2"/>
      <c r="D18" s="2"/>
      <c r="E18" s="2"/>
      <c r="F18" s="2"/>
    </row>
    <row r="19" spans="1:6" x14ac:dyDescent="0.25">
      <c r="A19" s="5" t="s">
        <v>15</v>
      </c>
      <c r="C19" s="11">
        <f>COUNTIF('Customer Data'!Z2:Z1001,"Low")</f>
        <v>413</v>
      </c>
      <c r="D19" s="12">
        <f>C19/$C$22</f>
        <v>0.41299999999999998</v>
      </c>
    </row>
    <row r="20" spans="1:6" x14ac:dyDescent="0.25">
      <c r="A20" s="5" t="s">
        <v>16</v>
      </c>
      <c r="C20" s="11">
        <f>COUNTIF('Customer Data'!Z2:Z1001,"Medium")</f>
        <v>553</v>
      </c>
      <c r="D20" s="12">
        <f>C20/$C$22</f>
        <v>0.55300000000000005</v>
      </c>
    </row>
    <row r="21" spans="1:6" x14ac:dyDescent="0.25">
      <c r="A21" s="5" t="s">
        <v>17</v>
      </c>
      <c r="C21" s="11">
        <f>COUNTIF('Customer Data'!Z2:Z1001,"High")</f>
        <v>34</v>
      </c>
      <c r="D21" s="12">
        <f>C21/$C$22</f>
        <v>3.4000000000000002E-2</v>
      </c>
    </row>
    <row r="22" spans="1:6" x14ac:dyDescent="0.25">
      <c r="A22" s="5" t="s">
        <v>13</v>
      </c>
      <c r="C22" s="5">
        <f>SUM(C19:C21)</f>
        <v>1000</v>
      </c>
    </row>
    <row r="24" spans="1:6" ht="15.75" x14ac:dyDescent="0.25">
      <c r="A24" s="2" t="s">
        <v>18</v>
      </c>
      <c r="B24" s="2"/>
      <c r="C24" s="2"/>
      <c r="D24" s="2"/>
      <c r="E24" s="2"/>
      <c r="F24" s="2"/>
    </row>
    <row r="25" spans="1:6" x14ac:dyDescent="0.25">
      <c r="C25" s="5" t="s">
        <v>19</v>
      </c>
      <c r="D25" s="5" t="s">
        <v>10</v>
      </c>
    </row>
    <row r="26" spans="1:6" x14ac:dyDescent="0.25">
      <c r="A26" s="5" t="s">
        <v>20</v>
      </c>
      <c r="C26" s="11">
        <f>COUNTIF('Customer Data'!S2:S1001,"Credit Card")</f>
        <v>250</v>
      </c>
      <c r="D26" s="11">
        <f>COUNTIFS('Customer Data'!S2:S1001,"Credit Card",'Customer Data'!AA2:AA1001,"Eligible")</f>
        <v>84</v>
      </c>
    </row>
    <row r="27" spans="1:6" x14ac:dyDescent="0.25">
      <c r="A27" s="5" t="s">
        <v>21</v>
      </c>
      <c r="C27" s="11">
        <f>COUNTIF('Customer Data'!S2:S1001,"Personal Loan")</f>
        <v>239</v>
      </c>
      <c r="D27" s="11">
        <f>COUNTIFS('Customer Data'!S2:S1001,"Personal Loan",'Customer Data'!AA2:AA1001,"Eligible")</f>
        <v>77</v>
      </c>
    </row>
    <row r="28" spans="1:6" x14ac:dyDescent="0.25">
      <c r="A28" s="5" t="s">
        <v>22</v>
      </c>
      <c r="C28" s="11">
        <f>COUNTIF('Customer Data'!S2:S1001,"Car Loan")</f>
        <v>236</v>
      </c>
      <c r="D28" s="11">
        <f>COUNTIFS('Customer Data'!S2:S1001,"Car Loan",'Customer Data'!AA2:AA1001,"Eligible")</f>
        <v>75</v>
      </c>
    </row>
    <row r="29" spans="1:6" x14ac:dyDescent="0.25">
      <c r="A29" s="5" t="s">
        <v>23</v>
      </c>
      <c r="C29" s="11">
        <f>COUNTIF('Customer Data'!S2:S1001,"Home Loan")</f>
        <v>275</v>
      </c>
      <c r="D29" s="11">
        <f>COUNTIFS('Customer Data'!S2:S1001,"Home Loan",'Customer Data'!AA2:AA1001,"Eligible")</f>
        <v>89</v>
      </c>
    </row>
    <row r="32" spans="1:6" ht="15.75" x14ac:dyDescent="0.25">
      <c r="A32" s="2" t="s">
        <v>24</v>
      </c>
      <c r="B32" s="2"/>
      <c r="C32" s="2"/>
      <c r="D32" s="2"/>
      <c r="E32" s="2"/>
      <c r="F32" s="2"/>
    </row>
    <row r="33" spans="1:3" x14ac:dyDescent="0.25">
      <c r="A33" s="5" t="s">
        <v>20</v>
      </c>
      <c r="C33" s="11">
        <f>COUNTIF('Customer Data'!L2:L1001,"Y")</f>
        <v>548</v>
      </c>
    </row>
    <row r="34" spans="1:3" x14ac:dyDescent="0.25">
      <c r="A34" s="5" t="s">
        <v>21</v>
      </c>
      <c r="C34" s="11">
        <f>COUNTIF('Customer Data'!M2:M1001,"Y")</f>
        <v>312</v>
      </c>
    </row>
    <row r="35" spans="1:3" x14ac:dyDescent="0.25">
      <c r="A35" s="5" t="s">
        <v>22</v>
      </c>
      <c r="C35" s="11">
        <f>COUNTIF('Customer Data'!N2:N1001,"Y")</f>
        <v>278</v>
      </c>
    </row>
    <row r="36" spans="1:3" x14ac:dyDescent="0.25">
      <c r="A36" s="5" t="s">
        <v>23</v>
      </c>
      <c r="C36" s="11">
        <f>COUNTIF('Customer Data'!O2:O1001,"Y")</f>
        <v>185</v>
      </c>
    </row>
  </sheetData>
  <mergeCells count="7">
    <mergeCell ref="A24:F24"/>
    <mergeCell ref="A32:F32"/>
    <mergeCell ref="A1:H1"/>
    <mergeCell ref="A2:H2"/>
    <mergeCell ref="A4:F4"/>
    <mergeCell ref="A12:F12"/>
    <mergeCell ref="A18:F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012"/>
  <sheetViews>
    <sheetView zoomScaleNormal="100" workbookViewId="0">
      <pane ySplit="1" topLeftCell="A985" activePane="bottomLeft" state="frozen"/>
      <selection pane="bottomLeft" activeCell="E12" sqref="E12"/>
    </sheetView>
  </sheetViews>
  <sheetFormatPr defaultColWidth="8.7109375" defaultRowHeight="15" x14ac:dyDescent="0.25"/>
  <cols>
    <col min="1" max="1" width="12" customWidth="1"/>
    <col min="2" max="2" width="18" customWidth="1"/>
    <col min="3" max="3" width="16.7109375" customWidth="1"/>
    <col min="4" max="4" width="9.140625"/>
    <col min="5" max="5" width="6" customWidth="1"/>
    <col min="6" max="6" width="8" customWidth="1"/>
    <col min="7" max="7" width="12" customWidth="1"/>
    <col min="8" max="8" width="20" customWidth="1"/>
    <col min="9" max="9" width="14" customWidth="1"/>
    <col min="10" max="10" width="15" customWidth="1"/>
    <col min="11" max="11" width="10" customWidth="1"/>
    <col min="12" max="13" width="9" customWidth="1"/>
    <col min="14" max="14" width="8" customWidth="1"/>
    <col min="15" max="15" width="9" customWidth="1"/>
    <col min="16" max="16" width="10" customWidth="1"/>
    <col min="17" max="17" width="9.140625"/>
    <col min="18" max="18" width="15" customWidth="1"/>
    <col min="19" max="19" width="17" customWidth="1"/>
    <col min="20" max="20" width="9.140625"/>
    <col min="21" max="21" width="10" customWidth="1"/>
    <col min="22" max="22" width="9" customWidth="1"/>
    <col min="23" max="23" width="10" customWidth="1"/>
    <col min="24" max="24" width="9" customWidth="1"/>
    <col min="25" max="26" width="10" customWidth="1"/>
    <col min="27" max="27" width="15" customWidth="1"/>
    <col min="28" max="28" width="12" customWidth="1"/>
    <col min="29" max="29" width="10" customWidth="1"/>
    <col min="30" max="30" width="15" customWidth="1"/>
    <col min="31" max="31" width="12" customWidth="1"/>
    <col min="32" max="32" width="15" customWidth="1"/>
    <col min="33" max="33" width="16" customWidth="1"/>
    <col min="34" max="35" width="12" customWidth="1"/>
    <col min="36" max="36" width="13" customWidth="1"/>
    <col min="37" max="37" width="14" customWidth="1"/>
    <col min="38" max="38" width="13" customWidth="1"/>
    <col min="39" max="39" width="12" customWidth="1"/>
    <col min="40" max="40" width="13" customWidth="1"/>
    <col min="41" max="41" width="16" customWidth="1"/>
    <col min="42" max="42" width="14" customWidth="1"/>
    <col min="43" max="45" width="13" customWidth="1"/>
  </cols>
  <sheetData>
    <row r="1" spans="1:45" ht="31.5" customHeight="1" x14ac:dyDescent="0.25">
      <c r="A1" s="13" t="s">
        <v>25</v>
      </c>
      <c r="B1" s="13" t="s">
        <v>26</v>
      </c>
      <c r="C1" s="13" t="s">
        <v>27</v>
      </c>
      <c r="D1" s="13" t="s">
        <v>28</v>
      </c>
      <c r="E1" s="13" t="s">
        <v>29</v>
      </c>
      <c r="F1" s="13" t="s">
        <v>30</v>
      </c>
      <c r="G1" s="13" t="s">
        <v>31</v>
      </c>
      <c r="H1" s="13" t="s">
        <v>32</v>
      </c>
      <c r="I1" s="13" t="s">
        <v>33</v>
      </c>
      <c r="J1" s="13" t="s">
        <v>34</v>
      </c>
      <c r="K1" s="13" t="s">
        <v>35</v>
      </c>
      <c r="L1" s="13" t="s">
        <v>36</v>
      </c>
      <c r="M1" s="13" t="s">
        <v>37</v>
      </c>
      <c r="N1" s="13" t="s">
        <v>38</v>
      </c>
      <c r="O1" s="13" t="s">
        <v>39</v>
      </c>
      <c r="P1" s="13" t="s">
        <v>40</v>
      </c>
      <c r="Q1" s="13" t="s">
        <v>3129</v>
      </c>
      <c r="R1" s="13" t="s">
        <v>41</v>
      </c>
      <c r="S1" s="13" t="s">
        <v>42</v>
      </c>
      <c r="T1" s="13" t="s">
        <v>3132</v>
      </c>
      <c r="U1" s="13" t="s">
        <v>43</v>
      </c>
      <c r="V1" s="13" t="s">
        <v>44</v>
      </c>
      <c r="W1" s="13" t="s">
        <v>45</v>
      </c>
      <c r="X1" s="13" t="s">
        <v>46</v>
      </c>
      <c r="Y1" s="13" t="s">
        <v>47</v>
      </c>
      <c r="Z1" s="13" t="s">
        <v>48</v>
      </c>
      <c r="AA1" s="13" t="s">
        <v>49</v>
      </c>
      <c r="AB1" s="13" t="s">
        <v>50</v>
      </c>
      <c r="AC1" s="13" t="s">
        <v>51</v>
      </c>
      <c r="AD1" s="13" t="s">
        <v>52</v>
      </c>
      <c r="AE1" s="13" t="s">
        <v>53</v>
      </c>
      <c r="AF1" s="13" t="s">
        <v>54</v>
      </c>
      <c r="AG1" s="13" t="s">
        <v>55</v>
      </c>
      <c r="AH1" s="13" t="s">
        <v>56</v>
      </c>
      <c r="AI1" s="13" t="s">
        <v>57</v>
      </c>
      <c r="AJ1" s="13" t="s">
        <v>58</v>
      </c>
      <c r="AK1" s="13" t="s">
        <v>59</v>
      </c>
      <c r="AL1" s="13" t="s">
        <v>60</v>
      </c>
      <c r="AM1" s="13" t="s">
        <v>61</v>
      </c>
      <c r="AN1" s="13" t="s">
        <v>62</v>
      </c>
      <c r="AO1" s="13" t="s">
        <v>63</v>
      </c>
      <c r="AP1" s="13" t="s">
        <v>64</v>
      </c>
      <c r="AQ1" s="13" t="s">
        <v>65</v>
      </c>
      <c r="AR1" s="13" t="s">
        <v>66</v>
      </c>
      <c r="AS1" s="13" t="s">
        <v>67</v>
      </c>
    </row>
    <row r="2" spans="1:45" x14ac:dyDescent="0.25">
      <c r="A2" s="14" t="s">
        <v>68</v>
      </c>
      <c r="B2" s="14" t="s">
        <v>69</v>
      </c>
      <c r="C2" s="14"/>
      <c r="D2" s="15" t="s">
        <v>70</v>
      </c>
      <c r="E2" s="14">
        <v>36</v>
      </c>
      <c r="F2" s="14" t="s">
        <v>71</v>
      </c>
      <c r="G2" s="14" t="s">
        <v>72</v>
      </c>
      <c r="H2" s="14" t="s">
        <v>73</v>
      </c>
      <c r="I2" s="14" t="s">
        <v>74</v>
      </c>
      <c r="J2" s="15">
        <v>664647</v>
      </c>
      <c r="K2" s="14">
        <v>2</v>
      </c>
      <c r="L2" s="14" t="s">
        <v>75</v>
      </c>
      <c r="M2" s="14" t="s">
        <v>76</v>
      </c>
      <c r="N2" s="14" t="s">
        <v>76</v>
      </c>
      <c r="O2" s="14" t="s">
        <v>75</v>
      </c>
      <c r="P2" s="14">
        <v>327</v>
      </c>
      <c r="Q2" s="15">
        <v>223817.91</v>
      </c>
      <c r="R2" s="15">
        <v>3926.63</v>
      </c>
      <c r="S2" s="14" t="s">
        <v>23</v>
      </c>
      <c r="T2" s="15">
        <v>3349189</v>
      </c>
      <c r="U2" s="16">
        <f t="shared" ref="U2:U65" si="0">IFERROR((R2*12)/J2,0)</f>
        <v>7.0894113717507187E-2</v>
      </c>
      <c r="V2" s="14">
        <v>0</v>
      </c>
      <c r="W2" s="17">
        <v>31.4</v>
      </c>
      <c r="X2" s="14">
        <v>13.1</v>
      </c>
      <c r="Y2" s="18">
        <f t="shared" ref="Y2:Y65" si="1">ROUND(0.4*((900-P2)/600*100)+0.3*MIN(U2*100,100)+0.2*MIN(V2*20,100)+0.1*W2,1)</f>
        <v>43.5</v>
      </c>
      <c r="Z2" s="18" t="str">
        <f t="shared" ref="Z2:Z65" si="2">IF(Y2&lt;=30,"Low",IF(Y2&lt;=60,"Medium","High"))</f>
        <v>Medium</v>
      </c>
      <c r="AA2" s="19" t="str">
        <f t="shared" ref="AA2:AA65" si="3">IF(AND(P2&gt;=650,U2&lt;=0.4,V2&lt;=2,Y2&lt;=50),"Eligible",IF(AND(P2&gt;=550,V2&lt;=4,Y2&lt;=75),"Review","Not Eligible"))</f>
        <v>Not Eligible</v>
      </c>
      <c r="AB2" s="14" t="s">
        <v>77</v>
      </c>
      <c r="AC2" s="14">
        <v>0</v>
      </c>
      <c r="AD2" s="14" t="s">
        <v>78</v>
      </c>
      <c r="AE2" s="17">
        <v>4.4000000000000004</v>
      </c>
      <c r="AF2" s="15">
        <v>722621</v>
      </c>
      <c r="AG2" s="20">
        <f t="shared" ref="AG2:AG65" si="4">J2+AF2</f>
        <v>1387268</v>
      </c>
      <c r="AH2" s="14">
        <v>0</v>
      </c>
      <c r="AI2" s="14" t="s">
        <v>75</v>
      </c>
      <c r="AJ2" s="14">
        <v>240</v>
      </c>
      <c r="AK2" s="21">
        <f t="shared" ref="AK2:AK65" si="5">(IF(S2="Credit Card",0.36,IF(S2="Personal Loan",0.14,IF(S2="Car Loan",0.09,0.085))))+IF(Z2="Low",0,IF(Z2="Medium",0.015,0.03))</f>
        <v>0.1</v>
      </c>
      <c r="AL2" s="20">
        <f t="shared" ref="AL2:AL65" si="6">-PMT(AK2/12,AJ2,T2)</f>
        <v>32320.398784437712</v>
      </c>
      <c r="AM2" s="22">
        <f t="shared" ref="AM2:AM65" si="7">IFERROR(T2/J2,0)</f>
        <v>5.0390492998539074</v>
      </c>
      <c r="AN2" s="20">
        <f t="shared" ref="AN2:AN65" si="8">R2+AL2</f>
        <v>36247.028784437709</v>
      </c>
      <c r="AO2" s="16">
        <f t="shared" ref="AO2:AO65" si="9">IFERROR((AN2*12)/J2,0)</f>
        <v>0.65442911111199253</v>
      </c>
      <c r="AP2" s="15">
        <v>4561172</v>
      </c>
      <c r="AQ2" s="18">
        <f t="shared" ref="AQ2:AQ65" si="10">IF(AP2&gt;0,T2/AP2,"N/A")</f>
        <v>0.73428254843272733</v>
      </c>
      <c r="AR2" s="23">
        <v>46204</v>
      </c>
      <c r="AS2" s="14" t="s">
        <v>79</v>
      </c>
    </row>
    <row r="3" spans="1:45" x14ac:dyDescent="0.25">
      <c r="A3" s="14" t="s">
        <v>80</v>
      </c>
      <c r="B3" s="14" t="s">
        <v>81</v>
      </c>
      <c r="C3" s="14"/>
      <c r="D3" s="15" t="s">
        <v>82</v>
      </c>
      <c r="E3" s="14">
        <v>45</v>
      </c>
      <c r="F3" s="14" t="s">
        <v>71</v>
      </c>
      <c r="G3" s="14" t="s">
        <v>83</v>
      </c>
      <c r="H3" s="14" t="s">
        <v>84</v>
      </c>
      <c r="I3" s="14" t="s">
        <v>74</v>
      </c>
      <c r="J3" s="15">
        <v>1816807</v>
      </c>
      <c r="K3" s="14">
        <v>1</v>
      </c>
      <c r="L3" s="14" t="s">
        <v>75</v>
      </c>
      <c r="M3" s="14" t="s">
        <v>75</v>
      </c>
      <c r="N3" s="14" t="s">
        <v>76</v>
      </c>
      <c r="O3" s="14" t="s">
        <v>75</v>
      </c>
      <c r="P3" s="14">
        <v>596</v>
      </c>
      <c r="Q3" s="15">
        <v>1073974</v>
      </c>
      <c r="R3" s="15">
        <v>41306.71</v>
      </c>
      <c r="S3" s="14" t="s">
        <v>20</v>
      </c>
      <c r="T3" s="15">
        <v>219295</v>
      </c>
      <c r="U3" s="16">
        <f t="shared" si="0"/>
        <v>0.27283058684824529</v>
      </c>
      <c r="V3" s="14">
        <v>0</v>
      </c>
      <c r="W3" s="17">
        <v>65.400000000000006</v>
      </c>
      <c r="X3" s="14">
        <v>5.6</v>
      </c>
      <c r="Y3" s="18">
        <f t="shared" si="1"/>
        <v>35</v>
      </c>
      <c r="Z3" s="18" t="str">
        <f t="shared" si="2"/>
        <v>Medium</v>
      </c>
      <c r="AA3" s="19" t="str">
        <f t="shared" si="3"/>
        <v>Review</v>
      </c>
      <c r="AB3" s="14" t="s">
        <v>85</v>
      </c>
      <c r="AC3" s="14">
        <v>0</v>
      </c>
      <c r="AD3" s="14" t="s">
        <v>78</v>
      </c>
      <c r="AE3" s="17">
        <v>22.5</v>
      </c>
      <c r="AF3" s="15">
        <v>0</v>
      </c>
      <c r="AG3" s="20">
        <f t="shared" si="4"/>
        <v>1816807</v>
      </c>
      <c r="AH3" s="14">
        <v>1</v>
      </c>
      <c r="AI3" s="14" t="s">
        <v>75</v>
      </c>
      <c r="AJ3" s="14">
        <v>18</v>
      </c>
      <c r="AK3" s="21">
        <f t="shared" si="5"/>
        <v>0.375</v>
      </c>
      <c r="AL3" s="20">
        <f t="shared" si="6"/>
        <v>16113.634056538367</v>
      </c>
      <c r="AM3" s="22">
        <f t="shared" si="7"/>
        <v>0.12070351996662276</v>
      </c>
      <c r="AN3" s="20">
        <f t="shared" si="8"/>
        <v>57420.344056538364</v>
      </c>
      <c r="AO3" s="16">
        <f t="shared" si="9"/>
        <v>0.37926104901536617</v>
      </c>
      <c r="AP3" s="15">
        <v>0</v>
      </c>
      <c r="AQ3" s="18" t="str">
        <f t="shared" si="10"/>
        <v>N/A</v>
      </c>
      <c r="AR3" s="23">
        <v>45978</v>
      </c>
      <c r="AS3" s="14" t="s">
        <v>79</v>
      </c>
    </row>
    <row r="4" spans="1:45" x14ac:dyDescent="0.25">
      <c r="A4" s="14" t="s">
        <v>86</v>
      </c>
      <c r="B4" s="14" t="s">
        <v>87</v>
      </c>
      <c r="C4" s="14"/>
      <c r="D4" s="15" t="s">
        <v>88</v>
      </c>
      <c r="E4" s="14">
        <v>35</v>
      </c>
      <c r="F4" s="14" t="s">
        <v>89</v>
      </c>
      <c r="G4" s="14" t="s">
        <v>90</v>
      </c>
      <c r="H4" s="14" t="s">
        <v>91</v>
      </c>
      <c r="I4" s="14" t="s">
        <v>92</v>
      </c>
      <c r="J4" s="15">
        <v>434638</v>
      </c>
      <c r="K4" s="14">
        <v>1</v>
      </c>
      <c r="L4" s="14" t="s">
        <v>75</v>
      </c>
      <c r="M4" s="14" t="s">
        <v>75</v>
      </c>
      <c r="N4" s="14" t="s">
        <v>76</v>
      </c>
      <c r="O4" s="14" t="s">
        <v>75</v>
      </c>
      <c r="P4" s="14">
        <v>880</v>
      </c>
      <c r="Q4" s="15">
        <v>228541.6</v>
      </c>
      <c r="R4" s="15">
        <v>7141.93</v>
      </c>
      <c r="S4" s="14" t="s">
        <v>21</v>
      </c>
      <c r="T4" s="15">
        <v>737277</v>
      </c>
      <c r="U4" s="16">
        <f t="shared" si="0"/>
        <v>0.19718285101624802</v>
      </c>
      <c r="V4" s="14">
        <v>1</v>
      </c>
      <c r="W4" s="17">
        <v>89</v>
      </c>
      <c r="X4" s="14">
        <v>9.6999999999999993</v>
      </c>
      <c r="Y4" s="18">
        <f t="shared" si="1"/>
        <v>20.100000000000001</v>
      </c>
      <c r="Z4" s="18" t="str">
        <f t="shared" si="2"/>
        <v>Low</v>
      </c>
      <c r="AA4" s="19" t="str">
        <f t="shared" si="3"/>
        <v>Eligible</v>
      </c>
      <c r="AB4" s="14" t="s">
        <v>85</v>
      </c>
      <c r="AC4" s="14">
        <v>0</v>
      </c>
      <c r="AD4" s="14" t="s">
        <v>93</v>
      </c>
      <c r="AE4" s="17">
        <v>7.7</v>
      </c>
      <c r="AF4" s="15">
        <v>0</v>
      </c>
      <c r="AG4" s="20">
        <f t="shared" si="4"/>
        <v>434638</v>
      </c>
      <c r="AH4" s="14">
        <v>0</v>
      </c>
      <c r="AI4" s="14" t="s">
        <v>75</v>
      </c>
      <c r="AJ4" s="14">
        <v>36</v>
      </c>
      <c r="AK4" s="21">
        <f t="shared" si="5"/>
        <v>0.14000000000000001</v>
      </c>
      <c r="AL4" s="20">
        <f t="shared" si="6"/>
        <v>25198.380335107857</v>
      </c>
      <c r="AM4" s="22">
        <f t="shared" si="7"/>
        <v>1.6963012898089904</v>
      </c>
      <c r="AN4" s="20">
        <f t="shared" si="8"/>
        <v>32340.310335107857</v>
      </c>
      <c r="AO4" s="16">
        <f t="shared" si="9"/>
        <v>0.89288954031008394</v>
      </c>
      <c r="AP4" s="15">
        <v>0</v>
      </c>
      <c r="AQ4" s="18" t="str">
        <f t="shared" si="10"/>
        <v>N/A</v>
      </c>
      <c r="AR4" s="23">
        <v>46007</v>
      </c>
      <c r="AS4" s="14" t="s">
        <v>94</v>
      </c>
    </row>
    <row r="5" spans="1:45" x14ac:dyDescent="0.25">
      <c r="A5" s="14" t="s">
        <v>95</v>
      </c>
      <c r="B5" s="14" t="s">
        <v>96</v>
      </c>
      <c r="C5" s="14">
        <v>9629908599</v>
      </c>
      <c r="D5" s="15" t="s">
        <v>97</v>
      </c>
      <c r="E5" s="14">
        <v>28</v>
      </c>
      <c r="F5" s="14" t="s">
        <v>71</v>
      </c>
      <c r="G5" s="14" t="s">
        <v>98</v>
      </c>
      <c r="H5" s="14" t="s">
        <v>99</v>
      </c>
      <c r="I5" s="14" t="s">
        <v>74</v>
      </c>
      <c r="J5" s="15">
        <v>566454</v>
      </c>
      <c r="K5" s="14">
        <v>1</v>
      </c>
      <c r="L5" s="14" t="s">
        <v>76</v>
      </c>
      <c r="M5" s="14" t="s">
        <v>75</v>
      </c>
      <c r="N5" s="14" t="s">
        <v>75</v>
      </c>
      <c r="O5" s="14" t="s">
        <v>75</v>
      </c>
      <c r="P5" s="14">
        <v>866</v>
      </c>
      <c r="Q5" s="15">
        <v>292555</v>
      </c>
      <c r="R5" s="15">
        <v>24379.599999999999</v>
      </c>
      <c r="S5" s="14" t="s">
        <v>20</v>
      </c>
      <c r="T5" s="15"/>
      <c r="U5" s="16">
        <f>IFERROR((R5*12)/J5,0)</f>
        <v>0.51646770964632605</v>
      </c>
      <c r="V5" s="14">
        <v>4</v>
      </c>
      <c r="W5" s="17">
        <v>76.3</v>
      </c>
      <c r="X5" s="14">
        <v>11.6</v>
      </c>
      <c r="Y5" s="18">
        <f t="shared" si="1"/>
        <v>41.4</v>
      </c>
      <c r="Z5" s="18" t="str">
        <f t="shared" si="2"/>
        <v>Medium</v>
      </c>
      <c r="AA5" s="19" t="str">
        <f t="shared" si="3"/>
        <v>Review</v>
      </c>
      <c r="AB5" s="14" t="s">
        <v>85</v>
      </c>
      <c r="AC5" s="14">
        <v>1</v>
      </c>
      <c r="AD5" s="14" t="s">
        <v>78</v>
      </c>
      <c r="AE5" s="17">
        <v>0.3</v>
      </c>
      <c r="AF5" s="15">
        <v>0</v>
      </c>
      <c r="AG5" s="20">
        <f t="shared" si="4"/>
        <v>566454</v>
      </c>
      <c r="AH5" s="14">
        <v>1</v>
      </c>
      <c r="AI5" s="14" t="s">
        <v>76</v>
      </c>
      <c r="AJ5" s="14">
        <v>18</v>
      </c>
      <c r="AK5" s="21">
        <f t="shared" si="5"/>
        <v>0.375</v>
      </c>
      <c r="AL5" s="20">
        <f>-PMT(AK5/12,AJ5,T5)</f>
        <v>0</v>
      </c>
      <c r="AM5" s="22">
        <f t="shared" si="7"/>
        <v>0</v>
      </c>
      <c r="AN5" s="20">
        <f t="shared" si="8"/>
        <v>24379.599999999999</v>
      </c>
      <c r="AO5" s="16">
        <f t="shared" si="9"/>
        <v>0.51646770964632605</v>
      </c>
      <c r="AP5" s="15">
        <v>0</v>
      </c>
      <c r="AQ5" s="18" t="str">
        <f t="shared" si="10"/>
        <v>N/A</v>
      </c>
      <c r="AR5" s="23">
        <v>46154</v>
      </c>
      <c r="AS5" s="14" t="s">
        <v>79</v>
      </c>
    </row>
    <row r="6" spans="1:45" x14ac:dyDescent="0.25">
      <c r="A6" s="14" t="s">
        <v>100</v>
      </c>
      <c r="B6" s="14" t="s">
        <v>101</v>
      </c>
      <c r="C6" s="14">
        <v>9420452650</v>
      </c>
      <c r="D6" s="15" t="s">
        <v>102</v>
      </c>
      <c r="E6" s="14">
        <v>59</v>
      </c>
      <c r="F6" s="14" t="s">
        <v>71</v>
      </c>
      <c r="G6" s="14" t="s">
        <v>72</v>
      </c>
      <c r="H6" s="14" t="s">
        <v>103</v>
      </c>
      <c r="I6" s="14" t="s">
        <v>74</v>
      </c>
      <c r="J6" s="15">
        <v>977585</v>
      </c>
      <c r="K6" s="14">
        <v>2</v>
      </c>
      <c r="L6" s="14" t="s">
        <v>76</v>
      </c>
      <c r="M6" s="14" t="s">
        <v>75</v>
      </c>
      <c r="N6" s="14" t="s">
        <v>75</v>
      </c>
      <c r="O6" s="14" t="s">
        <v>76</v>
      </c>
      <c r="P6" s="14">
        <v>631</v>
      </c>
      <c r="Q6" s="15">
        <v>286592</v>
      </c>
      <c r="R6" s="15">
        <v>15083.8</v>
      </c>
      <c r="S6" s="14" t="s">
        <v>22</v>
      </c>
      <c r="T6" s="15">
        <v>944903</v>
      </c>
      <c r="U6" s="16">
        <f t="shared" si="0"/>
        <v>0.18515586879913254</v>
      </c>
      <c r="V6" s="14">
        <v>0</v>
      </c>
      <c r="W6" s="17">
        <v>27.9</v>
      </c>
      <c r="X6" s="14">
        <v>8.6</v>
      </c>
      <c r="Y6" s="18">
        <f t="shared" si="1"/>
        <v>26.3</v>
      </c>
      <c r="Z6" s="18" t="str">
        <f t="shared" si="2"/>
        <v>Low</v>
      </c>
      <c r="AA6" s="19" t="str">
        <f t="shared" si="3"/>
        <v>Review</v>
      </c>
      <c r="AB6" s="14" t="s">
        <v>85</v>
      </c>
      <c r="AC6" s="14">
        <v>2</v>
      </c>
      <c r="AD6" s="14" t="s">
        <v>93</v>
      </c>
      <c r="AE6" s="17">
        <v>29.3</v>
      </c>
      <c r="AF6" s="15">
        <v>0</v>
      </c>
      <c r="AG6" s="20">
        <f t="shared" si="4"/>
        <v>977585</v>
      </c>
      <c r="AH6" s="14">
        <v>0</v>
      </c>
      <c r="AI6" s="14" t="s">
        <v>75</v>
      </c>
      <c r="AJ6" s="14">
        <v>72</v>
      </c>
      <c r="AK6" s="21">
        <f t="shared" si="5"/>
        <v>0.09</v>
      </c>
      <c r="AL6" s="20">
        <f t="shared" si="6"/>
        <v>17032.384146911561</v>
      </c>
      <c r="AM6" s="22">
        <f t="shared" si="7"/>
        <v>0.96656863597538833</v>
      </c>
      <c r="AN6" s="20">
        <f t="shared" si="8"/>
        <v>32116.184146911561</v>
      </c>
      <c r="AO6" s="16">
        <f t="shared" si="9"/>
        <v>0.39423089528065458</v>
      </c>
      <c r="AP6" s="15">
        <v>1023354</v>
      </c>
      <c r="AQ6" s="18">
        <f t="shared" si="10"/>
        <v>0.9233393332121631</v>
      </c>
      <c r="AR6" s="23">
        <v>46165</v>
      </c>
      <c r="AS6" s="14" t="s">
        <v>79</v>
      </c>
    </row>
    <row r="7" spans="1:45" x14ac:dyDescent="0.25">
      <c r="A7" s="14" t="s">
        <v>104</v>
      </c>
      <c r="B7" s="14" t="s">
        <v>105</v>
      </c>
      <c r="C7" s="14"/>
      <c r="D7" s="15"/>
      <c r="E7" s="14">
        <v>40</v>
      </c>
      <c r="F7" s="14" t="s">
        <v>89</v>
      </c>
      <c r="G7" s="14" t="s">
        <v>106</v>
      </c>
      <c r="H7" s="14" t="s">
        <v>107</v>
      </c>
      <c r="I7" s="14" t="s">
        <v>92</v>
      </c>
      <c r="J7" s="15">
        <v>2470870</v>
      </c>
      <c r="K7" s="14">
        <v>4</v>
      </c>
      <c r="L7" s="14" t="s">
        <v>76</v>
      </c>
      <c r="M7" s="14" t="s">
        <v>76</v>
      </c>
      <c r="N7" s="14" t="s">
        <v>76</v>
      </c>
      <c r="O7" s="14" t="s">
        <v>76</v>
      </c>
      <c r="P7" s="14">
        <v>867</v>
      </c>
      <c r="Q7" s="15"/>
      <c r="R7" s="15">
        <v>13121.16</v>
      </c>
      <c r="S7" s="14" t="s">
        <v>20</v>
      </c>
      <c r="T7" s="15">
        <v>57220</v>
      </c>
      <c r="U7" s="16">
        <f t="shared" si="0"/>
        <v>6.3724080991715462E-2</v>
      </c>
      <c r="V7" s="14">
        <v>2</v>
      </c>
      <c r="W7" s="17">
        <v>10.6</v>
      </c>
      <c r="X7" s="14">
        <v>1.2</v>
      </c>
      <c r="Y7" s="18">
        <f t="shared" si="1"/>
        <v>13.2</v>
      </c>
      <c r="Z7" s="18" t="str">
        <f t="shared" si="2"/>
        <v>Low</v>
      </c>
      <c r="AA7" s="19" t="str">
        <f t="shared" si="3"/>
        <v>Eligible</v>
      </c>
      <c r="AB7" s="14" t="s">
        <v>85</v>
      </c>
      <c r="AC7" s="14">
        <v>1</v>
      </c>
      <c r="AD7" s="14" t="s">
        <v>93</v>
      </c>
      <c r="AE7" s="17">
        <v>5.5</v>
      </c>
      <c r="AF7" s="15">
        <v>0</v>
      </c>
      <c r="AG7" s="20">
        <f t="shared" si="4"/>
        <v>2470870</v>
      </c>
      <c r="AH7" s="14">
        <v>0</v>
      </c>
      <c r="AI7" s="14" t="s">
        <v>75</v>
      </c>
      <c r="AJ7" s="14">
        <v>36</v>
      </c>
      <c r="AK7" s="21">
        <f t="shared" si="5"/>
        <v>0.36</v>
      </c>
      <c r="AL7" s="20">
        <f t="shared" si="6"/>
        <v>2620.8931032174673</v>
      </c>
      <c r="AM7" s="22">
        <f t="shared" si="7"/>
        <v>2.3157835094521365E-2</v>
      </c>
      <c r="AN7" s="20">
        <f t="shared" si="8"/>
        <v>15742.053103217468</v>
      </c>
      <c r="AO7" s="16">
        <f t="shared" si="9"/>
        <v>7.6452681540756739E-2</v>
      </c>
      <c r="AP7" s="15">
        <v>0</v>
      </c>
      <c r="AQ7" s="18" t="str">
        <f t="shared" si="10"/>
        <v>N/A</v>
      </c>
      <c r="AR7" s="23">
        <v>46019</v>
      </c>
      <c r="AS7" s="14" t="s">
        <v>79</v>
      </c>
    </row>
    <row r="8" spans="1:45" x14ac:dyDescent="0.25">
      <c r="A8" s="14" t="s">
        <v>108</v>
      </c>
      <c r="B8" s="14" t="s">
        <v>109</v>
      </c>
      <c r="C8" s="14">
        <v>9304451095</v>
      </c>
      <c r="D8" s="15" t="s">
        <v>111</v>
      </c>
      <c r="E8" s="14">
        <v>63</v>
      </c>
      <c r="F8" s="14" t="s">
        <v>89</v>
      </c>
      <c r="G8" s="14" t="s">
        <v>106</v>
      </c>
      <c r="H8" s="14" t="s">
        <v>99</v>
      </c>
      <c r="I8" s="14" t="s">
        <v>74</v>
      </c>
      <c r="J8" s="15">
        <v>2024287</v>
      </c>
      <c r="K8" s="14">
        <v>1</v>
      </c>
      <c r="L8" s="14" t="s">
        <v>76</v>
      </c>
      <c r="M8" s="14" t="s">
        <v>75</v>
      </c>
      <c r="N8" s="14" t="s">
        <v>75</v>
      </c>
      <c r="O8" s="14" t="s">
        <v>75</v>
      </c>
      <c r="P8" s="14">
        <v>400</v>
      </c>
      <c r="Q8" s="15">
        <v>73618</v>
      </c>
      <c r="R8" s="15">
        <v>1269.28</v>
      </c>
      <c r="S8" s="14" t="s">
        <v>22</v>
      </c>
      <c r="T8" s="15"/>
      <c r="U8" s="16">
        <f t="shared" si="0"/>
        <v>7.5243085590136188E-3</v>
      </c>
      <c r="V8" s="14">
        <v>0</v>
      </c>
      <c r="W8" s="17">
        <v>23.1</v>
      </c>
      <c r="X8" s="14">
        <v>6.8</v>
      </c>
      <c r="Y8" s="18">
        <f t="shared" si="1"/>
        <v>35.9</v>
      </c>
      <c r="Z8" s="18" t="str">
        <f t="shared" si="2"/>
        <v>Medium</v>
      </c>
      <c r="AA8" s="19" t="str">
        <f t="shared" si="3"/>
        <v>Not Eligible</v>
      </c>
      <c r="AB8" s="14" t="s">
        <v>85</v>
      </c>
      <c r="AC8" s="14">
        <v>1</v>
      </c>
      <c r="AD8" s="14" t="s">
        <v>78</v>
      </c>
      <c r="AE8" s="17">
        <v>27.7</v>
      </c>
      <c r="AF8" s="15">
        <v>0</v>
      </c>
      <c r="AG8" s="20">
        <f t="shared" si="4"/>
        <v>2024287</v>
      </c>
      <c r="AH8" s="14">
        <v>2</v>
      </c>
      <c r="AI8" s="14" t="s">
        <v>75</v>
      </c>
      <c r="AJ8" s="14">
        <v>24</v>
      </c>
      <c r="AK8" s="21">
        <f t="shared" si="5"/>
        <v>0.105</v>
      </c>
      <c r="AL8" s="20">
        <f t="shared" si="6"/>
        <v>0</v>
      </c>
      <c r="AM8" s="22">
        <f t="shared" si="7"/>
        <v>0</v>
      </c>
      <c r="AN8" s="20">
        <f t="shared" si="8"/>
        <v>1269.28</v>
      </c>
      <c r="AO8" s="16">
        <f t="shared" si="9"/>
        <v>7.5243085590136188E-3</v>
      </c>
      <c r="AP8" s="15">
        <v>624628</v>
      </c>
      <c r="AQ8" s="18">
        <f t="shared" si="10"/>
        <v>0</v>
      </c>
      <c r="AR8" s="23">
        <v>46171</v>
      </c>
      <c r="AS8" s="14" t="s">
        <v>79</v>
      </c>
    </row>
    <row r="9" spans="1:45" x14ac:dyDescent="0.25">
      <c r="A9" s="14" t="s">
        <v>112</v>
      </c>
      <c r="B9" s="14" t="s">
        <v>113</v>
      </c>
      <c r="C9" s="14">
        <v>9909134796</v>
      </c>
      <c r="D9" s="15" t="s">
        <v>114</v>
      </c>
      <c r="E9" s="14">
        <v>31</v>
      </c>
      <c r="F9" s="14" t="s">
        <v>89</v>
      </c>
      <c r="G9" s="14" t="s">
        <v>115</v>
      </c>
      <c r="H9" s="14" t="s">
        <v>107</v>
      </c>
      <c r="I9" s="14" t="s">
        <v>92</v>
      </c>
      <c r="J9" s="15">
        <v>1196521</v>
      </c>
      <c r="K9" s="14">
        <v>2</v>
      </c>
      <c r="L9" s="14" t="s">
        <v>75</v>
      </c>
      <c r="M9" s="14" t="s">
        <v>75</v>
      </c>
      <c r="N9" s="14" t="s">
        <v>76</v>
      </c>
      <c r="O9" s="14" t="s">
        <v>76</v>
      </c>
      <c r="P9" s="14">
        <v>699</v>
      </c>
      <c r="Q9" s="15">
        <v>190393</v>
      </c>
      <c r="R9" s="15">
        <v>4643.72</v>
      </c>
      <c r="S9" s="14" t="s">
        <v>22</v>
      </c>
      <c r="T9" s="15">
        <v>1187110</v>
      </c>
      <c r="U9" s="16">
        <f t="shared" si="0"/>
        <v>4.6572220629642107E-2</v>
      </c>
      <c r="V9" s="14">
        <v>2</v>
      </c>
      <c r="W9" s="17">
        <v>74.400000000000006</v>
      </c>
      <c r="X9" s="14">
        <v>11.8</v>
      </c>
      <c r="Y9" s="18">
        <f t="shared" si="1"/>
        <v>30.2</v>
      </c>
      <c r="Z9" s="18" t="str">
        <f t="shared" si="2"/>
        <v>Medium</v>
      </c>
      <c r="AA9" s="19" t="str">
        <f t="shared" si="3"/>
        <v>Eligible</v>
      </c>
      <c r="AB9" s="14" t="s">
        <v>77</v>
      </c>
      <c r="AC9" s="14">
        <v>1</v>
      </c>
      <c r="AD9" s="14" t="s">
        <v>78</v>
      </c>
      <c r="AE9" s="17">
        <v>2.4</v>
      </c>
      <c r="AF9" s="15">
        <v>701803</v>
      </c>
      <c r="AG9" s="20">
        <f t="shared" si="4"/>
        <v>1898324</v>
      </c>
      <c r="AH9" s="14">
        <v>0</v>
      </c>
      <c r="AI9" s="14" t="s">
        <v>75</v>
      </c>
      <c r="AJ9" s="14">
        <v>24</v>
      </c>
      <c r="AK9" s="21">
        <f t="shared" si="5"/>
        <v>0.105</v>
      </c>
      <c r="AL9" s="20">
        <f t="shared" si="6"/>
        <v>55053.462790514466</v>
      </c>
      <c r="AM9" s="22">
        <f t="shared" si="7"/>
        <v>0.99213469717623004</v>
      </c>
      <c r="AN9" s="20">
        <f t="shared" si="8"/>
        <v>59697.182790514467</v>
      </c>
      <c r="AO9" s="16">
        <f t="shared" si="9"/>
        <v>0.59870758096696475</v>
      </c>
      <c r="AP9" s="15">
        <v>1385162</v>
      </c>
      <c r="AQ9" s="18">
        <f t="shared" si="10"/>
        <v>0.85701889020923183</v>
      </c>
      <c r="AR9" s="23">
        <v>46152</v>
      </c>
      <c r="AS9" s="14" t="s">
        <v>79</v>
      </c>
    </row>
    <row r="10" spans="1:45" x14ac:dyDescent="0.25">
      <c r="A10" s="14" t="s">
        <v>116</v>
      </c>
      <c r="B10" s="14" t="s">
        <v>117</v>
      </c>
      <c r="C10" s="14">
        <v>9161073976</v>
      </c>
      <c r="D10" s="15" t="s">
        <v>119</v>
      </c>
      <c r="E10" s="14">
        <v>26</v>
      </c>
      <c r="F10" s="14" t="s">
        <v>71</v>
      </c>
      <c r="G10" s="14" t="s">
        <v>120</v>
      </c>
      <c r="H10" s="14" t="s">
        <v>73</v>
      </c>
      <c r="I10" s="14" t="s">
        <v>74</v>
      </c>
      <c r="J10" s="15">
        <v>1286516</v>
      </c>
      <c r="K10" s="14">
        <v>1</v>
      </c>
      <c r="L10" s="14" t="s">
        <v>76</v>
      </c>
      <c r="M10" s="14" t="s">
        <v>75</v>
      </c>
      <c r="N10" s="14" t="s">
        <v>75</v>
      </c>
      <c r="O10" s="14" t="s">
        <v>75</v>
      </c>
      <c r="P10" s="14">
        <v>340</v>
      </c>
      <c r="Q10" s="15">
        <v>478106.53</v>
      </c>
      <c r="R10" s="15">
        <v>12581.75</v>
      </c>
      <c r="S10" s="14" t="s">
        <v>22</v>
      </c>
      <c r="T10" s="15">
        <v>846865</v>
      </c>
      <c r="U10" s="16">
        <f t="shared" si="0"/>
        <v>0.11735648837635909</v>
      </c>
      <c r="V10" s="14">
        <v>0</v>
      </c>
      <c r="W10" s="17">
        <v>73</v>
      </c>
      <c r="X10" s="14">
        <v>3.7</v>
      </c>
      <c r="Y10" s="18">
        <f t="shared" si="1"/>
        <v>48.2</v>
      </c>
      <c r="Z10" s="18" t="str">
        <f t="shared" si="2"/>
        <v>Medium</v>
      </c>
      <c r="AA10" s="19" t="str">
        <f t="shared" si="3"/>
        <v>Not Eligible</v>
      </c>
      <c r="AB10" s="14" t="s">
        <v>85</v>
      </c>
      <c r="AC10" s="14">
        <v>2</v>
      </c>
      <c r="AD10" s="14" t="s">
        <v>78</v>
      </c>
      <c r="AE10" s="17">
        <v>1.8</v>
      </c>
      <c r="AF10" s="15">
        <v>0</v>
      </c>
      <c r="AG10" s="20">
        <f t="shared" si="4"/>
        <v>1286516</v>
      </c>
      <c r="AH10" s="14">
        <v>0</v>
      </c>
      <c r="AI10" s="14" t="s">
        <v>75</v>
      </c>
      <c r="AJ10" s="14">
        <v>72</v>
      </c>
      <c r="AK10" s="21">
        <f t="shared" si="5"/>
        <v>0.105</v>
      </c>
      <c r="AL10" s="20">
        <f t="shared" si="6"/>
        <v>15903.252403050779</v>
      </c>
      <c r="AM10" s="22">
        <f t="shared" si="7"/>
        <v>0.65826231465446217</v>
      </c>
      <c r="AN10" s="20">
        <f t="shared" si="8"/>
        <v>28485.002403050778</v>
      </c>
      <c r="AO10" s="16">
        <f t="shared" si="9"/>
        <v>0.26569434724217134</v>
      </c>
      <c r="AP10" s="15">
        <v>1057920</v>
      </c>
      <c r="AQ10" s="18">
        <f t="shared" si="10"/>
        <v>0.80050003781004231</v>
      </c>
      <c r="AR10" s="23">
        <v>45932</v>
      </c>
      <c r="AS10" s="14" t="s">
        <v>79</v>
      </c>
    </row>
    <row r="11" spans="1:45" x14ac:dyDescent="0.25">
      <c r="A11" s="14" t="s">
        <v>121</v>
      </c>
      <c r="B11" s="14" t="s">
        <v>122</v>
      </c>
      <c r="C11" s="14">
        <v>9242224154</v>
      </c>
      <c r="D11" s="15"/>
      <c r="E11" s="14">
        <v>25</v>
      </c>
      <c r="F11" s="14" t="s">
        <v>71</v>
      </c>
      <c r="G11" s="14" t="s">
        <v>106</v>
      </c>
      <c r="H11" s="14" t="s">
        <v>84</v>
      </c>
      <c r="I11" s="14" t="s">
        <v>74</v>
      </c>
      <c r="J11" s="15">
        <v>961638</v>
      </c>
      <c r="K11" s="14">
        <v>1</v>
      </c>
      <c r="L11" s="14" t="s">
        <v>76</v>
      </c>
      <c r="M11" s="14" t="s">
        <v>75</v>
      </c>
      <c r="N11" s="14" t="s">
        <v>75</v>
      </c>
      <c r="O11" s="14" t="s">
        <v>75</v>
      </c>
      <c r="P11" s="14">
        <v>841</v>
      </c>
      <c r="Q11" s="15">
        <v>4513.8</v>
      </c>
      <c r="R11" s="15">
        <v>96.04</v>
      </c>
      <c r="S11" s="14" t="s">
        <v>22</v>
      </c>
      <c r="T11" s="15">
        <v>517236</v>
      </c>
      <c r="U11" s="16">
        <f t="shared" si="0"/>
        <v>1.198455135924329E-3</v>
      </c>
      <c r="V11" s="14">
        <v>5</v>
      </c>
      <c r="W11" s="17">
        <v>17.8</v>
      </c>
      <c r="X11" s="14">
        <v>1.9</v>
      </c>
      <c r="Y11" s="18">
        <f t="shared" si="1"/>
        <v>25.7</v>
      </c>
      <c r="Z11" s="18" t="str">
        <f t="shared" si="2"/>
        <v>Low</v>
      </c>
      <c r="AA11" s="19" t="str">
        <f t="shared" si="3"/>
        <v>Not Eligible</v>
      </c>
      <c r="AB11" s="14" t="s">
        <v>85</v>
      </c>
      <c r="AC11" s="14">
        <v>2</v>
      </c>
      <c r="AD11" s="14" t="s">
        <v>78</v>
      </c>
      <c r="AE11" s="17">
        <v>2.5</v>
      </c>
      <c r="AF11" s="15">
        <v>0</v>
      </c>
      <c r="AG11" s="20">
        <f t="shared" si="4"/>
        <v>961638</v>
      </c>
      <c r="AH11" s="14">
        <v>0</v>
      </c>
      <c r="AI11" s="14" t="s">
        <v>75</v>
      </c>
      <c r="AJ11" s="14">
        <v>48</v>
      </c>
      <c r="AK11" s="21">
        <f t="shared" si="5"/>
        <v>0.09</v>
      </c>
      <c r="AL11" s="20">
        <f t="shared" si="6"/>
        <v>12871.439777324234</v>
      </c>
      <c r="AM11" s="22">
        <f t="shared" si="7"/>
        <v>0.53786975972247353</v>
      </c>
      <c r="AN11" s="20">
        <f t="shared" si="8"/>
        <v>12967.479777324235</v>
      </c>
      <c r="AO11" s="16">
        <f t="shared" si="9"/>
        <v>0.16181739628414313</v>
      </c>
      <c r="AP11" s="15">
        <v>595381</v>
      </c>
      <c r="AQ11" s="18">
        <f t="shared" si="10"/>
        <v>0.86874791100152671</v>
      </c>
      <c r="AR11" s="23">
        <v>46023</v>
      </c>
      <c r="AS11" s="14" t="s">
        <v>79</v>
      </c>
    </row>
    <row r="12" spans="1:45" x14ac:dyDescent="0.25">
      <c r="A12" s="14" t="s">
        <v>123</v>
      </c>
      <c r="B12" s="14" t="s">
        <v>124</v>
      </c>
      <c r="C12" s="14">
        <v>9199104722</v>
      </c>
      <c r="D12" s="15" t="s">
        <v>126</v>
      </c>
      <c r="E12" s="14">
        <v>38</v>
      </c>
      <c r="F12" s="14" t="s">
        <v>71</v>
      </c>
      <c r="G12" s="14" t="s">
        <v>127</v>
      </c>
      <c r="H12" s="14" t="s">
        <v>103</v>
      </c>
      <c r="I12" s="14" t="s">
        <v>74</v>
      </c>
      <c r="J12" s="15">
        <v>848697</v>
      </c>
      <c r="K12" s="14">
        <v>1</v>
      </c>
      <c r="L12" s="14" t="s">
        <v>75</v>
      </c>
      <c r="M12" s="14" t="s">
        <v>76</v>
      </c>
      <c r="N12" s="14" t="s">
        <v>75</v>
      </c>
      <c r="O12" s="14" t="s">
        <v>75</v>
      </c>
      <c r="P12" s="14">
        <v>737</v>
      </c>
      <c r="Q12" s="15">
        <v>285623.98</v>
      </c>
      <c r="R12" s="15">
        <v>15032.84</v>
      </c>
      <c r="S12" s="14" t="s">
        <v>20</v>
      </c>
      <c r="T12" s="15"/>
      <c r="U12" s="16">
        <f t="shared" si="0"/>
        <v>0.2125541624395986</v>
      </c>
      <c r="V12" s="14">
        <v>2</v>
      </c>
      <c r="W12" s="17">
        <v>19.2</v>
      </c>
      <c r="X12" s="14">
        <v>0.7</v>
      </c>
      <c r="Y12" s="18">
        <f t="shared" si="1"/>
        <v>27.2</v>
      </c>
      <c r="Z12" s="18" t="str">
        <f t="shared" si="2"/>
        <v>Low</v>
      </c>
      <c r="AA12" s="19" t="str">
        <f t="shared" si="3"/>
        <v>Eligible</v>
      </c>
      <c r="AB12" s="14" t="s">
        <v>85</v>
      </c>
      <c r="AC12" s="14">
        <v>2</v>
      </c>
      <c r="AD12" s="14" t="s">
        <v>78</v>
      </c>
      <c r="AE12" s="17">
        <v>1</v>
      </c>
      <c r="AF12" s="15">
        <v>0</v>
      </c>
      <c r="AG12" s="20">
        <f t="shared" si="4"/>
        <v>848697</v>
      </c>
      <c r="AH12" s="14">
        <v>3</v>
      </c>
      <c r="AI12" s="14" t="s">
        <v>76</v>
      </c>
      <c r="AJ12" s="14">
        <v>12</v>
      </c>
      <c r="AK12" s="21">
        <f t="shared" si="5"/>
        <v>0.36</v>
      </c>
      <c r="AL12" s="20">
        <f t="shared" si="6"/>
        <v>0</v>
      </c>
      <c r="AM12" s="22">
        <f t="shared" si="7"/>
        <v>0</v>
      </c>
      <c r="AN12" s="20">
        <f t="shared" si="8"/>
        <v>15032.84</v>
      </c>
      <c r="AO12" s="16">
        <f t="shared" si="9"/>
        <v>0.2125541624395986</v>
      </c>
      <c r="AP12" s="15">
        <v>0</v>
      </c>
      <c r="AQ12" s="18" t="str">
        <f t="shared" si="10"/>
        <v>N/A</v>
      </c>
      <c r="AR12" s="23">
        <v>46078</v>
      </c>
      <c r="AS12" s="14" t="s">
        <v>79</v>
      </c>
    </row>
    <row r="13" spans="1:45" x14ac:dyDescent="0.25">
      <c r="A13" s="14" t="s">
        <v>128</v>
      </c>
      <c r="B13" s="14" t="s">
        <v>129</v>
      </c>
      <c r="C13" s="14"/>
      <c r="D13" s="15" t="s">
        <v>130</v>
      </c>
      <c r="E13" s="14">
        <v>47</v>
      </c>
      <c r="F13" s="14" t="s">
        <v>71</v>
      </c>
      <c r="G13" s="14" t="s">
        <v>131</v>
      </c>
      <c r="H13" s="14" t="s">
        <v>132</v>
      </c>
      <c r="I13" s="14" t="s">
        <v>92</v>
      </c>
      <c r="J13" s="15">
        <v>1042611</v>
      </c>
      <c r="K13" s="14">
        <v>1</v>
      </c>
      <c r="L13" s="14" t="s">
        <v>75</v>
      </c>
      <c r="M13" s="14" t="s">
        <v>76</v>
      </c>
      <c r="N13" s="14" t="s">
        <v>75</v>
      </c>
      <c r="O13" s="14" t="s">
        <v>75</v>
      </c>
      <c r="P13" s="14">
        <v>721</v>
      </c>
      <c r="Q13" s="15">
        <v>501851.51</v>
      </c>
      <c r="R13" s="15">
        <v>8505.9599999999991</v>
      </c>
      <c r="S13" s="14" t="s">
        <v>21</v>
      </c>
      <c r="T13" s="15">
        <v>329766</v>
      </c>
      <c r="U13" s="16">
        <f t="shared" si="0"/>
        <v>9.7899907060255448E-2</v>
      </c>
      <c r="V13" s="14">
        <v>0</v>
      </c>
      <c r="W13" s="17">
        <v>71.599999999999994</v>
      </c>
      <c r="X13" s="14">
        <v>5.9</v>
      </c>
      <c r="Y13" s="18">
        <f t="shared" si="1"/>
        <v>22</v>
      </c>
      <c r="Z13" s="18" t="str">
        <f t="shared" si="2"/>
        <v>Low</v>
      </c>
      <c r="AA13" s="19" t="str">
        <f t="shared" si="3"/>
        <v>Eligible</v>
      </c>
      <c r="AB13" s="14" t="s">
        <v>85</v>
      </c>
      <c r="AC13" s="14">
        <v>1</v>
      </c>
      <c r="AD13" s="14" t="s">
        <v>78</v>
      </c>
      <c r="AE13" s="17">
        <v>23.9</v>
      </c>
      <c r="AF13" s="15">
        <v>765402</v>
      </c>
      <c r="AG13" s="20">
        <f t="shared" si="4"/>
        <v>1808013</v>
      </c>
      <c r="AH13" s="14">
        <v>2</v>
      </c>
      <c r="AI13" s="14" t="s">
        <v>75</v>
      </c>
      <c r="AJ13" s="14">
        <v>24</v>
      </c>
      <c r="AK13" s="21">
        <f t="shared" si="5"/>
        <v>0.14000000000000001</v>
      </c>
      <c r="AL13" s="20">
        <f t="shared" si="6"/>
        <v>15833.016463883278</v>
      </c>
      <c r="AM13" s="22">
        <f t="shared" si="7"/>
        <v>0.31628862538377212</v>
      </c>
      <c r="AN13" s="20">
        <f t="shared" si="8"/>
        <v>24338.976463883278</v>
      </c>
      <c r="AO13" s="16">
        <f t="shared" si="9"/>
        <v>0.28013105325629539</v>
      </c>
      <c r="AP13" s="15">
        <v>0</v>
      </c>
      <c r="AQ13" s="18" t="str">
        <f t="shared" si="10"/>
        <v>N/A</v>
      </c>
      <c r="AR13" s="23">
        <v>46099</v>
      </c>
      <c r="AS13" s="14" t="s">
        <v>79</v>
      </c>
    </row>
    <row r="14" spans="1:45" x14ac:dyDescent="0.25">
      <c r="A14" s="14" t="s">
        <v>133</v>
      </c>
      <c r="B14" s="14" t="s">
        <v>134</v>
      </c>
      <c r="C14" s="14">
        <v>9930353157</v>
      </c>
      <c r="D14" s="15" t="s">
        <v>135</v>
      </c>
      <c r="E14" s="14">
        <v>62</v>
      </c>
      <c r="F14" s="14" t="s">
        <v>89</v>
      </c>
      <c r="G14" s="14" t="s">
        <v>83</v>
      </c>
      <c r="H14" s="14" t="s">
        <v>103</v>
      </c>
      <c r="I14" s="14" t="s">
        <v>74</v>
      </c>
      <c r="J14" s="15">
        <v>415765</v>
      </c>
      <c r="K14" s="14">
        <v>2</v>
      </c>
      <c r="L14" s="14" t="s">
        <v>76</v>
      </c>
      <c r="M14" s="14" t="s">
        <v>75</v>
      </c>
      <c r="N14" s="14" t="s">
        <v>76</v>
      </c>
      <c r="O14" s="14" t="s">
        <v>75</v>
      </c>
      <c r="P14" s="14">
        <v>571</v>
      </c>
      <c r="Q14" s="15">
        <v>9543.6</v>
      </c>
      <c r="R14" s="15">
        <v>190.87</v>
      </c>
      <c r="S14" s="14" t="s">
        <v>23</v>
      </c>
      <c r="T14" s="15">
        <v>4399833</v>
      </c>
      <c r="U14" s="16">
        <f t="shared" si="0"/>
        <v>5.5089774271523577E-3</v>
      </c>
      <c r="V14" s="14">
        <v>2</v>
      </c>
      <c r="W14" s="17">
        <v>34.799999999999997</v>
      </c>
      <c r="X14" s="14">
        <v>9.1999999999999993</v>
      </c>
      <c r="Y14" s="18">
        <f t="shared" si="1"/>
        <v>33.6</v>
      </c>
      <c r="Z14" s="18" t="str">
        <f t="shared" si="2"/>
        <v>Medium</v>
      </c>
      <c r="AA14" s="19" t="str">
        <f t="shared" si="3"/>
        <v>Review</v>
      </c>
      <c r="AB14" s="14" t="s">
        <v>85</v>
      </c>
      <c r="AC14" s="14">
        <v>1</v>
      </c>
      <c r="AD14" s="14" t="s">
        <v>93</v>
      </c>
      <c r="AE14" s="17">
        <v>7.9</v>
      </c>
      <c r="AF14" s="15">
        <v>0</v>
      </c>
      <c r="AG14" s="20">
        <f t="shared" si="4"/>
        <v>415765</v>
      </c>
      <c r="AH14" s="14">
        <v>0</v>
      </c>
      <c r="AI14" s="14" t="s">
        <v>76</v>
      </c>
      <c r="AJ14" s="14">
        <v>360</v>
      </c>
      <c r="AK14" s="21">
        <f t="shared" si="5"/>
        <v>0.1</v>
      </c>
      <c r="AL14" s="20">
        <f t="shared" si="6"/>
        <v>38611.6835393851</v>
      </c>
      <c r="AM14" s="22">
        <f t="shared" si="7"/>
        <v>10.582499729414453</v>
      </c>
      <c r="AN14" s="20">
        <f t="shared" si="8"/>
        <v>38802.553539385102</v>
      </c>
      <c r="AO14" s="16">
        <f t="shared" si="9"/>
        <v>1.119937085787936</v>
      </c>
      <c r="AP14" s="15">
        <v>5815322</v>
      </c>
      <c r="AQ14" s="18">
        <f t="shared" si="10"/>
        <v>0.75659318606949022</v>
      </c>
      <c r="AR14" s="23">
        <v>46238</v>
      </c>
      <c r="AS14" s="14" t="s">
        <v>79</v>
      </c>
    </row>
    <row r="15" spans="1:45" x14ac:dyDescent="0.25">
      <c r="A15" s="14" t="s">
        <v>136</v>
      </c>
      <c r="B15" s="14" t="s">
        <v>137</v>
      </c>
      <c r="C15" s="14">
        <v>9813219781</v>
      </c>
      <c r="D15" s="15" t="s">
        <v>138</v>
      </c>
      <c r="E15" s="14">
        <v>60</v>
      </c>
      <c r="F15" s="14" t="s">
        <v>89</v>
      </c>
      <c r="G15" s="14" t="s">
        <v>139</v>
      </c>
      <c r="H15" s="14" t="s">
        <v>84</v>
      </c>
      <c r="I15" s="14" t="s">
        <v>74</v>
      </c>
      <c r="J15" s="15">
        <v>2427025</v>
      </c>
      <c r="K15" s="14">
        <v>1</v>
      </c>
      <c r="L15" s="14" t="s">
        <v>76</v>
      </c>
      <c r="M15" s="14" t="s">
        <v>75</v>
      </c>
      <c r="N15" s="14" t="s">
        <v>75</v>
      </c>
      <c r="O15" s="14" t="s">
        <v>75</v>
      </c>
      <c r="P15" s="14">
        <v>430</v>
      </c>
      <c r="Q15" s="15"/>
      <c r="R15" s="15">
        <v>5173.34</v>
      </c>
      <c r="S15" s="14" t="s">
        <v>23</v>
      </c>
      <c r="T15" s="15">
        <v>7181754</v>
      </c>
      <c r="U15" s="16">
        <f t="shared" si="0"/>
        <v>2.5578673478847562E-2</v>
      </c>
      <c r="V15" s="14">
        <v>2</v>
      </c>
      <c r="W15" s="17">
        <v>21.5</v>
      </c>
      <c r="X15" s="14">
        <v>8.6</v>
      </c>
      <c r="Y15" s="18">
        <f t="shared" si="1"/>
        <v>42.3</v>
      </c>
      <c r="Z15" s="18" t="str">
        <f t="shared" si="2"/>
        <v>Medium</v>
      </c>
      <c r="AA15" s="19" t="str">
        <f t="shared" si="3"/>
        <v>Not Eligible</v>
      </c>
      <c r="AB15" s="14" t="s">
        <v>85</v>
      </c>
      <c r="AC15" s="14">
        <v>3</v>
      </c>
      <c r="AD15" s="14" t="s">
        <v>78</v>
      </c>
      <c r="AE15" s="17">
        <v>6.5</v>
      </c>
      <c r="AF15" s="15">
        <v>0</v>
      </c>
      <c r="AG15" s="20">
        <f t="shared" si="4"/>
        <v>2427025</v>
      </c>
      <c r="AH15" s="14">
        <v>1</v>
      </c>
      <c r="AI15" s="14" t="s">
        <v>75</v>
      </c>
      <c r="AJ15" s="14">
        <v>300</v>
      </c>
      <c r="AK15" s="21">
        <f t="shared" si="5"/>
        <v>0.1</v>
      </c>
      <c r="AL15" s="20">
        <f t="shared" si="6"/>
        <v>65260.652140853119</v>
      </c>
      <c r="AM15" s="22">
        <f t="shared" si="7"/>
        <v>2.9590770593628002</v>
      </c>
      <c r="AN15" s="20">
        <f t="shared" si="8"/>
        <v>70433.992140853123</v>
      </c>
      <c r="AO15" s="16">
        <f t="shared" si="9"/>
        <v>0.34824853707326353</v>
      </c>
      <c r="AP15" s="15">
        <v>9052888</v>
      </c>
      <c r="AQ15" s="18">
        <f t="shared" si="10"/>
        <v>0.79331081970747896</v>
      </c>
      <c r="AR15" s="23">
        <v>46004</v>
      </c>
      <c r="AS15" s="14" t="s">
        <v>79</v>
      </c>
    </row>
    <row r="16" spans="1:45" x14ac:dyDescent="0.25">
      <c r="A16" s="14" t="s">
        <v>140</v>
      </c>
      <c r="B16" s="14" t="s">
        <v>141</v>
      </c>
      <c r="C16" s="14">
        <v>9954725078</v>
      </c>
      <c r="D16" s="15" t="s">
        <v>142</v>
      </c>
      <c r="E16" s="14">
        <v>63</v>
      </c>
      <c r="F16" s="14" t="s">
        <v>71</v>
      </c>
      <c r="G16" s="14" t="s">
        <v>143</v>
      </c>
      <c r="H16" s="14" t="s">
        <v>144</v>
      </c>
      <c r="I16" s="14" t="s">
        <v>92</v>
      </c>
      <c r="J16" s="15">
        <v>1705881</v>
      </c>
      <c r="K16" s="14">
        <v>2</v>
      </c>
      <c r="L16" s="14" t="s">
        <v>76</v>
      </c>
      <c r="M16" s="14" t="s">
        <v>75</v>
      </c>
      <c r="N16" s="14" t="s">
        <v>76</v>
      </c>
      <c r="O16" s="14" t="s">
        <v>75</v>
      </c>
      <c r="P16" s="14">
        <v>503</v>
      </c>
      <c r="Q16" s="15">
        <v>150821</v>
      </c>
      <c r="R16" s="15">
        <v>10772.93</v>
      </c>
      <c r="S16" s="14" t="s">
        <v>21</v>
      </c>
      <c r="T16" s="15">
        <v>548216</v>
      </c>
      <c r="U16" s="16">
        <f t="shared" si="0"/>
        <v>7.5782050447833121E-2</v>
      </c>
      <c r="V16" s="14">
        <v>1</v>
      </c>
      <c r="W16" s="17">
        <v>78</v>
      </c>
      <c r="X16" s="14">
        <v>6.9</v>
      </c>
      <c r="Y16" s="18">
        <f t="shared" si="1"/>
        <v>40.5</v>
      </c>
      <c r="Z16" s="18" t="str">
        <f t="shared" si="2"/>
        <v>Medium</v>
      </c>
      <c r="AA16" s="19" t="str">
        <f t="shared" si="3"/>
        <v>Not Eligible</v>
      </c>
      <c r="AB16" s="14" t="s">
        <v>77</v>
      </c>
      <c r="AC16" s="14">
        <v>2</v>
      </c>
      <c r="AD16" s="14" t="s">
        <v>93</v>
      </c>
      <c r="AE16" s="17">
        <v>11.7</v>
      </c>
      <c r="AF16" s="15">
        <v>0</v>
      </c>
      <c r="AG16" s="20">
        <f t="shared" si="4"/>
        <v>1705881</v>
      </c>
      <c r="AH16" s="14">
        <v>0</v>
      </c>
      <c r="AI16" s="14" t="s">
        <v>75</v>
      </c>
      <c r="AJ16" s="14">
        <v>12</v>
      </c>
      <c r="AK16" s="21">
        <f t="shared" si="5"/>
        <v>0.15500000000000003</v>
      </c>
      <c r="AL16" s="20">
        <f t="shared" si="6"/>
        <v>49610.4869722851</v>
      </c>
      <c r="AM16" s="22">
        <f t="shared" si="7"/>
        <v>0.32136825487827109</v>
      </c>
      <c r="AN16" s="20">
        <f t="shared" si="8"/>
        <v>60383.4169722851</v>
      </c>
      <c r="AO16" s="16">
        <f t="shared" si="9"/>
        <v>0.42476644248187367</v>
      </c>
      <c r="AP16" s="15">
        <v>0</v>
      </c>
      <c r="AQ16" s="18" t="str">
        <f t="shared" si="10"/>
        <v>N/A</v>
      </c>
      <c r="AR16" s="23">
        <v>46112</v>
      </c>
      <c r="AS16" s="14" t="s">
        <v>79</v>
      </c>
    </row>
    <row r="17" spans="1:45" x14ac:dyDescent="0.25">
      <c r="A17" s="14" t="s">
        <v>145</v>
      </c>
      <c r="B17" s="14" t="s">
        <v>146</v>
      </c>
      <c r="C17" s="14">
        <v>9656152900</v>
      </c>
      <c r="D17" s="15" t="s">
        <v>148</v>
      </c>
      <c r="E17" s="14">
        <v>56</v>
      </c>
      <c r="F17" s="14" t="s">
        <v>71</v>
      </c>
      <c r="G17" s="14" t="s">
        <v>139</v>
      </c>
      <c r="H17" s="14" t="s">
        <v>107</v>
      </c>
      <c r="I17" s="14" t="s">
        <v>92</v>
      </c>
      <c r="J17" s="15">
        <v>859264</v>
      </c>
      <c r="K17" s="14">
        <v>0</v>
      </c>
      <c r="L17" s="14" t="s">
        <v>75</v>
      </c>
      <c r="M17" s="14" t="s">
        <v>75</v>
      </c>
      <c r="N17" s="14" t="s">
        <v>75</v>
      </c>
      <c r="O17" s="14" t="s">
        <v>75</v>
      </c>
      <c r="P17" s="14">
        <v>753</v>
      </c>
      <c r="Q17" s="15">
        <v>52643.01</v>
      </c>
      <c r="R17" s="15">
        <v>907.64</v>
      </c>
      <c r="S17" s="14" t="s">
        <v>23</v>
      </c>
      <c r="T17" s="15"/>
      <c r="U17" s="16">
        <f t="shared" si="0"/>
        <v>1.2675592134664085E-2</v>
      </c>
      <c r="V17" s="14">
        <v>0</v>
      </c>
      <c r="W17" s="17">
        <v>20.100000000000001</v>
      </c>
      <c r="X17" s="14">
        <v>13</v>
      </c>
      <c r="Y17" s="18">
        <f t="shared" si="1"/>
        <v>12.2</v>
      </c>
      <c r="Z17" s="18" t="str">
        <f t="shared" si="2"/>
        <v>Low</v>
      </c>
      <c r="AA17" s="19" t="str">
        <f t="shared" si="3"/>
        <v>Eligible</v>
      </c>
      <c r="AB17" s="14" t="s">
        <v>85</v>
      </c>
      <c r="AC17" s="14">
        <v>2</v>
      </c>
      <c r="AD17" s="14" t="s">
        <v>93</v>
      </c>
      <c r="AE17" s="17">
        <v>8.5</v>
      </c>
      <c r="AF17" s="15">
        <v>0</v>
      </c>
      <c r="AG17" s="20">
        <f t="shared" si="4"/>
        <v>859264</v>
      </c>
      <c r="AH17" s="14">
        <v>0</v>
      </c>
      <c r="AI17" s="14" t="s">
        <v>75</v>
      </c>
      <c r="AJ17" s="14">
        <v>300</v>
      </c>
      <c r="AK17" s="21">
        <f t="shared" si="5"/>
        <v>8.5000000000000006E-2</v>
      </c>
      <c r="AL17" s="20">
        <f t="shared" si="6"/>
        <v>0</v>
      </c>
      <c r="AM17" s="22">
        <f t="shared" si="7"/>
        <v>0</v>
      </c>
      <c r="AN17" s="20">
        <f t="shared" si="8"/>
        <v>907.64</v>
      </c>
      <c r="AO17" s="16">
        <f t="shared" si="9"/>
        <v>1.2675592134664085E-2</v>
      </c>
      <c r="AP17" s="15">
        <v>7128348</v>
      </c>
      <c r="AQ17" s="18">
        <f t="shared" si="10"/>
        <v>0</v>
      </c>
      <c r="AR17" s="23">
        <v>46041</v>
      </c>
      <c r="AS17" s="14" t="s">
        <v>79</v>
      </c>
    </row>
    <row r="18" spans="1:45" x14ac:dyDescent="0.25">
      <c r="A18" s="14" t="s">
        <v>149</v>
      </c>
      <c r="B18" s="14" t="s">
        <v>150</v>
      </c>
      <c r="C18" s="14">
        <v>9679984033</v>
      </c>
      <c r="D18" s="15" t="s">
        <v>152</v>
      </c>
      <c r="E18" s="14">
        <v>30</v>
      </c>
      <c r="F18" s="14" t="s">
        <v>71</v>
      </c>
      <c r="G18" s="14" t="s">
        <v>153</v>
      </c>
      <c r="H18" s="14" t="s">
        <v>132</v>
      </c>
      <c r="I18" s="14" t="s">
        <v>92</v>
      </c>
      <c r="J18" s="15">
        <v>1197383</v>
      </c>
      <c r="K18" s="14">
        <v>1</v>
      </c>
      <c r="L18" s="14" t="s">
        <v>76</v>
      </c>
      <c r="M18" s="14" t="s">
        <v>75</v>
      </c>
      <c r="N18" s="14" t="s">
        <v>75</v>
      </c>
      <c r="O18" s="14" t="s">
        <v>75</v>
      </c>
      <c r="P18" s="14">
        <v>511</v>
      </c>
      <c r="Q18" s="15">
        <v>598374</v>
      </c>
      <c r="R18" s="15">
        <v>16621.5</v>
      </c>
      <c r="S18" s="14" t="s">
        <v>20</v>
      </c>
      <c r="T18" s="15"/>
      <c r="U18" s="16">
        <f t="shared" si="0"/>
        <v>0.16657827946446543</v>
      </c>
      <c r="V18" s="14">
        <v>4</v>
      </c>
      <c r="W18" s="17">
        <v>59.7</v>
      </c>
      <c r="X18" s="14">
        <v>7.3</v>
      </c>
      <c r="Y18" s="18">
        <f t="shared" si="1"/>
        <v>52.9</v>
      </c>
      <c r="Z18" s="18" t="str">
        <f t="shared" si="2"/>
        <v>Medium</v>
      </c>
      <c r="AA18" s="19" t="str">
        <f t="shared" si="3"/>
        <v>Not Eligible</v>
      </c>
      <c r="AB18" s="14" t="s">
        <v>77</v>
      </c>
      <c r="AC18" s="14">
        <v>1</v>
      </c>
      <c r="AD18" s="14" t="s">
        <v>78</v>
      </c>
      <c r="AE18" s="17">
        <v>8.1</v>
      </c>
      <c r="AF18" s="15">
        <v>0</v>
      </c>
      <c r="AG18" s="20">
        <f t="shared" si="4"/>
        <v>1197383</v>
      </c>
      <c r="AH18" s="14">
        <v>0</v>
      </c>
      <c r="AI18" s="14" t="s">
        <v>75</v>
      </c>
      <c r="AJ18" s="14">
        <v>18</v>
      </c>
      <c r="AK18" s="21">
        <f t="shared" si="5"/>
        <v>0.375</v>
      </c>
      <c r="AL18" s="20">
        <f t="shared" si="6"/>
        <v>0</v>
      </c>
      <c r="AM18" s="22">
        <f t="shared" si="7"/>
        <v>0</v>
      </c>
      <c r="AN18" s="20">
        <f t="shared" si="8"/>
        <v>16621.5</v>
      </c>
      <c r="AO18" s="16">
        <f t="shared" si="9"/>
        <v>0.16657827946446543</v>
      </c>
      <c r="AP18" s="15">
        <v>0</v>
      </c>
      <c r="AQ18" s="18" t="str">
        <f t="shared" si="10"/>
        <v>N/A</v>
      </c>
      <c r="AR18" s="23">
        <v>46144</v>
      </c>
      <c r="AS18" s="14" t="s">
        <v>79</v>
      </c>
    </row>
    <row r="19" spans="1:45" x14ac:dyDescent="0.25">
      <c r="A19" s="14" t="s">
        <v>154</v>
      </c>
      <c r="B19" s="14" t="s">
        <v>155</v>
      </c>
      <c r="C19" s="14">
        <v>9131165166</v>
      </c>
      <c r="D19" s="15" t="s">
        <v>156</v>
      </c>
      <c r="E19" s="14">
        <v>63</v>
      </c>
      <c r="F19" s="14" t="s">
        <v>89</v>
      </c>
      <c r="G19" s="14" t="s">
        <v>98</v>
      </c>
      <c r="H19" s="14" t="s">
        <v>107</v>
      </c>
      <c r="I19" s="14" t="s">
        <v>92</v>
      </c>
      <c r="J19" s="15">
        <v>835309</v>
      </c>
      <c r="K19" s="14">
        <v>0</v>
      </c>
      <c r="L19" s="14" t="s">
        <v>75</v>
      </c>
      <c r="M19" s="14" t="s">
        <v>75</v>
      </c>
      <c r="N19" s="14" t="s">
        <v>75</v>
      </c>
      <c r="O19" s="14" t="s">
        <v>75</v>
      </c>
      <c r="P19" s="14">
        <v>327</v>
      </c>
      <c r="Q19" s="15">
        <v>7012</v>
      </c>
      <c r="R19" s="15">
        <v>179.8</v>
      </c>
      <c r="S19" s="14" t="s">
        <v>21</v>
      </c>
      <c r="T19" s="15">
        <v>958959</v>
      </c>
      <c r="U19" s="16">
        <f t="shared" si="0"/>
        <v>2.5829962325319136E-3</v>
      </c>
      <c r="V19" s="14">
        <v>1</v>
      </c>
      <c r="W19" s="17">
        <v>9.8000000000000007</v>
      </c>
      <c r="X19" s="14">
        <v>5.8</v>
      </c>
      <c r="Y19" s="18">
        <f t="shared" si="1"/>
        <v>43.3</v>
      </c>
      <c r="Z19" s="18" t="str">
        <f t="shared" si="2"/>
        <v>Medium</v>
      </c>
      <c r="AA19" s="19" t="str">
        <f t="shared" si="3"/>
        <v>Not Eligible</v>
      </c>
      <c r="AB19" s="14" t="s">
        <v>85</v>
      </c>
      <c r="AC19" s="14">
        <v>1</v>
      </c>
      <c r="AD19" s="14" t="s">
        <v>93</v>
      </c>
      <c r="AE19" s="17">
        <v>11.6</v>
      </c>
      <c r="AF19" s="15">
        <v>0</v>
      </c>
      <c r="AG19" s="20">
        <f t="shared" si="4"/>
        <v>835309</v>
      </c>
      <c r="AH19" s="14">
        <v>2</v>
      </c>
      <c r="AI19" s="14" t="s">
        <v>75</v>
      </c>
      <c r="AJ19" s="14">
        <v>12</v>
      </c>
      <c r="AK19" s="21">
        <f t="shared" si="5"/>
        <v>0.15500000000000003</v>
      </c>
      <c r="AL19" s="20">
        <f t="shared" si="6"/>
        <v>86780.435041034099</v>
      </c>
      <c r="AM19" s="22">
        <f t="shared" si="7"/>
        <v>1.1480290527218071</v>
      </c>
      <c r="AN19" s="20">
        <f t="shared" si="8"/>
        <v>86960.235041034102</v>
      </c>
      <c r="AO19" s="16">
        <f t="shared" si="9"/>
        <v>1.2492656256456105</v>
      </c>
      <c r="AP19" s="15">
        <v>0</v>
      </c>
      <c r="AQ19" s="18" t="str">
        <f t="shared" si="10"/>
        <v>N/A</v>
      </c>
      <c r="AR19" s="23">
        <v>46135</v>
      </c>
      <c r="AS19" s="14" t="s">
        <v>79</v>
      </c>
    </row>
    <row r="20" spans="1:45" x14ac:dyDescent="0.25">
      <c r="A20" s="14" t="s">
        <v>157</v>
      </c>
      <c r="B20" s="14" t="s">
        <v>158</v>
      </c>
      <c r="C20" s="14">
        <v>9475767056</v>
      </c>
      <c r="D20" s="15" t="s">
        <v>160</v>
      </c>
      <c r="E20" s="14">
        <v>62</v>
      </c>
      <c r="F20" s="14" t="s">
        <v>71</v>
      </c>
      <c r="G20" s="14" t="s">
        <v>127</v>
      </c>
      <c r="H20" s="14" t="s">
        <v>91</v>
      </c>
      <c r="I20" s="14" t="s">
        <v>92</v>
      </c>
      <c r="J20" s="15">
        <v>1136179</v>
      </c>
      <c r="K20" s="14">
        <v>1</v>
      </c>
      <c r="L20" s="14" t="s">
        <v>75</v>
      </c>
      <c r="M20" s="14" t="s">
        <v>75</v>
      </c>
      <c r="N20" s="14" t="s">
        <v>76</v>
      </c>
      <c r="O20" s="14" t="s">
        <v>75</v>
      </c>
      <c r="P20" s="14">
        <v>417</v>
      </c>
      <c r="Q20" s="15">
        <v>384462.24</v>
      </c>
      <c r="R20" s="15">
        <v>15378.49</v>
      </c>
      <c r="S20" s="14" t="s">
        <v>23</v>
      </c>
      <c r="T20" s="15">
        <v>7367537</v>
      </c>
      <c r="U20" s="16">
        <f t="shared" si="0"/>
        <v>0.16242324492883603</v>
      </c>
      <c r="V20" s="14">
        <v>0</v>
      </c>
      <c r="W20" s="17">
        <v>40</v>
      </c>
      <c r="X20" s="14">
        <v>9.1999999999999993</v>
      </c>
      <c r="Y20" s="18">
        <f t="shared" si="1"/>
        <v>41.1</v>
      </c>
      <c r="Z20" s="18" t="str">
        <f t="shared" si="2"/>
        <v>Medium</v>
      </c>
      <c r="AA20" s="19" t="str">
        <f t="shared" si="3"/>
        <v>Not Eligible</v>
      </c>
      <c r="AB20" s="14" t="s">
        <v>161</v>
      </c>
      <c r="AC20" s="14">
        <v>2</v>
      </c>
      <c r="AD20" s="14" t="s">
        <v>93</v>
      </c>
      <c r="AE20" s="17">
        <v>5.2</v>
      </c>
      <c r="AF20" s="15">
        <v>584014</v>
      </c>
      <c r="AG20" s="20">
        <f t="shared" si="4"/>
        <v>1720193</v>
      </c>
      <c r="AH20" s="14">
        <v>2</v>
      </c>
      <c r="AI20" s="14" t="s">
        <v>75</v>
      </c>
      <c r="AJ20" s="14">
        <v>300</v>
      </c>
      <c r="AK20" s="21">
        <f t="shared" si="5"/>
        <v>0.1</v>
      </c>
      <c r="AL20" s="20">
        <f t="shared" si="6"/>
        <v>66948.863646939804</v>
      </c>
      <c r="AM20" s="22">
        <f t="shared" si="7"/>
        <v>6.4844861593111647</v>
      </c>
      <c r="AN20" s="20">
        <f t="shared" si="8"/>
        <v>82327.35364693981</v>
      </c>
      <c r="AO20" s="16">
        <f t="shared" si="9"/>
        <v>0.8695181338180672</v>
      </c>
      <c r="AP20" s="15">
        <v>9203259</v>
      </c>
      <c r="AQ20" s="18">
        <f t="shared" si="10"/>
        <v>0.80053565807503624</v>
      </c>
      <c r="AR20" s="23">
        <v>45996</v>
      </c>
      <c r="AS20" s="14" t="s">
        <v>79</v>
      </c>
    </row>
    <row r="21" spans="1:45" x14ac:dyDescent="0.25">
      <c r="A21" s="14" t="s">
        <v>162</v>
      </c>
      <c r="B21" s="14" t="s">
        <v>163</v>
      </c>
      <c r="C21" s="14">
        <v>9773496394</v>
      </c>
      <c r="D21" s="15" t="s">
        <v>165</v>
      </c>
      <c r="E21" s="14">
        <v>65</v>
      </c>
      <c r="F21" s="14" t="s">
        <v>89</v>
      </c>
      <c r="G21" s="14" t="s">
        <v>139</v>
      </c>
      <c r="H21" s="14" t="s">
        <v>166</v>
      </c>
      <c r="I21" s="14" t="s">
        <v>74</v>
      </c>
      <c r="J21" s="15">
        <v>1756278</v>
      </c>
      <c r="K21" s="14">
        <v>2</v>
      </c>
      <c r="L21" s="14" t="s">
        <v>76</v>
      </c>
      <c r="M21" s="14" t="s">
        <v>75</v>
      </c>
      <c r="N21" s="14" t="s">
        <v>76</v>
      </c>
      <c r="O21" s="14" t="s">
        <v>75</v>
      </c>
      <c r="P21" s="14">
        <v>312</v>
      </c>
      <c r="Q21" s="15"/>
      <c r="R21" s="15">
        <v>20819.87</v>
      </c>
      <c r="S21" s="14" t="s">
        <v>20</v>
      </c>
      <c r="T21" s="15">
        <v>247291</v>
      </c>
      <c r="U21" s="16">
        <f t="shared" si="0"/>
        <v>0.14225449501730364</v>
      </c>
      <c r="V21" s="14">
        <v>6</v>
      </c>
      <c r="W21" s="17">
        <v>65.400000000000006</v>
      </c>
      <c r="X21" s="14">
        <v>12.5</v>
      </c>
      <c r="Y21" s="18">
        <f t="shared" si="1"/>
        <v>70</v>
      </c>
      <c r="Z21" s="18" t="str">
        <f t="shared" si="2"/>
        <v>High</v>
      </c>
      <c r="AA21" s="19" t="str">
        <f t="shared" si="3"/>
        <v>Not Eligible</v>
      </c>
      <c r="AB21" s="14" t="s">
        <v>77</v>
      </c>
      <c r="AC21" s="14">
        <v>1</v>
      </c>
      <c r="AD21" s="14" t="s">
        <v>93</v>
      </c>
      <c r="AE21" s="17">
        <v>29</v>
      </c>
      <c r="AF21" s="15">
        <v>756149</v>
      </c>
      <c r="AG21" s="20">
        <f t="shared" si="4"/>
        <v>2512427</v>
      </c>
      <c r="AH21" s="14">
        <v>0</v>
      </c>
      <c r="AI21" s="14" t="s">
        <v>75</v>
      </c>
      <c r="AJ21" s="14">
        <v>36</v>
      </c>
      <c r="AK21" s="21">
        <f t="shared" si="5"/>
        <v>0.39</v>
      </c>
      <c r="AL21" s="20">
        <f t="shared" si="6"/>
        <v>11753.323999161841</v>
      </c>
      <c r="AM21" s="22">
        <f t="shared" si="7"/>
        <v>0.14080401849821042</v>
      </c>
      <c r="AN21" s="20">
        <f t="shared" si="8"/>
        <v>32573.193999161842</v>
      </c>
      <c r="AO21" s="16">
        <f t="shared" si="9"/>
        <v>0.22256062422346695</v>
      </c>
      <c r="AP21" s="15">
        <v>0</v>
      </c>
      <c r="AQ21" s="18" t="str">
        <f t="shared" si="10"/>
        <v>N/A</v>
      </c>
      <c r="AR21" s="23">
        <v>46198</v>
      </c>
      <c r="AS21" s="14" t="s">
        <v>79</v>
      </c>
    </row>
    <row r="22" spans="1:45" x14ac:dyDescent="0.25">
      <c r="A22" s="14" t="s">
        <v>167</v>
      </c>
      <c r="B22" s="14" t="s">
        <v>168</v>
      </c>
      <c r="C22" s="14">
        <v>9991990632</v>
      </c>
      <c r="D22" s="15" t="s">
        <v>170</v>
      </c>
      <c r="E22" s="14">
        <v>38</v>
      </c>
      <c r="F22" s="14" t="s">
        <v>89</v>
      </c>
      <c r="G22" s="14" t="s">
        <v>131</v>
      </c>
      <c r="H22" s="14" t="s">
        <v>107</v>
      </c>
      <c r="I22" s="14" t="s">
        <v>92</v>
      </c>
      <c r="J22" s="15">
        <v>1889596</v>
      </c>
      <c r="K22" s="14">
        <v>1</v>
      </c>
      <c r="L22" s="14" t="s">
        <v>76</v>
      </c>
      <c r="M22" s="14" t="s">
        <v>75</v>
      </c>
      <c r="N22" s="14" t="s">
        <v>75</v>
      </c>
      <c r="O22" s="14" t="s">
        <v>75</v>
      </c>
      <c r="P22" s="14">
        <v>663</v>
      </c>
      <c r="Q22" s="15">
        <v>904548</v>
      </c>
      <c r="R22" s="15">
        <v>27410.560000000001</v>
      </c>
      <c r="S22" s="14" t="s">
        <v>22</v>
      </c>
      <c r="T22" s="15"/>
      <c r="U22" s="16">
        <f t="shared" si="0"/>
        <v>0.17407251073774502</v>
      </c>
      <c r="V22" s="14">
        <v>1</v>
      </c>
      <c r="W22" s="17">
        <v>54.1</v>
      </c>
      <c r="X22" s="14">
        <v>3</v>
      </c>
      <c r="Y22" s="18">
        <f t="shared" si="1"/>
        <v>30.4</v>
      </c>
      <c r="Z22" s="18" t="str">
        <f t="shared" si="2"/>
        <v>Medium</v>
      </c>
      <c r="AA22" s="19" t="str">
        <f t="shared" si="3"/>
        <v>Eligible</v>
      </c>
      <c r="AB22" s="14" t="s">
        <v>85</v>
      </c>
      <c r="AC22" s="14">
        <v>1</v>
      </c>
      <c r="AD22" s="14" t="s">
        <v>93</v>
      </c>
      <c r="AE22" s="17">
        <v>4.3</v>
      </c>
      <c r="AF22" s="15">
        <v>0</v>
      </c>
      <c r="AG22" s="20">
        <f t="shared" si="4"/>
        <v>1889596</v>
      </c>
      <c r="AH22" s="14">
        <v>1</v>
      </c>
      <c r="AI22" s="14" t="s">
        <v>75</v>
      </c>
      <c r="AJ22" s="14">
        <v>24</v>
      </c>
      <c r="AK22" s="21">
        <f t="shared" si="5"/>
        <v>0.105</v>
      </c>
      <c r="AL22" s="20">
        <f t="shared" si="6"/>
        <v>0</v>
      </c>
      <c r="AM22" s="22">
        <f t="shared" si="7"/>
        <v>0</v>
      </c>
      <c r="AN22" s="20">
        <f t="shared" si="8"/>
        <v>27410.560000000001</v>
      </c>
      <c r="AO22" s="16">
        <f t="shared" si="9"/>
        <v>0.17407251073774502</v>
      </c>
      <c r="AP22" s="15">
        <v>939712</v>
      </c>
      <c r="AQ22" s="18">
        <f t="shared" si="10"/>
        <v>0</v>
      </c>
      <c r="AR22" s="23">
        <v>46008</v>
      </c>
      <c r="AS22" s="14" t="s">
        <v>79</v>
      </c>
    </row>
    <row r="23" spans="1:45" x14ac:dyDescent="0.25">
      <c r="A23" s="14" t="s">
        <v>171</v>
      </c>
      <c r="B23" s="14" t="s">
        <v>172</v>
      </c>
      <c r="C23" s="14">
        <v>9812921644</v>
      </c>
      <c r="D23" s="15" t="s">
        <v>173</v>
      </c>
      <c r="E23" s="14">
        <v>51</v>
      </c>
      <c r="F23" s="14" t="s">
        <v>89</v>
      </c>
      <c r="G23" s="14" t="s">
        <v>174</v>
      </c>
      <c r="H23" s="14" t="s">
        <v>144</v>
      </c>
      <c r="I23" s="14" t="s">
        <v>92</v>
      </c>
      <c r="J23" s="15">
        <v>1687439</v>
      </c>
      <c r="K23" s="14">
        <v>1</v>
      </c>
      <c r="L23" s="14" t="s">
        <v>76</v>
      </c>
      <c r="M23" s="14" t="s">
        <v>75</v>
      </c>
      <c r="N23" s="14" t="s">
        <v>75</v>
      </c>
      <c r="O23" s="14" t="s">
        <v>75</v>
      </c>
      <c r="P23" s="14">
        <v>497</v>
      </c>
      <c r="Q23" s="15">
        <v>319480.74</v>
      </c>
      <c r="R23" s="15">
        <v>5414.93</v>
      </c>
      <c r="S23" s="14" t="s">
        <v>21</v>
      </c>
      <c r="T23" s="15">
        <v>250845</v>
      </c>
      <c r="U23" s="16">
        <f t="shared" si="0"/>
        <v>3.8507560865903893E-2</v>
      </c>
      <c r="V23" s="14">
        <v>0</v>
      </c>
      <c r="W23" s="17">
        <v>51</v>
      </c>
      <c r="X23" s="14">
        <v>10.9</v>
      </c>
      <c r="Y23" s="18">
        <f t="shared" si="1"/>
        <v>33.1</v>
      </c>
      <c r="Z23" s="18" t="str">
        <f t="shared" si="2"/>
        <v>Medium</v>
      </c>
      <c r="AA23" s="19" t="str">
        <f t="shared" si="3"/>
        <v>Not Eligible</v>
      </c>
      <c r="AB23" s="14" t="s">
        <v>161</v>
      </c>
      <c r="AC23" s="14">
        <v>2</v>
      </c>
      <c r="AD23" s="14" t="s">
        <v>78</v>
      </c>
      <c r="AE23" s="17">
        <v>3.3</v>
      </c>
      <c r="AF23" s="15">
        <v>320612</v>
      </c>
      <c r="AG23" s="20">
        <f t="shared" si="4"/>
        <v>2008051</v>
      </c>
      <c r="AH23" s="14">
        <v>0</v>
      </c>
      <c r="AI23" s="14" t="s">
        <v>75</v>
      </c>
      <c r="AJ23" s="14">
        <v>60</v>
      </c>
      <c r="AK23" s="21">
        <f t="shared" si="5"/>
        <v>0.15500000000000003</v>
      </c>
      <c r="AL23" s="20">
        <f t="shared" si="6"/>
        <v>6033.6227163893655</v>
      </c>
      <c r="AM23" s="22">
        <f t="shared" si="7"/>
        <v>0.14865426246519134</v>
      </c>
      <c r="AN23" s="20">
        <f t="shared" si="8"/>
        <v>11448.552716389366</v>
      </c>
      <c r="AO23" s="16">
        <f t="shared" si="9"/>
        <v>8.141487342456373E-2</v>
      </c>
      <c r="AP23" s="15">
        <v>0</v>
      </c>
      <c r="AQ23" s="18" t="str">
        <f t="shared" si="10"/>
        <v>N/A</v>
      </c>
      <c r="AR23" s="23">
        <v>45959</v>
      </c>
      <c r="AS23" s="14" t="s">
        <v>79</v>
      </c>
    </row>
    <row r="24" spans="1:45" x14ac:dyDescent="0.25">
      <c r="A24" s="14" t="s">
        <v>175</v>
      </c>
      <c r="B24" s="14" t="s">
        <v>176</v>
      </c>
      <c r="C24" s="14">
        <v>9413679331</v>
      </c>
      <c r="D24" s="15" t="s">
        <v>177</v>
      </c>
      <c r="E24" s="14">
        <v>61</v>
      </c>
      <c r="F24" s="14" t="s">
        <v>89</v>
      </c>
      <c r="G24" s="14" t="s">
        <v>139</v>
      </c>
      <c r="H24" s="14" t="s">
        <v>166</v>
      </c>
      <c r="I24" s="14" t="s">
        <v>74</v>
      </c>
      <c r="J24" s="15">
        <v>1492605</v>
      </c>
      <c r="K24" s="14">
        <v>3</v>
      </c>
      <c r="L24" s="14" t="s">
        <v>76</v>
      </c>
      <c r="M24" s="14" t="s">
        <v>75</v>
      </c>
      <c r="N24" s="14" t="s">
        <v>76</v>
      </c>
      <c r="O24" s="14" t="s">
        <v>76</v>
      </c>
      <c r="P24" s="14">
        <v>789</v>
      </c>
      <c r="Q24" s="15">
        <v>102172</v>
      </c>
      <c r="R24" s="15">
        <v>6385.76</v>
      </c>
      <c r="S24" s="14" t="s">
        <v>23</v>
      </c>
      <c r="T24" s="15">
        <v>5625069</v>
      </c>
      <c r="U24" s="16">
        <f t="shared" si="0"/>
        <v>5.1339182168088672E-2</v>
      </c>
      <c r="V24" s="14">
        <v>0</v>
      </c>
      <c r="W24" s="17">
        <v>64.8</v>
      </c>
      <c r="X24" s="14">
        <v>1</v>
      </c>
      <c r="Y24" s="18">
        <f t="shared" si="1"/>
        <v>15.4</v>
      </c>
      <c r="Z24" s="18" t="str">
        <f t="shared" si="2"/>
        <v>Low</v>
      </c>
      <c r="AA24" s="19" t="str">
        <f t="shared" si="3"/>
        <v>Eligible</v>
      </c>
      <c r="AB24" s="14" t="s">
        <v>85</v>
      </c>
      <c r="AC24" s="14">
        <v>2</v>
      </c>
      <c r="AD24" s="14" t="s">
        <v>78</v>
      </c>
      <c r="AE24" s="17">
        <v>29.8</v>
      </c>
      <c r="AF24" s="15">
        <v>723333</v>
      </c>
      <c r="AG24" s="20">
        <f t="shared" si="4"/>
        <v>2215938</v>
      </c>
      <c r="AH24" s="14">
        <v>1</v>
      </c>
      <c r="AI24" s="14" t="s">
        <v>75</v>
      </c>
      <c r="AJ24" s="14">
        <v>180</v>
      </c>
      <c r="AK24" s="21">
        <f t="shared" si="5"/>
        <v>8.5000000000000006E-2</v>
      </c>
      <c r="AL24" s="20">
        <f t="shared" si="6"/>
        <v>55392.27960360959</v>
      </c>
      <c r="AM24" s="22">
        <f t="shared" si="7"/>
        <v>3.7686253228416091</v>
      </c>
      <c r="AN24" s="20">
        <f t="shared" si="8"/>
        <v>61778.039603609592</v>
      </c>
      <c r="AO24" s="16">
        <f t="shared" si="9"/>
        <v>0.49667291429635779</v>
      </c>
      <c r="AP24" s="15">
        <v>7559662</v>
      </c>
      <c r="AQ24" s="18">
        <f t="shared" si="10"/>
        <v>0.74409001354822479</v>
      </c>
      <c r="AR24" s="23">
        <v>46089</v>
      </c>
      <c r="AS24" s="14" t="s">
        <v>79</v>
      </c>
    </row>
    <row r="25" spans="1:45" x14ac:dyDescent="0.25">
      <c r="A25" s="14" t="s">
        <v>178</v>
      </c>
      <c r="B25" s="14" t="s">
        <v>179</v>
      </c>
      <c r="C25" s="14">
        <v>9731924051</v>
      </c>
      <c r="D25" s="15" t="s">
        <v>180</v>
      </c>
      <c r="E25" s="14">
        <v>57</v>
      </c>
      <c r="F25" s="14" t="s">
        <v>71</v>
      </c>
      <c r="G25" s="14" t="s">
        <v>139</v>
      </c>
      <c r="H25" s="14" t="s">
        <v>91</v>
      </c>
      <c r="I25" s="14" t="s">
        <v>92</v>
      </c>
      <c r="J25" s="15">
        <v>1185103</v>
      </c>
      <c r="K25" s="14">
        <v>3</v>
      </c>
      <c r="L25" s="14" t="s">
        <v>76</v>
      </c>
      <c r="M25" s="14" t="s">
        <v>76</v>
      </c>
      <c r="N25" s="14" t="s">
        <v>76</v>
      </c>
      <c r="O25" s="14" t="s">
        <v>75</v>
      </c>
      <c r="P25" s="14">
        <v>460</v>
      </c>
      <c r="Q25" s="15">
        <v>1902.6</v>
      </c>
      <c r="R25" s="15">
        <v>47.56</v>
      </c>
      <c r="S25" s="14" t="s">
        <v>23</v>
      </c>
      <c r="T25" s="15">
        <v>3943260</v>
      </c>
      <c r="U25" s="16">
        <f t="shared" si="0"/>
        <v>4.8157839445179027E-4</v>
      </c>
      <c r="V25" s="14">
        <v>0</v>
      </c>
      <c r="W25" s="17">
        <v>32.4</v>
      </c>
      <c r="X25" s="14">
        <v>4.4000000000000004</v>
      </c>
      <c r="Y25" s="18">
        <f t="shared" si="1"/>
        <v>32.6</v>
      </c>
      <c r="Z25" s="18" t="str">
        <f t="shared" si="2"/>
        <v>Medium</v>
      </c>
      <c r="AA25" s="19" t="str">
        <f t="shared" si="3"/>
        <v>Not Eligible</v>
      </c>
      <c r="AB25" s="14" t="s">
        <v>77</v>
      </c>
      <c r="AC25" s="14">
        <v>0</v>
      </c>
      <c r="AD25" s="14" t="s">
        <v>78</v>
      </c>
      <c r="AE25" s="17">
        <v>8.1999999999999993</v>
      </c>
      <c r="AF25" s="15">
        <v>0</v>
      </c>
      <c r="AG25" s="20">
        <f t="shared" si="4"/>
        <v>1185103</v>
      </c>
      <c r="AH25" s="14">
        <v>1</v>
      </c>
      <c r="AI25" s="14" t="s">
        <v>75</v>
      </c>
      <c r="AJ25" s="14">
        <v>180</v>
      </c>
      <c r="AK25" s="21">
        <f t="shared" si="5"/>
        <v>0.1</v>
      </c>
      <c r="AL25" s="20">
        <f t="shared" si="6"/>
        <v>42374.473764537055</v>
      </c>
      <c r="AM25" s="22">
        <f t="shared" si="7"/>
        <v>3.327356356367337</v>
      </c>
      <c r="AN25" s="20">
        <f t="shared" si="8"/>
        <v>42422.033764537053</v>
      </c>
      <c r="AO25" s="16">
        <f t="shared" si="9"/>
        <v>0.42955287867336817</v>
      </c>
      <c r="AP25" s="15">
        <v>4953857</v>
      </c>
      <c r="AQ25" s="18">
        <f t="shared" si="10"/>
        <v>0.79599794665045842</v>
      </c>
      <c r="AR25" s="23">
        <v>46173</v>
      </c>
      <c r="AS25" s="14" t="s">
        <v>79</v>
      </c>
    </row>
    <row r="26" spans="1:45" x14ac:dyDescent="0.25">
      <c r="A26" s="14" t="s">
        <v>181</v>
      </c>
      <c r="B26" s="14" t="s">
        <v>182</v>
      </c>
      <c r="C26" s="14"/>
      <c r="D26" s="15" t="s">
        <v>183</v>
      </c>
      <c r="E26" s="14">
        <v>25</v>
      </c>
      <c r="F26" s="14" t="s">
        <v>71</v>
      </c>
      <c r="G26" s="14" t="s">
        <v>98</v>
      </c>
      <c r="H26" s="14" t="s">
        <v>84</v>
      </c>
      <c r="I26" s="14" t="s">
        <v>74</v>
      </c>
      <c r="J26" s="15">
        <v>1510520</v>
      </c>
      <c r="K26" s="14">
        <v>1</v>
      </c>
      <c r="L26" s="14" t="s">
        <v>76</v>
      </c>
      <c r="M26" s="14" t="s">
        <v>75</v>
      </c>
      <c r="N26" s="14" t="s">
        <v>75</v>
      </c>
      <c r="O26" s="14" t="s">
        <v>75</v>
      </c>
      <c r="P26" s="14">
        <v>578</v>
      </c>
      <c r="Q26" s="15"/>
      <c r="R26" s="15">
        <v>10548.46</v>
      </c>
      <c r="S26" s="14" t="s">
        <v>23</v>
      </c>
      <c r="T26" s="15">
        <v>2174795</v>
      </c>
      <c r="U26" s="16">
        <f t="shared" si="0"/>
        <v>8.3799962926674257E-2</v>
      </c>
      <c r="V26" s="14">
        <v>1</v>
      </c>
      <c r="W26" s="17">
        <v>89.5</v>
      </c>
      <c r="X26" s="14">
        <v>11.1</v>
      </c>
      <c r="Y26" s="18">
        <f t="shared" si="1"/>
        <v>36.9</v>
      </c>
      <c r="Z26" s="18" t="str">
        <f t="shared" si="2"/>
        <v>Medium</v>
      </c>
      <c r="AA26" s="19" t="str">
        <f t="shared" si="3"/>
        <v>Review</v>
      </c>
      <c r="AB26" s="14" t="s">
        <v>77</v>
      </c>
      <c r="AC26" s="14">
        <v>0</v>
      </c>
      <c r="AD26" s="14" t="s">
        <v>78</v>
      </c>
      <c r="AE26" s="17">
        <v>2.8</v>
      </c>
      <c r="AF26" s="15">
        <v>0</v>
      </c>
      <c r="AG26" s="20">
        <f t="shared" si="4"/>
        <v>1510520</v>
      </c>
      <c r="AH26" s="14">
        <v>1</v>
      </c>
      <c r="AI26" s="14" t="s">
        <v>75</v>
      </c>
      <c r="AJ26" s="14">
        <v>240</v>
      </c>
      <c r="AK26" s="21">
        <f t="shared" si="5"/>
        <v>0.1</v>
      </c>
      <c r="AL26" s="20">
        <f t="shared" si="6"/>
        <v>20987.242485987266</v>
      </c>
      <c r="AM26" s="22">
        <f t="shared" si="7"/>
        <v>1.4397657760241507</v>
      </c>
      <c r="AN26" s="20">
        <f t="shared" si="8"/>
        <v>31535.702485987265</v>
      </c>
      <c r="AO26" s="16">
        <f t="shared" si="9"/>
        <v>0.25052857945068402</v>
      </c>
      <c r="AP26" s="15">
        <v>2814319</v>
      </c>
      <c r="AQ26" s="18">
        <f t="shared" si="10"/>
        <v>0.77276065719628795</v>
      </c>
      <c r="AR26" s="23">
        <v>45984</v>
      </c>
      <c r="AS26" s="14" t="s">
        <v>79</v>
      </c>
    </row>
    <row r="27" spans="1:45" x14ac:dyDescent="0.25">
      <c r="A27" s="14" t="s">
        <v>184</v>
      </c>
      <c r="B27" s="14" t="s">
        <v>185</v>
      </c>
      <c r="C27" s="14">
        <v>9398668350</v>
      </c>
      <c r="D27" s="15" t="s">
        <v>187</v>
      </c>
      <c r="E27" s="14">
        <v>48</v>
      </c>
      <c r="F27" s="14" t="s">
        <v>89</v>
      </c>
      <c r="G27" s="14" t="s">
        <v>120</v>
      </c>
      <c r="H27" s="14" t="s">
        <v>107</v>
      </c>
      <c r="I27" s="14" t="s">
        <v>92</v>
      </c>
      <c r="J27" s="15">
        <v>1759454</v>
      </c>
      <c r="K27" s="14">
        <v>3</v>
      </c>
      <c r="L27" s="14" t="s">
        <v>76</v>
      </c>
      <c r="M27" s="14" t="s">
        <v>75</v>
      </c>
      <c r="N27" s="14" t="s">
        <v>76</v>
      </c>
      <c r="O27" s="14" t="s">
        <v>76</v>
      </c>
      <c r="P27" s="14">
        <v>721</v>
      </c>
      <c r="Q27" s="15"/>
      <c r="R27" s="15">
        <v>24409.74</v>
      </c>
      <c r="S27" s="14" t="s">
        <v>23</v>
      </c>
      <c r="T27" s="15"/>
      <c r="U27" s="16">
        <f t="shared" si="0"/>
        <v>0.16648169261600473</v>
      </c>
      <c r="V27" s="14">
        <v>1</v>
      </c>
      <c r="W27" s="17">
        <v>48.2</v>
      </c>
      <c r="X27" s="14">
        <v>4.9000000000000004</v>
      </c>
      <c r="Y27" s="18">
        <f t="shared" si="1"/>
        <v>25.7</v>
      </c>
      <c r="Z27" s="18" t="str">
        <f t="shared" si="2"/>
        <v>Low</v>
      </c>
      <c r="AA27" s="19" t="str">
        <f t="shared" si="3"/>
        <v>Eligible</v>
      </c>
      <c r="AB27" s="14" t="s">
        <v>85</v>
      </c>
      <c r="AC27" s="14">
        <v>4</v>
      </c>
      <c r="AD27" s="14" t="s">
        <v>78</v>
      </c>
      <c r="AE27" s="17">
        <v>14</v>
      </c>
      <c r="AF27" s="15">
        <v>0</v>
      </c>
      <c r="AG27" s="20">
        <f t="shared" si="4"/>
        <v>1759454</v>
      </c>
      <c r="AH27" s="14">
        <v>1</v>
      </c>
      <c r="AI27" s="14" t="s">
        <v>75</v>
      </c>
      <c r="AJ27" s="14">
        <v>300</v>
      </c>
      <c r="AK27" s="21">
        <f t="shared" si="5"/>
        <v>8.5000000000000006E-2</v>
      </c>
      <c r="AL27" s="20">
        <f t="shared" si="6"/>
        <v>0</v>
      </c>
      <c r="AM27" s="22">
        <f t="shared" si="7"/>
        <v>0</v>
      </c>
      <c r="AN27" s="20">
        <f t="shared" si="8"/>
        <v>24409.74</v>
      </c>
      <c r="AO27" s="16">
        <f t="shared" si="9"/>
        <v>0.16648169261600473</v>
      </c>
      <c r="AP27" s="15">
        <v>9168240</v>
      </c>
      <c r="AQ27" s="18">
        <f t="shared" si="10"/>
        <v>0</v>
      </c>
      <c r="AR27" s="23">
        <v>46160</v>
      </c>
      <c r="AS27" s="14" t="s">
        <v>79</v>
      </c>
    </row>
    <row r="28" spans="1:45" x14ac:dyDescent="0.25">
      <c r="A28" s="14" t="s">
        <v>188</v>
      </c>
      <c r="B28" s="14" t="s">
        <v>189</v>
      </c>
      <c r="C28" s="14">
        <v>9771527524</v>
      </c>
      <c r="D28" s="15" t="s">
        <v>191</v>
      </c>
      <c r="E28" s="14">
        <v>34</v>
      </c>
      <c r="F28" s="14" t="s">
        <v>89</v>
      </c>
      <c r="G28" s="14" t="s">
        <v>83</v>
      </c>
      <c r="H28" s="14" t="s">
        <v>132</v>
      </c>
      <c r="I28" s="14" t="s">
        <v>92</v>
      </c>
      <c r="J28" s="15">
        <v>1508081</v>
      </c>
      <c r="K28" s="14">
        <v>2</v>
      </c>
      <c r="L28" s="14" t="s">
        <v>76</v>
      </c>
      <c r="M28" s="14" t="s">
        <v>75</v>
      </c>
      <c r="N28" s="14" t="s">
        <v>76</v>
      </c>
      <c r="O28" s="14" t="s">
        <v>75</v>
      </c>
      <c r="P28" s="14">
        <v>545</v>
      </c>
      <c r="Q28" s="15">
        <v>642246</v>
      </c>
      <c r="R28" s="15">
        <v>20717.61</v>
      </c>
      <c r="S28" s="14" t="s">
        <v>20</v>
      </c>
      <c r="T28" s="15">
        <v>309538</v>
      </c>
      <c r="U28" s="16">
        <f t="shared" si="0"/>
        <v>0.16485276321364703</v>
      </c>
      <c r="V28" s="14">
        <v>0</v>
      </c>
      <c r="W28" s="17">
        <v>26.3</v>
      </c>
      <c r="X28" s="14">
        <v>12.7</v>
      </c>
      <c r="Y28" s="18">
        <f t="shared" si="1"/>
        <v>31.2</v>
      </c>
      <c r="Z28" s="18" t="str">
        <f t="shared" si="2"/>
        <v>Medium</v>
      </c>
      <c r="AA28" s="19" t="str">
        <f t="shared" si="3"/>
        <v>Not Eligible</v>
      </c>
      <c r="AB28" s="14" t="s">
        <v>85</v>
      </c>
      <c r="AC28" s="14">
        <v>3</v>
      </c>
      <c r="AD28" s="14" t="s">
        <v>93</v>
      </c>
      <c r="AE28" s="17">
        <v>2.2999999999999998</v>
      </c>
      <c r="AF28" s="15">
        <v>0</v>
      </c>
      <c r="AG28" s="20">
        <f t="shared" si="4"/>
        <v>1508081</v>
      </c>
      <c r="AH28" s="14">
        <v>0</v>
      </c>
      <c r="AI28" s="14" t="s">
        <v>75</v>
      </c>
      <c r="AJ28" s="14">
        <v>36</v>
      </c>
      <c r="AK28" s="21">
        <f t="shared" si="5"/>
        <v>0.375</v>
      </c>
      <c r="AL28" s="20">
        <f t="shared" si="6"/>
        <v>14443.690579649285</v>
      </c>
      <c r="AM28" s="22">
        <f t="shared" si="7"/>
        <v>0.20525290087203538</v>
      </c>
      <c r="AN28" s="20">
        <f t="shared" si="8"/>
        <v>35161.300579649287</v>
      </c>
      <c r="AO28" s="16">
        <f t="shared" si="9"/>
        <v>0.27978311971027514</v>
      </c>
      <c r="AP28" s="15">
        <v>0</v>
      </c>
      <c r="AQ28" s="18" t="str">
        <f t="shared" si="10"/>
        <v>N/A</v>
      </c>
      <c r="AR28" s="23">
        <v>46142</v>
      </c>
      <c r="AS28" s="14" t="s">
        <v>94</v>
      </c>
    </row>
    <row r="29" spans="1:45" x14ac:dyDescent="0.25">
      <c r="A29" s="14" t="s">
        <v>192</v>
      </c>
      <c r="B29" s="14" t="s">
        <v>193</v>
      </c>
      <c r="C29" s="14">
        <v>9691916368</v>
      </c>
      <c r="D29" s="15"/>
      <c r="E29" s="14">
        <v>33</v>
      </c>
      <c r="F29" s="14" t="s">
        <v>71</v>
      </c>
      <c r="G29" s="14" t="s">
        <v>120</v>
      </c>
      <c r="H29" s="14" t="s">
        <v>84</v>
      </c>
      <c r="I29" s="14" t="s">
        <v>74</v>
      </c>
      <c r="J29" s="15">
        <v>2040394</v>
      </c>
      <c r="K29" s="14">
        <v>2</v>
      </c>
      <c r="L29" s="14" t="s">
        <v>76</v>
      </c>
      <c r="M29" s="14" t="s">
        <v>75</v>
      </c>
      <c r="N29" s="14" t="s">
        <v>75</v>
      </c>
      <c r="O29" s="14" t="s">
        <v>76</v>
      </c>
      <c r="P29" s="14">
        <v>605</v>
      </c>
      <c r="Q29" s="15">
        <v>1025268.51</v>
      </c>
      <c r="R29" s="15">
        <v>20923.849999999999</v>
      </c>
      <c r="S29" s="14" t="s">
        <v>23</v>
      </c>
      <c r="T29" s="15"/>
      <c r="U29" s="16">
        <f t="shared" si="0"/>
        <v>0.12305770356117494</v>
      </c>
      <c r="V29" s="14">
        <v>0</v>
      </c>
      <c r="W29" s="17">
        <v>51</v>
      </c>
      <c r="X29" s="14">
        <v>5.0999999999999996</v>
      </c>
      <c r="Y29" s="18">
        <f t="shared" si="1"/>
        <v>28.5</v>
      </c>
      <c r="Z29" s="18" t="str">
        <f t="shared" si="2"/>
        <v>Low</v>
      </c>
      <c r="AA29" s="19" t="str">
        <f t="shared" si="3"/>
        <v>Review</v>
      </c>
      <c r="AB29" s="14" t="s">
        <v>77</v>
      </c>
      <c r="AC29" s="14">
        <v>1</v>
      </c>
      <c r="AD29" s="14" t="s">
        <v>194</v>
      </c>
      <c r="AE29" s="17">
        <v>10.5</v>
      </c>
      <c r="AF29" s="15">
        <v>0</v>
      </c>
      <c r="AG29" s="20">
        <f t="shared" si="4"/>
        <v>2040394</v>
      </c>
      <c r="AH29" s="14">
        <v>0</v>
      </c>
      <c r="AI29" s="14" t="s">
        <v>75</v>
      </c>
      <c r="AJ29" s="14">
        <v>300</v>
      </c>
      <c r="AK29" s="21">
        <f t="shared" si="5"/>
        <v>8.5000000000000006E-2</v>
      </c>
      <c r="AL29" s="20">
        <f t="shared" si="6"/>
        <v>0</v>
      </c>
      <c r="AM29" s="22">
        <f t="shared" si="7"/>
        <v>0</v>
      </c>
      <c r="AN29" s="20">
        <f t="shared" si="8"/>
        <v>20923.849999999999</v>
      </c>
      <c r="AO29" s="16">
        <f t="shared" si="9"/>
        <v>0.12305770356117494</v>
      </c>
      <c r="AP29" s="15">
        <v>3188454</v>
      </c>
      <c r="AQ29" s="18">
        <f t="shared" si="10"/>
        <v>0</v>
      </c>
      <c r="AR29" s="23">
        <v>46137</v>
      </c>
      <c r="AS29" s="14" t="s">
        <v>79</v>
      </c>
    </row>
    <row r="30" spans="1:45" x14ac:dyDescent="0.25">
      <c r="A30" s="14" t="s">
        <v>195</v>
      </c>
      <c r="B30" s="14" t="s">
        <v>196</v>
      </c>
      <c r="C30" s="14">
        <v>9514548900</v>
      </c>
      <c r="D30" s="15" t="s">
        <v>197</v>
      </c>
      <c r="E30" s="14">
        <v>52</v>
      </c>
      <c r="F30" s="14" t="s">
        <v>71</v>
      </c>
      <c r="G30" s="14" t="s">
        <v>72</v>
      </c>
      <c r="H30" s="14" t="s">
        <v>144</v>
      </c>
      <c r="I30" s="14" t="s">
        <v>92</v>
      </c>
      <c r="J30" s="15">
        <v>1692486</v>
      </c>
      <c r="K30" s="14">
        <v>0</v>
      </c>
      <c r="L30" s="14" t="s">
        <v>75</v>
      </c>
      <c r="M30" s="14" t="s">
        <v>75</v>
      </c>
      <c r="N30" s="14" t="s">
        <v>75</v>
      </c>
      <c r="O30" s="14" t="s">
        <v>75</v>
      </c>
      <c r="P30" s="14">
        <v>767</v>
      </c>
      <c r="Q30" s="15">
        <v>2597.56</v>
      </c>
      <c r="R30" s="15">
        <v>123.69</v>
      </c>
      <c r="S30" s="14" t="s">
        <v>23</v>
      </c>
      <c r="T30" s="15">
        <v>6992703</v>
      </c>
      <c r="U30" s="16">
        <f t="shared" si="0"/>
        <v>8.7698214342688799E-4</v>
      </c>
      <c r="V30" s="14">
        <v>6</v>
      </c>
      <c r="W30" s="17">
        <v>12.1</v>
      </c>
      <c r="X30" s="14">
        <v>11.8</v>
      </c>
      <c r="Y30" s="18">
        <f t="shared" si="1"/>
        <v>30.1</v>
      </c>
      <c r="Z30" s="18" t="str">
        <f t="shared" si="2"/>
        <v>Medium</v>
      </c>
      <c r="AA30" s="19" t="str">
        <f t="shared" si="3"/>
        <v>Not Eligible</v>
      </c>
      <c r="AB30" s="14" t="s">
        <v>85</v>
      </c>
      <c r="AC30" s="14">
        <v>2</v>
      </c>
      <c r="AD30" s="14" t="s">
        <v>78</v>
      </c>
      <c r="AE30" s="17">
        <v>2.7</v>
      </c>
      <c r="AF30" s="15">
        <v>655768</v>
      </c>
      <c r="AG30" s="20">
        <f t="shared" si="4"/>
        <v>2348254</v>
      </c>
      <c r="AH30" s="14">
        <v>0</v>
      </c>
      <c r="AI30" s="14" t="s">
        <v>76</v>
      </c>
      <c r="AJ30" s="14">
        <v>300</v>
      </c>
      <c r="AK30" s="21">
        <f t="shared" si="5"/>
        <v>0.1</v>
      </c>
      <c r="AL30" s="20">
        <f t="shared" si="6"/>
        <v>63542.744294402182</v>
      </c>
      <c r="AM30" s="22">
        <f t="shared" si="7"/>
        <v>4.1316164505939783</v>
      </c>
      <c r="AN30" s="20">
        <f t="shared" si="8"/>
        <v>63666.434294402185</v>
      </c>
      <c r="AO30" s="16">
        <f t="shared" si="9"/>
        <v>0.45140533601626615</v>
      </c>
      <c r="AP30" s="15">
        <v>9566687</v>
      </c>
      <c r="AQ30" s="18">
        <f t="shared" si="10"/>
        <v>0.73094301088767721</v>
      </c>
      <c r="AR30" s="23">
        <v>45913</v>
      </c>
      <c r="AS30" s="14" t="s">
        <v>79</v>
      </c>
    </row>
    <row r="31" spans="1:45" x14ac:dyDescent="0.25">
      <c r="A31" s="14" t="s">
        <v>198</v>
      </c>
      <c r="B31" s="14" t="s">
        <v>199</v>
      </c>
      <c r="C31" s="14"/>
      <c r="D31" s="15" t="s">
        <v>200</v>
      </c>
      <c r="E31" s="14">
        <v>35</v>
      </c>
      <c r="F31" s="14" t="s">
        <v>71</v>
      </c>
      <c r="G31" s="14" t="s">
        <v>174</v>
      </c>
      <c r="H31" s="14" t="s">
        <v>73</v>
      </c>
      <c r="I31" s="14" t="s">
        <v>74</v>
      </c>
      <c r="J31" s="15">
        <v>721557</v>
      </c>
      <c r="K31" s="14">
        <v>2</v>
      </c>
      <c r="L31" s="14" t="s">
        <v>76</v>
      </c>
      <c r="M31" s="14" t="s">
        <v>75</v>
      </c>
      <c r="N31" s="14" t="s">
        <v>75</v>
      </c>
      <c r="O31" s="14" t="s">
        <v>76</v>
      </c>
      <c r="P31" s="14">
        <v>357</v>
      </c>
      <c r="Q31" s="15"/>
      <c r="R31" s="15">
        <v>3628.83</v>
      </c>
      <c r="S31" s="14" t="s">
        <v>23</v>
      </c>
      <c r="T31" s="15">
        <v>2721127</v>
      </c>
      <c r="U31" s="16">
        <f t="shared" si="0"/>
        <v>6.0349993139835106E-2</v>
      </c>
      <c r="V31" s="14">
        <v>0</v>
      </c>
      <c r="W31" s="17">
        <v>44.1</v>
      </c>
      <c r="X31" s="14">
        <v>10.3</v>
      </c>
      <c r="Y31" s="18">
        <f t="shared" si="1"/>
        <v>42.4</v>
      </c>
      <c r="Z31" s="18" t="str">
        <f t="shared" si="2"/>
        <v>Medium</v>
      </c>
      <c r="AA31" s="19" t="str">
        <f t="shared" si="3"/>
        <v>Not Eligible</v>
      </c>
      <c r="AB31" s="14" t="s">
        <v>85</v>
      </c>
      <c r="AC31" s="14">
        <v>0</v>
      </c>
      <c r="AD31" s="14" t="s">
        <v>93</v>
      </c>
      <c r="AE31" s="17">
        <v>5.5</v>
      </c>
      <c r="AF31" s="15">
        <v>0</v>
      </c>
      <c r="AG31" s="20">
        <f t="shared" si="4"/>
        <v>721557</v>
      </c>
      <c r="AH31" s="14">
        <v>0</v>
      </c>
      <c r="AI31" s="14" t="s">
        <v>75</v>
      </c>
      <c r="AJ31" s="14">
        <v>180</v>
      </c>
      <c r="AK31" s="21">
        <f t="shared" si="5"/>
        <v>0.1</v>
      </c>
      <c r="AL31" s="20">
        <f t="shared" si="6"/>
        <v>29241.370001337331</v>
      </c>
      <c r="AM31" s="22">
        <f t="shared" si="7"/>
        <v>3.7711878618044037</v>
      </c>
      <c r="AN31" s="20">
        <f t="shared" si="8"/>
        <v>32870.200001337333</v>
      </c>
      <c r="AO31" s="16">
        <f t="shared" si="9"/>
        <v>0.54665452627588396</v>
      </c>
      <c r="AP31" s="15">
        <v>3443008</v>
      </c>
      <c r="AQ31" s="18">
        <f t="shared" si="10"/>
        <v>0.79033420776251462</v>
      </c>
      <c r="AR31" s="23">
        <v>46025</v>
      </c>
      <c r="AS31" s="14" t="s">
        <v>79</v>
      </c>
    </row>
    <row r="32" spans="1:45" x14ac:dyDescent="0.25">
      <c r="A32" s="14" t="s">
        <v>201</v>
      </c>
      <c r="B32" s="14" t="s">
        <v>202</v>
      </c>
      <c r="C32" s="14">
        <v>9963968184</v>
      </c>
      <c r="D32" s="15"/>
      <c r="E32" s="14">
        <v>64</v>
      </c>
      <c r="F32" s="14" t="s">
        <v>71</v>
      </c>
      <c r="G32" s="14" t="s">
        <v>120</v>
      </c>
      <c r="H32" s="14" t="s">
        <v>107</v>
      </c>
      <c r="I32" s="14" t="s">
        <v>92</v>
      </c>
      <c r="J32" s="15">
        <v>1749407</v>
      </c>
      <c r="K32" s="14">
        <v>1</v>
      </c>
      <c r="L32" s="14" t="s">
        <v>75</v>
      </c>
      <c r="M32" s="14" t="s">
        <v>76</v>
      </c>
      <c r="N32" s="14" t="s">
        <v>75</v>
      </c>
      <c r="O32" s="14" t="s">
        <v>75</v>
      </c>
      <c r="P32" s="14">
        <v>767</v>
      </c>
      <c r="Q32" s="15">
        <v>887268.36</v>
      </c>
      <c r="R32" s="15">
        <v>36969.51</v>
      </c>
      <c r="S32" s="14" t="s">
        <v>23</v>
      </c>
      <c r="T32" s="15"/>
      <c r="U32" s="16">
        <f t="shared" si="0"/>
        <v>0.25359114259860627</v>
      </c>
      <c r="V32" s="14">
        <v>0</v>
      </c>
      <c r="W32" s="17">
        <v>41.2</v>
      </c>
      <c r="X32" s="14">
        <v>5.5</v>
      </c>
      <c r="Y32" s="18">
        <f t="shared" si="1"/>
        <v>20.6</v>
      </c>
      <c r="Z32" s="18" t="str">
        <f t="shared" si="2"/>
        <v>Low</v>
      </c>
      <c r="AA32" s="19" t="str">
        <f t="shared" si="3"/>
        <v>Eligible</v>
      </c>
      <c r="AB32" s="14" t="s">
        <v>85</v>
      </c>
      <c r="AC32" s="14">
        <v>2</v>
      </c>
      <c r="AD32" s="14" t="s">
        <v>78</v>
      </c>
      <c r="AE32" s="17">
        <v>25</v>
      </c>
      <c r="AF32" s="15">
        <v>0</v>
      </c>
      <c r="AG32" s="20">
        <f t="shared" si="4"/>
        <v>1749407</v>
      </c>
      <c r="AH32" s="14">
        <v>0</v>
      </c>
      <c r="AI32" s="14" t="s">
        <v>75</v>
      </c>
      <c r="AJ32" s="14">
        <v>120</v>
      </c>
      <c r="AK32" s="21">
        <f t="shared" si="5"/>
        <v>8.5000000000000006E-2</v>
      </c>
      <c r="AL32" s="20">
        <f t="shared" si="6"/>
        <v>0</v>
      </c>
      <c r="AM32" s="22">
        <f t="shared" si="7"/>
        <v>0</v>
      </c>
      <c r="AN32" s="20">
        <f t="shared" si="8"/>
        <v>36969.51</v>
      </c>
      <c r="AO32" s="16">
        <f t="shared" si="9"/>
        <v>0.25359114259860627</v>
      </c>
      <c r="AP32" s="15">
        <v>7650724</v>
      </c>
      <c r="AQ32" s="18">
        <f t="shared" si="10"/>
        <v>0</v>
      </c>
      <c r="AR32" s="23">
        <v>46149</v>
      </c>
      <c r="AS32" s="14" t="s">
        <v>79</v>
      </c>
    </row>
    <row r="33" spans="1:45" x14ac:dyDescent="0.25">
      <c r="A33" s="14" t="s">
        <v>204</v>
      </c>
      <c r="B33" s="14" t="s">
        <v>205</v>
      </c>
      <c r="C33" s="14">
        <v>9932945529</v>
      </c>
      <c r="D33" s="15" t="s">
        <v>206</v>
      </c>
      <c r="E33" s="14">
        <v>59</v>
      </c>
      <c r="F33" s="14" t="s">
        <v>89</v>
      </c>
      <c r="G33" s="14" t="s">
        <v>131</v>
      </c>
      <c r="H33" s="14" t="s">
        <v>91</v>
      </c>
      <c r="I33" s="14" t="s">
        <v>92</v>
      </c>
      <c r="J33" s="15">
        <v>1351204</v>
      </c>
      <c r="K33" s="14">
        <v>0</v>
      </c>
      <c r="L33" s="14" t="s">
        <v>75</v>
      </c>
      <c r="M33" s="14" t="s">
        <v>75</v>
      </c>
      <c r="N33" s="14" t="s">
        <v>75</v>
      </c>
      <c r="O33" s="14" t="s">
        <v>75</v>
      </c>
      <c r="P33" s="14">
        <v>399</v>
      </c>
      <c r="Q33" s="15">
        <v>122068</v>
      </c>
      <c r="R33" s="15">
        <v>2303.17</v>
      </c>
      <c r="S33" s="14" t="s">
        <v>20</v>
      </c>
      <c r="T33" s="15">
        <v>181969</v>
      </c>
      <c r="U33" s="16">
        <f t="shared" si="0"/>
        <v>2.0454379945589268E-2</v>
      </c>
      <c r="V33" s="14">
        <v>3</v>
      </c>
      <c r="W33" s="17">
        <v>8.1999999999999993</v>
      </c>
      <c r="X33" s="14">
        <v>5.6</v>
      </c>
      <c r="Y33" s="18">
        <f t="shared" si="1"/>
        <v>46.8</v>
      </c>
      <c r="Z33" s="18" t="str">
        <f t="shared" si="2"/>
        <v>Medium</v>
      </c>
      <c r="AA33" s="19" t="str">
        <f t="shared" si="3"/>
        <v>Not Eligible</v>
      </c>
      <c r="AB33" s="14" t="s">
        <v>85</v>
      </c>
      <c r="AC33" s="14">
        <v>3</v>
      </c>
      <c r="AD33" s="14" t="s">
        <v>78</v>
      </c>
      <c r="AE33" s="17">
        <v>12.6</v>
      </c>
      <c r="AF33" s="15">
        <v>739885</v>
      </c>
      <c r="AG33" s="20">
        <f t="shared" si="4"/>
        <v>2091089</v>
      </c>
      <c r="AH33" s="14">
        <v>2</v>
      </c>
      <c r="AI33" s="14" t="s">
        <v>75</v>
      </c>
      <c r="AJ33" s="14">
        <v>24</v>
      </c>
      <c r="AK33" s="21">
        <f t="shared" si="5"/>
        <v>0.375</v>
      </c>
      <c r="AL33" s="20">
        <f t="shared" si="6"/>
        <v>10889.996596368983</v>
      </c>
      <c r="AM33" s="22">
        <f t="shared" si="7"/>
        <v>0.13467174460703196</v>
      </c>
      <c r="AN33" s="20">
        <f t="shared" si="8"/>
        <v>13193.166596368983</v>
      </c>
      <c r="AO33" s="16">
        <f t="shared" si="9"/>
        <v>0.11716809538487734</v>
      </c>
      <c r="AP33" s="15">
        <v>0</v>
      </c>
      <c r="AQ33" s="18" t="str">
        <f t="shared" si="10"/>
        <v>N/A</v>
      </c>
      <c r="AR33" s="23">
        <v>45979</v>
      </c>
      <c r="AS33" s="14" t="s">
        <v>79</v>
      </c>
    </row>
    <row r="34" spans="1:45" x14ac:dyDescent="0.25">
      <c r="A34" s="14" t="s">
        <v>207</v>
      </c>
      <c r="B34" s="14" t="s">
        <v>208</v>
      </c>
      <c r="C34" s="14">
        <v>9965960427</v>
      </c>
      <c r="D34" s="15" t="s">
        <v>209</v>
      </c>
      <c r="E34" s="14">
        <v>28</v>
      </c>
      <c r="F34" s="14" t="s">
        <v>89</v>
      </c>
      <c r="G34" s="14" t="s">
        <v>120</v>
      </c>
      <c r="H34" s="14" t="s">
        <v>132</v>
      </c>
      <c r="I34" s="14" t="s">
        <v>92</v>
      </c>
      <c r="J34" s="15">
        <v>1246296</v>
      </c>
      <c r="K34" s="14">
        <v>0</v>
      </c>
      <c r="L34" s="14" t="s">
        <v>75</v>
      </c>
      <c r="M34" s="14" t="s">
        <v>75</v>
      </c>
      <c r="N34" s="14" t="s">
        <v>75</v>
      </c>
      <c r="O34" s="14" t="s">
        <v>75</v>
      </c>
      <c r="P34" s="14">
        <v>870</v>
      </c>
      <c r="Q34" s="15">
        <v>45586.400000000001</v>
      </c>
      <c r="R34" s="15">
        <v>1232.06</v>
      </c>
      <c r="S34" s="14" t="s">
        <v>20</v>
      </c>
      <c r="T34" s="15">
        <v>158652</v>
      </c>
      <c r="U34" s="16">
        <f t="shared" si="0"/>
        <v>1.1862928228927958E-2</v>
      </c>
      <c r="V34" s="14">
        <v>1</v>
      </c>
      <c r="W34" s="17">
        <v>48.2</v>
      </c>
      <c r="X34" s="14">
        <v>10.199999999999999</v>
      </c>
      <c r="Y34" s="18">
        <f t="shared" si="1"/>
        <v>11.2</v>
      </c>
      <c r="Z34" s="18" t="str">
        <f t="shared" si="2"/>
        <v>Low</v>
      </c>
      <c r="AA34" s="19" t="str">
        <f t="shared" si="3"/>
        <v>Eligible</v>
      </c>
      <c r="AB34" s="14" t="s">
        <v>77</v>
      </c>
      <c r="AC34" s="14">
        <v>2</v>
      </c>
      <c r="AD34" s="14" t="s">
        <v>93</v>
      </c>
      <c r="AE34" s="17">
        <v>6.6</v>
      </c>
      <c r="AF34" s="15">
        <v>325366</v>
      </c>
      <c r="AG34" s="20">
        <f t="shared" si="4"/>
        <v>1571662</v>
      </c>
      <c r="AH34" s="14">
        <v>0</v>
      </c>
      <c r="AI34" s="14" t="s">
        <v>76</v>
      </c>
      <c r="AJ34" s="14">
        <v>24</v>
      </c>
      <c r="AK34" s="21">
        <f t="shared" si="5"/>
        <v>0.36</v>
      </c>
      <c r="AL34" s="20">
        <f t="shared" si="6"/>
        <v>9367.9906351359678</v>
      </c>
      <c r="AM34" s="22">
        <f t="shared" si="7"/>
        <v>0.12729881183924205</v>
      </c>
      <c r="AN34" s="20">
        <f t="shared" si="8"/>
        <v>10600.050635135967</v>
      </c>
      <c r="AO34" s="16">
        <f t="shared" si="9"/>
        <v>0.10206291893870446</v>
      </c>
      <c r="AP34" s="15">
        <v>0</v>
      </c>
      <c r="AQ34" s="18" t="str">
        <f t="shared" si="10"/>
        <v>N/A</v>
      </c>
      <c r="AR34" s="23">
        <v>46207</v>
      </c>
      <c r="AS34" s="14" t="s">
        <v>79</v>
      </c>
    </row>
    <row r="35" spans="1:45" x14ac:dyDescent="0.25">
      <c r="A35" s="14" t="s">
        <v>210</v>
      </c>
      <c r="B35" s="14" t="s">
        <v>211</v>
      </c>
      <c r="C35" s="14"/>
      <c r="D35" s="15" t="s">
        <v>212</v>
      </c>
      <c r="E35" s="14">
        <v>62</v>
      </c>
      <c r="F35" s="14" t="s">
        <v>89</v>
      </c>
      <c r="G35" s="14" t="s">
        <v>139</v>
      </c>
      <c r="H35" s="14" t="s">
        <v>132</v>
      </c>
      <c r="I35" s="14" t="s">
        <v>92</v>
      </c>
      <c r="J35" s="15">
        <v>490198</v>
      </c>
      <c r="K35" s="14">
        <v>1</v>
      </c>
      <c r="L35" s="14" t="s">
        <v>75</v>
      </c>
      <c r="M35" s="14" t="s">
        <v>75</v>
      </c>
      <c r="N35" s="14" t="s">
        <v>75</v>
      </c>
      <c r="O35" s="14" t="s">
        <v>76</v>
      </c>
      <c r="P35" s="14">
        <v>850</v>
      </c>
      <c r="Q35" s="15">
        <v>39901</v>
      </c>
      <c r="R35" s="15">
        <v>973.2</v>
      </c>
      <c r="S35" s="14" t="s">
        <v>22</v>
      </c>
      <c r="T35" s="15">
        <v>1432865</v>
      </c>
      <c r="U35" s="16">
        <f t="shared" si="0"/>
        <v>2.382384261053697E-2</v>
      </c>
      <c r="V35" s="14">
        <v>0</v>
      </c>
      <c r="W35" s="17">
        <v>75.5</v>
      </c>
      <c r="X35" s="14">
        <v>2.5</v>
      </c>
      <c r="Y35" s="18">
        <f t="shared" si="1"/>
        <v>11.6</v>
      </c>
      <c r="Z35" s="18" t="str">
        <f t="shared" si="2"/>
        <v>Low</v>
      </c>
      <c r="AA35" s="19" t="str">
        <f t="shared" si="3"/>
        <v>Eligible</v>
      </c>
      <c r="AB35" s="14" t="s">
        <v>85</v>
      </c>
      <c r="AC35" s="14">
        <v>0</v>
      </c>
      <c r="AD35" s="14" t="s">
        <v>93</v>
      </c>
      <c r="AE35" s="17">
        <v>12.4</v>
      </c>
      <c r="AF35" s="15">
        <v>0</v>
      </c>
      <c r="AG35" s="20">
        <f t="shared" si="4"/>
        <v>490198</v>
      </c>
      <c r="AH35" s="14">
        <v>0</v>
      </c>
      <c r="AI35" s="14" t="s">
        <v>75</v>
      </c>
      <c r="AJ35" s="14">
        <v>60</v>
      </c>
      <c r="AK35" s="21">
        <f t="shared" si="5"/>
        <v>0.09</v>
      </c>
      <c r="AL35" s="20">
        <f t="shared" si="6"/>
        <v>29743.920661409738</v>
      </c>
      <c r="AM35" s="22">
        <f t="shared" si="7"/>
        <v>2.9230331417100843</v>
      </c>
      <c r="AN35" s="20">
        <f t="shared" si="8"/>
        <v>30717.120661409739</v>
      </c>
      <c r="AO35" s="16">
        <f t="shared" si="9"/>
        <v>0.7519521661388191</v>
      </c>
      <c r="AP35" s="15">
        <v>1631946</v>
      </c>
      <c r="AQ35" s="18">
        <f t="shared" si="10"/>
        <v>0.87801005670530763</v>
      </c>
      <c r="AR35" s="23">
        <v>46015</v>
      </c>
      <c r="AS35" s="14" t="s">
        <v>79</v>
      </c>
    </row>
    <row r="36" spans="1:45" x14ac:dyDescent="0.25">
      <c r="A36" s="14" t="s">
        <v>213</v>
      </c>
      <c r="B36" s="14" t="s">
        <v>214</v>
      </c>
      <c r="C36" s="14"/>
      <c r="D36" s="15"/>
      <c r="E36" s="14">
        <v>24</v>
      </c>
      <c r="F36" s="14" t="s">
        <v>89</v>
      </c>
      <c r="G36" s="14" t="s">
        <v>215</v>
      </c>
      <c r="H36" s="14" t="s">
        <v>91</v>
      </c>
      <c r="I36" s="14" t="s">
        <v>92</v>
      </c>
      <c r="J36" s="15">
        <v>812374</v>
      </c>
      <c r="K36" s="14">
        <v>1</v>
      </c>
      <c r="L36" s="14" t="s">
        <v>75</v>
      </c>
      <c r="M36" s="14" t="s">
        <v>75</v>
      </c>
      <c r="N36" s="14" t="s">
        <v>76</v>
      </c>
      <c r="O36" s="14" t="s">
        <v>75</v>
      </c>
      <c r="P36" s="14">
        <v>321</v>
      </c>
      <c r="Q36" s="15">
        <v>24653.200000000001</v>
      </c>
      <c r="R36" s="15">
        <v>747.07</v>
      </c>
      <c r="S36" s="14" t="s">
        <v>21</v>
      </c>
      <c r="T36" s="15">
        <v>182040</v>
      </c>
      <c r="U36" s="16">
        <f t="shared" si="0"/>
        <v>1.1035360560530002E-2</v>
      </c>
      <c r="V36" s="14">
        <v>3</v>
      </c>
      <c r="W36" s="17">
        <v>24.5</v>
      </c>
      <c r="X36" s="14">
        <v>12.5</v>
      </c>
      <c r="Y36" s="18">
        <f t="shared" si="1"/>
        <v>53.4</v>
      </c>
      <c r="Z36" s="18" t="str">
        <f t="shared" si="2"/>
        <v>Medium</v>
      </c>
      <c r="AA36" s="19" t="str">
        <f t="shared" si="3"/>
        <v>Not Eligible</v>
      </c>
      <c r="AB36" s="14" t="s">
        <v>85</v>
      </c>
      <c r="AC36" s="14">
        <v>2</v>
      </c>
      <c r="AD36" s="14" t="s">
        <v>93</v>
      </c>
      <c r="AE36" s="17">
        <v>0.9</v>
      </c>
      <c r="AF36" s="15">
        <v>0</v>
      </c>
      <c r="AG36" s="20">
        <f t="shared" si="4"/>
        <v>812374</v>
      </c>
      <c r="AH36" s="14">
        <v>1</v>
      </c>
      <c r="AI36" s="14" t="s">
        <v>75</v>
      </c>
      <c r="AJ36" s="14">
        <v>36</v>
      </c>
      <c r="AK36" s="21">
        <f t="shared" si="5"/>
        <v>0.15500000000000003</v>
      </c>
      <c r="AL36" s="20">
        <f t="shared" si="6"/>
        <v>6355.1403732076406</v>
      </c>
      <c r="AM36" s="22">
        <f t="shared" si="7"/>
        <v>0.22408398102351873</v>
      </c>
      <c r="AN36" s="20">
        <f t="shared" si="8"/>
        <v>7102.2103732076403</v>
      </c>
      <c r="AO36" s="16">
        <f t="shared" si="9"/>
        <v>0.10491045316380347</v>
      </c>
      <c r="AP36" s="15">
        <v>0</v>
      </c>
      <c r="AQ36" s="18" t="str">
        <f t="shared" si="10"/>
        <v>N/A</v>
      </c>
      <c r="AR36" s="23">
        <v>45969</v>
      </c>
      <c r="AS36" s="14" t="s">
        <v>94</v>
      </c>
    </row>
    <row r="37" spans="1:45" x14ac:dyDescent="0.25">
      <c r="A37" s="14" t="s">
        <v>216</v>
      </c>
      <c r="B37" s="14" t="s">
        <v>217</v>
      </c>
      <c r="C37" s="14">
        <v>9957397689</v>
      </c>
      <c r="D37" s="15" t="s">
        <v>219</v>
      </c>
      <c r="E37" s="14">
        <v>63</v>
      </c>
      <c r="F37" s="14" t="s">
        <v>71</v>
      </c>
      <c r="G37" s="14" t="s">
        <v>72</v>
      </c>
      <c r="H37" s="14" t="s">
        <v>166</v>
      </c>
      <c r="I37" s="14" t="s">
        <v>74</v>
      </c>
      <c r="J37" s="15">
        <v>1802577</v>
      </c>
      <c r="K37" s="14">
        <v>2</v>
      </c>
      <c r="L37" s="14" t="s">
        <v>75</v>
      </c>
      <c r="M37" s="14" t="s">
        <v>76</v>
      </c>
      <c r="N37" s="14" t="s">
        <v>75</v>
      </c>
      <c r="O37" s="14" t="s">
        <v>76</v>
      </c>
      <c r="P37" s="14">
        <v>353</v>
      </c>
      <c r="Q37" s="15"/>
      <c r="R37" s="15">
        <v>3607.77</v>
      </c>
      <c r="S37" s="14" t="s">
        <v>20</v>
      </c>
      <c r="T37" s="15"/>
      <c r="U37" s="16">
        <f t="shared" si="0"/>
        <v>2.4017415067428462E-2</v>
      </c>
      <c r="V37" s="14">
        <v>0</v>
      </c>
      <c r="W37" s="17">
        <v>47.6</v>
      </c>
      <c r="X37" s="14">
        <v>5.6</v>
      </c>
      <c r="Y37" s="18">
        <f t="shared" si="1"/>
        <v>41.9</v>
      </c>
      <c r="Z37" s="18" t="str">
        <f t="shared" si="2"/>
        <v>Medium</v>
      </c>
      <c r="AA37" s="19" t="str">
        <f t="shared" si="3"/>
        <v>Not Eligible</v>
      </c>
      <c r="AB37" s="14" t="s">
        <v>85</v>
      </c>
      <c r="AC37" s="14">
        <v>1</v>
      </c>
      <c r="AD37" s="14" t="s">
        <v>78</v>
      </c>
      <c r="AE37" s="17">
        <v>18.600000000000001</v>
      </c>
      <c r="AF37" s="15">
        <v>0</v>
      </c>
      <c r="AG37" s="20">
        <f t="shared" si="4"/>
        <v>1802577</v>
      </c>
      <c r="AH37" s="14">
        <v>2</v>
      </c>
      <c r="AI37" s="14" t="s">
        <v>75</v>
      </c>
      <c r="AJ37" s="14">
        <v>24</v>
      </c>
      <c r="AK37" s="21">
        <f t="shared" si="5"/>
        <v>0.375</v>
      </c>
      <c r="AL37" s="20">
        <f t="shared" si="6"/>
        <v>0</v>
      </c>
      <c r="AM37" s="22">
        <f t="shared" si="7"/>
        <v>0</v>
      </c>
      <c r="AN37" s="20">
        <f t="shared" si="8"/>
        <v>3607.77</v>
      </c>
      <c r="AO37" s="16">
        <f t="shared" si="9"/>
        <v>2.4017415067428462E-2</v>
      </c>
      <c r="AP37" s="15">
        <v>0</v>
      </c>
      <c r="AQ37" s="18" t="str">
        <f t="shared" si="10"/>
        <v>N/A</v>
      </c>
      <c r="AR37" s="23">
        <v>46129</v>
      </c>
      <c r="AS37" s="14" t="s">
        <v>79</v>
      </c>
    </row>
    <row r="38" spans="1:45" x14ac:dyDescent="0.25">
      <c r="A38" s="14" t="s">
        <v>220</v>
      </c>
      <c r="B38" s="14" t="s">
        <v>221</v>
      </c>
      <c r="C38" s="14">
        <v>9614302907</v>
      </c>
      <c r="D38" s="15" t="s">
        <v>222</v>
      </c>
      <c r="E38" s="14">
        <v>48</v>
      </c>
      <c r="F38" s="14" t="s">
        <v>71</v>
      </c>
      <c r="G38" s="14" t="s">
        <v>115</v>
      </c>
      <c r="H38" s="14" t="s">
        <v>107</v>
      </c>
      <c r="I38" s="14" t="s">
        <v>92</v>
      </c>
      <c r="J38" s="15">
        <v>608242</v>
      </c>
      <c r="K38" s="14">
        <v>2</v>
      </c>
      <c r="L38" s="14" t="s">
        <v>75</v>
      </c>
      <c r="M38" s="14" t="s">
        <v>75</v>
      </c>
      <c r="N38" s="14" t="s">
        <v>76</v>
      </c>
      <c r="O38" s="14" t="s">
        <v>76</v>
      </c>
      <c r="P38" s="14">
        <v>899</v>
      </c>
      <c r="Q38" s="15">
        <v>200120</v>
      </c>
      <c r="R38" s="15">
        <v>6253.75</v>
      </c>
      <c r="S38" s="14" t="s">
        <v>23</v>
      </c>
      <c r="T38" s="15"/>
      <c r="U38" s="16">
        <f t="shared" si="0"/>
        <v>0.12338016776217361</v>
      </c>
      <c r="V38" s="14">
        <v>1</v>
      </c>
      <c r="W38" s="17">
        <v>48.1</v>
      </c>
      <c r="X38" s="14">
        <v>9.1999999999999993</v>
      </c>
      <c r="Y38" s="18">
        <f t="shared" si="1"/>
        <v>12.6</v>
      </c>
      <c r="Z38" s="18" t="str">
        <f t="shared" si="2"/>
        <v>Low</v>
      </c>
      <c r="AA38" s="19" t="str">
        <f t="shared" si="3"/>
        <v>Eligible</v>
      </c>
      <c r="AB38" s="14" t="s">
        <v>85</v>
      </c>
      <c r="AC38" s="14">
        <v>2</v>
      </c>
      <c r="AD38" s="14" t="s">
        <v>93</v>
      </c>
      <c r="AE38" s="17">
        <v>17.7</v>
      </c>
      <c r="AF38" s="15">
        <v>0</v>
      </c>
      <c r="AG38" s="20">
        <f t="shared" si="4"/>
        <v>608242</v>
      </c>
      <c r="AH38" s="14">
        <v>1</v>
      </c>
      <c r="AI38" s="14" t="s">
        <v>75</v>
      </c>
      <c r="AJ38" s="14">
        <v>300</v>
      </c>
      <c r="AK38" s="21">
        <f t="shared" si="5"/>
        <v>8.5000000000000006E-2</v>
      </c>
      <c r="AL38" s="20">
        <f t="shared" si="6"/>
        <v>0</v>
      </c>
      <c r="AM38" s="22">
        <f t="shared" si="7"/>
        <v>0</v>
      </c>
      <c r="AN38" s="20">
        <f t="shared" si="8"/>
        <v>6253.75</v>
      </c>
      <c r="AO38" s="16">
        <f t="shared" si="9"/>
        <v>0.12338016776217361</v>
      </c>
      <c r="AP38" s="15">
        <v>8933633</v>
      </c>
      <c r="AQ38" s="18">
        <f t="shared" si="10"/>
        <v>0</v>
      </c>
      <c r="AR38" s="23">
        <v>46106</v>
      </c>
      <c r="AS38" s="14" t="s">
        <v>79</v>
      </c>
    </row>
    <row r="39" spans="1:45" x14ac:dyDescent="0.25">
      <c r="A39" s="14" t="s">
        <v>223</v>
      </c>
      <c r="B39" s="14" t="s">
        <v>224</v>
      </c>
      <c r="C39" s="14">
        <v>9546665485</v>
      </c>
      <c r="D39" s="15" t="s">
        <v>225</v>
      </c>
      <c r="E39" s="14">
        <v>41</v>
      </c>
      <c r="F39" s="14" t="s">
        <v>89</v>
      </c>
      <c r="G39" s="14" t="s">
        <v>226</v>
      </c>
      <c r="H39" s="14" t="s">
        <v>84</v>
      </c>
      <c r="I39" s="14" t="s">
        <v>74</v>
      </c>
      <c r="J39" s="15">
        <v>1869932</v>
      </c>
      <c r="K39" s="14">
        <v>1</v>
      </c>
      <c r="L39" s="14" t="s">
        <v>75</v>
      </c>
      <c r="M39" s="14" t="s">
        <v>75</v>
      </c>
      <c r="N39" s="14" t="s">
        <v>75</v>
      </c>
      <c r="O39" s="14" t="s">
        <v>76</v>
      </c>
      <c r="P39" s="14">
        <v>387</v>
      </c>
      <c r="Q39" s="15">
        <v>104600</v>
      </c>
      <c r="R39" s="15">
        <v>5811.13</v>
      </c>
      <c r="S39" s="14" t="s">
        <v>22</v>
      </c>
      <c r="T39" s="15">
        <v>572871</v>
      </c>
      <c r="U39" s="16">
        <f t="shared" si="0"/>
        <v>3.7292029870604919E-2</v>
      </c>
      <c r="V39" s="14">
        <v>1</v>
      </c>
      <c r="W39" s="17">
        <v>60.7</v>
      </c>
      <c r="X39" s="14">
        <v>8.5</v>
      </c>
      <c r="Y39" s="18">
        <f t="shared" si="1"/>
        <v>45.4</v>
      </c>
      <c r="Z39" s="18" t="str">
        <f t="shared" si="2"/>
        <v>Medium</v>
      </c>
      <c r="AA39" s="19" t="str">
        <f t="shared" si="3"/>
        <v>Not Eligible</v>
      </c>
      <c r="AB39" s="14" t="s">
        <v>85</v>
      </c>
      <c r="AC39" s="14">
        <v>0</v>
      </c>
      <c r="AD39" s="14" t="s">
        <v>78</v>
      </c>
      <c r="AE39" s="17">
        <v>13.4</v>
      </c>
      <c r="AF39" s="15">
        <v>0</v>
      </c>
      <c r="AG39" s="20">
        <f t="shared" si="4"/>
        <v>1869932</v>
      </c>
      <c r="AH39" s="14">
        <v>2</v>
      </c>
      <c r="AI39" s="14" t="s">
        <v>75</v>
      </c>
      <c r="AJ39" s="14">
        <v>48</v>
      </c>
      <c r="AK39" s="21">
        <f t="shared" si="5"/>
        <v>0.105</v>
      </c>
      <c r="AL39" s="20">
        <f t="shared" si="6"/>
        <v>14667.433761853015</v>
      </c>
      <c r="AM39" s="22">
        <f t="shared" si="7"/>
        <v>0.30635926867928887</v>
      </c>
      <c r="AN39" s="20">
        <f t="shared" si="8"/>
        <v>20478.563761853016</v>
      </c>
      <c r="AO39" s="16">
        <f t="shared" si="9"/>
        <v>0.1314180222287421</v>
      </c>
      <c r="AP39" s="15">
        <v>670306</v>
      </c>
      <c r="AQ39" s="18">
        <f t="shared" si="10"/>
        <v>0.8546410147007486</v>
      </c>
      <c r="AR39" s="23">
        <v>46075</v>
      </c>
      <c r="AS39" s="14" t="s">
        <v>79</v>
      </c>
    </row>
    <row r="40" spans="1:45" x14ac:dyDescent="0.25">
      <c r="A40" s="14" t="s">
        <v>227</v>
      </c>
      <c r="B40" s="14" t="s">
        <v>228</v>
      </c>
      <c r="C40" s="14">
        <v>9266140258</v>
      </c>
      <c r="D40" s="15"/>
      <c r="E40" s="14">
        <v>35</v>
      </c>
      <c r="F40" s="14" t="s">
        <v>71</v>
      </c>
      <c r="G40" s="14" t="s">
        <v>106</v>
      </c>
      <c r="H40" s="14" t="s">
        <v>144</v>
      </c>
      <c r="I40" s="14" t="s">
        <v>92</v>
      </c>
      <c r="J40" s="15">
        <v>1841662</v>
      </c>
      <c r="K40" s="14">
        <v>3</v>
      </c>
      <c r="L40" s="14" t="s">
        <v>76</v>
      </c>
      <c r="M40" s="14" t="s">
        <v>76</v>
      </c>
      <c r="N40" s="14" t="s">
        <v>76</v>
      </c>
      <c r="O40" s="14" t="s">
        <v>75</v>
      </c>
      <c r="P40" s="14">
        <v>874</v>
      </c>
      <c r="Q40" s="15"/>
      <c r="R40" s="15">
        <v>21115.119999999999</v>
      </c>
      <c r="S40" s="14" t="s">
        <v>20</v>
      </c>
      <c r="T40" s="15">
        <v>339288</v>
      </c>
      <c r="U40" s="16">
        <f t="shared" si="0"/>
        <v>0.13758303097962601</v>
      </c>
      <c r="V40" s="14">
        <v>5</v>
      </c>
      <c r="W40" s="17">
        <v>83.8</v>
      </c>
      <c r="X40" s="14">
        <v>4.2</v>
      </c>
      <c r="Y40" s="18">
        <f t="shared" si="1"/>
        <v>34.200000000000003</v>
      </c>
      <c r="Z40" s="18" t="str">
        <f t="shared" si="2"/>
        <v>Medium</v>
      </c>
      <c r="AA40" s="19" t="str">
        <f t="shared" si="3"/>
        <v>Not Eligible</v>
      </c>
      <c r="AB40" s="14" t="s">
        <v>85</v>
      </c>
      <c r="AC40" s="14">
        <v>2</v>
      </c>
      <c r="AD40" s="14" t="s">
        <v>78</v>
      </c>
      <c r="AE40" s="17">
        <v>5</v>
      </c>
      <c r="AF40" s="15">
        <v>802397</v>
      </c>
      <c r="AG40" s="20">
        <f t="shared" si="4"/>
        <v>2644059</v>
      </c>
      <c r="AH40" s="14">
        <v>1</v>
      </c>
      <c r="AI40" s="14" t="s">
        <v>75</v>
      </c>
      <c r="AJ40" s="14">
        <v>18</v>
      </c>
      <c r="AK40" s="21">
        <f t="shared" si="5"/>
        <v>0.375</v>
      </c>
      <c r="AL40" s="20">
        <f t="shared" si="6"/>
        <v>24930.630756628238</v>
      </c>
      <c r="AM40" s="22">
        <f t="shared" si="7"/>
        <v>0.18422924510577945</v>
      </c>
      <c r="AN40" s="20">
        <f t="shared" si="8"/>
        <v>46045.750756628237</v>
      </c>
      <c r="AO40" s="16">
        <f t="shared" si="9"/>
        <v>0.30002737151526115</v>
      </c>
      <c r="AP40" s="15">
        <v>0</v>
      </c>
      <c r="AQ40" s="18" t="str">
        <f t="shared" si="10"/>
        <v>N/A</v>
      </c>
      <c r="AR40" s="23">
        <v>46219</v>
      </c>
      <c r="AS40" s="14" t="s">
        <v>94</v>
      </c>
    </row>
    <row r="41" spans="1:45" x14ac:dyDescent="0.25">
      <c r="A41" s="14" t="s">
        <v>229</v>
      </c>
      <c r="B41" s="14" t="s">
        <v>230</v>
      </c>
      <c r="C41" s="14">
        <v>9669601448</v>
      </c>
      <c r="D41" s="15" t="s">
        <v>231</v>
      </c>
      <c r="E41" s="14">
        <v>47</v>
      </c>
      <c r="F41" s="14" t="s">
        <v>89</v>
      </c>
      <c r="G41" s="14" t="s">
        <v>226</v>
      </c>
      <c r="H41" s="14" t="s">
        <v>132</v>
      </c>
      <c r="I41" s="14" t="s">
        <v>92</v>
      </c>
      <c r="J41" s="15">
        <v>1852115</v>
      </c>
      <c r="K41" s="14">
        <v>1</v>
      </c>
      <c r="L41" s="14" t="s">
        <v>76</v>
      </c>
      <c r="M41" s="14" t="s">
        <v>75</v>
      </c>
      <c r="N41" s="14" t="s">
        <v>75</v>
      </c>
      <c r="O41" s="14" t="s">
        <v>75</v>
      </c>
      <c r="P41" s="14">
        <v>353</v>
      </c>
      <c r="Q41" s="15">
        <v>172891</v>
      </c>
      <c r="R41" s="15">
        <v>2881.52</v>
      </c>
      <c r="S41" s="14" t="s">
        <v>20</v>
      </c>
      <c r="T41" s="15">
        <v>373353</v>
      </c>
      <c r="U41" s="16">
        <f t="shared" si="0"/>
        <v>1.8669596650315989E-2</v>
      </c>
      <c r="V41" s="14">
        <v>0</v>
      </c>
      <c r="W41" s="17">
        <v>47.1</v>
      </c>
      <c r="X41" s="14">
        <v>6.5</v>
      </c>
      <c r="Y41" s="18">
        <f t="shared" si="1"/>
        <v>41.7</v>
      </c>
      <c r="Z41" s="18" t="str">
        <f t="shared" si="2"/>
        <v>Medium</v>
      </c>
      <c r="AA41" s="19" t="str">
        <f t="shared" si="3"/>
        <v>Not Eligible</v>
      </c>
      <c r="AB41" s="14" t="s">
        <v>77</v>
      </c>
      <c r="AC41" s="14">
        <v>1</v>
      </c>
      <c r="AD41" s="14" t="s">
        <v>78</v>
      </c>
      <c r="AE41" s="17">
        <v>13.5</v>
      </c>
      <c r="AF41" s="15">
        <v>233167</v>
      </c>
      <c r="AG41" s="20">
        <f t="shared" si="4"/>
        <v>2085282</v>
      </c>
      <c r="AH41" s="14">
        <v>1</v>
      </c>
      <c r="AI41" s="14" t="s">
        <v>75</v>
      </c>
      <c r="AJ41" s="14">
        <v>24</v>
      </c>
      <c r="AK41" s="21">
        <f t="shared" si="5"/>
        <v>0.375</v>
      </c>
      <c r="AL41" s="20">
        <f t="shared" si="6"/>
        <v>22343.43706479757</v>
      </c>
      <c r="AM41" s="22">
        <f t="shared" si="7"/>
        <v>0.2015819752013239</v>
      </c>
      <c r="AN41" s="20">
        <f t="shared" si="8"/>
        <v>25224.957064797571</v>
      </c>
      <c r="AO41" s="16">
        <f t="shared" si="9"/>
        <v>0.1634344977377597</v>
      </c>
      <c r="AP41" s="15">
        <v>0</v>
      </c>
      <c r="AQ41" s="18" t="str">
        <f t="shared" si="10"/>
        <v>N/A</v>
      </c>
      <c r="AR41" s="23">
        <v>45918</v>
      </c>
      <c r="AS41" s="14" t="s">
        <v>79</v>
      </c>
    </row>
    <row r="42" spans="1:45" x14ac:dyDescent="0.25">
      <c r="A42" s="14" t="s">
        <v>232</v>
      </c>
      <c r="B42" s="14" t="s">
        <v>233</v>
      </c>
      <c r="C42" s="14"/>
      <c r="D42" s="15" t="s">
        <v>234</v>
      </c>
      <c r="E42" s="14">
        <v>34</v>
      </c>
      <c r="F42" s="14" t="s">
        <v>71</v>
      </c>
      <c r="G42" s="14" t="s">
        <v>215</v>
      </c>
      <c r="H42" s="14" t="s">
        <v>84</v>
      </c>
      <c r="I42" s="14" t="s">
        <v>74</v>
      </c>
      <c r="J42" s="15">
        <v>1676244</v>
      </c>
      <c r="K42" s="14">
        <v>2</v>
      </c>
      <c r="L42" s="14" t="s">
        <v>76</v>
      </c>
      <c r="M42" s="14" t="s">
        <v>75</v>
      </c>
      <c r="N42" s="14" t="s">
        <v>75</v>
      </c>
      <c r="O42" s="14" t="s">
        <v>76</v>
      </c>
      <c r="P42" s="14">
        <v>845</v>
      </c>
      <c r="Q42" s="15"/>
      <c r="R42" s="15">
        <v>16084.43</v>
      </c>
      <c r="S42" s="14" t="s">
        <v>22</v>
      </c>
      <c r="T42" s="15"/>
      <c r="U42" s="16">
        <f t="shared" si="0"/>
        <v>0.11514621976275531</v>
      </c>
      <c r="V42" s="14">
        <v>0</v>
      </c>
      <c r="W42" s="17">
        <v>75.5</v>
      </c>
      <c r="X42" s="14">
        <v>6.7</v>
      </c>
      <c r="Y42" s="18">
        <f t="shared" si="1"/>
        <v>14.7</v>
      </c>
      <c r="Z42" s="18" t="str">
        <f t="shared" si="2"/>
        <v>Low</v>
      </c>
      <c r="AA42" s="19" t="str">
        <f t="shared" si="3"/>
        <v>Eligible</v>
      </c>
      <c r="AB42" s="14" t="s">
        <v>85</v>
      </c>
      <c r="AC42" s="14">
        <v>0</v>
      </c>
      <c r="AD42" s="14" t="s">
        <v>78</v>
      </c>
      <c r="AE42" s="17">
        <v>5.8</v>
      </c>
      <c r="AF42" s="15">
        <v>0</v>
      </c>
      <c r="AG42" s="20">
        <f t="shared" si="4"/>
        <v>1676244</v>
      </c>
      <c r="AH42" s="14">
        <v>1</v>
      </c>
      <c r="AI42" s="14" t="s">
        <v>75</v>
      </c>
      <c r="AJ42" s="14">
        <v>60</v>
      </c>
      <c r="AK42" s="21">
        <f t="shared" si="5"/>
        <v>0.09</v>
      </c>
      <c r="AL42" s="20">
        <f t="shared" si="6"/>
        <v>0</v>
      </c>
      <c r="AM42" s="22">
        <f t="shared" si="7"/>
        <v>0</v>
      </c>
      <c r="AN42" s="20">
        <f t="shared" si="8"/>
        <v>16084.43</v>
      </c>
      <c r="AO42" s="16">
        <f t="shared" si="9"/>
        <v>0.11514621976275531</v>
      </c>
      <c r="AP42" s="15">
        <v>475593</v>
      </c>
      <c r="AQ42" s="18">
        <f t="shared" si="10"/>
        <v>0</v>
      </c>
      <c r="AR42" s="23">
        <v>46061</v>
      </c>
      <c r="AS42" s="14" t="s">
        <v>79</v>
      </c>
    </row>
    <row r="43" spans="1:45" x14ac:dyDescent="0.25">
      <c r="A43" s="14" t="s">
        <v>235</v>
      </c>
      <c r="B43" s="14" t="s">
        <v>236</v>
      </c>
      <c r="C43" s="14"/>
      <c r="D43" s="15" t="s">
        <v>237</v>
      </c>
      <c r="E43" s="14">
        <v>26</v>
      </c>
      <c r="F43" s="14" t="s">
        <v>89</v>
      </c>
      <c r="G43" s="14" t="s">
        <v>139</v>
      </c>
      <c r="H43" s="14" t="s">
        <v>91</v>
      </c>
      <c r="I43" s="14" t="s">
        <v>92</v>
      </c>
      <c r="J43" s="15">
        <v>2127359</v>
      </c>
      <c r="K43" s="14">
        <v>0</v>
      </c>
      <c r="L43" s="14" t="s">
        <v>75</v>
      </c>
      <c r="M43" s="14" t="s">
        <v>75</v>
      </c>
      <c r="N43" s="14" t="s">
        <v>75</v>
      </c>
      <c r="O43" s="14" t="s">
        <v>75</v>
      </c>
      <c r="P43" s="14">
        <v>647</v>
      </c>
      <c r="Q43" s="15">
        <v>47136</v>
      </c>
      <c r="R43" s="15">
        <v>2142.56</v>
      </c>
      <c r="S43" s="14" t="s">
        <v>20</v>
      </c>
      <c r="T43" s="15">
        <v>287640</v>
      </c>
      <c r="U43" s="16">
        <f t="shared" si="0"/>
        <v>1.208574575330257E-2</v>
      </c>
      <c r="V43" s="14">
        <v>1</v>
      </c>
      <c r="W43" s="17">
        <v>55.4</v>
      </c>
      <c r="X43" s="14">
        <v>3.1</v>
      </c>
      <c r="Y43" s="18">
        <f t="shared" si="1"/>
        <v>26.8</v>
      </c>
      <c r="Z43" s="18" t="str">
        <f t="shared" si="2"/>
        <v>Low</v>
      </c>
      <c r="AA43" s="19" t="str">
        <f t="shared" si="3"/>
        <v>Review</v>
      </c>
      <c r="AB43" s="14" t="s">
        <v>77</v>
      </c>
      <c r="AC43" s="14">
        <v>1</v>
      </c>
      <c r="AD43" s="14" t="s">
        <v>194</v>
      </c>
      <c r="AE43" s="17">
        <v>3.3</v>
      </c>
      <c r="AF43" s="15">
        <v>227103</v>
      </c>
      <c r="AG43" s="20">
        <f t="shared" si="4"/>
        <v>2354462</v>
      </c>
      <c r="AH43" s="14">
        <v>0</v>
      </c>
      <c r="AI43" s="14" t="s">
        <v>75</v>
      </c>
      <c r="AJ43" s="14">
        <v>18</v>
      </c>
      <c r="AK43" s="21">
        <f t="shared" si="5"/>
        <v>0.36</v>
      </c>
      <c r="AL43" s="20">
        <f t="shared" si="6"/>
        <v>20913.929287610863</v>
      </c>
      <c r="AM43" s="22">
        <f t="shared" si="7"/>
        <v>0.13520990110272879</v>
      </c>
      <c r="AN43" s="20">
        <f t="shared" si="8"/>
        <v>23056.489287610864</v>
      </c>
      <c r="AO43" s="16">
        <f t="shared" si="9"/>
        <v>0.13005697273066294</v>
      </c>
      <c r="AP43" s="15">
        <v>0</v>
      </c>
      <c r="AQ43" s="18" t="str">
        <f t="shared" si="10"/>
        <v>N/A</v>
      </c>
      <c r="AR43" s="23">
        <v>46230</v>
      </c>
      <c r="AS43" s="14" t="s">
        <v>79</v>
      </c>
    </row>
    <row r="44" spans="1:45" x14ac:dyDescent="0.25">
      <c r="A44" s="14" t="s">
        <v>238</v>
      </c>
      <c r="B44" s="14" t="s">
        <v>239</v>
      </c>
      <c r="C44" s="14">
        <v>9630554118</v>
      </c>
      <c r="D44" s="15"/>
      <c r="E44" s="14">
        <v>58</v>
      </c>
      <c r="F44" s="14" t="s">
        <v>89</v>
      </c>
      <c r="G44" s="14" t="s">
        <v>226</v>
      </c>
      <c r="H44" s="14" t="s">
        <v>103</v>
      </c>
      <c r="I44" s="14" t="s">
        <v>74</v>
      </c>
      <c r="J44" s="15">
        <v>933161</v>
      </c>
      <c r="K44" s="14">
        <v>1</v>
      </c>
      <c r="L44" s="14" t="s">
        <v>76</v>
      </c>
      <c r="M44" s="14" t="s">
        <v>75</v>
      </c>
      <c r="N44" s="14" t="s">
        <v>75</v>
      </c>
      <c r="O44" s="14" t="s">
        <v>75</v>
      </c>
      <c r="P44" s="14">
        <v>357</v>
      </c>
      <c r="Q44" s="15"/>
      <c r="R44" s="15">
        <v>12315.7</v>
      </c>
      <c r="S44" s="14" t="s">
        <v>22</v>
      </c>
      <c r="T44" s="15">
        <v>1268344</v>
      </c>
      <c r="U44" s="16">
        <f t="shared" si="0"/>
        <v>0.15837395690561437</v>
      </c>
      <c r="V44" s="14">
        <v>1</v>
      </c>
      <c r="W44" s="17">
        <v>10.4</v>
      </c>
      <c r="X44" s="14">
        <v>12.5</v>
      </c>
      <c r="Y44" s="18">
        <f t="shared" si="1"/>
        <v>46</v>
      </c>
      <c r="Z44" s="18" t="str">
        <f t="shared" si="2"/>
        <v>Medium</v>
      </c>
      <c r="AA44" s="19" t="str">
        <f t="shared" si="3"/>
        <v>Not Eligible</v>
      </c>
      <c r="AB44" s="14" t="s">
        <v>85</v>
      </c>
      <c r="AC44" s="14">
        <v>3</v>
      </c>
      <c r="AD44" s="14" t="s">
        <v>93</v>
      </c>
      <c r="AE44" s="17">
        <v>18.600000000000001</v>
      </c>
      <c r="AF44" s="15">
        <v>0</v>
      </c>
      <c r="AG44" s="20">
        <f t="shared" si="4"/>
        <v>933161</v>
      </c>
      <c r="AH44" s="14">
        <v>0</v>
      </c>
      <c r="AI44" s="14" t="s">
        <v>75</v>
      </c>
      <c r="AJ44" s="14">
        <v>84</v>
      </c>
      <c r="AK44" s="21">
        <f t="shared" si="5"/>
        <v>0.105</v>
      </c>
      <c r="AL44" s="20">
        <f t="shared" si="6"/>
        <v>21385.133624138394</v>
      </c>
      <c r="AM44" s="22">
        <f t="shared" si="7"/>
        <v>1.3591909649031624</v>
      </c>
      <c r="AN44" s="20">
        <f t="shared" si="8"/>
        <v>33700.833624138395</v>
      </c>
      <c r="AO44" s="16">
        <f t="shared" si="9"/>
        <v>0.43337645217669912</v>
      </c>
      <c r="AP44" s="15">
        <v>1559017</v>
      </c>
      <c r="AQ44" s="18">
        <f t="shared" si="10"/>
        <v>0.81355366875409307</v>
      </c>
      <c r="AR44" s="23">
        <v>46125</v>
      </c>
      <c r="AS44" s="14" t="s">
        <v>79</v>
      </c>
    </row>
    <row r="45" spans="1:45" x14ac:dyDescent="0.25">
      <c r="A45" s="14" t="s">
        <v>241</v>
      </c>
      <c r="B45" s="14" t="s">
        <v>242</v>
      </c>
      <c r="C45" s="14">
        <v>9302120588</v>
      </c>
      <c r="D45" s="15" t="s">
        <v>243</v>
      </c>
      <c r="E45" s="14">
        <v>51</v>
      </c>
      <c r="F45" s="14" t="s">
        <v>71</v>
      </c>
      <c r="G45" s="14" t="s">
        <v>90</v>
      </c>
      <c r="H45" s="14" t="s">
        <v>107</v>
      </c>
      <c r="I45" s="14" t="s">
        <v>92</v>
      </c>
      <c r="J45" s="15">
        <v>734118</v>
      </c>
      <c r="K45" s="14">
        <v>1</v>
      </c>
      <c r="L45" s="14" t="s">
        <v>75</v>
      </c>
      <c r="M45" s="14" t="s">
        <v>75</v>
      </c>
      <c r="N45" s="14" t="s">
        <v>75</v>
      </c>
      <c r="O45" s="14" t="s">
        <v>76</v>
      </c>
      <c r="P45" s="14">
        <v>476</v>
      </c>
      <c r="Q45" s="15"/>
      <c r="R45" s="15">
        <v>302.47000000000003</v>
      </c>
      <c r="S45" s="14" t="s">
        <v>23</v>
      </c>
      <c r="T45" s="15">
        <v>5186137</v>
      </c>
      <c r="U45" s="16">
        <f t="shared" si="0"/>
        <v>4.9442187768178958E-3</v>
      </c>
      <c r="V45" s="14">
        <v>1</v>
      </c>
      <c r="W45" s="17">
        <v>62.9</v>
      </c>
      <c r="X45" s="14">
        <v>5.6</v>
      </c>
      <c r="Y45" s="18">
        <f t="shared" si="1"/>
        <v>38.700000000000003</v>
      </c>
      <c r="Z45" s="18" t="str">
        <f t="shared" si="2"/>
        <v>Medium</v>
      </c>
      <c r="AA45" s="19" t="str">
        <f t="shared" si="3"/>
        <v>Not Eligible</v>
      </c>
      <c r="AB45" s="14" t="s">
        <v>77</v>
      </c>
      <c r="AC45" s="14">
        <v>1</v>
      </c>
      <c r="AD45" s="14" t="s">
        <v>93</v>
      </c>
      <c r="AE45" s="17">
        <v>20.5</v>
      </c>
      <c r="AF45" s="15">
        <v>623165</v>
      </c>
      <c r="AG45" s="20">
        <f t="shared" si="4"/>
        <v>1357283</v>
      </c>
      <c r="AH45" s="14">
        <v>0</v>
      </c>
      <c r="AI45" s="14" t="s">
        <v>75</v>
      </c>
      <c r="AJ45" s="14">
        <v>360</v>
      </c>
      <c r="AK45" s="21">
        <f t="shared" si="5"/>
        <v>0.1</v>
      </c>
      <c r="AL45" s="20">
        <f t="shared" si="6"/>
        <v>45512.063897856133</v>
      </c>
      <c r="AM45" s="22">
        <f t="shared" si="7"/>
        <v>7.0644460427342741</v>
      </c>
      <c r="AN45" s="20">
        <f t="shared" si="8"/>
        <v>45814.533897856134</v>
      </c>
      <c r="AO45" s="16">
        <f t="shared" si="9"/>
        <v>0.74889105944040824</v>
      </c>
      <c r="AP45" s="15">
        <v>6843600</v>
      </c>
      <c r="AQ45" s="18">
        <f t="shared" si="10"/>
        <v>0.7578083172599217</v>
      </c>
      <c r="AR45" s="23">
        <v>46040</v>
      </c>
      <c r="AS45" s="14" t="s">
        <v>79</v>
      </c>
    </row>
    <row r="46" spans="1:45" x14ac:dyDescent="0.25">
      <c r="A46" s="14" t="s">
        <v>244</v>
      </c>
      <c r="B46" s="14" t="s">
        <v>245</v>
      </c>
      <c r="C46" s="14">
        <v>9747145068</v>
      </c>
      <c r="D46" s="15" t="s">
        <v>247</v>
      </c>
      <c r="E46" s="14">
        <v>42</v>
      </c>
      <c r="F46" s="14" t="s">
        <v>71</v>
      </c>
      <c r="G46" s="14" t="s">
        <v>72</v>
      </c>
      <c r="H46" s="14" t="s">
        <v>103</v>
      </c>
      <c r="I46" s="14" t="s">
        <v>74</v>
      </c>
      <c r="J46" s="15">
        <v>1601206</v>
      </c>
      <c r="K46" s="14">
        <v>0</v>
      </c>
      <c r="L46" s="14" t="s">
        <v>75</v>
      </c>
      <c r="M46" s="14" t="s">
        <v>75</v>
      </c>
      <c r="N46" s="14" t="s">
        <v>75</v>
      </c>
      <c r="O46" s="14" t="s">
        <v>75</v>
      </c>
      <c r="P46" s="14">
        <v>386</v>
      </c>
      <c r="Q46" s="15">
        <v>49570.44</v>
      </c>
      <c r="R46" s="15">
        <v>1376.96</v>
      </c>
      <c r="S46" s="14" t="s">
        <v>22</v>
      </c>
      <c r="T46" s="15">
        <v>568002</v>
      </c>
      <c r="U46" s="16">
        <f t="shared" si="0"/>
        <v>1.031942173586659E-2</v>
      </c>
      <c r="V46" s="14">
        <v>2</v>
      </c>
      <c r="W46" s="17">
        <v>83.8</v>
      </c>
      <c r="X46" s="14">
        <v>11.1</v>
      </c>
      <c r="Y46" s="18">
        <f t="shared" si="1"/>
        <v>51</v>
      </c>
      <c r="Z46" s="18" t="str">
        <f t="shared" si="2"/>
        <v>Medium</v>
      </c>
      <c r="AA46" s="19" t="str">
        <f t="shared" si="3"/>
        <v>Not Eligible</v>
      </c>
      <c r="AB46" s="14" t="s">
        <v>77</v>
      </c>
      <c r="AC46" s="14">
        <v>2</v>
      </c>
      <c r="AD46" s="14" t="s">
        <v>93</v>
      </c>
      <c r="AE46" s="17">
        <v>9.1</v>
      </c>
      <c r="AF46" s="15">
        <v>0</v>
      </c>
      <c r="AG46" s="20">
        <f t="shared" si="4"/>
        <v>1601206</v>
      </c>
      <c r="AH46" s="14">
        <v>0</v>
      </c>
      <c r="AI46" s="14" t="s">
        <v>75</v>
      </c>
      <c r="AJ46" s="14">
        <v>36</v>
      </c>
      <c r="AK46" s="21">
        <f t="shared" si="5"/>
        <v>0.105</v>
      </c>
      <c r="AL46" s="20">
        <f t="shared" si="6"/>
        <v>18461.452915549184</v>
      </c>
      <c r="AM46" s="22">
        <f t="shared" si="7"/>
        <v>0.35473386934598045</v>
      </c>
      <c r="AN46" s="20">
        <f t="shared" si="8"/>
        <v>19838.412915549183</v>
      </c>
      <c r="AO46" s="16">
        <f t="shared" si="9"/>
        <v>0.14867603230726728</v>
      </c>
      <c r="AP46" s="15">
        <v>635223</v>
      </c>
      <c r="AQ46" s="18">
        <f t="shared" si="10"/>
        <v>0.89417732040558984</v>
      </c>
      <c r="AR46" s="23">
        <v>46143</v>
      </c>
      <c r="AS46" s="14" t="s">
        <v>79</v>
      </c>
    </row>
    <row r="47" spans="1:45" x14ac:dyDescent="0.25">
      <c r="A47" s="14" t="s">
        <v>248</v>
      </c>
      <c r="B47" s="14" t="s">
        <v>249</v>
      </c>
      <c r="C47" s="14">
        <v>9182855381</v>
      </c>
      <c r="D47" s="15"/>
      <c r="E47" s="14">
        <v>53</v>
      </c>
      <c r="F47" s="14" t="s">
        <v>71</v>
      </c>
      <c r="G47" s="14" t="s">
        <v>226</v>
      </c>
      <c r="H47" s="14" t="s">
        <v>132</v>
      </c>
      <c r="I47" s="14" t="s">
        <v>92</v>
      </c>
      <c r="J47" s="15">
        <v>1880077</v>
      </c>
      <c r="K47" s="14">
        <v>2</v>
      </c>
      <c r="L47" s="14" t="s">
        <v>76</v>
      </c>
      <c r="M47" s="14" t="s">
        <v>76</v>
      </c>
      <c r="N47" s="14" t="s">
        <v>75</v>
      </c>
      <c r="O47" s="14" t="s">
        <v>75</v>
      </c>
      <c r="P47" s="14">
        <v>469</v>
      </c>
      <c r="Q47" s="15">
        <v>813527.74</v>
      </c>
      <c r="R47" s="15">
        <v>58109.120000000003</v>
      </c>
      <c r="S47" s="14" t="s">
        <v>23</v>
      </c>
      <c r="T47" s="15"/>
      <c r="U47" s="16">
        <f t="shared" si="0"/>
        <v>0.37089408572095722</v>
      </c>
      <c r="V47" s="14">
        <v>2</v>
      </c>
      <c r="W47" s="17">
        <v>27.6</v>
      </c>
      <c r="X47" s="14">
        <v>6.8</v>
      </c>
      <c r="Y47" s="18">
        <f t="shared" si="1"/>
        <v>50.6</v>
      </c>
      <c r="Z47" s="18" t="str">
        <f t="shared" si="2"/>
        <v>Medium</v>
      </c>
      <c r="AA47" s="19" t="str">
        <f t="shared" si="3"/>
        <v>Not Eligible</v>
      </c>
      <c r="AB47" s="14" t="s">
        <v>85</v>
      </c>
      <c r="AC47" s="14">
        <v>2</v>
      </c>
      <c r="AD47" s="14" t="s">
        <v>78</v>
      </c>
      <c r="AE47" s="17">
        <v>16.2</v>
      </c>
      <c r="AF47" s="15">
        <v>756468</v>
      </c>
      <c r="AG47" s="20">
        <f t="shared" si="4"/>
        <v>2636545</v>
      </c>
      <c r="AH47" s="14">
        <v>0</v>
      </c>
      <c r="AI47" s="14" t="s">
        <v>75</v>
      </c>
      <c r="AJ47" s="14">
        <v>240</v>
      </c>
      <c r="AK47" s="21">
        <f t="shared" si="5"/>
        <v>0.1</v>
      </c>
      <c r="AL47" s="20">
        <f t="shared" si="6"/>
        <v>0</v>
      </c>
      <c r="AM47" s="22">
        <f t="shared" si="7"/>
        <v>0</v>
      </c>
      <c r="AN47" s="20">
        <f t="shared" si="8"/>
        <v>58109.120000000003</v>
      </c>
      <c r="AO47" s="16">
        <f t="shared" si="9"/>
        <v>0.37089408572095722</v>
      </c>
      <c r="AP47" s="15">
        <v>6011944</v>
      </c>
      <c r="AQ47" s="18">
        <f t="shared" si="10"/>
        <v>0</v>
      </c>
      <c r="AR47" s="23">
        <v>46187</v>
      </c>
      <c r="AS47" s="14" t="s">
        <v>94</v>
      </c>
    </row>
    <row r="48" spans="1:45" x14ac:dyDescent="0.25">
      <c r="A48" s="14" t="s">
        <v>250</v>
      </c>
      <c r="B48" s="14" t="s">
        <v>251</v>
      </c>
      <c r="C48" s="14"/>
      <c r="D48" s="15" t="s">
        <v>252</v>
      </c>
      <c r="E48" s="14">
        <v>53</v>
      </c>
      <c r="F48" s="14" t="s">
        <v>89</v>
      </c>
      <c r="G48" s="14" t="s">
        <v>98</v>
      </c>
      <c r="H48" s="14" t="s">
        <v>91</v>
      </c>
      <c r="I48" s="14" t="s">
        <v>92</v>
      </c>
      <c r="J48" s="15">
        <v>880485</v>
      </c>
      <c r="K48" s="14">
        <v>1</v>
      </c>
      <c r="L48" s="14" t="s">
        <v>75</v>
      </c>
      <c r="M48" s="14" t="s">
        <v>76</v>
      </c>
      <c r="N48" s="14" t="s">
        <v>75</v>
      </c>
      <c r="O48" s="14" t="s">
        <v>75</v>
      </c>
      <c r="P48" s="14">
        <v>405</v>
      </c>
      <c r="Q48" s="15">
        <v>375827</v>
      </c>
      <c r="R48" s="15">
        <v>8351.7099999999991</v>
      </c>
      <c r="S48" s="14" t="s">
        <v>20</v>
      </c>
      <c r="T48" s="15"/>
      <c r="U48" s="16">
        <f t="shared" si="0"/>
        <v>0.11382422187771511</v>
      </c>
      <c r="V48" s="14">
        <v>0</v>
      </c>
      <c r="W48" s="17">
        <v>20.2</v>
      </c>
      <c r="X48" s="14">
        <v>6.8</v>
      </c>
      <c r="Y48" s="18">
        <f t="shared" si="1"/>
        <v>38.4</v>
      </c>
      <c r="Z48" s="18" t="str">
        <f t="shared" si="2"/>
        <v>Medium</v>
      </c>
      <c r="AA48" s="19" t="str">
        <f t="shared" si="3"/>
        <v>Not Eligible</v>
      </c>
      <c r="AB48" s="14" t="s">
        <v>85</v>
      </c>
      <c r="AC48" s="14">
        <v>3</v>
      </c>
      <c r="AD48" s="14" t="s">
        <v>78</v>
      </c>
      <c r="AE48" s="17">
        <v>27.3</v>
      </c>
      <c r="AF48" s="15">
        <v>0</v>
      </c>
      <c r="AG48" s="20">
        <f t="shared" si="4"/>
        <v>880485</v>
      </c>
      <c r="AH48" s="14">
        <v>2</v>
      </c>
      <c r="AI48" s="14" t="s">
        <v>76</v>
      </c>
      <c r="AJ48" s="14">
        <v>36</v>
      </c>
      <c r="AK48" s="21">
        <f t="shared" si="5"/>
        <v>0.375</v>
      </c>
      <c r="AL48" s="20">
        <f t="shared" si="6"/>
        <v>0</v>
      </c>
      <c r="AM48" s="22">
        <f t="shared" si="7"/>
        <v>0</v>
      </c>
      <c r="AN48" s="20">
        <f t="shared" si="8"/>
        <v>8351.7099999999991</v>
      </c>
      <c r="AO48" s="16">
        <f t="shared" si="9"/>
        <v>0.11382422187771511</v>
      </c>
      <c r="AP48" s="15">
        <v>0</v>
      </c>
      <c r="AQ48" s="18" t="str">
        <f t="shared" si="10"/>
        <v>N/A</v>
      </c>
      <c r="AR48" s="23">
        <v>45922</v>
      </c>
      <c r="AS48" s="14" t="s">
        <v>79</v>
      </c>
    </row>
    <row r="49" spans="1:45" x14ac:dyDescent="0.25">
      <c r="A49" s="14" t="s">
        <v>253</v>
      </c>
      <c r="B49" s="14" t="s">
        <v>254</v>
      </c>
      <c r="C49" s="14">
        <v>9514642708</v>
      </c>
      <c r="D49" s="15" t="s">
        <v>256</v>
      </c>
      <c r="E49" s="14">
        <v>35</v>
      </c>
      <c r="F49" s="14" t="s">
        <v>71</v>
      </c>
      <c r="G49" s="14" t="s">
        <v>226</v>
      </c>
      <c r="H49" s="14" t="s">
        <v>73</v>
      </c>
      <c r="I49" s="14" t="s">
        <v>74</v>
      </c>
      <c r="J49" s="15">
        <v>1706309</v>
      </c>
      <c r="K49" s="14">
        <v>1</v>
      </c>
      <c r="L49" s="14" t="s">
        <v>75</v>
      </c>
      <c r="M49" s="14" t="s">
        <v>76</v>
      </c>
      <c r="N49" s="14" t="s">
        <v>75</v>
      </c>
      <c r="O49" s="14" t="s">
        <v>75</v>
      </c>
      <c r="P49" s="14">
        <v>442</v>
      </c>
      <c r="Q49" s="15">
        <v>776890</v>
      </c>
      <c r="R49" s="15">
        <v>18497.39</v>
      </c>
      <c r="S49" s="14" t="s">
        <v>23</v>
      </c>
      <c r="T49" s="15"/>
      <c r="U49" s="16">
        <f t="shared" si="0"/>
        <v>0.13008703581824863</v>
      </c>
      <c r="V49" s="14">
        <v>0</v>
      </c>
      <c r="W49" s="17">
        <v>12.5</v>
      </c>
      <c r="X49" s="14">
        <v>4</v>
      </c>
      <c r="Y49" s="18">
        <f t="shared" si="1"/>
        <v>35.700000000000003</v>
      </c>
      <c r="Z49" s="18" t="str">
        <f t="shared" si="2"/>
        <v>Medium</v>
      </c>
      <c r="AA49" s="19" t="str">
        <f t="shared" si="3"/>
        <v>Not Eligible</v>
      </c>
      <c r="AB49" s="14" t="s">
        <v>77</v>
      </c>
      <c r="AC49" s="14">
        <v>2</v>
      </c>
      <c r="AD49" s="14" t="s">
        <v>93</v>
      </c>
      <c r="AE49" s="17">
        <v>7.5</v>
      </c>
      <c r="AF49" s="15">
        <v>366076</v>
      </c>
      <c r="AG49" s="20">
        <f t="shared" si="4"/>
        <v>2072385</v>
      </c>
      <c r="AH49" s="14">
        <v>0</v>
      </c>
      <c r="AI49" s="14" t="s">
        <v>75</v>
      </c>
      <c r="AJ49" s="14">
        <v>300</v>
      </c>
      <c r="AK49" s="21">
        <f t="shared" si="5"/>
        <v>0.1</v>
      </c>
      <c r="AL49" s="20">
        <f t="shared" si="6"/>
        <v>0</v>
      </c>
      <c r="AM49" s="22">
        <f t="shared" si="7"/>
        <v>0</v>
      </c>
      <c r="AN49" s="20">
        <f t="shared" si="8"/>
        <v>18497.39</v>
      </c>
      <c r="AO49" s="16">
        <f t="shared" si="9"/>
        <v>0.13008703581824863</v>
      </c>
      <c r="AP49" s="15">
        <v>8725363</v>
      </c>
      <c r="AQ49" s="18">
        <f t="shared" si="10"/>
        <v>0</v>
      </c>
      <c r="AR49" s="23">
        <v>46213</v>
      </c>
      <c r="AS49" s="14" t="s">
        <v>79</v>
      </c>
    </row>
    <row r="50" spans="1:45" x14ac:dyDescent="0.25">
      <c r="A50" s="14" t="s">
        <v>257</v>
      </c>
      <c r="B50" s="14" t="s">
        <v>258</v>
      </c>
      <c r="C50" s="14">
        <v>9636687537</v>
      </c>
      <c r="D50" s="15" t="s">
        <v>260</v>
      </c>
      <c r="E50" s="14">
        <v>22</v>
      </c>
      <c r="F50" s="14" t="s">
        <v>71</v>
      </c>
      <c r="G50" s="14" t="s">
        <v>72</v>
      </c>
      <c r="H50" s="14" t="s">
        <v>84</v>
      </c>
      <c r="I50" s="14" t="s">
        <v>74</v>
      </c>
      <c r="J50" s="15">
        <v>2100358</v>
      </c>
      <c r="K50" s="14">
        <v>1</v>
      </c>
      <c r="L50" s="14" t="s">
        <v>76</v>
      </c>
      <c r="M50" s="14" t="s">
        <v>75</v>
      </c>
      <c r="N50" s="14" t="s">
        <v>75</v>
      </c>
      <c r="O50" s="14" t="s">
        <v>75</v>
      </c>
      <c r="P50" s="14">
        <v>387</v>
      </c>
      <c r="Q50" s="15">
        <v>659703</v>
      </c>
      <c r="R50" s="15">
        <v>18848.66</v>
      </c>
      <c r="S50" s="14" t="s">
        <v>20</v>
      </c>
      <c r="T50" s="15">
        <v>295806</v>
      </c>
      <c r="U50" s="16">
        <f t="shared" si="0"/>
        <v>0.10768827028535134</v>
      </c>
      <c r="V50" s="14">
        <v>1</v>
      </c>
      <c r="W50" s="17">
        <v>79.7</v>
      </c>
      <c r="X50" s="14">
        <v>7.7</v>
      </c>
      <c r="Y50" s="18">
        <f t="shared" si="1"/>
        <v>49.4</v>
      </c>
      <c r="Z50" s="18" t="str">
        <f t="shared" si="2"/>
        <v>Medium</v>
      </c>
      <c r="AA50" s="19" t="str">
        <f t="shared" si="3"/>
        <v>Not Eligible</v>
      </c>
      <c r="AB50" s="14" t="s">
        <v>85</v>
      </c>
      <c r="AC50" s="14">
        <v>3</v>
      </c>
      <c r="AD50" s="14" t="s">
        <v>78</v>
      </c>
      <c r="AE50" s="17">
        <v>0.6</v>
      </c>
      <c r="AF50" s="15">
        <v>0</v>
      </c>
      <c r="AG50" s="20">
        <f t="shared" si="4"/>
        <v>2100358</v>
      </c>
      <c r="AH50" s="14">
        <v>1</v>
      </c>
      <c r="AI50" s="14" t="s">
        <v>75</v>
      </c>
      <c r="AJ50" s="14">
        <v>12</v>
      </c>
      <c r="AK50" s="21">
        <f t="shared" si="5"/>
        <v>0.375</v>
      </c>
      <c r="AL50" s="20">
        <f t="shared" si="6"/>
        <v>29939.464439291132</v>
      </c>
      <c r="AM50" s="22">
        <f t="shared" si="7"/>
        <v>0.14083599081680362</v>
      </c>
      <c r="AN50" s="20">
        <f t="shared" si="8"/>
        <v>48788.124439291132</v>
      </c>
      <c r="AO50" s="16">
        <f t="shared" si="9"/>
        <v>0.27874176367623688</v>
      </c>
      <c r="AP50" s="15">
        <v>0</v>
      </c>
      <c r="AQ50" s="18" t="str">
        <f t="shared" si="10"/>
        <v>N/A</v>
      </c>
      <c r="AR50" s="23">
        <v>46071</v>
      </c>
      <c r="AS50" s="14" t="s">
        <v>79</v>
      </c>
    </row>
    <row r="51" spans="1:45" x14ac:dyDescent="0.25">
      <c r="A51" s="14" t="s">
        <v>261</v>
      </c>
      <c r="B51" s="14" t="s">
        <v>262</v>
      </c>
      <c r="C51" s="14"/>
      <c r="D51" s="15" t="s">
        <v>263</v>
      </c>
      <c r="E51" s="14">
        <v>42</v>
      </c>
      <c r="F51" s="14" t="s">
        <v>71</v>
      </c>
      <c r="G51" s="14" t="s">
        <v>90</v>
      </c>
      <c r="H51" s="14" t="s">
        <v>103</v>
      </c>
      <c r="I51" s="14" t="s">
        <v>74</v>
      </c>
      <c r="J51" s="15">
        <v>1719970</v>
      </c>
      <c r="K51" s="14">
        <v>1</v>
      </c>
      <c r="L51" s="14" t="s">
        <v>75</v>
      </c>
      <c r="M51" s="14" t="s">
        <v>76</v>
      </c>
      <c r="N51" s="14" t="s">
        <v>75</v>
      </c>
      <c r="O51" s="14" t="s">
        <v>75</v>
      </c>
      <c r="P51" s="14">
        <v>790</v>
      </c>
      <c r="Q51" s="15"/>
      <c r="R51" s="15">
        <v>32597</v>
      </c>
      <c r="S51" s="14" t="s">
        <v>20</v>
      </c>
      <c r="T51" s="15"/>
      <c r="U51" s="16">
        <f t="shared" si="0"/>
        <v>0.22742489694587698</v>
      </c>
      <c r="V51" s="14">
        <v>3</v>
      </c>
      <c r="W51" s="17">
        <v>48.5</v>
      </c>
      <c r="X51" s="14">
        <v>4.5</v>
      </c>
      <c r="Y51" s="18">
        <f t="shared" si="1"/>
        <v>31</v>
      </c>
      <c r="Z51" s="18" t="str">
        <f t="shared" si="2"/>
        <v>Medium</v>
      </c>
      <c r="AA51" s="19" t="str">
        <f t="shared" si="3"/>
        <v>Review</v>
      </c>
      <c r="AB51" s="14" t="s">
        <v>85</v>
      </c>
      <c r="AC51" s="14">
        <v>0</v>
      </c>
      <c r="AD51" s="14" t="s">
        <v>78</v>
      </c>
      <c r="AE51" s="17">
        <v>19.600000000000001</v>
      </c>
      <c r="AF51" s="15">
        <v>0</v>
      </c>
      <c r="AG51" s="20">
        <f t="shared" si="4"/>
        <v>1719970</v>
      </c>
      <c r="AH51" s="14">
        <v>3</v>
      </c>
      <c r="AI51" s="14" t="s">
        <v>75</v>
      </c>
      <c r="AJ51" s="14">
        <v>24</v>
      </c>
      <c r="AK51" s="21">
        <f t="shared" si="5"/>
        <v>0.375</v>
      </c>
      <c r="AL51" s="20">
        <f t="shared" si="6"/>
        <v>0</v>
      </c>
      <c r="AM51" s="22">
        <f t="shared" si="7"/>
        <v>0</v>
      </c>
      <c r="AN51" s="20">
        <f t="shared" si="8"/>
        <v>32597</v>
      </c>
      <c r="AO51" s="16">
        <f t="shared" si="9"/>
        <v>0.22742489694587698</v>
      </c>
      <c r="AP51" s="15">
        <v>0</v>
      </c>
      <c r="AQ51" s="18" t="str">
        <f t="shared" si="10"/>
        <v>N/A</v>
      </c>
      <c r="AR51" s="23">
        <v>45913</v>
      </c>
      <c r="AS51" s="14" t="s">
        <v>79</v>
      </c>
    </row>
    <row r="52" spans="1:45" x14ac:dyDescent="0.25">
      <c r="A52" s="14" t="s">
        <v>264</v>
      </c>
      <c r="B52" s="14" t="s">
        <v>265</v>
      </c>
      <c r="C52" s="14">
        <v>9483298103</v>
      </c>
      <c r="D52" s="15" t="s">
        <v>267</v>
      </c>
      <c r="E52" s="14">
        <v>62</v>
      </c>
      <c r="F52" s="14" t="s">
        <v>89</v>
      </c>
      <c r="G52" s="14" t="s">
        <v>215</v>
      </c>
      <c r="H52" s="14" t="s">
        <v>73</v>
      </c>
      <c r="I52" s="14" t="s">
        <v>74</v>
      </c>
      <c r="J52" s="15">
        <v>1843584</v>
      </c>
      <c r="K52" s="14">
        <v>1</v>
      </c>
      <c r="L52" s="14" t="s">
        <v>76</v>
      </c>
      <c r="M52" s="14" t="s">
        <v>75</v>
      </c>
      <c r="N52" s="14" t="s">
        <v>75</v>
      </c>
      <c r="O52" s="14" t="s">
        <v>75</v>
      </c>
      <c r="P52" s="14">
        <v>647</v>
      </c>
      <c r="Q52" s="15"/>
      <c r="R52" s="15">
        <v>25048.48</v>
      </c>
      <c r="S52" s="14" t="s">
        <v>23</v>
      </c>
      <c r="T52" s="15">
        <v>4581529</v>
      </c>
      <c r="U52" s="16">
        <f t="shared" si="0"/>
        <v>0.16304207456779837</v>
      </c>
      <c r="V52" s="14">
        <v>5</v>
      </c>
      <c r="W52" s="17">
        <v>54.3</v>
      </c>
      <c r="X52" s="14">
        <v>12.1</v>
      </c>
      <c r="Y52" s="18">
        <f t="shared" si="1"/>
        <v>47.2</v>
      </c>
      <c r="Z52" s="18" t="str">
        <f t="shared" si="2"/>
        <v>Medium</v>
      </c>
      <c r="AA52" s="19" t="str">
        <f t="shared" si="3"/>
        <v>Not Eligible</v>
      </c>
      <c r="AB52" s="14" t="s">
        <v>77</v>
      </c>
      <c r="AC52" s="14">
        <v>0</v>
      </c>
      <c r="AD52" s="14" t="s">
        <v>93</v>
      </c>
      <c r="AE52" s="17">
        <v>24.7</v>
      </c>
      <c r="AF52" s="15">
        <v>0</v>
      </c>
      <c r="AG52" s="20">
        <f t="shared" si="4"/>
        <v>1843584</v>
      </c>
      <c r="AH52" s="14">
        <v>0</v>
      </c>
      <c r="AI52" s="14" t="s">
        <v>75</v>
      </c>
      <c r="AJ52" s="14">
        <v>240</v>
      </c>
      <c r="AK52" s="21">
        <f t="shared" si="5"/>
        <v>0.1</v>
      </c>
      <c r="AL52" s="20">
        <f t="shared" si="6"/>
        <v>44212.746525342736</v>
      </c>
      <c r="AM52" s="22">
        <f t="shared" si="7"/>
        <v>2.4851208298618341</v>
      </c>
      <c r="AN52" s="20">
        <f t="shared" si="8"/>
        <v>69261.226525342732</v>
      </c>
      <c r="AO52" s="16">
        <f t="shared" si="9"/>
        <v>0.45082552154071243</v>
      </c>
      <c r="AP52" s="15">
        <v>5619813</v>
      </c>
      <c r="AQ52" s="18">
        <f t="shared" si="10"/>
        <v>0.81524580978050343</v>
      </c>
      <c r="AR52" s="23">
        <v>46203</v>
      </c>
      <c r="AS52" s="14" t="s">
        <v>79</v>
      </c>
    </row>
    <row r="53" spans="1:45" x14ac:dyDescent="0.25">
      <c r="A53" s="14" t="s">
        <v>268</v>
      </c>
      <c r="B53" s="14" t="s">
        <v>269</v>
      </c>
      <c r="C53" s="14">
        <v>9576642996</v>
      </c>
      <c r="D53" s="15" t="s">
        <v>270</v>
      </c>
      <c r="E53" s="14">
        <v>23</v>
      </c>
      <c r="F53" s="14" t="s">
        <v>89</v>
      </c>
      <c r="G53" s="14" t="s">
        <v>174</v>
      </c>
      <c r="H53" s="14" t="s">
        <v>84</v>
      </c>
      <c r="I53" s="14" t="s">
        <v>74</v>
      </c>
      <c r="J53" s="15">
        <v>540577</v>
      </c>
      <c r="K53" s="14">
        <v>1</v>
      </c>
      <c r="L53" s="14" t="s">
        <v>76</v>
      </c>
      <c r="M53" s="14" t="s">
        <v>75</v>
      </c>
      <c r="N53" s="14" t="s">
        <v>75</v>
      </c>
      <c r="O53" s="14" t="s">
        <v>75</v>
      </c>
      <c r="P53" s="14">
        <v>463</v>
      </c>
      <c r="Q53" s="15"/>
      <c r="R53" s="15">
        <v>14715.89</v>
      </c>
      <c r="S53" s="14" t="s">
        <v>23</v>
      </c>
      <c r="T53" s="15"/>
      <c r="U53" s="16">
        <f t="shared" si="0"/>
        <v>0.32667072405966219</v>
      </c>
      <c r="V53" s="14">
        <v>0</v>
      </c>
      <c r="W53" s="17">
        <v>27.4</v>
      </c>
      <c r="X53" s="14">
        <v>9.6999999999999993</v>
      </c>
      <c r="Y53" s="18">
        <f t="shared" si="1"/>
        <v>41.7</v>
      </c>
      <c r="Z53" s="18" t="str">
        <f t="shared" si="2"/>
        <v>Medium</v>
      </c>
      <c r="AA53" s="19" t="str">
        <f t="shared" si="3"/>
        <v>Not Eligible</v>
      </c>
      <c r="AB53" s="14" t="s">
        <v>85</v>
      </c>
      <c r="AC53" s="14">
        <v>3</v>
      </c>
      <c r="AD53" s="14" t="s">
        <v>78</v>
      </c>
      <c r="AE53" s="17">
        <v>0.6</v>
      </c>
      <c r="AF53" s="15">
        <v>0</v>
      </c>
      <c r="AG53" s="20">
        <f t="shared" si="4"/>
        <v>540577</v>
      </c>
      <c r="AH53" s="14">
        <v>0</v>
      </c>
      <c r="AI53" s="14" t="s">
        <v>75</v>
      </c>
      <c r="AJ53" s="14">
        <v>120</v>
      </c>
      <c r="AK53" s="21">
        <f t="shared" si="5"/>
        <v>0.1</v>
      </c>
      <c r="AL53" s="20">
        <f t="shared" si="6"/>
        <v>0</v>
      </c>
      <c r="AM53" s="22">
        <f t="shared" si="7"/>
        <v>0</v>
      </c>
      <c r="AN53" s="20">
        <f t="shared" si="8"/>
        <v>14715.89</v>
      </c>
      <c r="AO53" s="16">
        <f t="shared" si="9"/>
        <v>0.32667072405966219</v>
      </c>
      <c r="AP53" s="15">
        <v>2317806</v>
      </c>
      <c r="AQ53" s="18">
        <f t="shared" si="10"/>
        <v>0</v>
      </c>
      <c r="AR53" s="23">
        <v>46166</v>
      </c>
      <c r="AS53" s="14" t="s">
        <v>79</v>
      </c>
    </row>
    <row r="54" spans="1:45" x14ac:dyDescent="0.25">
      <c r="A54" s="14" t="s">
        <v>271</v>
      </c>
      <c r="B54" s="14" t="s">
        <v>272</v>
      </c>
      <c r="C54" s="14">
        <v>9399240862</v>
      </c>
      <c r="D54" s="15" t="s">
        <v>273</v>
      </c>
      <c r="E54" s="14">
        <v>22</v>
      </c>
      <c r="F54" s="14" t="s">
        <v>71</v>
      </c>
      <c r="G54" s="14" t="s">
        <v>115</v>
      </c>
      <c r="H54" s="14" t="s">
        <v>144</v>
      </c>
      <c r="I54" s="14" t="s">
        <v>92</v>
      </c>
      <c r="J54" s="15">
        <v>1923142</v>
      </c>
      <c r="K54" s="14">
        <v>1</v>
      </c>
      <c r="L54" s="14" t="s">
        <v>75</v>
      </c>
      <c r="M54" s="14" t="s">
        <v>76</v>
      </c>
      <c r="N54" s="14" t="s">
        <v>75</v>
      </c>
      <c r="O54" s="14" t="s">
        <v>75</v>
      </c>
      <c r="P54" s="14">
        <v>519</v>
      </c>
      <c r="Q54" s="15">
        <v>1149690.96</v>
      </c>
      <c r="R54" s="15">
        <v>38323.03</v>
      </c>
      <c r="S54" s="14" t="s">
        <v>23</v>
      </c>
      <c r="T54" s="15"/>
      <c r="U54" s="16">
        <f t="shared" si="0"/>
        <v>0.23912761512150429</v>
      </c>
      <c r="V54" s="14">
        <v>0</v>
      </c>
      <c r="W54" s="17">
        <v>86</v>
      </c>
      <c r="X54" s="14">
        <v>6.9</v>
      </c>
      <c r="Y54" s="18">
        <f t="shared" si="1"/>
        <v>41.2</v>
      </c>
      <c r="Z54" s="18" t="str">
        <f t="shared" si="2"/>
        <v>Medium</v>
      </c>
      <c r="AA54" s="19" t="str">
        <f t="shared" si="3"/>
        <v>Not Eligible</v>
      </c>
      <c r="AB54" s="14" t="s">
        <v>77</v>
      </c>
      <c r="AC54" s="14">
        <v>1</v>
      </c>
      <c r="AD54" s="14" t="s">
        <v>78</v>
      </c>
      <c r="AE54" s="17">
        <v>0.8</v>
      </c>
      <c r="AF54" s="15">
        <v>0</v>
      </c>
      <c r="AG54" s="20">
        <f t="shared" si="4"/>
        <v>1923142</v>
      </c>
      <c r="AH54" s="14">
        <v>0</v>
      </c>
      <c r="AI54" s="14" t="s">
        <v>75</v>
      </c>
      <c r="AJ54" s="14">
        <v>120</v>
      </c>
      <c r="AK54" s="21">
        <f t="shared" si="5"/>
        <v>0.1</v>
      </c>
      <c r="AL54" s="20">
        <f t="shared" si="6"/>
        <v>0</v>
      </c>
      <c r="AM54" s="22">
        <f t="shared" si="7"/>
        <v>0</v>
      </c>
      <c r="AN54" s="20">
        <f t="shared" si="8"/>
        <v>38323.03</v>
      </c>
      <c r="AO54" s="16">
        <f t="shared" si="9"/>
        <v>0.23912761512150429</v>
      </c>
      <c r="AP54" s="15">
        <v>4093240</v>
      </c>
      <c r="AQ54" s="18">
        <f t="shared" si="10"/>
        <v>0</v>
      </c>
      <c r="AR54" s="23">
        <v>46043</v>
      </c>
      <c r="AS54" s="14" t="s">
        <v>79</v>
      </c>
    </row>
    <row r="55" spans="1:45" x14ac:dyDescent="0.25">
      <c r="A55" s="14" t="s">
        <v>274</v>
      </c>
      <c r="B55" s="14" t="s">
        <v>275</v>
      </c>
      <c r="C55" s="14"/>
      <c r="D55" s="15" t="s">
        <v>276</v>
      </c>
      <c r="E55" s="14">
        <v>44</v>
      </c>
      <c r="F55" s="14" t="s">
        <v>71</v>
      </c>
      <c r="G55" s="14" t="s">
        <v>139</v>
      </c>
      <c r="H55" s="14" t="s">
        <v>91</v>
      </c>
      <c r="I55" s="14" t="s">
        <v>92</v>
      </c>
      <c r="J55" s="15">
        <v>882491</v>
      </c>
      <c r="K55" s="14">
        <v>1</v>
      </c>
      <c r="L55" s="14" t="s">
        <v>76</v>
      </c>
      <c r="M55" s="14" t="s">
        <v>75</v>
      </c>
      <c r="N55" s="14" t="s">
        <v>75</v>
      </c>
      <c r="O55" s="14" t="s">
        <v>75</v>
      </c>
      <c r="P55" s="14">
        <v>778</v>
      </c>
      <c r="Q55" s="15">
        <v>425535</v>
      </c>
      <c r="R55" s="15">
        <v>9053.93</v>
      </c>
      <c r="S55" s="14" t="s">
        <v>21</v>
      </c>
      <c r="T55" s="15">
        <v>691674</v>
      </c>
      <c r="U55" s="16">
        <f t="shared" si="0"/>
        <v>0.12311418473389531</v>
      </c>
      <c r="V55" s="14">
        <v>4</v>
      </c>
      <c r="W55" s="17">
        <v>11.2</v>
      </c>
      <c r="X55" s="14">
        <v>6.1</v>
      </c>
      <c r="Y55" s="18">
        <f t="shared" si="1"/>
        <v>28.9</v>
      </c>
      <c r="Z55" s="18" t="str">
        <f t="shared" si="2"/>
        <v>Low</v>
      </c>
      <c r="AA55" s="19" t="str">
        <f t="shared" si="3"/>
        <v>Review</v>
      </c>
      <c r="AB55" s="14" t="s">
        <v>77</v>
      </c>
      <c r="AC55" s="14">
        <v>1</v>
      </c>
      <c r="AD55" s="14" t="s">
        <v>78</v>
      </c>
      <c r="AE55" s="17">
        <v>9.6</v>
      </c>
      <c r="AF55" s="15">
        <v>0</v>
      </c>
      <c r="AG55" s="20">
        <f t="shared" si="4"/>
        <v>882491</v>
      </c>
      <c r="AH55" s="14">
        <v>0</v>
      </c>
      <c r="AI55" s="14" t="s">
        <v>75</v>
      </c>
      <c r="AJ55" s="14">
        <v>12</v>
      </c>
      <c r="AK55" s="21">
        <f t="shared" si="5"/>
        <v>0.14000000000000001</v>
      </c>
      <c r="AL55" s="20">
        <f t="shared" si="6"/>
        <v>62103.414786756832</v>
      </c>
      <c r="AM55" s="22">
        <f t="shared" si="7"/>
        <v>0.78377456540633272</v>
      </c>
      <c r="AN55" s="20">
        <f t="shared" si="8"/>
        <v>71157.344786756832</v>
      </c>
      <c r="AO55" s="16">
        <f t="shared" si="9"/>
        <v>0.96758849375357026</v>
      </c>
      <c r="AP55" s="15">
        <v>0</v>
      </c>
      <c r="AQ55" s="18" t="str">
        <f t="shared" si="10"/>
        <v>N/A</v>
      </c>
      <c r="AR55" s="23">
        <v>46125</v>
      </c>
      <c r="AS55" s="14" t="s">
        <v>79</v>
      </c>
    </row>
    <row r="56" spans="1:45" x14ac:dyDescent="0.25">
      <c r="A56" s="14" t="s">
        <v>277</v>
      </c>
      <c r="B56" s="14" t="s">
        <v>278</v>
      </c>
      <c r="C56" s="14">
        <v>9237798236</v>
      </c>
      <c r="D56" s="15" t="s">
        <v>279</v>
      </c>
      <c r="E56" s="14">
        <v>61</v>
      </c>
      <c r="F56" s="14" t="s">
        <v>71</v>
      </c>
      <c r="G56" s="14" t="s">
        <v>72</v>
      </c>
      <c r="H56" s="14" t="s">
        <v>99</v>
      </c>
      <c r="I56" s="14" t="s">
        <v>74</v>
      </c>
      <c r="J56" s="15">
        <v>2409163</v>
      </c>
      <c r="K56" s="14">
        <v>3</v>
      </c>
      <c r="L56" s="14" t="s">
        <v>75</v>
      </c>
      <c r="M56" s="14" t="s">
        <v>76</v>
      </c>
      <c r="N56" s="14" t="s">
        <v>76</v>
      </c>
      <c r="O56" s="14" t="s">
        <v>76</v>
      </c>
      <c r="P56" s="14">
        <v>468</v>
      </c>
      <c r="Q56" s="15">
        <v>234122.88</v>
      </c>
      <c r="R56" s="15">
        <v>4107.42</v>
      </c>
      <c r="S56" s="14" t="s">
        <v>21</v>
      </c>
      <c r="T56" s="15">
        <v>412831</v>
      </c>
      <c r="U56" s="16">
        <f t="shared" si="0"/>
        <v>2.0458989283830109E-2</v>
      </c>
      <c r="V56" s="14">
        <v>5</v>
      </c>
      <c r="W56" s="17">
        <v>54.3</v>
      </c>
      <c r="X56" s="14">
        <v>4.4000000000000004</v>
      </c>
      <c r="Y56" s="18">
        <f t="shared" si="1"/>
        <v>54.8</v>
      </c>
      <c r="Z56" s="18" t="str">
        <f t="shared" si="2"/>
        <v>Medium</v>
      </c>
      <c r="AA56" s="19" t="str">
        <f t="shared" si="3"/>
        <v>Not Eligible</v>
      </c>
      <c r="AB56" s="14" t="s">
        <v>85</v>
      </c>
      <c r="AC56" s="14">
        <v>0</v>
      </c>
      <c r="AD56" s="14" t="s">
        <v>194</v>
      </c>
      <c r="AE56" s="17">
        <v>8.5</v>
      </c>
      <c r="AF56" s="15">
        <v>0</v>
      </c>
      <c r="AG56" s="20">
        <f t="shared" si="4"/>
        <v>2409163</v>
      </c>
      <c r="AH56" s="14">
        <v>1</v>
      </c>
      <c r="AI56" s="14" t="s">
        <v>75</v>
      </c>
      <c r="AJ56" s="14">
        <v>24</v>
      </c>
      <c r="AK56" s="21">
        <f t="shared" si="5"/>
        <v>0.15500000000000003</v>
      </c>
      <c r="AL56" s="20">
        <f t="shared" si="6"/>
        <v>20115.001595965612</v>
      </c>
      <c r="AM56" s="22">
        <f t="shared" si="7"/>
        <v>0.17135868349298075</v>
      </c>
      <c r="AN56" s="20">
        <f t="shared" si="8"/>
        <v>24222.421595965614</v>
      </c>
      <c r="AO56" s="16">
        <f t="shared" si="9"/>
        <v>0.12065147071891248</v>
      </c>
      <c r="AP56" s="15">
        <v>0</v>
      </c>
      <c r="AQ56" s="18" t="str">
        <f t="shared" si="10"/>
        <v>N/A</v>
      </c>
      <c r="AR56" s="23">
        <v>46198</v>
      </c>
      <c r="AS56" s="14" t="s">
        <v>94</v>
      </c>
    </row>
    <row r="57" spans="1:45" x14ac:dyDescent="0.25">
      <c r="A57" s="14" t="s">
        <v>280</v>
      </c>
      <c r="B57" s="14" t="s">
        <v>281</v>
      </c>
      <c r="C57" s="14"/>
      <c r="D57" s="15" t="s">
        <v>282</v>
      </c>
      <c r="E57" s="14">
        <v>42</v>
      </c>
      <c r="F57" s="14" t="s">
        <v>71</v>
      </c>
      <c r="G57" s="14" t="s">
        <v>127</v>
      </c>
      <c r="H57" s="14" t="s">
        <v>73</v>
      </c>
      <c r="I57" s="14" t="s">
        <v>74</v>
      </c>
      <c r="J57" s="15">
        <v>490680</v>
      </c>
      <c r="K57" s="14">
        <v>0</v>
      </c>
      <c r="L57" s="14" t="s">
        <v>75</v>
      </c>
      <c r="M57" s="14" t="s">
        <v>75</v>
      </c>
      <c r="N57" s="14" t="s">
        <v>75</v>
      </c>
      <c r="O57" s="14" t="s">
        <v>75</v>
      </c>
      <c r="P57" s="14">
        <v>885</v>
      </c>
      <c r="Q57" s="15">
        <v>20441</v>
      </c>
      <c r="R57" s="15">
        <v>393.1</v>
      </c>
      <c r="S57" s="14" t="s">
        <v>20</v>
      </c>
      <c r="T57" s="15">
        <v>281115</v>
      </c>
      <c r="U57" s="16">
        <f t="shared" si="0"/>
        <v>9.6135974565908552E-3</v>
      </c>
      <c r="V57" s="14">
        <v>4</v>
      </c>
      <c r="W57" s="17">
        <v>56.8</v>
      </c>
      <c r="X57" s="14">
        <v>9.6999999999999993</v>
      </c>
      <c r="Y57" s="18">
        <f t="shared" si="1"/>
        <v>23</v>
      </c>
      <c r="Z57" s="18" t="str">
        <f t="shared" si="2"/>
        <v>Low</v>
      </c>
      <c r="AA57" s="19" t="str">
        <f t="shared" si="3"/>
        <v>Review</v>
      </c>
      <c r="AB57" s="14" t="s">
        <v>85</v>
      </c>
      <c r="AC57" s="14">
        <v>0</v>
      </c>
      <c r="AD57" s="14" t="s">
        <v>93</v>
      </c>
      <c r="AE57" s="17">
        <v>8.6999999999999993</v>
      </c>
      <c r="AF57" s="15">
        <v>0</v>
      </c>
      <c r="AG57" s="20">
        <f t="shared" si="4"/>
        <v>490680</v>
      </c>
      <c r="AH57" s="14">
        <v>1</v>
      </c>
      <c r="AI57" s="14" t="s">
        <v>75</v>
      </c>
      <c r="AJ57" s="14">
        <v>36</v>
      </c>
      <c r="AK57" s="21">
        <f t="shared" si="5"/>
        <v>0.36</v>
      </c>
      <c r="AL57" s="20">
        <f t="shared" si="6"/>
        <v>12876.133602079313</v>
      </c>
      <c r="AM57" s="22">
        <f t="shared" si="7"/>
        <v>0.57290902421129863</v>
      </c>
      <c r="AN57" s="20">
        <f t="shared" si="8"/>
        <v>13269.233602079314</v>
      </c>
      <c r="AO57" s="16">
        <f t="shared" si="9"/>
        <v>0.32451048183123776</v>
      </c>
      <c r="AP57" s="15">
        <v>0</v>
      </c>
      <c r="AQ57" s="18" t="str">
        <f t="shared" si="10"/>
        <v>N/A</v>
      </c>
      <c r="AR57" s="23">
        <v>46142</v>
      </c>
      <c r="AS57" s="14" t="s">
        <v>79</v>
      </c>
    </row>
    <row r="58" spans="1:45" x14ac:dyDescent="0.25">
      <c r="A58" s="14" t="s">
        <v>283</v>
      </c>
      <c r="B58" s="14" t="s">
        <v>284</v>
      </c>
      <c r="C58" s="14">
        <v>9254263081</v>
      </c>
      <c r="D58" s="15" t="s">
        <v>286</v>
      </c>
      <c r="E58" s="14">
        <v>43</v>
      </c>
      <c r="F58" s="14" t="s">
        <v>89</v>
      </c>
      <c r="G58" s="14" t="s">
        <v>72</v>
      </c>
      <c r="H58" s="14" t="s">
        <v>103</v>
      </c>
      <c r="I58" s="14" t="s">
        <v>74</v>
      </c>
      <c r="J58" s="15">
        <v>2459983</v>
      </c>
      <c r="K58" s="14">
        <v>0</v>
      </c>
      <c r="L58" s="14" t="s">
        <v>75</v>
      </c>
      <c r="M58" s="14" t="s">
        <v>75</v>
      </c>
      <c r="N58" s="14" t="s">
        <v>75</v>
      </c>
      <c r="O58" s="14" t="s">
        <v>75</v>
      </c>
      <c r="P58" s="14">
        <v>553</v>
      </c>
      <c r="Q58" s="15">
        <v>34655.660000000003</v>
      </c>
      <c r="R58" s="15">
        <v>2310.38</v>
      </c>
      <c r="S58" s="14" t="s">
        <v>22</v>
      </c>
      <c r="T58" s="15">
        <v>1105620</v>
      </c>
      <c r="U58" s="16">
        <f t="shared" si="0"/>
        <v>1.127022422512676E-2</v>
      </c>
      <c r="V58" s="14">
        <v>4</v>
      </c>
      <c r="W58" s="17">
        <v>44.7</v>
      </c>
      <c r="X58" s="14">
        <v>14.4</v>
      </c>
      <c r="Y58" s="18">
        <f t="shared" si="1"/>
        <v>43.9</v>
      </c>
      <c r="Z58" s="18" t="str">
        <f t="shared" si="2"/>
        <v>Medium</v>
      </c>
      <c r="AA58" s="19" t="str">
        <f t="shared" si="3"/>
        <v>Review</v>
      </c>
      <c r="AB58" s="14" t="s">
        <v>77</v>
      </c>
      <c r="AC58" s="14">
        <v>3</v>
      </c>
      <c r="AD58" s="14" t="s">
        <v>194</v>
      </c>
      <c r="AE58" s="17">
        <v>15.9</v>
      </c>
      <c r="AF58" s="15">
        <v>269507</v>
      </c>
      <c r="AG58" s="20">
        <f t="shared" si="4"/>
        <v>2729490</v>
      </c>
      <c r="AH58" s="14">
        <v>3</v>
      </c>
      <c r="AI58" s="14" t="s">
        <v>75</v>
      </c>
      <c r="AJ58" s="14">
        <v>48</v>
      </c>
      <c r="AK58" s="21">
        <f t="shared" si="5"/>
        <v>0.105</v>
      </c>
      <c r="AL58" s="20">
        <f t="shared" si="6"/>
        <v>28307.608721300134</v>
      </c>
      <c r="AM58" s="22">
        <f t="shared" si="7"/>
        <v>0.44944213029114427</v>
      </c>
      <c r="AN58" s="20">
        <f t="shared" si="8"/>
        <v>30617.988721300135</v>
      </c>
      <c r="AO58" s="16">
        <f t="shared" si="9"/>
        <v>0.14935707468531353</v>
      </c>
      <c r="AP58" s="15">
        <v>1270882</v>
      </c>
      <c r="AQ58" s="18">
        <f t="shared" si="10"/>
        <v>0.8699627502789401</v>
      </c>
      <c r="AR58" s="23">
        <v>45941</v>
      </c>
      <c r="AS58" s="14" t="s">
        <v>94</v>
      </c>
    </row>
    <row r="59" spans="1:45" x14ac:dyDescent="0.25">
      <c r="A59" s="14" t="s">
        <v>287</v>
      </c>
      <c r="B59" s="14" t="s">
        <v>288</v>
      </c>
      <c r="C59" s="14"/>
      <c r="D59" s="15" t="s">
        <v>289</v>
      </c>
      <c r="E59" s="14">
        <v>43</v>
      </c>
      <c r="F59" s="14" t="s">
        <v>71</v>
      </c>
      <c r="G59" s="14" t="s">
        <v>90</v>
      </c>
      <c r="H59" s="14" t="s">
        <v>84</v>
      </c>
      <c r="I59" s="14" t="s">
        <v>74</v>
      </c>
      <c r="J59" s="15">
        <v>2375736</v>
      </c>
      <c r="K59" s="14">
        <v>0</v>
      </c>
      <c r="L59" s="14" t="s">
        <v>75</v>
      </c>
      <c r="M59" s="14" t="s">
        <v>75</v>
      </c>
      <c r="N59" s="14" t="s">
        <v>75</v>
      </c>
      <c r="O59" s="14" t="s">
        <v>75</v>
      </c>
      <c r="P59" s="14">
        <v>308</v>
      </c>
      <c r="Q59" s="15">
        <v>201265.79</v>
      </c>
      <c r="R59" s="15">
        <v>5160.66</v>
      </c>
      <c r="S59" s="14" t="s">
        <v>21</v>
      </c>
      <c r="T59" s="15">
        <v>975321</v>
      </c>
      <c r="U59" s="16">
        <f t="shared" si="0"/>
        <v>2.6066835709018174E-2</v>
      </c>
      <c r="V59" s="14">
        <v>0</v>
      </c>
      <c r="W59" s="17">
        <v>39.700000000000003</v>
      </c>
      <c r="X59" s="14">
        <v>6.2</v>
      </c>
      <c r="Y59" s="18">
        <f t="shared" si="1"/>
        <v>44.2</v>
      </c>
      <c r="Z59" s="18" t="str">
        <f t="shared" si="2"/>
        <v>Medium</v>
      </c>
      <c r="AA59" s="19" t="str">
        <f t="shared" si="3"/>
        <v>Not Eligible</v>
      </c>
      <c r="AB59" s="14" t="s">
        <v>85</v>
      </c>
      <c r="AC59" s="14">
        <v>0</v>
      </c>
      <c r="AD59" s="14" t="s">
        <v>93</v>
      </c>
      <c r="AE59" s="17">
        <v>8.1999999999999993</v>
      </c>
      <c r="AF59" s="15">
        <v>439762</v>
      </c>
      <c r="AG59" s="20">
        <f t="shared" si="4"/>
        <v>2815498</v>
      </c>
      <c r="AH59" s="14">
        <v>0</v>
      </c>
      <c r="AI59" s="14" t="s">
        <v>75</v>
      </c>
      <c r="AJ59" s="14">
        <v>60</v>
      </c>
      <c r="AK59" s="21">
        <f t="shared" si="5"/>
        <v>0.15500000000000003</v>
      </c>
      <c r="AL59" s="20">
        <f t="shared" si="6"/>
        <v>23459.582377051935</v>
      </c>
      <c r="AM59" s="22">
        <f t="shared" si="7"/>
        <v>0.41053425128044529</v>
      </c>
      <c r="AN59" s="20">
        <f t="shared" si="8"/>
        <v>28620.242377051934</v>
      </c>
      <c r="AO59" s="16">
        <f t="shared" si="9"/>
        <v>0.14456274119877932</v>
      </c>
      <c r="AP59" s="15">
        <v>0</v>
      </c>
      <c r="AQ59" s="18" t="str">
        <f t="shared" si="10"/>
        <v>N/A</v>
      </c>
      <c r="AR59" s="23">
        <v>46243</v>
      </c>
      <c r="AS59" s="14" t="s">
        <v>79</v>
      </c>
    </row>
    <row r="60" spans="1:45" x14ac:dyDescent="0.25">
      <c r="A60" s="14" t="s">
        <v>290</v>
      </c>
      <c r="B60" s="14" t="s">
        <v>291</v>
      </c>
      <c r="C60" s="14">
        <v>9522950895</v>
      </c>
      <c r="D60" s="15" t="s">
        <v>292</v>
      </c>
      <c r="E60" s="14">
        <v>56</v>
      </c>
      <c r="F60" s="14" t="s">
        <v>89</v>
      </c>
      <c r="G60" s="14" t="s">
        <v>72</v>
      </c>
      <c r="H60" s="14" t="s">
        <v>91</v>
      </c>
      <c r="I60" s="14" t="s">
        <v>92</v>
      </c>
      <c r="J60" s="15">
        <v>2435414</v>
      </c>
      <c r="K60" s="14">
        <v>3</v>
      </c>
      <c r="L60" s="14" t="s">
        <v>76</v>
      </c>
      <c r="M60" s="14" t="s">
        <v>76</v>
      </c>
      <c r="N60" s="14" t="s">
        <v>76</v>
      </c>
      <c r="O60" s="14" t="s">
        <v>75</v>
      </c>
      <c r="P60" s="14">
        <v>785</v>
      </c>
      <c r="Q60" s="15">
        <v>758874</v>
      </c>
      <c r="R60" s="15">
        <v>36136.86</v>
      </c>
      <c r="S60" s="14" t="s">
        <v>21</v>
      </c>
      <c r="T60" s="15">
        <v>393897</v>
      </c>
      <c r="U60" s="16">
        <f t="shared" si="0"/>
        <v>0.17805692173897333</v>
      </c>
      <c r="V60" s="14">
        <v>5</v>
      </c>
      <c r="W60" s="17">
        <v>35.299999999999997</v>
      </c>
      <c r="X60" s="14">
        <v>6</v>
      </c>
      <c r="Y60" s="18">
        <f t="shared" si="1"/>
        <v>36.5</v>
      </c>
      <c r="Z60" s="18" t="str">
        <f t="shared" si="2"/>
        <v>Medium</v>
      </c>
      <c r="AA60" s="19" t="str">
        <f t="shared" si="3"/>
        <v>Not Eligible</v>
      </c>
      <c r="AB60" s="14" t="s">
        <v>77</v>
      </c>
      <c r="AC60" s="14">
        <v>3</v>
      </c>
      <c r="AD60" s="14" t="s">
        <v>93</v>
      </c>
      <c r="AE60" s="17">
        <v>15.4</v>
      </c>
      <c r="AF60" s="15">
        <v>0</v>
      </c>
      <c r="AG60" s="20">
        <f t="shared" si="4"/>
        <v>2435414</v>
      </c>
      <c r="AH60" s="14">
        <v>0</v>
      </c>
      <c r="AI60" s="14" t="s">
        <v>75</v>
      </c>
      <c r="AJ60" s="14">
        <v>48</v>
      </c>
      <c r="AK60" s="21">
        <f t="shared" si="5"/>
        <v>0.15500000000000003</v>
      </c>
      <c r="AL60" s="20">
        <f t="shared" si="6"/>
        <v>11062.541664184411</v>
      </c>
      <c r="AM60" s="22">
        <f t="shared" si="7"/>
        <v>0.16173718308262988</v>
      </c>
      <c r="AN60" s="20">
        <f t="shared" si="8"/>
        <v>47199.401664184414</v>
      </c>
      <c r="AO60" s="16">
        <f t="shared" si="9"/>
        <v>0.23256531331848013</v>
      </c>
      <c r="AP60" s="15">
        <v>0</v>
      </c>
      <c r="AQ60" s="18" t="str">
        <f t="shared" si="10"/>
        <v>N/A</v>
      </c>
      <c r="AR60" s="23">
        <v>45903</v>
      </c>
      <c r="AS60" s="14" t="s">
        <v>79</v>
      </c>
    </row>
    <row r="61" spans="1:45" x14ac:dyDescent="0.25">
      <c r="A61" s="14" t="s">
        <v>293</v>
      </c>
      <c r="B61" s="14" t="s">
        <v>294</v>
      </c>
      <c r="C61" s="14">
        <v>9547256709</v>
      </c>
      <c r="D61" s="15"/>
      <c r="E61" s="14">
        <v>65</v>
      </c>
      <c r="F61" s="14" t="s">
        <v>71</v>
      </c>
      <c r="G61" s="14" t="s">
        <v>115</v>
      </c>
      <c r="H61" s="14" t="s">
        <v>84</v>
      </c>
      <c r="I61" s="14" t="s">
        <v>74</v>
      </c>
      <c r="J61" s="15">
        <v>1254385</v>
      </c>
      <c r="K61" s="14">
        <v>1</v>
      </c>
      <c r="L61" s="14" t="s">
        <v>75</v>
      </c>
      <c r="M61" s="14" t="s">
        <v>75</v>
      </c>
      <c r="N61" s="14" t="s">
        <v>76</v>
      </c>
      <c r="O61" s="14" t="s">
        <v>75</v>
      </c>
      <c r="P61" s="14">
        <v>689</v>
      </c>
      <c r="Q61" s="15"/>
      <c r="R61" s="15">
        <v>2022.19</v>
      </c>
      <c r="S61" s="14" t="s">
        <v>21</v>
      </c>
      <c r="T61" s="15">
        <v>83104</v>
      </c>
      <c r="U61" s="16">
        <f t="shared" si="0"/>
        <v>1.9345161174599505E-2</v>
      </c>
      <c r="V61" s="14">
        <v>1</v>
      </c>
      <c r="W61" s="17">
        <v>71.5</v>
      </c>
      <c r="X61" s="14">
        <v>3</v>
      </c>
      <c r="Y61" s="18">
        <f t="shared" si="1"/>
        <v>25.8</v>
      </c>
      <c r="Z61" s="18" t="str">
        <f t="shared" si="2"/>
        <v>Low</v>
      </c>
      <c r="AA61" s="19" t="str">
        <f t="shared" si="3"/>
        <v>Eligible</v>
      </c>
      <c r="AB61" s="14" t="s">
        <v>85</v>
      </c>
      <c r="AC61" s="14">
        <v>1</v>
      </c>
      <c r="AD61" s="14" t="s">
        <v>78</v>
      </c>
      <c r="AE61" s="17">
        <v>6.4</v>
      </c>
      <c r="AF61" s="15">
        <v>0</v>
      </c>
      <c r="AG61" s="20">
        <f t="shared" si="4"/>
        <v>1254385</v>
      </c>
      <c r="AH61" s="14">
        <v>1</v>
      </c>
      <c r="AI61" s="14" t="s">
        <v>75</v>
      </c>
      <c r="AJ61" s="14">
        <v>12</v>
      </c>
      <c r="AK61" s="21">
        <f t="shared" si="5"/>
        <v>0.14000000000000001</v>
      </c>
      <c r="AL61" s="20">
        <f t="shared" si="6"/>
        <v>7461.668621978909</v>
      </c>
      <c r="AM61" s="22">
        <f t="shared" si="7"/>
        <v>6.6250792220889115E-2</v>
      </c>
      <c r="AN61" s="20">
        <f t="shared" si="8"/>
        <v>9483.8586219789086</v>
      </c>
      <c r="AO61" s="16">
        <f t="shared" si="9"/>
        <v>9.0726773250435003E-2</v>
      </c>
      <c r="AP61" s="15">
        <v>0</v>
      </c>
      <c r="AQ61" s="18" t="str">
        <f t="shared" si="10"/>
        <v>N/A</v>
      </c>
      <c r="AR61" s="23">
        <v>46256</v>
      </c>
      <c r="AS61" s="14" t="s">
        <v>79</v>
      </c>
    </row>
    <row r="62" spans="1:45" x14ac:dyDescent="0.25">
      <c r="A62" s="14" t="s">
        <v>296</v>
      </c>
      <c r="B62" s="14" t="s">
        <v>297</v>
      </c>
      <c r="C62" s="14">
        <v>9449019278</v>
      </c>
      <c r="D62" s="15" t="s">
        <v>298</v>
      </c>
      <c r="E62" s="14">
        <v>54</v>
      </c>
      <c r="F62" s="14" t="s">
        <v>89</v>
      </c>
      <c r="G62" s="14" t="s">
        <v>226</v>
      </c>
      <c r="H62" s="14" t="s">
        <v>132</v>
      </c>
      <c r="I62" s="14" t="s">
        <v>92</v>
      </c>
      <c r="J62" s="15">
        <v>2227968</v>
      </c>
      <c r="K62" s="14">
        <v>0</v>
      </c>
      <c r="L62" s="14" t="s">
        <v>75</v>
      </c>
      <c r="M62" s="14" t="s">
        <v>75</v>
      </c>
      <c r="N62" s="14" t="s">
        <v>75</v>
      </c>
      <c r="O62" s="14" t="s">
        <v>75</v>
      </c>
      <c r="P62" s="14">
        <v>570</v>
      </c>
      <c r="Q62" s="15">
        <v>135923</v>
      </c>
      <c r="R62" s="15">
        <v>5663.46</v>
      </c>
      <c r="S62" s="14" t="s">
        <v>21</v>
      </c>
      <c r="T62" s="15"/>
      <c r="U62" s="16">
        <f t="shared" si="0"/>
        <v>3.0503813340227511E-2</v>
      </c>
      <c r="V62" s="14">
        <v>1</v>
      </c>
      <c r="W62" s="17">
        <v>26.4</v>
      </c>
      <c r="X62" s="14">
        <v>14.6</v>
      </c>
      <c r="Y62" s="18">
        <f t="shared" si="1"/>
        <v>29.6</v>
      </c>
      <c r="Z62" s="18" t="str">
        <f t="shared" si="2"/>
        <v>Low</v>
      </c>
      <c r="AA62" s="19" t="str">
        <f t="shared" si="3"/>
        <v>Review</v>
      </c>
      <c r="AB62" s="14" t="s">
        <v>85</v>
      </c>
      <c r="AC62" s="14">
        <v>1</v>
      </c>
      <c r="AD62" s="14" t="s">
        <v>78</v>
      </c>
      <c r="AE62" s="17">
        <v>21.2</v>
      </c>
      <c r="AF62" s="15">
        <v>411602</v>
      </c>
      <c r="AG62" s="20">
        <f t="shared" si="4"/>
        <v>2639570</v>
      </c>
      <c r="AH62" s="14">
        <v>3</v>
      </c>
      <c r="AI62" s="14" t="s">
        <v>75</v>
      </c>
      <c r="AJ62" s="14">
        <v>36</v>
      </c>
      <c r="AK62" s="21">
        <f t="shared" si="5"/>
        <v>0.14000000000000001</v>
      </c>
      <c r="AL62" s="20">
        <f t="shared" si="6"/>
        <v>0</v>
      </c>
      <c r="AM62" s="22">
        <f t="shared" si="7"/>
        <v>0</v>
      </c>
      <c r="AN62" s="20">
        <f t="shared" si="8"/>
        <v>5663.46</v>
      </c>
      <c r="AO62" s="16">
        <f t="shared" si="9"/>
        <v>3.0503813340227511E-2</v>
      </c>
      <c r="AP62" s="15">
        <v>0</v>
      </c>
      <c r="AQ62" s="18" t="str">
        <f t="shared" si="10"/>
        <v>N/A</v>
      </c>
      <c r="AR62" s="23">
        <v>46042</v>
      </c>
      <c r="AS62" s="14" t="s">
        <v>79</v>
      </c>
    </row>
    <row r="63" spans="1:45" x14ac:dyDescent="0.25">
      <c r="A63" s="14" t="s">
        <v>299</v>
      </c>
      <c r="B63" s="14" t="s">
        <v>300</v>
      </c>
      <c r="C63" s="14">
        <v>9507693523</v>
      </c>
      <c r="D63" s="15" t="s">
        <v>301</v>
      </c>
      <c r="E63" s="14">
        <v>43</v>
      </c>
      <c r="F63" s="14" t="s">
        <v>71</v>
      </c>
      <c r="G63" s="14" t="s">
        <v>143</v>
      </c>
      <c r="H63" s="14" t="s">
        <v>166</v>
      </c>
      <c r="I63" s="14" t="s">
        <v>74</v>
      </c>
      <c r="J63" s="15">
        <v>1506409</v>
      </c>
      <c r="K63" s="14">
        <v>1</v>
      </c>
      <c r="L63" s="14" t="s">
        <v>75</v>
      </c>
      <c r="M63" s="14" t="s">
        <v>76</v>
      </c>
      <c r="N63" s="14" t="s">
        <v>75</v>
      </c>
      <c r="O63" s="14" t="s">
        <v>75</v>
      </c>
      <c r="P63" s="14">
        <v>790</v>
      </c>
      <c r="Q63" s="15">
        <v>193411</v>
      </c>
      <c r="R63" s="15">
        <v>4204.59</v>
      </c>
      <c r="S63" s="14" t="s">
        <v>22</v>
      </c>
      <c r="T63" s="15">
        <v>1478637</v>
      </c>
      <c r="U63" s="16">
        <f t="shared" si="0"/>
        <v>3.3493612956375061E-2</v>
      </c>
      <c r="V63" s="14">
        <v>2</v>
      </c>
      <c r="W63" s="17">
        <v>18</v>
      </c>
      <c r="X63" s="14">
        <v>9.3000000000000007</v>
      </c>
      <c r="Y63" s="18">
        <f t="shared" si="1"/>
        <v>18.100000000000001</v>
      </c>
      <c r="Z63" s="18" t="str">
        <f t="shared" si="2"/>
        <v>Low</v>
      </c>
      <c r="AA63" s="19" t="str">
        <f t="shared" si="3"/>
        <v>Eligible</v>
      </c>
      <c r="AB63" s="14" t="s">
        <v>85</v>
      </c>
      <c r="AC63" s="14">
        <v>0</v>
      </c>
      <c r="AD63" s="14" t="s">
        <v>93</v>
      </c>
      <c r="AE63" s="17">
        <v>11.8</v>
      </c>
      <c r="AF63" s="15">
        <v>0</v>
      </c>
      <c r="AG63" s="20">
        <f t="shared" si="4"/>
        <v>1506409</v>
      </c>
      <c r="AH63" s="14">
        <v>0</v>
      </c>
      <c r="AI63" s="14" t="s">
        <v>75</v>
      </c>
      <c r="AJ63" s="14">
        <v>84</v>
      </c>
      <c r="AK63" s="21">
        <f t="shared" si="5"/>
        <v>0.09</v>
      </c>
      <c r="AL63" s="20">
        <f t="shared" si="6"/>
        <v>23789.906411188622</v>
      </c>
      <c r="AM63" s="22">
        <f t="shared" si="7"/>
        <v>0.98156410377261416</v>
      </c>
      <c r="AN63" s="20">
        <f t="shared" si="8"/>
        <v>27994.496411188622</v>
      </c>
      <c r="AO63" s="16">
        <f t="shared" si="9"/>
        <v>0.22300315315048136</v>
      </c>
      <c r="AP63" s="15">
        <v>1692272</v>
      </c>
      <c r="AQ63" s="18">
        <f t="shared" si="10"/>
        <v>0.87375847381508409</v>
      </c>
      <c r="AR63" s="23">
        <v>46243</v>
      </c>
      <c r="AS63" s="14" t="s">
        <v>79</v>
      </c>
    </row>
    <row r="64" spans="1:45" x14ac:dyDescent="0.25">
      <c r="A64" s="14" t="s">
        <v>302</v>
      </c>
      <c r="B64" s="14" t="s">
        <v>303</v>
      </c>
      <c r="C64" s="14">
        <v>9269587940</v>
      </c>
      <c r="D64" s="15" t="s">
        <v>305</v>
      </c>
      <c r="E64" s="14">
        <v>51</v>
      </c>
      <c r="F64" s="14" t="s">
        <v>71</v>
      </c>
      <c r="G64" s="14" t="s">
        <v>143</v>
      </c>
      <c r="H64" s="14" t="s">
        <v>103</v>
      </c>
      <c r="I64" s="14" t="s">
        <v>74</v>
      </c>
      <c r="J64" s="15">
        <v>1497118</v>
      </c>
      <c r="K64" s="14">
        <v>1</v>
      </c>
      <c r="L64" s="14" t="s">
        <v>75</v>
      </c>
      <c r="M64" s="14" t="s">
        <v>75</v>
      </c>
      <c r="N64" s="14" t="s">
        <v>76</v>
      </c>
      <c r="O64" s="14" t="s">
        <v>75</v>
      </c>
      <c r="P64" s="14">
        <v>847</v>
      </c>
      <c r="Q64" s="15">
        <v>663541</v>
      </c>
      <c r="R64" s="15">
        <v>47395.75</v>
      </c>
      <c r="S64" s="14" t="s">
        <v>21</v>
      </c>
      <c r="T64" s="15">
        <v>488184</v>
      </c>
      <c r="U64" s="16">
        <f t="shared" si="0"/>
        <v>0.3798959066686794</v>
      </c>
      <c r="V64" s="14">
        <v>4</v>
      </c>
      <c r="W64" s="17">
        <v>21.7</v>
      </c>
      <c r="X64" s="14">
        <v>13.8</v>
      </c>
      <c r="Y64" s="18">
        <f t="shared" si="1"/>
        <v>33.1</v>
      </c>
      <c r="Z64" s="18" t="str">
        <f t="shared" si="2"/>
        <v>Medium</v>
      </c>
      <c r="AA64" s="19" t="str">
        <f t="shared" si="3"/>
        <v>Review</v>
      </c>
      <c r="AB64" s="14" t="s">
        <v>161</v>
      </c>
      <c r="AC64" s="14">
        <v>1</v>
      </c>
      <c r="AD64" s="14" t="s">
        <v>93</v>
      </c>
      <c r="AE64" s="17">
        <v>28.1</v>
      </c>
      <c r="AF64" s="15">
        <v>0</v>
      </c>
      <c r="AG64" s="20">
        <f t="shared" si="4"/>
        <v>1497118</v>
      </c>
      <c r="AH64" s="14">
        <v>2</v>
      </c>
      <c r="AI64" s="14" t="s">
        <v>75</v>
      </c>
      <c r="AJ64" s="14">
        <v>12</v>
      </c>
      <c r="AK64" s="21">
        <f t="shared" si="5"/>
        <v>0.15500000000000003</v>
      </c>
      <c r="AL64" s="20">
        <f t="shared" si="6"/>
        <v>44177.926167930214</v>
      </c>
      <c r="AM64" s="22">
        <f t="shared" si="7"/>
        <v>0.32608251320203219</v>
      </c>
      <c r="AN64" s="20">
        <f t="shared" si="8"/>
        <v>91573.676167930214</v>
      </c>
      <c r="AO64" s="16">
        <f t="shared" si="9"/>
        <v>0.73399966737101718</v>
      </c>
      <c r="AP64" s="15">
        <v>0</v>
      </c>
      <c r="AQ64" s="18" t="str">
        <f t="shared" si="10"/>
        <v>N/A</v>
      </c>
      <c r="AR64" s="23">
        <v>46047</v>
      </c>
      <c r="AS64" s="14" t="s">
        <v>79</v>
      </c>
    </row>
    <row r="65" spans="1:45" x14ac:dyDescent="0.25">
      <c r="A65" s="14" t="s">
        <v>306</v>
      </c>
      <c r="B65" s="14" t="s">
        <v>307</v>
      </c>
      <c r="C65" s="14"/>
      <c r="D65" s="15" t="s">
        <v>308</v>
      </c>
      <c r="E65" s="14">
        <v>62</v>
      </c>
      <c r="F65" s="14" t="s">
        <v>89</v>
      </c>
      <c r="G65" s="14" t="s">
        <v>72</v>
      </c>
      <c r="H65" s="14" t="s">
        <v>144</v>
      </c>
      <c r="I65" s="14" t="s">
        <v>92</v>
      </c>
      <c r="J65" s="15">
        <v>2263021</v>
      </c>
      <c r="K65" s="14">
        <v>1</v>
      </c>
      <c r="L65" s="14" t="s">
        <v>76</v>
      </c>
      <c r="M65" s="14" t="s">
        <v>75</v>
      </c>
      <c r="N65" s="14" t="s">
        <v>75</v>
      </c>
      <c r="O65" s="14" t="s">
        <v>75</v>
      </c>
      <c r="P65" s="14">
        <v>563</v>
      </c>
      <c r="Q65" s="15">
        <v>975722</v>
      </c>
      <c r="R65" s="15">
        <v>81310.14</v>
      </c>
      <c r="S65" s="14" t="s">
        <v>22</v>
      </c>
      <c r="T65" s="15">
        <v>918710</v>
      </c>
      <c r="U65" s="16">
        <f t="shared" si="0"/>
        <v>0.43115891544974611</v>
      </c>
      <c r="V65" s="14">
        <v>1</v>
      </c>
      <c r="W65" s="17">
        <v>76.900000000000006</v>
      </c>
      <c r="X65" s="14">
        <v>2.8</v>
      </c>
      <c r="Y65" s="18">
        <f t="shared" si="1"/>
        <v>47.1</v>
      </c>
      <c r="Z65" s="18" t="str">
        <f t="shared" si="2"/>
        <v>Medium</v>
      </c>
      <c r="AA65" s="19" t="str">
        <f t="shared" si="3"/>
        <v>Review</v>
      </c>
      <c r="AB65" s="14" t="s">
        <v>77</v>
      </c>
      <c r="AC65" s="14">
        <v>3</v>
      </c>
      <c r="AD65" s="14" t="s">
        <v>93</v>
      </c>
      <c r="AE65" s="17">
        <v>15.6</v>
      </c>
      <c r="AF65" s="15">
        <v>651942</v>
      </c>
      <c r="AG65" s="20">
        <f t="shared" si="4"/>
        <v>2914963</v>
      </c>
      <c r="AH65" s="14">
        <v>0</v>
      </c>
      <c r="AI65" s="14" t="s">
        <v>75</v>
      </c>
      <c r="AJ65" s="14">
        <v>48</v>
      </c>
      <c r="AK65" s="21">
        <f t="shared" si="5"/>
        <v>0.105</v>
      </c>
      <c r="AL65" s="20">
        <f t="shared" si="6"/>
        <v>23522.081011871753</v>
      </c>
      <c r="AM65" s="22">
        <f t="shared" si="7"/>
        <v>0.40596618414058022</v>
      </c>
      <c r="AN65" s="20">
        <f t="shared" si="8"/>
        <v>104832.22101187175</v>
      </c>
      <c r="AO65" s="16">
        <f t="shared" si="9"/>
        <v>0.55588819199753825</v>
      </c>
      <c r="AP65" s="15">
        <v>1136596</v>
      </c>
      <c r="AQ65" s="18">
        <f t="shared" si="10"/>
        <v>0.80829951891437235</v>
      </c>
      <c r="AR65" s="23">
        <v>45898</v>
      </c>
      <c r="AS65" s="14" t="s">
        <v>79</v>
      </c>
    </row>
    <row r="66" spans="1:45" x14ac:dyDescent="0.25">
      <c r="A66" s="14" t="s">
        <v>309</v>
      </c>
      <c r="B66" s="14" t="s">
        <v>193</v>
      </c>
      <c r="C66" s="14">
        <v>9909340042</v>
      </c>
      <c r="D66" s="15" t="s">
        <v>310</v>
      </c>
      <c r="E66" s="14">
        <v>40</v>
      </c>
      <c r="F66" s="14" t="s">
        <v>71</v>
      </c>
      <c r="G66" s="14" t="s">
        <v>215</v>
      </c>
      <c r="H66" s="14" t="s">
        <v>103</v>
      </c>
      <c r="I66" s="14" t="s">
        <v>74</v>
      </c>
      <c r="J66" s="15">
        <v>1291124</v>
      </c>
      <c r="K66" s="14">
        <v>2</v>
      </c>
      <c r="L66" s="14" t="s">
        <v>76</v>
      </c>
      <c r="M66" s="14" t="s">
        <v>76</v>
      </c>
      <c r="N66" s="14" t="s">
        <v>75</v>
      </c>
      <c r="O66" s="14" t="s">
        <v>75</v>
      </c>
      <c r="P66" s="14">
        <v>814</v>
      </c>
      <c r="Q66" s="15">
        <v>715107</v>
      </c>
      <c r="R66" s="15">
        <v>12545.73</v>
      </c>
      <c r="S66" s="14" t="s">
        <v>22</v>
      </c>
      <c r="T66" s="15">
        <v>546238</v>
      </c>
      <c r="U66" s="16">
        <f t="shared" ref="U66:U129" si="11">IFERROR((R66*12)/J66,0)</f>
        <v>0.11660286695933157</v>
      </c>
      <c r="V66" s="14">
        <v>1</v>
      </c>
      <c r="W66" s="17">
        <v>94.4</v>
      </c>
      <c r="X66" s="14">
        <v>5.6</v>
      </c>
      <c r="Y66" s="18">
        <f t="shared" ref="Y66:Y129" si="12">ROUND(0.4*((900-P66)/600*100)+0.3*MIN(U66*100,100)+0.2*MIN(V66*20,100)+0.1*W66,1)</f>
        <v>22.7</v>
      </c>
      <c r="Z66" s="18" t="str">
        <f t="shared" ref="Z66:Z129" si="13">IF(Y66&lt;=30,"Low",IF(Y66&lt;=60,"Medium","High"))</f>
        <v>Low</v>
      </c>
      <c r="AA66" s="19" t="str">
        <f t="shared" ref="AA66:AA129" si="14">IF(AND(P66&gt;=650,U66&lt;=0.4,V66&lt;=2,Y66&lt;=50),"Eligible",IF(AND(P66&gt;=550,V66&lt;=4,Y66&lt;=75),"Review","Not Eligible"))</f>
        <v>Eligible</v>
      </c>
      <c r="AB66" s="14" t="s">
        <v>85</v>
      </c>
      <c r="AC66" s="14">
        <v>4</v>
      </c>
      <c r="AD66" s="14" t="s">
        <v>93</v>
      </c>
      <c r="AE66" s="17">
        <v>8.8000000000000007</v>
      </c>
      <c r="AF66" s="15">
        <v>0</v>
      </c>
      <c r="AG66" s="20">
        <f t="shared" ref="AG66:AG129" si="15">J66+AF66</f>
        <v>1291124</v>
      </c>
      <c r="AH66" s="14">
        <v>0</v>
      </c>
      <c r="AI66" s="14" t="s">
        <v>75</v>
      </c>
      <c r="AJ66" s="14">
        <v>60</v>
      </c>
      <c r="AK66" s="21">
        <f t="shared" ref="AK66:AK129" si="16">(IF(S66="Credit Card",0.36,IF(S66="Personal Loan",0.14,IF(S66="Car Loan",0.09,0.085))))+IF(Z66="Low",0,IF(Z66="Medium",0.015,0.03))</f>
        <v>0.09</v>
      </c>
      <c r="AL66" s="20">
        <f t="shared" ref="AL66:AL129" si="17">-PMT(AK66/12,AJ66,T66)</f>
        <v>11339.002442133162</v>
      </c>
      <c r="AM66" s="22">
        <f t="shared" ref="AM66:AM129" si="18">IFERROR(T66/J66,0)</f>
        <v>0.42307168017944052</v>
      </c>
      <c r="AN66" s="20">
        <f t="shared" ref="AN66:AN129" si="19">R66+AL66</f>
        <v>23884.732442133161</v>
      </c>
      <c r="AO66" s="16">
        <f t="shared" ref="AO66:AO129" si="20">IFERROR((AN66*12)/J66,0)</f>
        <v>0.22199013363983472</v>
      </c>
      <c r="AP66" s="15">
        <v>656289</v>
      </c>
      <c r="AQ66" s="18">
        <f t="shared" ref="AQ66:AQ129" si="21">IF(AP66&gt;0,T66/AP66,"N/A")</f>
        <v>0.83231320348200255</v>
      </c>
      <c r="AR66" s="23">
        <v>46235</v>
      </c>
      <c r="AS66" s="14" t="s">
        <v>79</v>
      </c>
    </row>
    <row r="67" spans="1:45" x14ac:dyDescent="0.25">
      <c r="A67" s="14" t="s">
        <v>311</v>
      </c>
      <c r="B67" s="14" t="s">
        <v>312</v>
      </c>
      <c r="C67" s="14"/>
      <c r="D67" s="15" t="s">
        <v>313</v>
      </c>
      <c r="E67" s="14">
        <v>26</v>
      </c>
      <c r="F67" s="14" t="s">
        <v>89</v>
      </c>
      <c r="G67" s="14" t="s">
        <v>314</v>
      </c>
      <c r="H67" s="14" t="s">
        <v>103</v>
      </c>
      <c r="I67" s="14" t="s">
        <v>74</v>
      </c>
      <c r="J67" s="15">
        <v>627586</v>
      </c>
      <c r="K67" s="14">
        <v>1</v>
      </c>
      <c r="L67" s="14" t="s">
        <v>75</v>
      </c>
      <c r="M67" s="14" t="s">
        <v>76</v>
      </c>
      <c r="N67" s="14" t="s">
        <v>75</v>
      </c>
      <c r="O67" s="14" t="s">
        <v>75</v>
      </c>
      <c r="P67" s="14">
        <v>507</v>
      </c>
      <c r="Q67" s="15"/>
      <c r="R67" s="15">
        <v>10269.129999999999</v>
      </c>
      <c r="S67" s="14" t="s">
        <v>21</v>
      </c>
      <c r="T67" s="15">
        <v>394056</v>
      </c>
      <c r="U67" s="16">
        <f t="shared" si="11"/>
        <v>0.19635485813896422</v>
      </c>
      <c r="V67" s="14">
        <v>4</v>
      </c>
      <c r="W67" s="17">
        <v>47</v>
      </c>
      <c r="X67" s="14">
        <v>10.3</v>
      </c>
      <c r="Y67" s="18">
        <f t="shared" si="12"/>
        <v>52.8</v>
      </c>
      <c r="Z67" s="18" t="str">
        <f t="shared" si="13"/>
        <v>Medium</v>
      </c>
      <c r="AA67" s="19" t="str">
        <f t="shared" si="14"/>
        <v>Not Eligible</v>
      </c>
      <c r="AB67" s="14" t="s">
        <v>77</v>
      </c>
      <c r="AC67" s="14">
        <v>1</v>
      </c>
      <c r="AD67" s="14" t="s">
        <v>93</v>
      </c>
      <c r="AE67" s="17">
        <v>2.4</v>
      </c>
      <c r="AF67" s="15">
        <v>248958</v>
      </c>
      <c r="AG67" s="20">
        <f t="shared" si="15"/>
        <v>876544</v>
      </c>
      <c r="AH67" s="14">
        <v>0</v>
      </c>
      <c r="AI67" s="14" t="s">
        <v>75</v>
      </c>
      <c r="AJ67" s="14">
        <v>60</v>
      </c>
      <c r="AK67" s="21">
        <f t="shared" si="16"/>
        <v>0.15500000000000003</v>
      </c>
      <c r="AL67" s="20">
        <f t="shared" si="17"/>
        <v>9478.3042641054344</v>
      </c>
      <c r="AM67" s="22">
        <f t="shared" si="18"/>
        <v>0.62789163556867111</v>
      </c>
      <c r="AN67" s="20">
        <f t="shared" si="19"/>
        <v>19747.434264105432</v>
      </c>
      <c r="AO67" s="16">
        <f t="shared" si="20"/>
        <v>0.37758842799116804</v>
      </c>
      <c r="AP67" s="15">
        <v>0</v>
      </c>
      <c r="AQ67" s="18" t="str">
        <f t="shared" si="21"/>
        <v>N/A</v>
      </c>
      <c r="AR67" s="23">
        <v>46131</v>
      </c>
      <c r="AS67" s="14" t="s">
        <v>79</v>
      </c>
    </row>
    <row r="68" spans="1:45" x14ac:dyDescent="0.25">
      <c r="A68" s="14" t="s">
        <v>315</v>
      </c>
      <c r="B68" s="14" t="s">
        <v>316</v>
      </c>
      <c r="C68" s="14">
        <v>9123375849</v>
      </c>
      <c r="D68" s="15" t="s">
        <v>317</v>
      </c>
      <c r="E68" s="14">
        <v>21</v>
      </c>
      <c r="F68" s="14" t="s">
        <v>71</v>
      </c>
      <c r="G68" s="14" t="s">
        <v>120</v>
      </c>
      <c r="H68" s="14" t="s">
        <v>166</v>
      </c>
      <c r="I68" s="14" t="s">
        <v>74</v>
      </c>
      <c r="J68" s="15">
        <v>2077115</v>
      </c>
      <c r="K68" s="14">
        <v>2</v>
      </c>
      <c r="L68" s="14" t="s">
        <v>76</v>
      </c>
      <c r="M68" s="14" t="s">
        <v>76</v>
      </c>
      <c r="N68" s="14" t="s">
        <v>75</v>
      </c>
      <c r="O68" s="14" t="s">
        <v>75</v>
      </c>
      <c r="P68" s="14">
        <v>370</v>
      </c>
      <c r="Q68" s="15"/>
      <c r="R68" s="15">
        <v>29261.72</v>
      </c>
      <c r="S68" s="14" t="s">
        <v>20</v>
      </c>
      <c r="T68" s="15"/>
      <c r="U68" s="16">
        <f t="shared" si="11"/>
        <v>0.16905209388984241</v>
      </c>
      <c r="V68" s="14">
        <v>0</v>
      </c>
      <c r="W68" s="17">
        <v>78.099999999999994</v>
      </c>
      <c r="X68" s="14">
        <v>11.5</v>
      </c>
      <c r="Y68" s="18">
        <f t="shared" si="12"/>
        <v>48.2</v>
      </c>
      <c r="Z68" s="18" t="str">
        <f t="shared" si="13"/>
        <v>Medium</v>
      </c>
      <c r="AA68" s="19" t="str">
        <f t="shared" si="14"/>
        <v>Not Eligible</v>
      </c>
      <c r="AB68" s="14" t="s">
        <v>161</v>
      </c>
      <c r="AC68" s="14">
        <v>2</v>
      </c>
      <c r="AD68" s="14" t="s">
        <v>78</v>
      </c>
      <c r="AE68" s="17">
        <v>0.3</v>
      </c>
      <c r="AF68" s="15">
        <v>0</v>
      </c>
      <c r="AG68" s="20">
        <f t="shared" si="15"/>
        <v>2077115</v>
      </c>
      <c r="AH68" s="14">
        <v>0</v>
      </c>
      <c r="AI68" s="14" t="s">
        <v>75</v>
      </c>
      <c r="AJ68" s="14">
        <v>36</v>
      </c>
      <c r="AK68" s="21">
        <f t="shared" si="16"/>
        <v>0.375</v>
      </c>
      <c r="AL68" s="20">
        <f t="shared" si="17"/>
        <v>0</v>
      </c>
      <c r="AM68" s="22">
        <f t="shared" si="18"/>
        <v>0</v>
      </c>
      <c r="AN68" s="20">
        <f t="shared" si="19"/>
        <v>29261.72</v>
      </c>
      <c r="AO68" s="16">
        <f t="shared" si="20"/>
        <v>0.16905209388984241</v>
      </c>
      <c r="AP68" s="15">
        <v>0</v>
      </c>
      <c r="AQ68" s="18" t="str">
        <f t="shared" si="21"/>
        <v>N/A</v>
      </c>
      <c r="AR68" s="23">
        <v>46087</v>
      </c>
      <c r="AS68" s="14" t="s">
        <v>79</v>
      </c>
    </row>
    <row r="69" spans="1:45" x14ac:dyDescent="0.25">
      <c r="A69" s="14" t="s">
        <v>318</v>
      </c>
      <c r="B69" s="14" t="s">
        <v>319</v>
      </c>
      <c r="C69" s="14">
        <v>9679069250</v>
      </c>
      <c r="D69" s="15" t="s">
        <v>321</v>
      </c>
      <c r="E69" s="14">
        <v>28</v>
      </c>
      <c r="F69" s="14" t="s">
        <v>71</v>
      </c>
      <c r="G69" s="14" t="s">
        <v>83</v>
      </c>
      <c r="H69" s="14" t="s">
        <v>99</v>
      </c>
      <c r="I69" s="14" t="s">
        <v>74</v>
      </c>
      <c r="J69" s="15">
        <v>834132</v>
      </c>
      <c r="K69" s="14">
        <v>3</v>
      </c>
      <c r="L69" s="14" t="s">
        <v>75</v>
      </c>
      <c r="M69" s="14" t="s">
        <v>76</v>
      </c>
      <c r="N69" s="14" t="s">
        <v>76</v>
      </c>
      <c r="O69" s="14" t="s">
        <v>76</v>
      </c>
      <c r="P69" s="14">
        <v>605</v>
      </c>
      <c r="Q69" s="15">
        <v>231724</v>
      </c>
      <c r="R69" s="15">
        <v>3995.24</v>
      </c>
      <c r="S69" s="14" t="s">
        <v>23</v>
      </c>
      <c r="T69" s="15">
        <v>5962182</v>
      </c>
      <c r="U69" s="16">
        <f t="shared" si="11"/>
        <v>5.7476370646372517E-2</v>
      </c>
      <c r="V69" s="14">
        <v>0</v>
      </c>
      <c r="W69" s="17">
        <v>26.8</v>
      </c>
      <c r="X69" s="14">
        <v>7</v>
      </c>
      <c r="Y69" s="18">
        <f t="shared" si="12"/>
        <v>24.1</v>
      </c>
      <c r="Z69" s="18" t="str">
        <f t="shared" si="13"/>
        <v>Low</v>
      </c>
      <c r="AA69" s="19" t="str">
        <f t="shared" si="14"/>
        <v>Review</v>
      </c>
      <c r="AB69" s="14" t="s">
        <v>85</v>
      </c>
      <c r="AC69" s="14">
        <v>0</v>
      </c>
      <c r="AD69" s="14" t="s">
        <v>93</v>
      </c>
      <c r="AE69" s="17">
        <v>5.4</v>
      </c>
      <c r="AF69" s="15">
        <v>645148</v>
      </c>
      <c r="AG69" s="20">
        <f t="shared" si="15"/>
        <v>1479280</v>
      </c>
      <c r="AH69" s="14">
        <v>1</v>
      </c>
      <c r="AI69" s="14" t="s">
        <v>76</v>
      </c>
      <c r="AJ69" s="14">
        <v>120</v>
      </c>
      <c r="AK69" s="21">
        <f t="shared" si="16"/>
        <v>8.5000000000000006E-2</v>
      </c>
      <c r="AL69" s="20">
        <f t="shared" si="17"/>
        <v>73922.524246521047</v>
      </c>
      <c r="AM69" s="22">
        <f t="shared" si="18"/>
        <v>7.1477679791687647</v>
      </c>
      <c r="AN69" s="20">
        <f t="shared" si="19"/>
        <v>77917.764246521052</v>
      </c>
      <c r="AO69" s="16">
        <f t="shared" si="20"/>
        <v>1.1209414948212664</v>
      </c>
      <c r="AP69" s="15">
        <v>7215233</v>
      </c>
      <c r="AQ69" s="18">
        <f t="shared" si="21"/>
        <v>0.82633256611394257</v>
      </c>
      <c r="AR69" s="23">
        <v>45929</v>
      </c>
      <c r="AS69" s="14" t="s">
        <v>79</v>
      </c>
    </row>
    <row r="70" spans="1:45" x14ac:dyDescent="0.25">
      <c r="A70" s="14" t="s">
        <v>322</v>
      </c>
      <c r="B70" s="14" t="s">
        <v>323</v>
      </c>
      <c r="C70" s="14"/>
      <c r="D70" s="15" t="s">
        <v>324</v>
      </c>
      <c r="E70" s="14">
        <v>36</v>
      </c>
      <c r="F70" s="14" t="s">
        <v>71</v>
      </c>
      <c r="G70" s="14" t="s">
        <v>153</v>
      </c>
      <c r="H70" s="14" t="s">
        <v>107</v>
      </c>
      <c r="I70" s="14" t="s">
        <v>92</v>
      </c>
      <c r="J70" s="15">
        <v>1282890</v>
      </c>
      <c r="K70" s="14">
        <v>2</v>
      </c>
      <c r="L70" s="14" t="s">
        <v>76</v>
      </c>
      <c r="M70" s="14" t="s">
        <v>75</v>
      </c>
      <c r="N70" s="14" t="s">
        <v>75</v>
      </c>
      <c r="O70" s="14" t="s">
        <v>76</v>
      </c>
      <c r="P70" s="14">
        <v>596</v>
      </c>
      <c r="Q70" s="15"/>
      <c r="R70" s="15">
        <v>3107.62</v>
      </c>
      <c r="S70" s="14" t="s">
        <v>22</v>
      </c>
      <c r="T70" s="15">
        <v>972483</v>
      </c>
      <c r="U70" s="16">
        <f t="shared" si="11"/>
        <v>2.9068306713747868E-2</v>
      </c>
      <c r="V70" s="14">
        <v>0</v>
      </c>
      <c r="W70" s="17">
        <v>88.2</v>
      </c>
      <c r="X70" s="14">
        <v>14.8</v>
      </c>
      <c r="Y70" s="18">
        <f t="shared" si="12"/>
        <v>30</v>
      </c>
      <c r="Z70" s="18" t="str">
        <f t="shared" si="13"/>
        <v>Low</v>
      </c>
      <c r="AA70" s="19" t="str">
        <f t="shared" si="14"/>
        <v>Review</v>
      </c>
      <c r="AB70" s="14" t="s">
        <v>85</v>
      </c>
      <c r="AC70" s="14">
        <v>1</v>
      </c>
      <c r="AD70" s="14" t="s">
        <v>78</v>
      </c>
      <c r="AE70" s="17">
        <v>8.5</v>
      </c>
      <c r="AF70" s="15">
        <v>0</v>
      </c>
      <c r="AG70" s="20">
        <f t="shared" si="15"/>
        <v>1282890</v>
      </c>
      <c r="AH70" s="14">
        <v>1</v>
      </c>
      <c r="AI70" s="14" t="s">
        <v>75</v>
      </c>
      <c r="AJ70" s="14">
        <v>84</v>
      </c>
      <c r="AK70" s="21">
        <f t="shared" si="16"/>
        <v>0.09</v>
      </c>
      <c r="AL70" s="20">
        <f t="shared" si="17"/>
        <v>15646.355093557069</v>
      </c>
      <c r="AM70" s="22">
        <f t="shared" si="18"/>
        <v>0.75804082968921727</v>
      </c>
      <c r="AN70" s="20">
        <f t="shared" si="19"/>
        <v>18753.97509355707</v>
      </c>
      <c r="AO70" s="16">
        <f t="shared" si="20"/>
        <v>0.17542244551184033</v>
      </c>
      <c r="AP70" s="15">
        <v>1104196</v>
      </c>
      <c r="AQ70" s="18">
        <f t="shared" si="21"/>
        <v>0.88071592362225548</v>
      </c>
      <c r="AR70" s="23">
        <v>46148</v>
      </c>
      <c r="AS70" s="14" t="s">
        <v>79</v>
      </c>
    </row>
    <row r="71" spans="1:45" x14ac:dyDescent="0.25">
      <c r="A71" s="14" t="s">
        <v>325</v>
      </c>
      <c r="B71" s="14" t="s">
        <v>326</v>
      </c>
      <c r="C71" s="14">
        <v>9820848547</v>
      </c>
      <c r="D71" s="15" t="s">
        <v>327</v>
      </c>
      <c r="E71" s="14">
        <v>41</v>
      </c>
      <c r="F71" s="14" t="s">
        <v>89</v>
      </c>
      <c r="G71" s="14" t="s">
        <v>174</v>
      </c>
      <c r="H71" s="14" t="s">
        <v>132</v>
      </c>
      <c r="I71" s="14" t="s">
        <v>92</v>
      </c>
      <c r="J71" s="15">
        <v>1557823</v>
      </c>
      <c r="K71" s="14">
        <v>1</v>
      </c>
      <c r="L71" s="14" t="s">
        <v>76</v>
      </c>
      <c r="M71" s="14" t="s">
        <v>75</v>
      </c>
      <c r="N71" s="14" t="s">
        <v>75</v>
      </c>
      <c r="O71" s="14" t="s">
        <v>75</v>
      </c>
      <c r="P71" s="14">
        <v>607</v>
      </c>
      <c r="Q71" s="15">
        <v>801538.48</v>
      </c>
      <c r="R71" s="15">
        <v>38168.5</v>
      </c>
      <c r="S71" s="14" t="s">
        <v>23</v>
      </c>
      <c r="T71" s="15">
        <v>1983384</v>
      </c>
      <c r="U71" s="16">
        <f t="shared" si="11"/>
        <v>0.2940141466649292</v>
      </c>
      <c r="V71" s="14">
        <v>1</v>
      </c>
      <c r="W71" s="17">
        <v>96.9</v>
      </c>
      <c r="X71" s="14">
        <v>8.4</v>
      </c>
      <c r="Y71" s="18">
        <f t="shared" si="12"/>
        <v>42</v>
      </c>
      <c r="Z71" s="18" t="str">
        <f t="shared" si="13"/>
        <v>Medium</v>
      </c>
      <c r="AA71" s="19" t="str">
        <f t="shared" si="14"/>
        <v>Review</v>
      </c>
      <c r="AB71" s="14" t="s">
        <v>85</v>
      </c>
      <c r="AC71" s="14">
        <v>0</v>
      </c>
      <c r="AD71" s="14" t="s">
        <v>78</v>
      </c>
      <c r="AE71" s="17">
        <v>13</v>
      </c>
      <c r="AF71" s="15">
        <v>0</v>
      </c>
      <c r="AG71" s="20">
        <f t="shared" si="15"/>
        <v>1557823</v>
      </c>
      <c r="AH71" s="14">
        <v>2</v>
      </c>
      <c r="AI71" s="14" t="s">
        <v>75</v>
      </c>
      <c r="AJ71" s="14">
        <v>180</v>
      </c>
      <c r="AK71" s="21">
        <f t="shared" si="16"/>
        <v>0.1</v>
      </c>
      <c r="AL71" s="20">
        <f t="shared" si="17"/>
        <v>21313.545967803941</v>
      </c>
      <c r="AM71" s="22">
        <f t="shared" si="18"/>
        <v>1.2731767344557117</v>
      </c>
      <c r="AN71" s="20">
        <f t="shared" si="19"/>
        <v>59482.045967803941</v>
      </c>
      <c r="AO71" s="16">
        <f t="shared" si="20"/>
        <v>0.45819361481609094</v>
      </c>
      <c r="AP71" s="15">
        <v>2306446</v>
      </c>
      <c r="AQ71" s="18">
        <f t="shared" si="21"/>
        <v>0.859930819971506</v>
      </c>
      <c r="AR71" s="23">
        <v>46088</v>
      </c>
      <c r="AS71" s="14" t="s">
        <v>79</v>
      </c>
    </row>
    <row r="72" spans="1:45" x14ac:dyDescent="0.25">
      <c r="A72" s="14" t="s">
        <v>328</v>
      </c>
      <c r="B72" s="14" t="s">
        <v>233</v>
      </c>
      <c r="C72" s="14">
        <v>9178151583</v>
      </c>
      <c r="D72" s="15" t="s">
        <v>329</v>
      </c>
      <c r="E72" s="14">
        <v>63</v>
      </c>
      <c r="F72" s="14" t="s">
        <v>71</v>
      </c>
      <c r="G72" s="14" t="s">
        <v>115</v>
      </c>
      <c r="H72" s="14" t="s">
        <v>91</v>
      </c>
      <c r="I72" s="14" t="s">
        <v>92</v>
      </c>
      <c r="J72" s="15">
        <v>1696553</v>
      </c>
      <c r="K72" s="14">
        <v>2</v>
      </c>
      <c r="L72" s="14" t="s">
        <v>76</v>
      </c>
      <c r="M72" s="14" t="s">
        <v>75</v>
      </c>
      <c r="N72" s="14" t="s">
        <v>76</v>
      </c>
      <c r="O72" s="14" t="s">
        <v>75</v>
      </c>
      <c r="P72" s="14">
        <v>420</v>
      </c>
      <c r="Q72" s="15">
        <v>760272</v>
      </c>
      <c r="R72" s="15">
        <v>12671.2</v>
      </c>
      <c r="S72" s="14" t="s">
        <v>23</v>
      </c>
      <c r="T72" s="15">
        <v>3535019</v>
      </c>
      <c r="U72" s="16">
        <f t="shared" si="11"/>
        <v>8.962549357432395E-2</v>
      </c>
      <c r="V72" s="14">
        <v>2</v>
      </c>
      <c r="W72" s="17">
        <v>71.900000000000006</v>
      </c>
      <c r="X72" s="14">
        <v>6.1</v>
      </c>
      <c r="Y72" s="18">
        <f t="shared" si="12"/>
        <v>49.9</v>
      </c>
      <c r="Z72" s="18" t="str">
        <f t="shared" si="13"/>
        <v>Medium</v>
      </c>
      <c r="AA72" s="19" t="str">
        <f t="shared" si="14"/>
        <v>Not Eligible</v>
      </c>
      <c r="AB72" s="14" t="s">
        <v>85</v>
      </c>
      <c r="AC72" s="14">
        <v>1</v>
      </c>
      <c r="AD72" s="14" t="s">
        <v>78</v>
      </c>
      <c r="AE72" s="17">
        <v>14.1</v>
      </c>
      <c r="AF72" s="15">
        <v>0</v>
      </c>
      <c r="AG72" s="20">
        <f t="shared" si="15"/>
        <v>1696553</v>
      </c>
      <c r="AH72" s="14">
        <v>0</v>
      </c>
      <c r="AI72" s="14" t="s">
        <v>75</v>
      </c>
      <c r="AJ72" s="14">
        <v>300</v>
      </c>
      <c r="AK72" s="21">
        <f t="shared" si="16"/>
        <v>0.1</v>
      </c>
      <c r="AL72" s="20">
        <f t="shared" si="17"/>
        <v>32122.74400798279</v>
      </c>
      <c r="AM72" s="22">
        <f t="shared" si="18"/>
        <v>2.0836478435981665</v>
      </c>
      <c r="AN72" s="20">
        <f t="shared" si="19"/>
        <v>44793.944007982791</v>
      </c>
      <c r="AO72" s="16">
        <f t="shared" si="20"/>
        <v>0.31683497544479511</v>
      </c>
      <c r="AP72" s="15">
        <v>4477105</v>
      </c>
      <c r="AQ72" s="18">
        <f t="shared" si="21"/>
        <v>0.78957696993927995</v>
      </c>
      <c r="AR72" s="23">
        <v>46135</v>
      </c>
      <c r="AS72" s="14" t="s">
        <v>79</v>
      </c>
    </row>
    <row r="73" spans="1:45" x14ac:dyDescent="0.25">
      <c r="A73" s="14" t="s">
        <v>330</v>
      </c>
      <c r="B73" s="14" t="s">
        <v>331</v>
      </c>
      <c r="C73" s="14">
        <v>9318106480</v>
      </c>
      <c r="D73" s="15" t="s">
        <v>332</v>
      </c>
      <c r="E73" s="14">
        <v>47</v>
      </c>
      <c r="F73" s="14" t="s">
        <v>71</v>
      </c>
      <c r="G73" s="14" t="s">
        <v>131</v>
      </c>
      <c r="H73" s="14" t="s">
        <v>132</v>
      </c>
      <c r="I73" s="14" t="s">
        <v>92</v>
      </c>
      <c r="J73" s="15">
        <v>368031</v>
      </c>
      <c r="K73" s="14">
        <v>1</v>
      </c>
      <c r="L73" s="14" t="s">
        <v>76</v>
      </c>
      <c r="M73" s="14" t="s">
        <v>75</v>
      </c>
      <c r="N73" s="14" t="s">
        <v>75</v>
      </c>
      <c r="O73" s="14" t="s">
        <v>75</v>
      </c>
      <c r="P73" s="14">
        <v>456</v>
      </c>
      <c r="Q73" s="15">
        <v>43323</v>
      </c>
      <c r="R73" s="15">
        <v>1666.26</v>
      </c>
      <c r="S73" s="14" t="s">
        <v>23</v>
      </c>
      <c r="T73" s="15">
        <v>6279740</v>
      </c>
      <c r="U73" s="16">
        <f t="shared" si="11"/>
        <v>5.4329988506402992E-2</v>
      </c>
      <c r="V73" s="14">
        <v>3</v>
      </c>
      <c r="W73" s="17">
        <v>52.4</v>
      </c>
      <c r="X73" s="14">
        <v>9.9</v>
      </c>
      <c r="Y73" s="18">
        <f t="shared" si="12"/>
        <v>48.5</v>
      </c>
      <c r="Z73" s="18" t="str">
        <f t="shared" si="13"/>
        <v>Medium</v>
      </c>
      <c r="AA73" s="19" t="str">
        <f t="shared" si="14"/>
        <v>Not Eligible</v>
      </c>
      <c r="AB73" s="14" t="s">
        <v>77</v>
      </c>
      <c r="AC73" s="14">
        <v>1</v>
      </c>
      <c r="AD73" s="14" t="s">
        <v>93</v>
      </c>
      <c r="AE73" s="17">
        <v>25.1</v>
      </c>
      <c r="AF73" s="15">
        <v>0</v>
      </c>
      <c r="AG73" s="20">
        <f t="shared" si="15"/>
        <v>368031</v>
      </c>
      <c r="AH73" s="14">
        <v>0</v>
      </c>
      <c r="AI73" s="14" t="s">
        <v>75</v>
      </c>
      <c r="AJ73" s="14">
        <v>240</v>
      </c>
      <c r="AK73" s="21">
        <f t="shared" si="16"/>
        <v>0.1</v>
      </c>
      <c r="AL73" s="20">
        <f t="shared" si="17"/>
        <v>60600.850254370496</v>
      </c>
      <c r="AM73" s="22">
        <f t="shared" si="18"/>
        <v>17.063073491091782</v>
      </c>
      <c r="AN73" s="20">
        <f t="shared" si="19"/>
        <v>62267.110254370498</v>
      </c>
      <c r="AO73" s="16">
        <f t="shared" si="20"/>
        <v>2.0302782185534536</v>
      </c>
      <c r="AP73" s="15">
        <v>7487437</v>
      </c>
      <c r="AQ73" s="18">
        <f t="shared" si="21"/>
        <v>0.83870355102820904</v>
      </c>
      <c r="AR73" s="23">
        <v>46174</v>
      </c>
      <c r="AS73" s="14" t="s">
        <v>79</v>
      </c>
    </row>
    <row r="74" spans="1:45" x14ac:dyDescent="0.25">
      <c r="A74" s="14" t="s">
        <v>333</v>
      </c>
      <c r="B74" s="14" t="s">
        <v>334</v>
      </c>
      <c r="C74" s="14">
        <v>9682115008</v>
      </c>
      <c r="D74" s="15" t="s">
        <v>335</v>
      </c>
      <c r="E74" s="14">
        <v>54</v>
      </c>
      <c r="F74" s="14" t="s">
        <v>71</v>
      </c>
      <c r="G74" s="14" t="s">
        <v>120</v>
      </c>
      <c r="H74" s="14" t="s">
        <v>166</v>
      </c>
      <c r="I74" s="14" t="s">
        <v>74</v>
      </c>
      <c r="J74" s="15">
        <v>326775</v>
      </c>
      <c r="K74" s="14">
        <v>2</v>
      </c>
      <c r="L74" s="14" t="s">
        <v>76</v>
      </c>
      <c r="M74" s="14" t="s">
        <v>75</v>
      </c>
      <c r="N74" s="14" t="s">
        <v>76</v>
      </c>
      <c r="O74" s="14" t="s">
        <v>75</v>
      </c>
      <c r="P74" s="14">
        <v>309</v>
      </c>
      <c r="Q74" s="15">
        <v>42883</v>
      </c>
      <c r="R74" s="15">
        <v>1045.93</v>
      </c>
      <c r="S74" s="14" t="s">
        <v>22</v>
      </c>
      <c r="T74" s="15">
        <v>426773</v>
      </c>
      <c r="U74" s="16">
        <f t="shared" si="11"/>
        <v>3.840918062887308E-2</v>
      </c>
      <c r="V74" s="14">
        <v>1</v>
      </c>
      <c r="W74" s="17">
        <v>68.3</v>
      </c>
      <c r="X74" s="14">
        <v>9.3000000000000007</v>
      </c>
      <c r="Y74" s="18">
        <f t="shared" si="12"/>
        <v>51.4</v>
      </c>
      <c r="Z74" s="18" t="str">
        <f t="shared" si="13"/>
        <v>Medium</v>
      </c>
      <c r="AA74" s="19" t="str">
        <f t="shared" si="14"/>
        <v>Not Eligible</v>
      </c>
      <c r="AB74" s="14" t="s">
        <v>85</v>
      </c>
      <c r="AC74" s="14">
        <v>1</v>
      </c>
      <c r="AD74" s="14" t="s">
        <v>78</v>
      </c>
      <c r="AE74" s="17">
        <v>16.7</v>
      </c>
      <c r="AF74" s="15">
        <v>547063</v>
      </c>
      <c r="AG74" s="20">
        <f t="shared" si="15"/>
        <v>873838</v>
      </c>
      <c r="AH74" s="14">
        <v>0</v>
      </c>
      <c r="AI74" s="14" t="s">
        <v>76</v>
      </c>
      <c r="AJ74" s="14">
        <v>24</v>
      </c>
      <c r="AK74" s="21">
        <f t="shared" si="16"/>
        <v>0.105</v>
      </c>
      <c r="AL74" s="20">
        <f t="shared" si="17"/>
        <v>19792.042418559555</v>
      </c>
      <c r="AM74" s="22">
        <f t="shared" si="18"/>
        <v>1.3060148420166782</v>
      </c>
      <c r="AN74" s="20">
        <f t="shared" si="19"/>
        <v>20837.972418559555</v>
      </c>
      <c r="AO74" s="16">
        <f t="shared" si="20"/>
        <v>0.76522276496890729</v>
      </c>
      <c r="AP74" s="15">
        <v>490978</v>
      </c>
      <c r="AQ74" s="18">
        <f t="shared" si="21"/>
        <v>0.86923039321517459</v>
      </c>
      <c r="AR74" s="23">
        <v>46252</v>
      </c>
      <c r="AS74" s="14" t="s">
        <v>79</v>
      </c>
    </row>
    <row r="75" spans="1:45" x14ac:dyDescent="0.25">
      <c r="A75" s="14" t="s">
        <v>336</v>
      </c>
      <c r="B75" s="14" t="s">
        <v>337</v>
      </c>
      <c r="C75" s="14"/>
      <c r="D75" s="15" t="s">
        <v>338</v>
      </c>
      <c r="E75" s="14">
        <v>54</v>
      </c>
      <c r="F75" s="14" t="s">
        <v>71</v>
      </c>
      <c r="G75" s="14" t="s">
        <v>131</v>
      </c>
      <c r="H75" s="14" t="s">
        <v>91</v>
      </c>
      <c r="I75" s="14" t="s">
        <v>92</v>
      </c>
      <c r="J75" s="15">
        <v>1358718</v>
      </c>
      <c r="K75" s="14">
        <v>1</v>
      </c>
      <c r="L75" s="14" t="s">
        <v>75</v>
      </c>
      <c r="M75" s="14" t="s">
        <v>76</v>
      </c>
      <c r="N75" s="14" t="s">
        <v>75</v>
      </c>
      <c r="O75" s="14" t="s">
        <v>75</v>
      </c>
      <c r="P75" s="14">
        <v>715</v>
      </c>
      <c r="Q75" s="15">
        <v>374189</v>
      </c>
      <c r="R75" s="15">
        <v>13858.86</v>
      </c>
      <c r="S75" s="14" t="s">
        <v>21</v>
      </c>
      <c r="T75" s="15"/>
      <c r="U75" s="16">
        <f t="shared" si="11"/>
        <v>0.12239943829403895</v>
      </c>
      <c r="V75" s="14">
        <v>2</v>
      </c>
      <c r="W75" s="17">
        <v>85.5</v>
      </c>
      <c r="X75" s="14">
        <v>9.9</v>
      </c>
      <c r="Y75" s="18">
        <f t="shared" si="12"/>
        <v>32.6</v>
      </c>
      <c r="Z75" s="18" t="str">
        <f t="shared" si="13"/>
        <v>Medium</v>
      </c>
      <c r="AA75" s="19" t="str">
        <f t="shared" si="14"/>
        <v>Eligible</v>
      </c>
      <c r="AB75" s="14" t="s">
        <v>77</v>
      </c>
      <c r="AC75" s="14">
        <v>2</v>
      </c>
      <c r="AD75" s="14" t="s">
        <v>78</v>
      </c>
      <c r="AE75" s="17">
        <v>11.6</v>
      </c>
      <c r="AF75" s="15">
        <v>0</v>
      </c>
      <c r="AG75" s="20">
        <f t="shared" si="15"/>
        <v>1358718</v>
      </c>
      <c r="AH75" s="14">
        <v>0</v>
      </c>
      <c r="AI75" s="14" t="s">
        <v>75</v>
      </c>
      <c r="AJ75" s="14">
        <v>24</v>
      </c>
      <c r="AK75" s="21">
        <f t="shared" si="16"/>
        <v>0.15500000000000003</v>
      </c>
      <c r="AL75" s="20">
        <f t="shared" si="17"/>
        <v>0</v>
      </c>
      <c r="AM75" s="22">
        <f t="shared" si="18"/>
        <v>0</v>
      </c>
      <c r="AN75" s="20">
        <f t="shared" si="19"/>
        <v>13858.86</v>
      </c>
      <c r="AO75" s="16">
        <f t="shared" si="20"/>
        <v>0.12239943829403895</v>
      </c>
      <c r="AP75" s="15">
        <v>0</v>
      </c>
      <c r="AQ75" s="18" t="str">
        <f t="shared" si="21"/>
        <v>N/A</v>
      </c>
      <c r="AR75" s="23">
        <v>45937</v>
      </c>
      <c r="AS75" s="14" t="s">
        <v>79</v>
      </c>
    </row>
    <row r="76" spans="1:45" x14ac:dyDescent="0.25">
      <c r="A76" s="14" t="s">
        <v>339</v>
      </c>
      <c r="B76" s="14" t="s">
        <v>340</v>
      </c>
      <c r="C76" s="14">
        <v>9942217648</v>
      </c>
      <c r="D76" s="15" t="s">
        <v>341</v>
      </c>
      <c r="E76" s="14">
        <v>27</v>
      </c>
      <c r="F76" s="14" t="s">
        <v>71</v>
      </c>
      <c r="G76" s="14" t="s">
        <v>131</v>
      </c>
      <c r="H76" s="14" t="s">
        <v>91</v>
      </c>
      <c r="I76" s="14" t="s">
        <v>92</v>
      </c>
      <c r="J76" s="15">
        <v>2294392</v>
      </c>
      <c r="K76" s="14">
        <v>1</v>
      </c>
      <c r="L76" s="14" t="s">
        <v>76</v>
      </c>
      <c r="M76" s="14" t="s">
        <v>75</v>
      </c>
      <c r="N76" s="14" t="s">
        <v>75</v>
      </c>
      <c r="O76" s="14" t="s">
        <v>75</v>
      </c>
      <c r="P76" s="14">
        <v>856</v>
      </c>
      <c r="Q76" s="15">
        <v>775748</v>
      </c>
      <c r="R76" s="15">
        <v>55410.54</v>
      </c>
      <c r="S76" s="14" t="s">
        <v>21</v>
      </c>
      <c r="T76" s="15">
        <v>941737</v>
      </c>
      <c r="U76" s="16">
        <f t="shared" si="11"/>
        <v>0.28980508997590648</v>
      </c>
      <c r="V76" s="14">
        <v>0</v>
      </c>
      <c r="W76" s="17">
        <v>96.3</v>
      </c>
      <c r="X76" s="14">
        <v>8.9</v>
      </c>
      <c r="Y76" s="18">
        <f t="shared" si="12"/>
        <v>21.3</v>
      </c>
      <c r="Z76" s="18" t="str">
        <f t="shared" si="13"/>
        <v>Low</v>
      </c>
      <c r="AA76" s="19" t="str">
        <f t="shared" si="14"/>
        <v>Eligible</v>
      </c>
      <c r="AB76" s="14" t="s">
        <v>77</v>
      </c>
      <c r="AC76" s="14">
        <v>2</v>
      </c>
      <c r="AD76" s="14" t="s">
        <v>78</v>
      </c>
      <c r="AE76" s="17">
        <v>0.7</v>
      </c>
      <c r="AF76" s="15">
        <v>330354</v>
      </c>
      <c r="AG76" s="20">
        <f t="shared" si="15"/>
        <v>2624746</v>
      </c>
      <c r="AH76" s="14">
        <v>2</v>
      </c>
      <c r="AI76" s="14" t="s">
        <v>75</v>
      </c>
      <c r="AJ76" s="14">
        <v>60</v>
      </c>
      <c r="AK76" s="21">
        <f t="shared" si="16"/>
        <v>0.14000000000000001</v>
      </c>
      <c r="AL76" s="20">
        <f t="shared" si="17"/>
        <v>21912.572750149819</v>
      </c>
      <c r="AM76" s="22">
        <f t="shared" si="18"/>
        <v>0.41045165778123355</v>
      </c>
      <c r="AN76" s="20">
        <f t="shared" si="19"/>
        <v>77323.112750149827</v>
      </c>
      <c r="AO76" s="16">
        <f t="shared" si="20"/>
        <v>0.40441099559351579</v>
      </c>
      <c r="AP76" s="15">
        <v>0</v>
      </c>
      <c r="AQ76" s="18" t="str">
        <f t="shared" si="21"/>
        <v>N/A</v>
      </c>
      <c r="AR76" s="23">
        <v>46064</v>
      </c>
      <c r="AS76" s="14" t="s">
        <v>79</v>
      </c>
    </row>
    <row r="77" spans="1:45" x14ac:dyDescent="0.25">
      <c r="A77" s="14" t="s">
        <v>342</v>
      </c>
      <c r="B77" s="14" t="s">
        <v>343</v>
      </c>
      <c r="C77" s="14">
        <v>9948790854</v>
      </c>
      <c r="D77" s="15" t="s">
        <v>344</v>
      </c>
      <c r="E77" s="14">
        <v>53</v>
      </c>
      <c r="F77" s="14" t="s">
        <v>89</v>
      </c>
      <c r="G77" s="14" t="s">
        <v>90</v>
      </c>
      <c r="H77" s="14" t="s">
        <v>73</v>
      </c>
      <c r="I77" s="14" t="s">
        <v>74</v>
      </c>
      <c r="J77" s="15">
        <v>2133281</v>
      </c>
      <c r="K77" s="14">
        <v>2</v>
      </c>
      <c r="L77" s="14" t="s">
        <v>76</v>
      </c>
      <c r="M77" s="14" t="s">
        <v>76</v>
      </c>
      <c r="N77" s="14" t="s">
        <v>75</v>
      </c>
      <c r="O77" s="14" t="s">
        <v>75</v>
      </c>
      <c r="P77" s="14">
        <v>706</v>
      </c>
      <c r="Q77" s="15">
        <v>1240188</v>
      </c>
      <c r="R77" s="15">
        <v>38755.870000000003</v>
      </c>
      <c r="S77" s="14" t="s">
        <v>20</v>
      </c>
      <c r="T77" s="15">
        <v>352463</v>
      </c>
      <c r="U77" s="16">
        <f t="shared" si="11"/>
        <v>0.21800711673708248</v>
      </c>
      <c r="V77" s="14">
        <v>0</v>
      </c>
      <c r="W77" s="17">
        <v>99.3</v>
      </c>
      <c r="X77" s="14">
        <v>7.5</v>
      </c>
      <c r="Y77" s="18">
        <f t="shared" si="12"/>
        <v>29.4</v>
      </c>
      <c r="Z77" s="18" t="str">
        <f t="shared" si="13"/>
        <v>Low</v>
      </c>
      <c r="AA77" s="19" t="str">
        <f t="shared" si="14"/>
        <v>Eligible</v>
      </c>
      <c r="AB77" s="14" t="s">
        <v>85</v>
      </c>
      <c r="AC77" s="14">
        <v>3</v>
      </c>
      <c r="AD77" s="14" t="s">
        <v>78</v>
      </c>
      <c r="AE77" s="17">
        <v>20.5</v>
      </c>
      <c r="AF77" s="15">
        <v>0</v>
      </c>
      <c r="AG77" s="20">
        <f t="shared" si="15"/>
        <v>2133281</v>
      </c>
      <c r="AH77" s="14">
        <v>0</v>
      </c>
      <c r="AI77" s="14" t="s">
        <v>75</v>
      </c>
      <c r="AJ77" s="14">
        <v>18</v>
      </c>
      <c r="AK77" s="21">
        <f t="shared" si="16"/>
        <v>0.36</v>
      </c>
      <c r="AL77" s="20">
        <f t="shared" si="17"/>
        <v>25627.125081696522</v>
      </c>
      <c r="AM77" s="22">
        <f t="shared" si="18"/>
        <v>0.16522108432972496</v>
      </c>
      <c r="AN77" s="20">
        <f t="shared" si="19"/>
        <v>64382.995081696528</v>
      </c>
      <c r="AO77" s="16">
        <f t="shared" si="20"/>
        <v>0.36216323165131942</v>
      </c>
      <c r="AP77" s="15">
        <v>0</v>
      </c>
      <c r="AQ77" s="18" t="str">
        <f t="shared" si="21"/>
        <v>N/A</v>
      </c>
      <c r="AR77" s="23">
        <v>46260</v>
      </c>
      <c r="AS77" s="14" t="s">
        <v>79</v>
      </c>
    </row>
    <row r="78" spans="1:45" x14ac:dyDescent="0.25">
      <c r="A78" s="14" t="s">
        <v>345</v>
      </c>
      <c r="B78" s="14" t="s">
        <v>346</v>
      </c>
      <c r="C78" s="14">
        <v>9508021882</v>
      </c>
      <c r="D78" s="15" t="s">
        <v>348</v>
      </c>
      <c r="E78" s="14">
        <v>45</v>
      </c>
      <c r="F78" s="14" t="s">
        <v>89</v>
      </c>
      <c r="G78" s="14" t="s">
        <v>106</v>
      </c>
      <c r="H78" s="14" t="s">
        <v>73</v>
      </c>
      <c r="I78" s="14" t="s">
        <v>74</v>
      </c>
      <c r="J78" s="15">
        <v>683864</v>
      </c>
      <c r="K78" s="14">
        <v>1</v>
      </c>
      <c r="L78" s="14" t="s">
        <v>76</v>
      </c>
      <c r="M78" s="14" t="s">
        <v>75</v>
      </c>
      <c r="N78" s="14" t="s">
        <v>75</v>
      </c>
      <c r="O78" s="14" t="s">
        <v>75</v>
      </c>
      <c r="P78" s="14">
        <v>435</v>
      </c>
      <c r="Q78" s="15"/>
      <c r="R78" s="15">
        <v>918.45</v>
      </c>
      <c r="S78" s="14" t="s">
        <v>23</v>
      </c>
      <c r="T78" s="15"/>
      <c r="U78" s="16">
        <f t="shared" si="11"/>
        <v>1.6116362317653805E-2</v>
      </c>
      <c r="V78" s="14">
        <v>1</v>
      </c>
      <c r="W78" s="17">
        <v>43.8</v>
      </c>
      <c r="X78" s="14">
        <v>0.6</v>
      </c>
      <c r="Y78" s="18">
        <f t="shared" si="12"/>
        <v>39.9</v>
      </c>
      <c r="Z78" s="18" t="str">
        <f t="shared" si="13"/>
        <v>Medium</v>
      </c>
      <c r="AA78" s="19" t="str">
        <f t="shared" si="14"/>
        <v>Not Eligible</v>
      </c>
      <c r="AB78" s="14" t="s">
        <v>85</v>
      </c>
      <c r="AC78" s="14">
        <v>0</v>
      </c>
      <c r="AD78" s="14" t="s">
        <v>93</v>
      </c>
      <c r="AE78" s="17">
        <v>8</v>
      </c>
      <c r="AF78" s="15">
        <v>0</v>
      </c>
      <c r="AG78" s="20">
        <f t="shared" si="15"/>
        <v>683864</v>
      </c>
      <c r="AH78" s="14">
        <v>0</v>
      </c>
      <c r="AI78" s="14" t="s">
        <v>75</v>
      </c>
      <c r="AJ78" s="14">
        <v>120</v>
      </c>
      <c r="AK78" s="21">
        <f t="shared" si="16"/>
        <v>0.1</v>
      </c>
      <c r="AL78" s="20">
        <f t="shared" si="17"/>
        <v>0</v>
      </c>
      <c r="AM78" s="22">
        <f t="shared" si="18"/>
        <v>0</v>
      </c>
      <c r="AN78" s="20">
        <f t="shared" si="19"/>
        <v>918.45</v>
      </c>
      <c r="AO78" s="16">
        <f t="shared" si="20"/>
        <v>1.6116362317653805E-2</v>
      </c>
      <c r="AP78" s="15">
        <v>8216672</v>
      </c>
      <c r="AQ78" s="18">
        <f t="shared" si="21"/>
        <v>0</v>
      </c>
      <c r="AR78" s="23">
        <v>46181</v>
      </c>
      <c r="AS78" s="14" t="s">
        <v>79</v>
      </c>
    </row>
    <row r="79" spans="1:45" x14ac:dyDescent="0.25">
      <c r="A79" s="14" t="s">
        <v>349</v>
      </c>
      <c r="B79" s="14" t="s">
        <v>350</v>
      </c>
      <c r="C79" s="14">
        <v>9659531734</v>
      </c>
      <c r="D79" s="15" t="s">
        <v>351</v>
      </c>
      <c r="E79" s="14">
        <v>31</v>
      </c>
      <c r="F79" s="14" t="s">
        <v>71</v>
      </c>
      <c r="G79" s="14" t="s">
        <v>215</v>
      </c>
      <c r="H79" s="14" t="s">
        <v>84</v>
      </c>
      <c r="I79" s="14" t="s">
        <v>74</v>
      </c>
      <c r="J79" s="15">
        <v>1425779</v>
      </c>
      <c r="K79" s="14">
        <v>2</v>
      </c>
      <c r="L79" s="14" t="s">
        <v>76</v>
      </c>
      <c r="M79" s="14" t="s">
        <v>76</v>
      </c>
      <c r="N79" s="14" t="s">
        <v>75</v>
      </c>
      <c r="O79" s="14" t="s">
        <v>75</v>
      </c>
      <c r="P79" s="14">
        <v>795</v>
      </c>
      <c r="Q79" s="15"/>
      <c r="R79" s="15">
        <v>19129.88</v>
      </c>
      <c r="S79" s="14" t="s">
        <v>22</v>
      </c>
      <c r="T79" s="15">
        <v>817136</v>
      </c>
      <c r="U79" s="16">
        <f t="shared" si="11"/>
        <v>0.16100570986106541</v>
      </c>
      <c r="V79" s="14">
        <v>2</v>
      </c>
      <c r="W79" s="17">
        <v>52.1</v>
      </c>
      <c r="X79" s="14">
        <v>9.3000000000000007</v>
      </c>
      <c r="Y79" s="18">
        <f t="shared" si="12"/>
        <v>25</v>
      </c>
      <c r="Z79" s="18" t="str">
        <f t="shared" si="13"/>
        <v>Low</v>
      </c>
      <c r="AA79" s="19" t="str">
        <f t="shared" si="14"/>
        <v>Eligible</v>
      </c>
      <c r="AB79" s="14" t="s">
        <v>85</v>
      </c>
      <c r="AC79" s="14">
        <v>0</v>
      </c>
      <c r="AD79" s="14" t="s">
        <v>78</v>
      </c>
      <c r="AE79" s="17">
        <v>4.0999999999999996</v>
      </c>
      <c r="AF79" s="15">
        <v>0</v>
      </c>
      <c r="AG79" s="20">
        <f t="shared" si="15"/>
        <v>1425779</v>
      </c>
      <c r="AH79" s="14">
        <v>0</v>
      </c>
      <c r="AI79" s="14" t="s">
        <v>75</v>
      </c>
      <c r="AJ79" s="14">
        <v>60</v>
      </c>
      <c r="AK79" s="21">
        <f t="shared" si="16"/>
        <v>0.09</v>
      </c>
      <c r="AL79" s="20">
        <f t="shared" si="17"/>
        <v>16962.399356242007</v>
      </c>
      <c r="AM79" s="22">
        <f t="shared" si="18"/>
        <v>0.5731154688068768</v>
      </c>
      <c r="AN79" s="20">
        <f t="shared" si="19"/>
        <v>36092.279356242012</v>
      </c>
      <c r="AO79" s="16">
        <f t="shared" si="20"/>
        <v>0.30376892370760417</v>
      </c>
      <c r="AP79" s="15">
        <v>912698</v>
      </c>
      <c r="AQ79" s="18">
        <f t="shared" si="21"/>
        <v>0.89529723961266483</v>
      </c>
      <c r="AR79" s="23">
        <v>46228</v>
      </c>
      <c r="AS79" s="14" t="s">
        <v>94</v>
      </c>
    </row>
    <row r="80" spans="1:45" x14ac:dyDescent="0.25">
      <c r="A80" s="14" t="s">
        <v>352</v>
      </c>
      <c r="B80" s="14" t="s">
        <v>353</v>
      </c>
      <c r="C80" s="14">
        <v>9444311586</v>
      </c>
      <c r="D80" s="15" t="s">
        <v>355</v>
      </c>
      <c r="E80" s="14">
        <v>51</v>
      </c>
      <c r="F80" s="14" t="s">
        <v>89</v>
      </c>
      <c r="G80" s="14" t="s">
        <v>98</v>
      </c>
      <c r="H80" s="14" t="s">
        <v>99</v>
      </c>
      <c r="I80" s="14" t="s">
        <v>74</v>
      </c>
      <c r="J80" s="15">
        <v>1638560</v>
      </c>
      <c r="K80" s="14">
        <v>1</v>
      </c>
      <c r="L80" s="14" t="s">
        <v>76</v>
      </c>
      <c r="M80" s="14" t="s">
        <v>75</v>
      </c>
      <c r="N80" s="14" t="s">
        <v>75</v>
      </c>
      <c r="O80" s="14" t="s">
        <v>75</v>
      </c>
      <c r="P80" s="14">
        <v>548</v>
      </c>
      <c r="Q80" s="15">
        <v>320390.49</v>
      </c>
      <c r="R80" s="15">
        <v>11047.95</v>
      </c>
      <c r="S80" s="14" t="s">
        <v>23</v>
      </c>
      <c r="T80" s="15">
        <v>4561972</v>
      </c>
      <c r="U80" s="16">
        <f t="shared" si="11"/>
        <v>8.0909701201054604E-2</v>
      </c>
      <c r="V80" s="14">
        <v>0</v>
      </c>
      <c r="W80" s="17">
        <v>58.6</v>
      </c>
      <c r="X80" s="14">
        <v>9</v>
      </c>
      <c r="Y80" s="18">
        <f t="shared" si="12"/>
        <v>31.8</v>
      </c>
      <c r="Z80" s="18" t="str">
        <f t="shared" si="13"/>
        <v>Medium</v>
      </c>
      <c r="AA80" s="19" t="str">
        <f t="shared" si="14"/>
        <v>Not Eligible</v>
      </c>
      <c r="AB80" s="14" t="s">
        <v>85</v>
      </c>
      <c r="AC80" s="14">
        <v>2</v>
      </c>
      <c r="AD80" s="14" t="s">
        <v>93</v>
      </c>
      <c r="AE80" s="17">
        <v>28.6</v>
      </c>
      <c r="AF80" s="15">
        <v>0</v>
      </c>
      <c r="AG80" s="20">
        <f t="shared" si="15"/>
        <v>1638560</v>
      </c>
      <c r="AH80" s="14">
        <v>1</v>
      </c>
      <c r="AI80" s="14" t="s">
        <v>75</v>
      </c>
      <c r="AJ80" s="14">
        <v>240</v>
      </c>
      <c r="AK80" s="21">
        <f t="shared" si="16"/>
        <v>0.1</v>
      </c>
      <c r="AL80" s="20">
        <f t="shared" si="17"/>
        <v>44024.017242215617</v>
      </c>
      <c r="AM80" s="22">
        <f t="shared" si="18"/>
        <v>2.7841348501122938</v>
      </c>
      <c r="AN80" s="20">
        <f t="shared" si="19"/>
        <v>55071.967242215615</v>
      </c>
      <c r="AO80" s="16">
        <f t="shared" si="20"/>
        <v>0.40331974838064361</v>
      </c>
      <c r="AP80" s="15">
        <v>6194339</v>
      </c>
      <c r="AQ80" s="18">
        <f t="shared" si="21"/>
        <v>0.73647438411104071</v>
      </c>
      <c r="AR80" s="23">
        <v>45930</v>
      </c>
      <c r="AS80" s="14" t="s">
        <v>79</v>
      </c>
    </row>
    <row r="81" spans="1:45" x14ac:dyDescent="0.25">
      <c r="A81" s="14" t="s">
        <v>356</v>
      </c>
      <c r="B81" s="14" t="s">
        <v>357</v>
      </c>
      <c r="C81" s="14">
        <v>9539312437</v>
      </c>
      <c r="D81" s="15" t="s">
        <v>358</v>
      </c>
      <c r="E81" s="14">
        <v>29</v>
      </c>
      <c r="F81" s="14" t="s">
        <v>89</v>
      </c>
      <c r="G81" s="14" t="s">
        <v>131</v>
      </c>
      <c r="H81" s="14" t="s">
        <v>84</v>
      </c>
      <c r="I81" s="14" t="s">
        <v>74</v>
      </c>
      <c r="J81" s="15">
        <v>946523</v>
      </c>
      <c r="K81" s="14">
        <v>1</v>
      </c>
      <c r="L81" s="14" t="s">
        <v>75</v>
      </c>
      <c r="M81" s="14" t="s">
        <v>75</v>
      </c>
      <c r="N81" s="14" t="s">
        <v>76</v>
      </c>
      <c r="O81" s="14" t="s">
        <v>75</v>
      </c>
      <c r="P81" s="14">
        <v>790</v>
      </c>
      <c r="Q81" s="15">
        <v>330664.40999999997</v>
      </c>
      <c r="R81" s="15">
        <v>7188.36</v>
      </c>
      <c r="S81" s="14" t="s">
        <v>23</v>
      </c>
      <c r="T81" s="15">
        <v>6060426</v>
      </c>
      <c r="U81" s="16">
        <f t="shared" si="11"/>
        <v>9.1133886868042288E-2</v>
      </c>
      <c r="V81" s="14">
        <v>0</v>
      </c>
      <c r="W81" s="17">
        <v>97</v>
      </c>
      <c r="X81" s="14">
        <v>10.6</v>
      </c>
      <c r="Y81" s="18">
        <f t="shared" si="12"/>
        <v>19.8</v>
      </c>
      <c r="Z81" s="18" t="str">
        <f t="shared" si="13"/>
        <v>Low</v>
      </c>
      <c r="AA81" s="19" t="str">
        <f t="shared" si="14"/>
        <v>Eligible</v>
      </c>
      <c r="AB81" s="14" t="s">
        <v>77</v>
      </c>
      <c r="AC81" s="14">
        <v>2</v>
      </c>
      <c r="AD81" s="14" t="s">
        <v>194</v>
      </c>
      <c r="AE81" s="17">
        <v>1.1000000000000001</v>
      </c>
      <c r="AF81" s="15">
        <v>648520</v>
      </c>
      <c r="AG81" s="20">
        <f t="shared" si="15"/>
        <v>1595043</v>
      </c>
      <c r="AH81" s="14">
        <v>0</v>
      </c>
      <c r="AI81" s="14" t="s">
        <v>75</v>
      </c>
      <c r="AJ81" s="14">
        <v>360</v>
      </c>
      <c r="AK81" s="21">
        <f t="shared" si="16"/>
        <v>8.5000000000000006E-2</v>
      </c>
      <c r="AL81" s="20">
        <f t="shared" si="17"/>
        <v>46599.432676650686</v>
      </c>
      <c r="AM81" s="22">
        <f t="shared" si="18"/>
        <v>6.4028301478146856</v>
      </c>
      <c r="AN81" s="20">
        <f t="shared" si="19"/>
        <v>53787.792676650686</v>
      </c>
      <c r="AO81" s="16">
        <f t="shared" si="20"/>
        <v>0.68192057891864033</v>
      </c>
      <c r="AP81" s="15">
        <v>8459761</v>
      </c>
      <c r="AQ81" s="18">
        <f t="shared" si="21"/>
        <v>0.71638264958076237</v>
      </c>
      <c r="AR81" s="23">
        <v>46241</v>
      </c>
      <c r="AS81" s="14" t="s">
        <v>79</v>
      </c>
    </row>
    <row r="82" spans="1:45" x14ac:dyDescent="0.25">
      <c r="A82" s="14" t="s">
        <v>359</v>
      </c>
      <c r="B82" s="14" t="s">
        <v>360</v>
      </c>
      <c r="C82" s="14">
        <v>9954946593</v>
      </c>
      <c r="D82" s="15" t="s">
        <v>362</v>
      </c>
      <c r="E82" s="14">
        <v>21</v>
      </c>
      <c r="F82" s="14" t="s">
        <v>71</v>
      </c>
      <c r="G82" s="14" t="s">
        <v>215</v>
      </c>
      <c r="H82" s="14" t="s">
        <v>91</v>
      </c>
      <c r="I82" s="14" t="s">
        <v>92</v>
      </c>
      <c r="J82" s="15">
        <v>2441931</v>
      </c>
      <c r="K82" s="14">
        <v>0</v>
      </c>
      <c r="L82" s="14" t="s">
        <v>75</v>
      </c>
      <c r="M82" s="14" t="s">
        <v>75</v>
      </c>
      <c r="N82" s="14" t="s">
        <v>75</v>
      </c>
      <c r="O82" s="14" t="s">
        <v>75</v>
      </c>
      <c r="P82" s="14">
        <v>683</v>
      </c>
      <c r="Q82" s="15">
        <v>95512.27</v>
      </c>
      <c r="R82" s="15">
        <v>1736.59</v>
      </c>
      <c r="S82" s="14" t="s">
        <v>21</v>
      </c>
      <c r="T82" s="15">
        <v>411724</v>
      </c>
      <c r="U82" s="16">
        <f t="shared" si="11"/>
        <v>8.5338529221341622E-3</v>
      </c>
      <c r="V82" s="14">
        <v>10</v>
      </c>
      <c r="W82" s="17">
        <v>50.9</v>
      </c>
      <c r="X82" s="14">
        <v>4.5999999999999996</v>
      </c>
      <c r="Y82" s="18">
        <f t="shared" si="12"/>
        <v>39.799999999999997</v>
      </c>
      <c r="Z82" s="18" t="str">
        <f t="shared" si="13"/>
        <v>Medium</v>
      </c>
      <c r="AA82" s="19" t="str">
        <f t="shared" si="14"/>
        <v>Not Eligible</v>
      </c>
      <c r="AB82" s="14" t="s">
        <v>77</v>
      </c>
      <c r="AC82" s="14">
        <v>0</v>
      </c>
      <c r="AD82" s="14" t="s">
        <v>93</v>
      </c>
      <c r="AE82" s="17">
        <v>0.3</v>
      </c>
      <c r="AF82" s="15">
        <v>0</v>
      </c>
      <c r="AG82" s="20">
        <f t="shared" si="15"/>
        <v>2441931</v>
      </c>
      <c r="AH82" s="14">
        <v>0</v>
      </c>
      <c r="AI82" s="14" t="s">
        <v>75</v>
      </c>
      <c r="AJ82" s="14">
        <v>24</v>
      </c>
      <c r="AK82" s="21">
        <f t="shared" si="16"/>
        <v>0.15500000000000003</v>
      </c>
      <c r="AL82" s="20">
        <f t="shared" si="17"/>
        <v>20061.063527441849</v>
      </c>
      <c r="AM82" s="22">
        <f t="shared" si="18"/>
        <v>0.16860591065021902</v>
      </c>
      <c r="AN82" s="20">
        <f t="shared" si="19"/>
        <v>21797.653527441849</v>
      </c>
      <c r="AO82" s="16">
        <f t="shared" si="20"/>
        <v>0.10711680318948495</v>
      </c>
      <c r="AP82" s="15">
        <v>0</v>
      </c>
      <c r="AQ82" s="18" t="str">
        <f t="shared" si="21"/>
        <v>N/A</v>
      </c>
      <c r="AR82" s="23">
        <v>46161</v>
      </c>
      <c r="AS82" s="14" t="s">
        <v>79</v>
      </c>
    </row>
    <row r="83" spans="1:45" x14ac:dyDescent="0.25">
      <c r="A83" s="14" t="s">
        <v>363</v>
      </c>
      <c r="B83" s="14" t="s">
        <v>364</v>
      </c>
      <c r="C83" s="14">
        <v>9570477095</v>
      </c>
      <c r="D83" s="15" t="s">
        <v>366</v>
      </c>
      <c r="E83" s="14">
        <v>41</v>
      </c>
      <c r="F83" s="14" t="s">
        <v>71</v>
      </c>
      <c r="G83" s="14" t="s">
        <v>143</v>
      </c>
      <c r="H83" s="14" t="s">
        <v>166</v>
      </c>
      <c r="I83" s="14" t="s">
        <v>74</v>
      </c>
      <c r="J83" s="15">
        <v>782702</v>
      </c>
      <c r="K83" s="14">
        <v>2</v>
      </c>
      <c r="L83" s="14" t="s">
        <v>76</v>
      </c>
      <c r="M83" s="14" t="s">
        <v>75</v>
      </c>
      <c r="N83" s="14" t="s">
        <v>76</v>
      </c>
      <c r="O83" s="14" t="s">
        <v>75</v>
      </c>
      <c r="P83" s="14">
        <v>549</v>
      </c>
      <c r="Q83" s="15"/>
      <c r="R83" s="15">
        <v>5155.78</v>
      </c>
      <c r="S83" s="14" t="s">
        <v>21</v>
      </c>
      <c r="T83" s="15">
        <v>397067</v>
      </c>
      <c r="U83" s="16">
        <f t="shared" si="11"/>
        <v>7.9045869309136818E-2</v>
      </c>
      <c r="V83" s="14">
        <v>1</v>
      </c>
      <c r="W83" s="17">
        <v>96.1</v>
      </c>
      <c r="X83" s="14">
        <v>3.6</v>
      </c>
      <c r="Y83" s="18">
        <f t="shared" si="12"/>
        <v>39.4</v>
      </c>
      <c r="Z83" s="18" t="str">
        <f t="shared" si="13"/>
        <v>Medium</v>
      </c>
      <c r="AA83" s="19" t="str">
        <f t="shared" si="14"/>
        <v>Not Eligible</v>
      </c>
      <c r="AB83" s="14" t="s">
        <v>85</v>
      </c>
      <c r="AC83" s="14">
        <v>0</v>
      </c>
      <c r="AD83" s="14" t="s">
        <v>93</v>
      </c>
      <c r="AE83" s="17">
        <v>8.8000000000000007</v>
      </c>
      <c r="AF83" s="15">
        <v>610580</v>
      </c>
      <c r="AG83" s="20">
        <f t="shared" si="15"/>
        <v>1393282</v>
      </c>
      <c r="AH83" s="14">
        <v>0</v>
      </c>
      <c r="AI83" s="14" t="s">
        <v>75</v>
      </c>
      <c r="AJ83" s="14">
        <v>48</v>
      </c>
      <c r="AK83" s="21">
        <f t="shared" si="16"/>
        <v>0.15500000000000003</v>
      </c>
      <c r="AL83" s="20">
        <f t="shared" si="17"/>
        <v>11151.570666881726</v>
      </c>
      <c r="AM83" s="22">
        <f t="shared" si="18"/>
        <v>0.50730290710896353</v>
      </c>
      <c r="AN83" s="20">
        <f t="shared" si="19"/>
        <v>16307.350666881724</v>
      </c>
      <c r="AO83" s="16">
        <f t="shared" si="20"/>
        <v>0.25001623606759749</v>
      </c>
      <c r="AP83" s="15">
        <v>0</v>
      </c>
      <c r="AQ83" s="18" t="str">
        <f t="shared" si="21"/>
        <v>N/A</v>
      </c>
      <c r="AR83" s="23">
        <v>45897</v>
      </c>
      <c r="AS83" s="14" t="s">
        <v>79</v>
      </c>
    </row>
    <row r="84" spans="1:45" x14ac:dyDescent="0.25">
      <c r="A84" s="14" t="s">
        <v>367</v>
      </c>
      <c r="B84" s="14" t="s">
        <v>368</v>
      </c>
      <c r="C84" s="14">
        <v>9907803348</v>
      </c>
      <c r="D84" s="15" t="s">
        <v>370</v>
      </c>
      <c r="E84" s="14">
        <v>57</v>
      </c>
      <c r="F84" s="14" t="s">
        <v>71</v>
      </c>
      <c r="G84" s="14" t="s">
        <v>83</v>
      </c>
      <c r="H84" s="14" t="s">
        <v>132</v>
      </c>
      <c r="I84" s="14" t="s">
        <v>92</v>
      </c>
      <c r="J84" s="15">
        <v>1834247</v>
      </c>
      <c r="K84" s="14">
        <v>1</v>
      </c>
      <c r="L84" s="14" t="s">
        <v>76</v>
      </c>
      <c r="M84" s="14" t="s">
        <v>75</v>
      </c>
      <c r="N84" s="14" t="s">
        <v>75</v>
      </c>
      <c r="O84" s="14" t="s">
        <v>75</v>
      </c>
      <c r="P84" s="14">
        <v>840</v>
      </c>
      <c r="Q84" s="15">
        <v>1063038</v>
      </c>
      <c r="R84" s="15">
        <v>33219.919999999998</v>
      </c>
      <c r="S84" s="14" t="s">
        <v>23</v>
      </c>
      <c r="T84" s="15">
        <v>6628026</v>
      </c>
      <c r="U84" s="16">
        <f t="shared" si="11"/>
        <v>0.21733116641324748</v>
      </c>
      <c r="V84" s="14">
        <v>0</v>
      </c>
      <c r="W84" s="17">
        <v>15.9</v>
      </c>
      <c r="X84" s="14">
        <v>5.4</v>
      </c>
      <c r="Y84" s="18">
        <f t="shared" si="12"/>
        <v>12.1</v>
      </c>
      <c r="Z84" s="18" t="str">
        <f t="shared" si="13"/>
        <v>Low</v>
      </c>
      <c r="AA84" s="19" t="str">
        <f t="shared" si="14"/>
        <v>Eligible</v>
      </c>
      <c r="AB84" s="14" t="s">
        <v>85</v>
      </c>
      <c r="AC84" s="14">
        <v>0</v>
      </c>
      <c r="AD84" s="14" t="s">
        <v>93</v>
      </c>
      <c r="AE84" s="17">
        <v>24.1</v>
      </c>
      <c r="AF84" s="15">
        <v>0</v>
      </c>
      <c r="AG84" s="20">
        <f t="shared" si="15"/>
        <v>1834247</v>
      </c>
      <c r="AH84" s="14">
        <v>1</v>
      </c>
      <c r="AI84" s="14" t="s">
        <v>75</v>
      </c>
      <c r="AJ84" s="14">
        <v>240</v>
      </c>
      <c r="AK84" s="21">
        <f t="shared" si="16"/>
        <v>8.5000000000000006E-2</v>
      </c>
      <c r="AL84" s="20">
        <f t="shared" si="17"/>
        <v>57519.549541508262</v>
      </c>
      <c r="AM84" s="22">
        <f t="shared" si="18"/>
        <v>3.6134860790286152</v>
      </c>
      <c r="AN84" s="20">
        <f t="shared" si="19"/>
        <v>90739.469541508268</v>
      </c>
      <c r="AO84" s="16">
        <f t="shared" si="20"/>
        <v>0.59363522715212258</v>
      </c>
      <c r="AP84" s="15">
        <v>7817527</v>
      </c>
      <c r="AQ84" s="18">
        <f t="shared" si="21"/>
        <v>0.84784177912017444</v>
      </c>
      <c r="AR84" s="23">
        <v>46051</v>
      </c>
      <c r="AS84" s="14" t="s">
        <v>79</v>
      </c>
    </row>
    <row r="85" spans="1:45" x14ac:dyDescent="0.25">
      <c r="A85" s="14" t="s">
        <v>371</v>
      </c>
      <c r="B85" s="14" t="s">
        <v>372</v>
      </c>
      <c r="C85" s="14">
        <v>9251782582</v>
      </c>
      <c r="D85" s="15" t="s">
        <v>373</v>
      </c>
      <c r="E85" s="14">
        <v>47</v>
      </c>
      <c r="F85" s="14" t="s">
        <v>71</v>
      </c>
      <c r="G85" s="14" t="s">
        <v>153</v>
      </c>
      <c r="H85" s="14" t="s">
        <v>99</v>
      </c>
      <c r="I85" s="14" t="s">
        <v>74</v>
      </c>
      <c r="J85" s="15">
        <v>1079107</v>
      </c>
      <c r="K85" s="14">
        <v>1</v>
      </c>
      <c r="L85" s="14" t="s">
        <v>76</v>
      </c>
      <c r="M85" s="14" t="s">
        <v>75</v>
      </c>
      <c r="N85" s="14" t="s">
        <v>75</v>
      </c>
      <c r="O85" s="14" t="s">
        <v>75</v>
      </c>
      <c r="P85" s="14">
        <v>477</v>
      </c>
      <c r="Q85" s="15">
        <v>359286.03</v>
      </c>
      <c r="R85" s="15">
        <v>8355.49</v>
      </c>
      <c r="S85" s="14" t="s">
        <v>22</v>
      </c>
      <c r="T85" s="15"/>
      <c r="U85" s="16">
        <f t="shared" si="11"/>
        <v>9.2915605218018241E-2</v>
      </c>
      <c r="V85" s="14">
        <v>0</v>
      </c>
      <c r="W85" s="17">
        <v>85</v>
      </c>
      <c r="X85" s="14">
        <v>9.4</v>
      </c>
      <c r="Y85" s="18">
        <f t="shared" si="12"/>
        <v>39.5</v>
      </c>
      <c r="Z85" s="18" t="str">
        <f t="shared" si="13"/>
        <v>Medium</v>
      </c>
      <c r="AA85" s="19" t="str">
        <f t="shared" si="14"/>
        <v>Not Eligible</v>
      </c>
      <c r="AB85" s="14" t="s">
        <v>77</v>
      </c>
      <c r="AC85" s="14">
        <v>4</v>
      </c>
      <c r="AD85" s="14" t="s">
        <v>93</v>
      </c>
      <c r="AE85" s="17">
        <v>5.3</v>
      </c>
      <c r="AF85" s="15">
        <v>0</v>
      </c>
      <c r="AG85" s="20">
        <f t="shared" si="15"/>
        <v>1079107</v>
      </c>
      <c r="AH85" s="14">
        <v>1</v>
      </c>
      <c r="AI85" s="14" t="s">
        <v>75</v>
      </c>
      <c r="AJ85" s="14">
        <v>60</v>
      </c>
      <c r="AK85" s="21">
        <f t="shared" si="16"/>
        <v>0.105</v>
      </c>
      <c r="AL85" s="20">
        <f t="shared" si="17"/>
        <v>0</v>
      </c>
      <c r="AM85" s="22">
        <f t="shared" si="18"/>
        <v>0</v>
      </c>
      <c r="AN85" s="20">
        <f t="shared" si="19"/>
        <v>8355.49</v>
      </c>
      <c r="AO85" s="16">
        <f t="shared" si="20"/>
        <v>9.2915605218018241E-2</v>
      </c>
      <c r="AP85" s="15">
        <v>705307</v>
      </c>
      <c r="AQ85" s="18">
        <f t="shared" si="21"/>
        <v>0</v>
      </c>
      <c r="AR85" s="23">
        <v>46107</v>
      </c>
      <c r="AS85" s="14" t="s">
        <v>79</v>
      </c>
    </row>
    <row r="86" spans="1:45" x14ac:dyDescent="0.25">
      <c r="A86" s="14" t="s">
        <v>374</v>
      </c>
      <c r="B86" s="14" t="s">
        <v>375</v>
      </c>
      <c r="C86" s="14">
        <v>9279587066</v>
      </c>
      <c r="D86" s="15" t="s">
        <v>376</v>
      </c>
      <c r="E86" s="14">
        <v>22</v>
      </c>
      <c r="F86" s="14" t="s">
        <v>71</v>
      </c>
      <c r="G86" s="14" t="s">
        <v>143</v>
      </c>
      <c r="H86" s="14" t="s">
        <v>166</v>
      </c>
      <c r="I86" s="14" t="s">
        <v>74</v>
      </c>
      <c r="J86" s="15">
        <v>1452816</v>
      </c>
      <c r="K86" s="14">
        <v>2</v>
      </c>
      <c r="L86" s="14" t="s">
        <v>76</v>
      </c>
      <c r="M86" s="14" t="s">
        <v>76</v>
      </c>
      <c r="N86" s="14" t="s">
        <v>75</v>
      </c>
      <c r="O86" s="14" t="s">
        <v>75</v>
      </c>
      <c r="P86" s="14">
        <v>807</v>
      </c>
      <c r="Q86" s="15">
        <v>479191</v>
      </c>
      <c r="R86" s="15">
        <v>25220.560000000001</v>
      </c>
      <c r="S86" s="14" t="s">
        <v>20</v>
      </c>
      <c r="T86" s="15"/>
      <c r="U86" s="16">
        <f t="shared" si="11"/>
        <v>0.2083173092807348</v>
      </c>
      <c r="V86" s="14">
        <v>3</v>
      </c>
      <c r="W86" s="17">
        <v>83.2</v>
      </c>
      <c r="X86" s="14">
        <v>5.6</v>
      </c>
      <c r="Y86" s="18">
        <f t="shared" si="12"/>
        <v>32.799999999999997</v>
      </c>
      <c r="Z86" s="18" t="str">
        <f t="shared" si="13"/>
        <v>Medium</v>
      </c>
      <c r="AA86" s="19" t="str">
        <f t="shared" si="14"/>
        <v>Review</v>
      </c>
      <c r="AB86" s="14" t="s">
        <v>77</v>
      </c>
      <c r="AC86" s="14">
        <v>0</v>
      </c>
      <c r="AD86" s="14" t="s">
        <v>93</v>
      </c>
      <c r="AE86" s="17">
        <v>0.7</v>
      </c>
      <c r="AF86" s="15">
        <v>0</v>
      </c>
      <c r="AG86" s="20">
        <f t="shared" si="15"/>
        <v>1452816</v>
      </c>
      <c r="AH86" s="14">
        <v>0</v>
      </c>
      <c r="AI86" s="14" t="s">
        <v>75</v>
      </c>
      <c r="AJ86" s="14">
        <v>18</v>
      </c>
      <c r="AK86" s="21">
        <f t="shared" si="16"/>
        <v>0.375</v>
      </c>
      <c r="AL86" s="20">
        <f t="shared" si="17"/>
        <v>0</v>
      </c>
      <c r="AM86" s="22">
        <f t="shared" si="18"/>
        <v>0</v>
      </c>
      <c r="AN86" s="20">
        <f t="shared" si="19"/>
        <v>25220.560000000001</v>
      </c>
      <c r="AO86" s="16">
        <f t="shared" si="20"/>
        <v>0.2083173092807348</v>
      </c>
      <c r="AP86" s="15">
        <v>0</v>
      </c>
      <c r="AQ86" s="18" t="str">
        <f t="shared" si="21"/>
        <v>N/A</v>
      </c>
      <c r="AR86" s="23">
        <v>46047</v>
      </c>
      <c r="AS86" s="14" t="s">
        <v>79</v>
      </c>
    </row>
    <row r="87" spans="1:45" x14ac:dyDescent="0.25">
      <c r="A87" s="14" t="s">
        <v>377</v>
      </c>
      <c r="B87" s="14" t="s">
        <v>323</v>
      </c>
      <c r="C87" s="14">
        <v>9382195698</v>
      </c>
      <c r="D87" s="15" t="s">
        <v>378</v>
      </c>
      <c r="E87" s="14">
        <v>49</v>
      </c>
      <c r="F87" s="14" t="s">
        <v>71</v>
      </c>
      <c r="G87" s="14" t="s">
        <v>131</v>
      </c>
      <c r="H87" s="14" t="s">
        <v>91</v>
      </c>
      <c r="I87" s="14" t="s">
        <v>92</v>
      </c>
      <c r="J87" s="15">
        <v>1770652</v>
      </c>
      <c r="K87" s="14">
        <v>0</v>
      </c>
      <c r="L87" s="14" t="s">
        <v>75</v>
      </c>
      <c r="M87" s="14" t="s">
        <v>75</v>
      </c>
      <c r="N87" s="14" t="s">
        <v>75</v>
      </c>
      <c r="O87" s="14" t="s">
        <v>75</v>
      </c>
      <c r="P87" s="14">
        <v>511</v>
      </c>
      <c r="Q87" s="15">
        <v>144048</v>
      </c>
      <c r="R87" s="15">
        <v>9603.19</v>
      </c>
      <c r="S87" s="14" t="s">
        <v>22</v>
      </c>
      <c r="T87" s="15"/>
      <c r="U87" s="16">
        <f t="shared" si="11"/>
        <v>6.5082399025895549E-2</v>
      </c>
      <c r="V87" s="14">
        <v>0</v>
      </c>
      <c r="W87" s="17">
        <v>56.2</v>
      </c>
      <c r="X87" s="14">
        <v>5</v>
      </c>
      <c r="Y87" s="18">
        <f t="shared" si="12"/>
        <v>33.5</v>
      </c>
      <c r="Z87" s="18" t="str">
        <f t="shared" si="13"/>
        <v>Medium</v>
      </c>
      <c r="AA87" s="19" t="str">
        <f t="shared" si="14"/>
        <v>Not Eligible</v>
      </c>
      <c r="AB87" s="14" t="s">
        <v>77</v>
      </c>
      <c r="AC87" s="14">
        <v>1</v>
      </c>
      <c r="AD87" s="14" t="s">
        <v>78</v>
      </c>
      <c r="AE87" s="17">
        <v>24.1</v>
      </c>
      <c r="AF87" s="15">
        <v>0</v>
      </c>
      <c r="AG87" s="20">
        <f t="shared" si="15"/>
        <v>1770652</v>
      </c>
      <c r="AH87" s="14">
        <v>1</v>
      </c>
      <c r="AI87" s="14" t="s">
        <v>75</v>
      </c>
      <c r="AJ87" s="14">
        <v>60</v>
      </c>
      <c r="AK87" s="21">
        <f t="shared" si="16"/>
        <v>0.105</v>
      </c>
      <c r="AL87" s="20">
        <f t="shared" si="17"/>
        <v>0</v>
      </c>
      <c r="AM87" s="22">
        <f t="shared" si="18"/>
        <v>0</v>
      </c>
      <c r="AN87" s="20">
        <f t="shared" si="19"/>
        <v>9603.19</v>
      </c>
      <c r="AO87" s="16">
        <f t="shared" si="20"/>
        <v>6.5082399025895549E-2</v>
      </c>
      <c r="AP87" s="15">
        <v>1747332</v>
      </c>
      <c r="AQ87" s="18">
        <f t="shared" si="21"/>
        <v>0</v>
      </c>
      <c r="AR87" s="23">
        <v>46036</v>
      </c>
      <c r="AS87" s="14" t="s">
        <v>79</v>
      </c>
    </row>
    <row r="88" spans="1:45" x14ac:dyDescent="0.25">
      <c r="A88" s="14" t="s">
        <v>379</v>
      </c>
      <c r="B88" s="14" t="s">
        <v>380</v>
      </c>
      <c r="C88" s="14">
        <v>9242475723</v>
      </c>
      <c r="D88" s="15"/>
      <c r="E88" s="14">
        <v>41</v>
      </c>
      <c r="F88" s="14" t="s">
        <v>71</v>
      </c>
      <c r="G88" s="14" t="s">
        <v>153</v>
      </c>
      <c r="H88" s="14" t="s">
        <v>107</v>
      </c>
      <c r="I88" s="14" t="s">
        <v>92</v>
      </c>
      <c r="J88" s="15">
        <v>896311</v>
      </c>
      <c r="K88" s="14">
        <v>1</v>
      </c>
      <c r="L88" s="14" t="s">
        <v>75</v>
      </c>
      <c r="M88" s="14" t="s">
        <v>76</v>
      </c>
      <c r="N88" s="14" t="s">
        <v>75</v>
      </c>
      <c r="O88" s="14" t="s">
        <v>75</v>
      </c>
      <c r="P88" s="14">
        <v>395</v>
      </c>
      <c r="Q88" s="15">
        <v>216647.75</v>
      </c>
      <c r="R88" s="15">
        <v>3672</v>
      </c>
      <c r="S88" s="14" t="s">
        <v>22</v>
      </c>
      <c r="T88" s="15">
        <v>1073998</v>
      </c>
      <c r="U88" s="16">
        <f t="shared" si="11"/>
        <v>4.9161507557086773E-2</v>
      </c>
      <c r="V88" s="14">
        <v>1</v>
      </c>
      <c r="W88" s="17">
        <v>51.4</v>
      </c>
      <c r="X88" s="14">
        <v>8.8000000000000007</v>
      </c>
      <c r="Y88" s="18">
        <f t="shared" si="12"/>
        <v>44.3</v>
      </c>
      <c r="Z88" s="18" t="str">
        <f t="shared" si="13"/>
        <v>Medium</v>
      </c>
      <c r="AA88" s="19" t="str">
        <f t="shared" si="14"/>
        <v>Not Eligible</v>
      </c>
      <c r="AB88" s="14" t="s">
        <v>77</v>
      </c>
      <c r="AC88" s="14">
        <v>3</v>
      </c>
      <c r="AD88" s="14" t="s">
        <v>78</v>
      </c>
      <c r="AE88" s="17">
        <v>19.5</v>
      </c>
      <c r="AF88" s="15">
        <v>0</v>
      </c>
      <c r="AG88" s="20">
        <f t="shared" si="15"/>
        <v>896311</v>
      </c>
      <c r="AH88" s="14">
        <v>1</v>
      </c>
      <c r="AI88" s="14" t="s">
        <v>75</v>
      </c>
      <c r="AJ88" s="14">
        <v>72</v>
      </c>
      <c r="AK88" s="21">
        <f t="shared" si="16"/>
        <v>0.105</v>
      </c>
      <c r="AL88" s="20">
        <f t="shared" si="17"/>
        <v>20168.576189087671</v>
      </c>
      <c r="AM88" s="22">
        <f t="shared" si="18"/>
        <v>1.1982425742850418</v>
      </c>
      <c r="AN88" s="20">
        <f t="shared" si="19"/>
        <v>23840.576189087671</v>
      </c>
      <c r="AO88" s="16">
        <f t="shared" si="20"/>
        <v>0.3191826433783051</v>
      </c>
      <c r="AP88" s="15">
        <v>1213127</v>
      </c>
      <c r="AQ88" s="18">
        <f t="shared" si="21"/>
        <v>0.8853137387923935</v>
      </c>
      <c r="AR88" s="23">
        <v>46114</v>
      </c>
      <c r="AS88" s="14" t="s">
        <v>79</v>
      </c>
    </row>
    <row r="89" spans="1:45" x14ac:dyDescent="0.25">
      <c r="A89" s="14" t="s">
        <v>381</v>
      </c>
      <c r="B89" s="14" t="s">
        <v>382</v>
      </c>
      <c r="C89" s="14">
        <v>9446673808</v>
      </c>
      <c r="D89" s="15" t="s">
        <v>384</v>
      </c>
      <c r="E89" s="14">
        <v>42</v>
      </c>
      <c r="F89" s="14" t="s">
        <v>71</v>
      </c>
      <c r="G89" s="14" t="s">
        <v>115</v>
      </c>
      <c r="H89" s="14" t="s">
        <v>103</v>
      </c>
      <c r="I89" s="14" t="s">
        <v>74</v>
      </c>
      <c r="J89" s="15">
        <v>503043</v>
      </c>
      <c r="K89" s="14">
        <v>2</v>
      </c>
      <c r="L89" s="14" t="s">
        <v>76</v>
      </c>
      <c r="M89" s="14" t="s">
        <v>75</v>
      </c>
      <c r="N89" s="14" t="s">
        <v>75</v>
      </c>
      <c r="O89" s="14" t="s">
        <v>76</v>
      </c>
      <c r="P89" s="14">
        <v>461</v>
      </c>
      <c r="Q89" s="15">
        <v>133191.48000000001</v>
      </c>
      <c r="R89" s="15">
        <v>11099.29</v>
      </c>
      <c r="S89" s="14" t="s">
        <v>23</v>
      </c>
      <c r="T89" s="15">
        <v>3197168</v>
      </c>
      <c r="U89" s="16">
        <f t="shared" si="11"/>
        <v>0.26477156028411092</v>
      </c>
      <c r="V89" s="14">
        <v>10</v>
      </c>
      <c r="W89" s="17">
        <v>91.4</v>
      </c>
      <c r="X89" s="14">
        <v>13.3</v>
      </c>
      <c r="Y89" s="18">
        <f t="shared" si="12"/>
        <v>66.3</v>
      </c>
      <c r="Z89" s="18" t="str">
        <f t="shared" si="13"/>
        <v>High</v>
      </c>
      <c r="AA89" s="19" t="str">
        <f t="shared" si="14"/>
        <v>Not Eligible</v>
      </c>
      <c r="AB89" s="14" t="s">
        <v>85</v>
      </c>
      <c r="AC89" s="14">
        <v>3</v>
      </c>
      <c r="AD89" s="14" t="s">
        <v>93</v>
      </c>
      <c r="AE89" s="17">
        <v>2.2000000000000002</v>
      </c>
      <c r="AF89" s="15">
        <v>0</v>
      </c>
      <c r="AG89" s="20">
        <f t="shared" si="15"/>
        <v>503043</v>
      </c>
      <c r="AH89" s="14">
        <v>0</v>
      </c>
      <c r="AI89" s="14" t="s">
        <v>75</v>
      </c>
      <c r="AJ89" s="14">
        <v>180</v>
      </c>
      <c r="AK89" s="21">
        <f t="shared" si="16"/>
        <v>0.115</v>
      </c>
      <c r="AL89" s="20">
        <f t="shared" si="17"/>
        <v>37348.990781639353</v>
      </c>
      <c r="AM89" s="22">
        <f t="shared" si="18"/>
        <v>6.3556554807441907</v>
      </c>
      <c r="AN89" s="20">
        <f t="shared" si="19"/>
        <v>48448.280781639354</v>
      </c>
      <c r="AO89" s="16">
        <f t="shared" si="20"/>
        <v>1.155724996431065</v>
      </c>
      <c r="AP89" s="15">
        <v>3718136</v>
      </c>
      <c r="AQ89" s="18">
        <f t="shared" si="21"/>
        <v>0.8598846303631712</v>
      </c>
      <c r="AR89" s="23">
        <v>46215</v>
      </c>
      <c r="AS89" s="14" t="s">
        <v>79</v>
      </c>
    </row>
    <row r="90" spans="1:45" x14ac:dyDescent="0.25">
      <c r="A90" s="14" t="s">
        <v>385</v>
      </c>
      <c r="B90" s="14" t="s">
        <v>386</v>
      </c>
      <c r="C90" s="14">
        <v>9351410032</v>
      </c>
      <c r="D90" s="15" t="s">
        <v>387</v>
      </c>
      <c r="E90" s="14">
        <v>27</v>
      </c>
      <c r="F90" s="14" t="s">
        <v>71</v>
      </c>
      <c r="G90" s="14" t="s">
        <v>388</v>
      </c>
      <c r="H90" s="14" t="s">
        <v>107</v>
      </c>
      <c r="I90" s="14" t="s">
        <v>92</v>
      </c>
      <c r="J90" s="15">
        <v>626898</v>
      </c>
      <c r="K90" s="14">
        <v>3</v>
      </c>
      <c r="L90" s="14" t="s">
        <v>76</v>
      </c>
      <c r="M90" s="14" t="s">
        <v>76</v>
      </c>
      <c r="N90" s="14" t="s">
        <v>75</v>
      </c>
      <c r="O90" s="14" t="s">
        <v>76</v>
      </c>
      <c r="P90" s="14">
        <v>651</v>
      </c>
      <c r="Q90" s="15"/>
      <c r="R90" s="15">
        <v>7880.68</v>
      </c>
      <c r="S90" s="14" t="s">
        <v>21</v>
      </c>
      <c r="T90" s="15">
        <v>550905</v>
      </c>
      <c r="U90" s="16">
        <f t="shared" si="11"/>
        <v>0.15085095182948421</v>
      </c>
      <c r="V90" s="14">
        <v>0</v>
      </c>
      <c r="W90" s="17">
        <v>41.4</v>
      </c>
      <c r="X90" s="14">
        <v>11</v>
      </c>
      <c r="Y90" s="18">
        <f t="shared" si="12"/>
        <v>25.3</v>
      </c>
      <c r="Z90" s="18" t="str">
        <f t="shared" si="13"/>
        <v>Low</v>
      </c>
      <c r="AA90" s="19" t="str">
        <f t="shared" si="14"/>
        <v>Eligible</v>
      </c>
      <c r="AB90" s="14" t="s">
        <v>85</v>
      </c>
      <c r="AC90" s="14">
        <v>1</v>
      </c>
      <c r="AD90" s="14" t="s">
        <v>93</v>
      </c>
      <c r="AE90" s="17">
        <v>1.1000000000000001</v>
      </c>
      <c r="AF90" s="15">
        <v>0</v>
      </c>
      <c r="AG90" s="20">
        <f t="shared" si="15"/>
        <v>626898</v>
      </c>
      <c r="AH90" s="14">
        <v>1</v>
      </c>
      <c r="AI90" s="14" t="s">
        <v>75</v>
      </c>
      <c r="AJ90" s="14">
        <v>24</v>
      </c>
      <c r="AK90" s="21">
        <f t="shared" si="16"/>
        <v>0.14000000000000001</v>
      </c>
      <c r="AL90" s="20">
        <f t="shared" si="17"/>
        <v>26450.537456971357</v>
      </c>
      <c r="AM90" s="22">
        <f t="shared" si="18"/>
        <v>0.87877932295205918</v>
      </c>
      <c r="AN90" s="20">
        <f t="shared" si="19"/>
        <v>34331.217456971353</v>
      </c>
      <c r="AO90" s="16">
        <f t="shared" si="20"/>
        <v>0.6571637004483285</v>
      </c>
      <c r="AP90" s="15">
        <v>0</v>
      </c>
      <c r="AQ90" s="18" t="str">
        <f t="shared" si="21"/>
        <v>N/A</v>
      </c>
      <c r="AR90" s="23">
        <v>45930</v>
      </c>
      <c r="AS90" s="14" t="s">
        <v>79</v>
      </c>
    </row>
    <row r="91" spans="1:45" x14ac:dyDescent="0.25">
      <c r="A91" s="14" t="s">
        <v>389</v>
      </c>
      <c r="B91" s="14" t="s">
        <v>390</v>
      </c>
      <c r="C91" s="14"/>
      <c r="D91" s="15" t="s">
        <v>391</v>
      </c>
      <c r="E91" s="14">
        <v>43</v>
      </c>
      <c r="F91" s="14" t="s">
        <v>71</v>
      </c>
      <c r="G91" s="14" t="s">
        <v>72</v>
      </c>
      <c r="H91" s="14" t="s">
        <v>99</v>
      </c>
      <c r="I91" s="14" t="s">
        <v>74</v>
      </c>
      <c r="J91" s="15">
        <v>2155492</v>
      </c>
      <c r="K91" s="14">
        <v>2</v>
      </c>
      <c r="L91" s="14" t="s">
        <v>75</v>
      </c>
      <c r="M91" s="14" t="s">
        <v>76</v>
      </c>
      <c r="N91" s="14" t="s">
        <v>76</v>
      </c>
      <c r="O91" s="14" t="s">
        <v>75</v>
      </c>
      <c r="P91" s="14">
        <v>693</v>
      </c>
      <c r="Q91" s="15">
        <v>454639.35999999999</v>
      </c>
      <c r="R91" s="15">
        <v>11657.42</v>
      </c>
      <c r="S91" s="14" t="s">
        <v>22</v>
      </c>
      <c r="T91" s="15"/>
      <c r="U91" s="16">
        <f t="shared" si="11"/>
        <v>6.4898890833276116E-2</v>
      </c>
      <c r="V91" s="14">
        <v>0</v>
      </c>
      <c r="W91" s="17">
        <v>66.2</v>
      </c>
      <c r="X91" s="14">
        <v>3.9</v>
      </c>
      <c r="Y91" s="18">
        <f t="shared" si="12"/>
        <v>22.4</v>
      </c>
      <c r="Z91" s="18" t="str">
        <f t="shared" si="13"/>
        <v>Low</v>
      </c>
      <c r="AA91" s="19" t="str">
        <f t="shared" si="14"/>
        <v>Eligible</v>
      </c>
      <c r="AB91" s="14" t="s">
        <v>77</v>
      </c>
      <c r="AC91" s="14">
        <v>2</v>
      </c>
      <c r="AD91" s="14" t="s">
        <v>78</v>
      </c>
      <c r="AE91" s="17">
        <v>20.7</v>
      </c>
      <c r="AF91" s="15">
        <v>785303</v>
      </c>
      <c r="AG91" s="20">
        <f t="shared" si="15"/>
        <v>2940795</v>
      </c>
      <c r="AH91" s="14">
        <v>2</v>
      </c>
      <c r="AI91" s="14" t="s">
        <v>75</v>
      </c>
      <c r="AJ91" s="14">
        <v>72</v>
      </c>
      <c r="AK91" s="21">
        <f t="shared" si="16"/>
        <v>0.09</v>
      </c>
      <c r="AL91" s="20">
        <f t="shared" si="17"/>
        <v>0</v>
      </c>
      <c r="AM91" s="22">
        <f t="shared" si="18"/>
        <v>0</v>
      </c>
      <c r="AN91" s="20">
        <f t="shared" si="19"/>
        <v>11657.42</v>
      </c>
      <c r="AO91" s="16">
        <f t="shared" si="20"/>
        <v>6.4898890833276116E-2</v>
      </c>
      <c r="AP91" s="15">
        <v>683362</v>
      </c>
      <c r="AQ91" s="18">
        <f t="shared" si="21"/>
        <v>0</v>
      </c>
      <c r="AR91" s="23">
        <v>46095</v>
      </c>
      <c r="AS91" s="14" t="s">
        <v>79</v>
      </c>
    </row>
    <row r="92" spans="1:45" x14ac:dyDescent="0.25">
      <c r="A92" s="14" t="s">
        <v>392</v>
      </c>
      <c r="B92" s="14" t="s">
        <v>393</v>
      </c>
      <c r="C92" s="14">
        <v>9952312670</v>
      </c>
      <c r="D92" s="15" t="s">
        <v>394</v>
      </c>
      <c r="E92" s="14">
        <v>52</v>
      </c>
      <c r="F92" s="14" t="s">
        <v>89</v>
      </c>
      <c r="G92" s="14" t="s">
        <v>139</v>
      </c>
      <c r="H92" s="14" t="s">
        <v>91</v>
      </c>
      <c r="I92" s="14" t="s">
        <v>92</v>
      </c>
      <c r="J92" s="15">
        <v>2395401</v>
      </c>
      <c r="K92" s="14">
        <v>2</v>
      </c>
      <c r="L92" s="14" t="s">
        <v>75</v>
      </c>
      <c r="M92" s="14" t="s">
        <v>76</v>
      </c>
      <c r="N92" s="14" t="s">
        <v>75</v>
      </c>
      <c r="O92" s="14" t="s">
        <v>76</v>
      </c>
      <c r="P92" s="14">
        <v>669</v>
      </c>
      <c r="Q92" s="15"/>
      <c r="R92" s="15">
        <v>67113.7</v>
      </c>
      <c r="S92" s="14" t="s">
        <v>23</v>
      </c>
      <c r="T92" s="15">
        <v>6267920</v>
      </c>
      <c r="U92" s="16">
        <f t="shared" si="11"/>
        <v>0.33621276771613601</v>
      </c>
      <c r="V92" s="14">
        <v>0</v>
      </c>
      <c r="W92" s="17">
        <v>56.9</v>
      </c>
      <c r="X92" s="14">
        <v>2.8</v>
      </c>
      <c r="Y92" s="18">
        <f t="shared" si="12"/>
        <v>31.2</v>
      </c>
      <c r="Z92" s="18" t="str">
        <f t="shared" si="13"/>
        <v>Medium</v>
      </c>
      <c r="AA92" s="19" t="str">
        <f t="shared" si="14"/>
        <v>Eligible</v>
      </c>
      <c r="AB92" s="14" t="s">
        <v>85</v>
      </c>
      <c r="AC92" s="14">
        <v>4</v>
      </c>
      <c r="AD92" s="14" t="s">
        <v>78</v>
      </c>
      <c r="AE92" s="17">
        <v>17.7</v>
      </c>
      <c r="AF92" s="15">
        <v>311807</v>
      </c>
      <c r="AG92" s="20">
        <f t="shared" si="15"/>
        <v>2707208</v>
      </c>
      <c r="AH92" s="14">
        <v>2</v>
      </c>
      <c r="AI92" s="14" t="s">
        <v>76</v>
      </c>
      <c r="AJ92" s="14">
        <v>300</v>
      </c>
      <c r="AK92" s="21">
        <f t="shared" si="16"/>
        <v>0.1</v>
      </c>
      <c r="AL92" s="20">
        <f t="shared" si="17"/>
        <v>56956.635769854562</v>
      </c>
      <c r="AM92" s="22">
        <f t="shared" si="18"/>
        <v>2.6166474840746914</v>
      </c>
      <c r="AN92" s="20">
        <f t="shared" si="19"/>
        <v>124070.33576985456</v>
      </c>
      <c r="AO92" s="16">
        <f t="shared" si="20"/>
        <v>0.62154271006743955</v>
      </c>
      <c r="AP92" s="15">
        <v>8001957</v>
      </c>
      <c r="AQ92" s="18">
        <f t="shared" si="21"/>
        <v>0.78329838563241472</v>
      </c>
      <c r="AR92" s="23">
        <v>46216</v>
      </c>
      <c r="AS92" s="14" t="s">
        <v>79</v>
      </c>
    </row>
    <row r="93" spans="1:45" x14ac:dyDescent="0.25">
      <c r="A93" s="14" t="s">
        <v>395</v>
      </c>
      <c r="B93" s="14" t="s">
        <v>396</v>
      </c>
      <c r="C93" s="14">
        <v>9554810443</v>
      </c>
      <c r="D93" s="15" t="s">
        <v>397</v>
      </c>
      <c r="E93" s="14">
        <v>26</v>
      </c>
      <c r="F93" s="14" t="s">
        <v>71</v>
      </c>
      <c r="G93" s="14" t="s">
        <v>215</v>
      </c>
      <c r="H93" s="14" t="s">
        <v>73</v>
      </c>
      <c r="I93" s="14" t="s">
        <v>74</v>
      </c>
      <c r="J93" s="15">
        <v>1599843</v>
      </c>
      <c r="K93" s="14">
        <v>2</v>
      </c>
      <c r="L93" s="14" t="s">
        <v>76</v>
      </c>
      <c r="M93" s="14" t="s">
        <v>75</v>
      </c>
      <c r="N93" s="14" t="s">
        <v>75</v>
      </c>
      <c r="O93" s="14" t="s">
        <v>76</v>
      </c>
      <c r="P93" s="14">
        <v>634</v>
      </c>
      <c r="Q93" s="15">
        <v>375065.44</v>
      </c>
      <c r="R93" s="15">
        <v>7212.8</v>
      </c>
      <c r="S93" s="14" t="s">
        <v>20</v>
      </c>
      <c r="T93" s="15"/>
      <c r="U93" s="16">
        <f t="shared" si="11"/>
        <v>5.4101308690915298E-2</v>
      </c>
      <c r="V93" s="14">
        <v>2</v>
      </c>
      <c r="W93" s="17">
        <v>74.3</v>
      </c>
      <c r="X93" s="14">
        <v>12.7</v>
      </c>
      <c r="Y93" s="18">
        <f t="shared" si="12"/>
        <v>34.799999999999997</v>
      </c>
      <c r="Z93" s="18" t="str">
        <f t="shared" si="13"/>
        <v>Medium</v>
      </c>
      <c r="AA93" s="19" t="str">
        <f t="shared" si="14"/>
        <v>Review</v>
      </c>
      <c r="AB93" s="14" t="s">
        <v>85</v>
      </c>
      <c r="AC93" s="14">
        <v>0</v>
      </c>
      <c r="AD93" s="14" t="s">
        <v>78</v>
      </c>
      <c r="AE93" s="17">
        <v>2.4</v>
      </c>
      <c r="AF93" s="15">
        <v>0</v>
      </c>
      <c r="AG93" s="20">
        <f t="shared" si="15"/>
        <v>1599843</v>
      </c>
      <c r="AH93" s="14">
        <v>0</v>
      </c>
      <c r="AI93" s="14" t="s">
        <v>75</v>
      </c>
      <c r="AJ93" s="14">
        <v>18</v>
      </c>
      <c r="AK93" s="21">
        <f t="shared" si="16"/>
        <v>0.375</v>
      </c>
      <c r="AL93" s="20">
        <f t="shared" si="17"/>
        <v>0</v>
      </c>
      <c r="AM93" s="22">
        <f t="shared" si="18"/>
        <v>0</v>
      </c>
      <c r="AN93" s="20">
        <f t="shared" si="19"/>
        <v>7212.8</v>
      </c>
      <c r="AO93" s="16">
        <f t="shared" si="20"/>
        <v>5.4101308690915298E-2</v>
      </c>
      <c r="AP93" s="15">
        <v>0</v>
      </c>
      <c r="AQ93" s="18" t="str">
        <f t="shared" si="21"/>
        <v>N/A</v>
      </c>
      <c r="AR93" s="23">
        <v>45956</v>
      </c>
      <c r="AS93" s="14" t="s">
        <v>79</v>
      </c>
    </row>
    <row r="94" spans="1:45" x14ac:dyDescent="0.25">
      <c r="A94" s="14" t="s">
        <v>398</v>
      </c>
      <c r="B94" s="14" t="s">
        <v>380</v>
      </c>
      <c r="C94" s="14">
        <v>9112187618</v>
      </c>
      <c r="D94" s="15"/>
      <c r="E94" s="14">
        <v>43</v>
      </c>
      <c r="F94" s="14" t="s">
        <v>89</v>
      </c>
      <c r="G94" s="14" t="s">
        <v>98</v>
      </c>
      <c r="H94" s="14" t="s">
        <v>103</v>
      </c>
      <c r="I94" s="14" t="s">
        <v>74</v>
      </c>
      <c r="J94" s="15">
        <v>832385</v>
      </c>
      <c r="K94" s="14">
        <v>1</v>
      </c>
      <c r="L94" s="14" t="s">
        <v>75</v>
      </c>
      <c r="M94" s="14" t="s">
        <v>75</v>
      </c>
      <c r="N94" s="14" t="s">
        <v>75</v>
      </c>
      <c r="O94" s="14" t="s">
        <v>76</v>
      </c>
      <c r="P94" s="14">
        <v>330</v>
      </c>
      <c r="Q94" s="15">
        <v>167314.89000000001</v>
      </c>
      <c r="R94" s="15">
        <v>4290.13</v>
      </c>
      <c r="S94" s="14" t="s">
        <v>22</v>
      </c>
      <c r="T94" s="15"/>
      <c r="U94" s="16">
        <f t="shared" si="11"/>
        <v>6.1848255314547955E-2</v>
      </c>
      <c r="V94" s="14">
        <v>0</v>
      </c>
      <c r="W94" s="17">
        <v>72.7</v>
      </c>
      <c r="X94" s="14">
        <v>8.6999999999999993</v>
      </c>
      <c r="Y94" s="18">
        <f t="shared" si="12"/>
        <v>47.1</v>
      </c>
      <c r="Z94" s="18" t="str">
        <f t="shared" si="13"/>
        <v>Medium</v>
      </c>
      <c r="AA94" s="19" t="str">
        <f t="shared" si="14"/>
        <v>Not Eligible</v>
      </c>
      <c r="AB94" s="14" t="s">
        <v>85</v>
      </c>
      <c r="AC94" s="14">
        <v>1</v>
      </c>
      <c r="AD94" s="14" t="s">
        <v>78</v>
      </c>
      <c r="AE94" s="17">
        <v>11.1</v>
      </c>
      <c r="AF94" s="15">
        <v>0</v>
      </c>
      <c r="AG94" s="20">
        <f t="shared" si="15"/>
        <v>832385</v>
      </c>
      <c r="AH94" s="14">
        <v>0</v>
      </c>
      <c r="AI94" s="14" t="s">
        <v>75</v>
      </c>
      <c r="AJ94" s="14">
        <v>24</v>
      </c>
      <c r="AK94" s="21">
        <f t="shared" si="16"/>
        <v>0.105</v>
      </c>
      <c r="AL94" s="20">
        <f t="shared" si="17"/>
        <v>0</v>
      </c>
      <c r="AM94" s="22">
        <f t="shared" si="18"/>
        <v>0</v>
      </c>
      <c r="AN94" s="20">
        <f t="shared" si="19"/>
        <v>4290.13</v>
      </c>
      <c r="AO94" s="16">
        <f t="shared" si="20"/>
        <v>6.1848255314547955E-2</v>
      </c>
      <c r="AP94" s="15">
        <v>1718676</v>
      </c>
      <c r="AQ94" s="18">
        <f t="shared" si="21"/>
        <v>0</v>
      </c>
      <c r="AR94" s="23">
        <v>46240</v>
      </c>
      <c r="AS94" s="14" t="s">
        <v>79</v>
      </c>
    </row>
    <row r="95" spans="1:45" x14ac:dyDescent="0.25">
      <c r="A95" s="14" t="s">
        <v>399</v>
      </c>
      <c r="B95" s="14" t="s">
        <v>400</v>
      </c>
      <c r="C95" s="14">
        <v>9646346564</v>
      </c>
      <c r="D95" s="15" t="s">
        <v>401</v>
      </c>
      <c r="E95" s="14">
        <v>21</v>
      </c>
      <c r="F95" s="14" t="s">
        <v>71</v>
      </c>
      <c r="G95" s="14" t="s">
        <v>90</v>
      </c>
      <c r="H95" s="14" t="s">
        <v>107</v>
      </c>
      <c r="I95" s="14" t="s">
        <v>92</v>
      </c>
      <c r="J95" s="15">
        <v>1826628</v>
      </c>
      <c r="K95" s="14">
        <v>2</v>
      </c>
      <c r="L95" s="14" t="s">
        <v>76</v>
      </c>
      <c r="M95" s="14" t="s">
        <v>76</v>
      </c>
      <c r="N95" s="14" t="s">
        <v>75</v>
      </c>
      <c r="O95" s="14" t="s">
        <v>75</v>
      </c>
      <c r="P95" s="14">
        <v>866</v>
      </c>
      <c r="Q95" s="15">
        <v>880195.94</v>
      </c>
      <c r="R95" s="15">
        <v>15442.03</v>
      </c>
      <c r="S95" s="14" t="s">
        <v>23</v>
      </c>
      <c r="T95" s="15"/>
      <c r="U95" s="16">
        <f t="shared" si="11"/>
        <v>0.10144614010077586</v>
      </c>
      <c r="V95" s="14">
        <v>0</v>
      </c>
      <c r="W95" s="17">
        <v>44.5</v>
      </c>
      <c r="X95" s="14">
        <v>10.9</v>
      </c>
      <c r="Y95" s="18">
        <f t="shared" si="12"/>
        <v>9.8000000000000007</v>
      </c>
      <c r="Z95" s="18" t="str">
        <f t="shared" si="13"/>
        <v>Low</v>
      </c>
      <c r="AA95" s="19" t="str">
        <f t="shared" si="14"/>
        <v>Eligible</v>
      </c>
      <c r="AB95" s="14" t="s">
        <v>85</v>
      </c>
      <c r="AC95" s="14">
        <v>0</v>
      </c>
      <c r="AD95" s="14" t="s">
        <v>78</v>
      </c>
      <c r="AE95" s="17">
        <v>0.3</v>
      </c>
      <c r="AF95" s="15">
        <v>0</v>
      </c>
      <c r="AG95" s="20">
        <f t="shared" si="15"/>
        <v>1826628</v>
      </c>
      <c r="AH95" s="14">
        <v>2</v>
      </c>
      <c r="AI95" s="14" t="s">
        <v>75</v>
      </c>
      <c r="AJ95" s="14">
        <v>360</v>
      </c>
      <c r="AK95" s="21">
        <f t="shared" si="16"/>
        <v>8.5000000000000006E-2</v>
      </c>
      <c r="AL95" s="20">
        <f t="shared" si="17"/>
        <v>0</v>
      </c>
      <c r="AM95" s="22">
        <f t="shared" si="18"/>
        <v>0</v>
      </c>
      <c r="AN95" s="20">
        <f t="shared" si="19"/>
        <v>15442.03</v>
      </c>
      <c r="AO95" s="16">
        <f t="shared" si="20"/>
        <v>0.10144614010077586</v>
      </c>
      <c r="AP95" s="15">
        <v>4720997</v>
      </c>
      <c r="AQ95" s="18">
        <f t="shared" si="21"/>
        <v>0</v>
      </c>
      <c r="AR95" s="23">
        <v>46100</v>
      </c>
      <c r="AS95" s="14" t="s">
        <v>79</v>
      </c>
    </row>
    <row r="96" spans="1:45" x14ac:dyDescent="0.25">
      <c r="A96" s="14" t="s">
        <v>402</v>
      </c>
      <c r="B96" s="14" t="s">
        <v>403</v>
      </c>
      <c r="C96" s="14">
        <v>9403124688</v>
      </c>
      <c r="D96" s="15" t="s">
        <v>404</v>
      </c>
      <c r="E96" s="14">
        <v>41</v>
      </c>
      <c r="F96" s="14" t="s">
        <v>71</v>
      </c>
      <c r="G96" s="14" t="s">
        <v>83</v>
      </c>
      <c r="H96" s="14" t="s">
        <v>107</v>
      </c>
      <c r="I96" s="14" t="s">
        <v>92</v>
      </c>
      <c r="J96" s="15">
        <v>333425</v>
      </c>
      <c r="K96" s="14">
        <v>2</v>
      </c>
      <c r="L96" s="14" t="s">
        <v>76</v>
      </c>
      <c r="M96" s="14" t="s">
        <v>76</v>
      </c>
      <c r="N96" s="14" t="s">
        <v>75</v>
      </c>
      <c r="O96" s="14" t="s">
        <v>75</v>
      </c>
      <c r="P96" s="14">
        <v>548</v>
      </c>
      <c r="Q96" s="15">
        <v>92811</v>
      </c>
      <c r="R96" s="15">
        <v>1894.1</v>
      </c>
      <c r="S96" s="14" t="s">
        <v>23</v>
      </c>
      <c r="T96" s="15">
        <v>7981149</v>
      </c>
      <c r="U96" s="16">
        <f t="shared" si="11"/>
        <v>6.8168853565269541E-2</v>
      </c>
      <c r="V96" s="14">
        <v>3</v>
      </c>
      <c r="W96" s="17">
        <v>74.599999999999994</v>
      </c>
      <c r="X96" s="14">
        <v>8.3000000000000007</v>
      </c>
      <c r="Y96" s="18">
        <f t="shared" si="12"/>
        <v>45</v>
      </c>
      <c r="Z96" s="18" t="str">
        <f t="shared" si="13"/>
        <v>Medium</v>
      </c>
      <c r="AA96" s="19" t="str">
        <f t="shared" si="14"/>
        <v>Not Eligible</v>
      </c>
      <c r="AB96" s="14" t="s">
        <v>77</v>
      </c>
      <c r="AC96" s="14">
        <v>0</v>
      </c>
      <c r="AD96" s="14" t="s">
        <v>194</v>
      </c>
      <c r="AE96" s="17">
        <v>0.8</v>
      </c>
      <c r="AF96" s="15">
        <v>0</v>
      </c>
      <c r="AG96" s="20">
        <f t="shared" si="15"/>
        <v>333425</v>
      </c>
      <c r="AH96" s="14">
        <v>1</v>
      </c>
      <c r="AI96" s="14" t="s">
        <v>75</v>
      </c>
      <c r="AJ96" s="14">
        <v>120</v>
      </c>
      <c r="AK96" s="21">
        <f t="shared" si="16"/>
        <v>0.1</v>
      </c>
      <c r="AL96" s="20">
        <f t="shared" si="17"/>
        <v>105471.47215131352</v>
      </c>
      <c r="AM96" s="22">
        <f t="shared" si="18"/>
        <v>23.936864362300366</v>
      </c>
      <c r="AN96" s="20">
        <f t="shared" si="19"/>
        <v>107365.57215131352</v>
      </c>
      <c r="AO96" s="16">
        <f t="shared" si="20"/>
        <v>3.8640979705053975</v>
      </c>
      <c r="AP96" s="15">
        <v>11075820</v>
      </c>
      <c r="AQ96" s="18">
        <f t="shared" si="21"/>
        <v>0.72059215480208239</v>
      </c>
      <c r="AR96" s="23">
        <v>45895</v>
      </c>
      <c r="AS96" s="14" t="s">
        <v>79</v>
      </c>
    </row>
    <row r="97" spans="1:45" x14ac:dyDescent="0.25">
      <c r="A97" s="14" t="s">
        <v>405</v>
      </c>
      <c r="B97" s="14" t="s">
        <v>406</v>
      </c>
      <c r="C97" s="14">
        <v>9892510222</v>
      </c>
      <c r="D97" s="15" t="s">
        <v>407</v>
      </c>
      <c r="E97" s="14">
        <v>27</v>
      </c>
      <c r="F97" s="14" t="s">
        <v>71</v>
      </c>
      <c r="G97" s="14" t="s">
        <v>314</v>
      </c>
      <c r="H97" s="14" t="s">
        <v>91</v>
      </c>
      <c r="I97" s="14" t="s">
        <v>92</v>
      </c>
      <c r="J97" s="15">
        <v>2060835</v>
      </c>
      <c r="K97" s="14">
        <v>2</v>
      </c>
      <c r="L97" s="14" t="s">
        <v>76</v>
      </c>
      <c r="M97" s="14" t="s">
        <v>76</v>
      </c>
      <c r="N97" s="14" t="s">
        <v>75</v>
      </c>
      <c r="O97" s="14" t="s">
        <v>75</v>
      </c>
      <c r="P97" s="14">
        <v>395</v>
      </c>
      <c r="Q97" s="15">
        <v>54283</v>
      </c>
      <c r="R97" s="15">
        <v>2087.8000000000002</v>
      </c>
      <c r="S97" s="14" t="s">
        <v>23</v>
      </c>
      <c r="T97" s="15"/>
      <c r="U97" s="16">
        <f t="shared" si="11"/>
        <v>1.2157014025868157E-2</v>
      </c>
      <c r="V97" s="14">
        <v>4</v>
      </c>
      <c r="W97" s="17">
        <v>48.6</v>
      </c>
      <c r="X97" s="14">
        <v>11.3</v>
      </c>
      <c r="Y97" s="18">
        <f t="shared" si="12"/>
        <v>54.9</v>
      </c>
      <c r="Z97" s="18" t="str">
        <f t="shared" si="13"/>
        <v>Medium</v>
      </c>
      <c r="AA97" s="19" t="str">
        <f t="shared" si="14"/>
        <v>Not Eligible</v>
      </c>
      <c r="AB97" s="14" t="s">
        <v>85</v>
      </c>
      <c r="AC97" s="14">
        <v>2</v>
      </c>
      <c r="AD97" s="14" t="s">
        <v>93</v>
      </c>
      <c r="AE97" s="17">
        <v>2.5</v>
      </c>
      <c r="AF97" s="15">
        <v>0</v>
      </c>
      <c r="AG97" s="20">
        <f t="shared" si="15"/>
        <v>2060835</v>
      </c>
      <c r="AH97" s="14">
        <v>0</v>
      </c>
      <c r="AI97" s="14" t="s">
        <v>75</v>
      </c>
      <c r="AJ97" s="14">
        <v>180</v>
      </c>
      <c r="AK97" s="21">
        <f t="shared" si="16"/>
        <v>0.1</v>
      </c>
      <c r="AL97" s="20">
        <f t="shared" si="17"/>
        <v>0</v>
      </c>
      <c r="AM97" s="22">
        <f t="shared" si="18"/>
        <v>0</v>
      </c>
      <c r="AN97" s="20">
        <f t="shared" si="19"/>
        <v>2087.8000000000002</v>
      </c>
      <c r="AO97" s="16">
        <f t="shared" si="20"/>
        <v>1.2157014025868157E-2</v>
      </c>
      <c r="AP97" s="15">
        <v>8922791</v>
      </c>
      <c r="AQ97" s="18">
        <f t="shared" si="21"/>
        <v>0</v>
      </c>
      <c r="AR97" s="23">
        <v>46028</v>
      </c>
      <c r="AS97" s="14" t="s">
        <v>79</v>
      </c>
    </row>
    <row r="98" spans="1:45" x14ac:dyDescent="0.25">
      <c r="A98" s="14" t="s">
        <v>408</v>
      </c>
      <c r="B98" s="14" t="s">
        <v>409</v>
      </c>
      <c r="C98" s="14"/>
      <c r="D98" s="15" t="s">
        <v>410</v>
      </c>
      <c r="E98" s="14">
        <v>41</v>
      </c>
      <c r="F98" s="14" t="s">
        <v>89</v>
      </c>
      <c r="G98" s="14" t="s">
        <v>215</v>
      </c>
      <c r="H98" s="14" t="s">
        <v>91</v>
      </c>
      <c r="I98" s="14" t="s">
        <v>92</v>
      </c>
      <c r="J98" s="15">
        <v>613261</v>
      </c>
      <c r="K98" s="14">
        <v>2</v>
      </c>
      <c r="L98" s="14" t="s">
        <v>75</v>
      </c>
      <c r="M98" s="14" t="s">
        <v>76</v>
      </c>
      <c r="N98" s="14" t="s">
        <v>75</v>
      </c>
      <c r="O98" s="14" t="s">
        <v>76</v>
      </c>
      <c r="P98" s="14">
        <v>408</v>
      </c>
      <c r="Q98" s="15">
        <v>60482.86</v>
      </c>
      <c r="R98" s="15">
        <v>1475.19</v>
      </c>
      <c r="S98" s="14" t="s">
        <v>22</v>
      </c>
      <c r="T98" s="15"/>
      <c r="U98" s="16">
        <f t="shared" si="11"/>
        <v>2.8865817327369585E-2</v>
      </c>
      <c r="V98" s="14">
        <v>0</v>
      </c>
      <c r="W98" s="17">
        <v>39</v>
      </c>
      <c r="X98" s="14">
        <v>11.6</v>
      </c>
      <c r="Y98" s="18">
        <f t="shared" si="12"/>
        <v>37.6</v>
      </c>
      <c r="Z98" s="18" t="str">
        <f t="shared" si="13"/>
        <v>Medium</v>
      </c>
      <c r="AA98" s="19" t="str">
        <f t="shared" si="14"/>
        <v>Not Eligible</v>
      </c>
      <c r="AB98" s="14" t="s">
        <v>85</v>
      </c>
      <c r="AC98" s="14">
        <v>1</v>
      </c>
      <c r="AD98" s="14" t="s">
        <v>93</v>
      </c>
      <c r="AE98" s="17">
        <v>2.1</v>
      </c>
      <c r="AF98" s="15">
        <v>0</v>
      </c>
      <c r="AG98" s="20">
        <f t="shared" si="15"/>
        <v>613261</v>
      </c>
      <c r="AH98" s="14">
        <v>0</v>
      </c>
      <c r="AI98" s="14" t="s">
        <v>75</v>
      </c>
      <c r="AJ98" s="14">
        <v>72</v>
      </c>
      <c r="AK98" s="21">
        <f t="shared" si="16"/>
        <v>0.105</v>
      </c>
      <c r="AL98" s="20">
        <f t="shared" si="17"/>
        <v>0</v>
      </c>
      <c r="AM98" s="22">
        <f t="shared" si="18"/>
        <v>0</v>
      </c>
      <c r="AN98" s="20">
        <f t="shared" si="19"/>
        <v>1475.19</v>
      </c>
      <c r="AO98" s="16">
        <f t="shared" si="20"/>
        <v>2.8865817327369585E-2</v>
      </c>
      <c r="AP98" s="15">
        <v>1219440</v>
      </c>
      <c r="AQ98" s="18">
        <f t="shared" si="21"/>
        <v>0</v>
      </c>
      <c r="AR98" s="23">
        <v>46062</v>
      </c>
      <c r="AS98" s="14" t="s">
        <v>79</v>
      </c>
    </row>
    <row r="99" spans="1:45" x14ac:dyDescent="0.25">
      <c r="A99" s="14" t="s">
        <v>411</v>
      </c>
      <c r="B99" s="14" t="s">
        <v>412</v>
      </c>
      <c r="C99" s="14">
        <v>9481975879</v>
      </c>
      <c r="D99" s="15" t="s">
        <v>413</v>
      </c>
      <c r="E99" s="14">
        <v>24</v>
      </c>
      <c r="F99" s="14" t="s">
        <v>89</v>
      </c>
      <c r="G99" s="14" t="s">
        <v>215</v>
      </c>
      <c r="H99" s="14" t="s">
        <v>132</v>
      </c>
      <c r="I99" s="14" t="s">
        <v>92</v>
      </c>
      <c r="J99" s="15">
        <v>430367</v>
      </c>
      <c r="K99" s="14">
        <v>0</v>
      </c>
      <c r="L99" s="14" t="s">
        <v>75</v>
      </c>
      <c r="M99" s="14" t="s">
        <v>75</v>
      </c>
      <c r="N99" s="14" t="s">
        <v>75</v>
      </c>
      <c r="O99" s="14" t="s">
        <v>75</v>
      </c>
      <c r="P99" s="14">
        <v>396</v>
      </c>
      <c r="Q99" s="15"/>
      <c r="R99" s="15">
        <v>994.24</v>
      </c>
      <c r="S99" s="14" t="s">
        <v>20</v>
      </c>
      <c r="T99" s="15"/>
      <c r="U99" s="16">
        <f t="shared" si="11"/>
        <v>2.7722571665578451E-2</v>
      </c>
      <c r="V99" s="14">
        <v>0</v>
      </c>
      <c r="W99" s="17">
        <v>79.2</v>
      </c>
      <c r="X99" s="14">
        <v>3.5</v>
      </c>
      <c r="Y99" s="18">
        <f t="shared" si="12"/>
        <v>42.4</v>
      </c>
      <c r="Z99" s="18" t="str">
        <f t="shared" si="13"/>
        <v>Medium</v>
      </c>
      <c r="AA99" s="19" t="str">
        <f t="shared" si="14"/>
        <v>Not Eligible</v>
      </c>
      <c r="AB99" s="14" t="s">
        <v>85</v>
      </c>
      <c r="AC99" s="14">
        <v>1</v>
      </c>
      <c r="AD99" s="14" t="s">
        <v>93</v>
      </c>
      <c r="AE99" s="17">
        <v>2.8</v>
      </c>
      <c r="AF99" s="15">
        <v>589589</v>
      </c>
      <c r="AG99" s="20">
        <f t="shared" si="15"/>
        <v>1019956</v>
      </c>
      <c r="AH99" s="14">
        <v>2</v>
      </c>
      <c r="AI99" s="14" t="s">
        <v>75</v>
      </c>
      <c r="AJ99" s="14">
        <v>12</v>
      </c>
      <c r="AK99" s="21">
        <f t="shared" si="16"/>
        <v>0.375</v>
      </c>
      <c r="AL99" s="20">
        <f t="shared" si="17"/>
        <v>0</v>
      </c>
      <c r="AM99" s="22">
        <f t="shared" si="18"/>
        <v>0</v>
      </c>
      <c r="AN99" s="20">
        <f t="shared" si="19"/>
        <v>994.24</v>
      </c>
      <c r="AO99" s="16">
        <f t="shared" si="20"/>
        <v>2.7722571665578451E-2</v>
      </c>
      <c r="AP99" s="15">
        <v>0</v>
      </c>
      <c r="AQ99" s="18" t="str">
        <f t="shared" si="21"/>
        <v>N/A</v>
      </c>
      <c r="AR99" s="23">
        <v>45996</v>
      </c>
      <c r="AS99" s="14" t="s">
        <v>79</v>
      </c>
    </row>
    <row r="100" spans="1:45" x14ac:dyDescent="0.25">
      <c r="A100" s="14" t="s">
        <v>414</v>
      </c>
      <c r="B100" s="14" t="s">
        <v>415</v>
      </c>
      <c r="C100" s="14">
        <v>9238288872</v>
      </c>
      <c r="D100" s="15" t="s">
        <v>416</v>
      </c>
      <c r="E100" s="14">
        <v>28</v>
      </c>
      <c r="F100" s="14" t="s">
        <v>71</v>
      </c>
      <c r="G100" s="14" t="s">
        <v>417</v>
      </c>
      <c r="H100" s="14" t="s">
        <v>166</v>
      </c>
      <c r="I100" s="14" t="s">
        <v>74</v>
      </c>
      <c r="J100" s="15">
        <v>1004597</v>
      </c>
      <c r="K100" s="14">
        <v>0</v>
      </c>
      <c r="L100" s="14" t="s">
        <v>75</v>
      </c>
      <c r="M100" s="14" t="s">
        <v>75</v>
      </c>
      <c r="N100" s="14" t="s">
        <v>75</v>
      </c>
      <c r="O100" s="14" t="s">
        <v>75</v>
      </c>
      <c r="P100" s="14">
        <v>691</v>
      </c>
      <c r="Q100" s="15"/>
      <c r="R100" s="15">
        <v>2984.15</v>
      </c>
      <c r="S100" s="14" t="s">
        <v>22</v>
      </c>
      <c r="T100" s="15">
        <v>750292</v>
      </c>
      <c r="U100" s="16">
        <f t="shared" si="11"/>
        <v>3.5645935633891006E-2</v>
      </c>
      <c r="V100" s="14">
        <v>4</v>
      </c>
      <c r="W100" s="17">
        <v>31.1</v>
      </c>
      <c r="X100" s="14">
        <v>6.8</v>
      </c>
      <c r="Y100" s="18">
        <f t="shared" si="12"/>
        <v>34.1</v>
      </c>
      <c r="Z100" s="18" t="str">
        <f t="shared" si="13"/>
        <v>Medium</v>
      </c>
      <c r="AA100" s="19" t="str">
        <f t="shared" si="14"/>
        <v>Review</v>
      </c>
      <c r="AB100" s="14" t="s">
        <v>85</v>
      </c>
      <c r="AC100" s="14">
        <v>2</v>
      </c>
      <c r="AD100" s="14" t="s">
        <v>93</v>
      </c>
      <c r="AE100" s="17">
        <v>4.5999999999999996</v>
      </c>
      <c r="AF100" s="15">
        <v>0</v>
      </c>
      <c r="AG100" s="20">
        <f t="shared" si="15"/>
        <v>1004597</v>
      </c>
      <c r="AH100" s="14">
        <v>2</v>
      </c>
      <c r="AI100" s="14" t="s">
        <v>75</v>
      </c>
      <c r="AJ100" s="14">
        <v>24</v>
      </c>
      <c r="AK100" s="21">
        <f t="shared" si="16"/>
        <v>0.105</v>
      </c>
      <c r="AL100" s="20">
        <f t="shared" si="17"/>
        <v>34795.573033687426</v>
      </c>
      <c r="AM100" s="22">
        <f t="shared" si="18"/>
        <v>0.74685869059931498</v>
      </c>
      <c r="AN100" s="20">
        <f t="shared" si="19"/>
        <v>37779.723033687427</v>
      </c>
      <c r="AO100" s="16">
        <f t="shared" si="20"/>
        <v>0.45128213244141596</v>
      </c>
      <c r="AP100" s="15">
        <v>829789</v>
      </c>
      <c r="AQ100" s="18">
        <f t="shared" si="21"/>
        <v>0.90419612696721696</v>
      </c>
      <c r="AR100" s="23">
        <v>45965</v>
      </c>
      <c r="AS100" s="14" t="s">
        <v>79</v>
      </c>
    </row>
    <row r="101" spans="1:45" x14ac:dyDescent="0.25">
      <c r="A101" s="14" t="s">
        <v>418</v>
      </c>
      <c r="B101" s="14" t="s">
        <v>419</v>
      </c>
      <c r="C101" s="14">
        <v>9955984774</v>
      </c>
      <c r="D101" s="15" t="s">
        <v>421</v>
      </c>
      <c r="E101" s="14">
        <v>61</v>
      </c>
      <c r="F101" s="14" t="s">
        <v>71</v>
      </c>
      <c r="G101" s="14" t="s">
        <v>153</v>
      </c>
      <c r="H101" s="14" t="s">
        <v>103</v>
      </c>
      <c r="I101" s="14" t="s">
        <v>74</v>
      </c>
      <c r="J101" s="15">
        <v>2311942</v>
      </c>
      <c r="K101" s="14">
        <v>1</v>
      </c>
      <c r="L101" s="14" t="s">
        <v>76</v>
      </c>
      <c r="M101" s="14" t="s">
        <v>75</v>
      </c>
      <c r="N101" s="14" t="s">
        <v>75</v>
      </c>
      <c r="O101" s="14" t="s">
        <v>75</v>
      </c>
      <c r="P101" s="14">
        <v>697</v>
      </c>
      <c r="Q101" s="15">
        <v>375138.97</v>
      </c>
      <c r="R101" s="15">
        <v>28856.84</v>
      </c>
      <c r="S101" s="14" t="s">
        <v>22</v>
      </c>
      <c r="T101" s="15"/>
      <c r="U101" s="16">
        <f t="shared" si="11"/>
        <v>0.14977974360948501</v>
      </c>
      <c r="V101" s="14">
        <v>0</v>
      </c>
      <c r="W101" s="17">
        <v>82</v>
      </c>
      <c r="X101" s="14">
        <v>4.4000000000000004</v>
      </c>
      <c r="Y101" s="18">
        <f t="shared" si="12"/>
        <v>26.2</v>
      </c>
      <c r="Z101" s="18" t="str">
        <f t="shared" si="13"/>
        <v>Low</v>
      </c>
      <c r="AA101" s="19" t="str">
        <f t="shared" si="14"/>
        <v>Eligible</v>
      </c>
      <c r="AB101" s="14" t="s">
        <v>77</v>
      </c>
      <c r="AC101" s="14">
        <v>1</v>
      </c>
      <c r="AD101" s="14" t="s">
        <v>78</v>
      </c>
      <c r="AE101" s="17">
        <v>17.600000000000001</v>
      </c>
      <c r="AF101" s="15">
        <v>269719</v>
      </c>
      <c r="AG101" s="20">
        <f t="shared" si="15"/>
        <v>2581661</v>
      </c>
      <c r="AH101" s="14">
        <v>0</v>
      </c>
      <c r="AI101" s="14" t="s">
        <v>75</v>
      </c>
      <c r="AJ101" s="14">
        <v>72</v>
      </c>
      <c r="AK101" s="21">
        <f t="shared" si="16"/>
        <v>0.09</v>
      </c>
      <c r="AL101" s="20">
        <f t="shared" si="17"/>
        <v>0</v>
      </c>
      <c r="AM101" s="22">
        <f t="shared" si="18"/>
        <v>0</v>
      </c>
      <c r="AN101" s="20">
        <f t="shared" si="19"/>
        <v>28856.84</v>
      </c>
      <c r="AO101" s="16">
        <f t="shared" si="20"/>
        <v>0.14977974360948501</v>
      </c>
      <c r="AP101" s="15">
        <v>921248</v>
      </c>
      <c r="AQ101" s="18">
        <f t="shared" si="21"/>
        <v>0</v>
      </c>
      <c r="AR101" s="23">
        <v>45923</v>
      </c>
      <c r="AS101" s="14" t="s">
        <v>79</v>
      </c>
    </row>
    <row r="102" spans="1:45" x14ac:dyDescent="0.25">
      <c r="A102" s="14" t="s">
        <v>422</v>
      </c>
      <c r="B102" s="14" t="s">
        <v>423</v>
      </c>
      <c r="C102" s="14">
        <v>9956191734</v>
      </c>
      <c r="D102" s="15" t="s">
        <v>425</v>
      </c>
      <c r="E102" s="14">
        <v>32</v>
      </c>
      <c r="F102" s="14" t="s">
        <v>71</v>
      </c>
      <c r="G102" s="14" t="s">
        <v>131</v>
      </c>
      <c r="H102" s="14" t="s">
        <v>103</v>
      </c>
      <c r="I102" s="14" t="s">
        <v>74</v>
      </c>
      <c r="J102" s="15">
        <v>1804845</v>
      </c>
      <c r="K102" s="14">
        <v>1</v>
      </c>
      <c r="L102" s="14" t="s">
        <v>75</v>
      </c>
      <c r="M102" s="14" t="s">
        <v>76</v>
      </c>
      <c r="N102" s="14" t="s">
        <v>75</v>
      </c>
      <c r="O102" s="14" t="s">
        <v>75</v>
      </c>
      <c r="P102" s="14">
        <v>877</v>
      </c>
      <c r="Q102" s="15">
        <v>153883.57</v>
      </c>
      <c r="R102" s="15">
        <v>6411.82</v>
      </c>
      <c r="S102" s="14" t="s">
        <v>23</v>
      </c>
      <c r="T102" s="15"/>
      <c r="U102" s="16">
        <f t="shared" si="11"/>
        <v>4.2630718981408376E-2</v>
      </c>
      <c r="V102" s="14">
        <v>0</v>
      </c>
      <c r="W102" s="17">
        <v>51.6</v>
      </c>
      <c r="X102" s="14">
        <v>1.5</v>
      </c>
      <c r="Y102" s="18">
        <f t="shared" si="12"/>
        <v>8</v>
      </c>
      <c r="Z102" s="18" t="str">
        <f t="shared" si="13"/>
        <v>Low</v>
      </c>
      <c r="AA102" s="19" t="str">
        <f t="shared" si="14"/>
        <v>Eligible</v>
      </c>
      <c r="AB102" s="14" t="s">
        <v>85</v>
      </c>
      <c r="AC102" s="14">
        <v>0</v>
      </c>
      <c r="AD102" s="14" t="s">
        <v>93</v>
      </c>
      <c r="AE102" s="17">
        <v>0.3</v>
      </c>
      <c r="AF102" s="15">
        <v>0</v>
      </c>
      <c r="AG102" s="20">
        <f t="shared" si="15"/>
        <v>1804845</v>
      </c>
      <c r="AH102" s="14">
        <v>0</v>
      </c>
      <c r="AI102" s="14" t="s">
        <v>75</v>
      </c>
      <c r="AJ102" s="14">
        <v>180</v>
      </c>
      <c r="AK102" s="21">
        <f t="shared" si="16"/>
        <v>8.5000000000000006E-2</v>
      </c>
      <c r="AL102" s="20">
        <f t="shared" si="17"/>
        <v>0</v>
      </c>
      <c r="AM102" s="22">
        <f t="shared" si="18"/>
        <v>0</v>
      </c>
      <c r="AN102" s="20">
        <f t="shared" si="19"/>
        <v>6411.82</v>
      </c>
      <c r="AO102" s="16">
        <f t="shared" si="20"/>
        <v>4.2630718981408376E-2</v>
      </c>
      <c r="AP102" s="15">
        <v>8343941</v>
      </c>
      <c r="AQ102" s="18">
        <f t="shared" si="21"/>
        <v>0</v>
      </c>
      <c r="AR102" s="23">
        <v>46060</v>
      </c>
      <c r="AS102" s="14" t="s">
        <v>79</v>
      </c>
    </row>
    <row r="103" spans="1:45" x14ac:dyDescent="0.25">
      <c r="A103" s="14" t="s">
        <v>426</v>
      </c>
      <c r="B103" s="14" t="s">
        <v>427</v>
      </c>
      <c r="C103" s="14"/>
      <c r="D103" s="15" t="s">
        <v>428</v>
      </c>
      <c r="E103" s="14">
        <v>28</v>
      </c>
      <c r="F103" s="14" t="s">
        <v>89</v>
      </c>
      <c r="G103" s="14" t="s">
        <v>120</v>
      </c>
      <c r="H103" s="14" t="s">
        <v>103</v>
      </c>
      <c r="I103" s="14" t="s">
        <v>74</v>
      </c>
      <c r="J103" s="15">
        <v>1959248</v>
      </c>
      <c r="K103" s="14">
        <v>0</v>
      </c>
      <c r="L103" s="14" t="s">
        <v>75</v>
      </c>
      <c r="M103" s="14" t="s">
        <v>75</v>
      </c>
      <c r="N103" s="14" t="s">
        <v>75</v>
      </c>
      <c r="O103" s="14" t="s">
        <v>75</v>
      </c>
      <c r="P103" s="14">
        <v>747</v>
      </c>
      <c r="Q103" s="15"/>
      <c r="R103" s="15">
        <v>3607.94</v>
      </c>
      <c r="S103" s="14" t="s">
        <v>22</v>
      </c>
      <c r="T103" s="15">
        <v>665329</v>
      </c>
      <c r="U103" s="16">
        <f t="shared" si="11"/>
        <v>2.2097906952055074E-2</v>
      </c>
      <c r="V103" s="14">
        <v>2</v>
      </c>
      <c r="W103" s="17">
        <v>58.4</v>
      </c>
      <c r="X103" s="14">
        <v>13.4</v>
      </c>
      <c r="Y103" s="18">
        <f t="shared" si="12"/>
        <v>24.7</v>
      </c>
      <c r="Z103" s="18" t="str">
        <f t="shared" si="13"/>
        <v>Low</v>
      </c>
      <c r="AA103" s="19" t="str">
        <f t="shared" si="14"/>
        <v>Eligible</v>
      </c>
      <c r="AB103" s="14" t="s">
        <v>77</v>
      </c>
      <c r="AC103" s="14">
        <v>1</v>
      </c>
      <c r="AD103" s="14" t="s">
        <v>93</v>
      </c>
      <c r="AE103" s="17">
        <v>5.8</v>
      </c>
      <c r="AF103" s="15">
        <v>0</v>
      </c>
      <c r="AG103" s="20">
        <f t="shared" si="15"/>
        <v>1959248</v>
      </c>
      <c r="AH103" s="14">
        <v>1</v>
      </c>
      <c r="AI103" s="14" t="s">
        <v>75</v>
      </c>
      <c r="AJ103" s="14">
        <v>36</v>
      </c>
      <c r="AK103" s="21">
        <f t="shared" si="16"/>
        <v>0.09</v>
      </c>
      <c r="AL103" s="20">
        <f t="shared" si="17"/>
        <v>21157.284330905677</v>
      </c>
      <c r="AM103" s="22">
        <f t="shared" si="18"/>
        <v>0.33958386074657215</v>
      </c>
      <c r="AN103" s="20">
        <f t="shared" si="19"/>
        <v>24765.224330905676</v>
      </c>
      <c r="AO103" s="16">
        <f t="shared" si="20"/>
        <v>0.1516820188005133</v>
      </c>
      <c r="AP103" s="15">
        <v>795578</v>
      </c>
      <c r="AQ103" s="18">
        <f t="shared" si="21"/>
        <v>0.83628380875288155</v>
      </c>
      <c r="AR103" s="23">
        <v>46254</v>
      </c>
      <c r="AS103" s="14" t="s">
        <v>94</v>
      </c>
    </row>
    <row r="104" spans="1:45" x14ac:dyDescent="0.25">
      <c r="A104" s="14" t="s">
        <v>429</v>
      </c>
      <c r="B104" s="14" t="s">
        <v>430</v>
      </c>
      <c r="C104" s="14">
        <v>9927672827</v>
      </c>
      <c r="D104" s="15"/>
      <c r="E104" s="14">
        <v>23</v>
      </c>
      <c r="F104" s="14" t="s">
        <v>71</v>
      </c>
      <c r="G104" s="14" t="s">
        <v>226</v>
      </c>
      <c r="H104" s="14" t="s">
        <v>91</v>
      </c>
      <c r="I104" s="14" t="s">
        <v>92</v>
      </c>
      <c r="J104" s="15">
        <v>736669</v>
      </c>
      <c r="K104" s="14">
        <v>1</v>
      </c>
      <c r="L104" s="14" t="s">
        <v>75</v>
      </c>
      <c r="M104" s="14" t="s">
        <v>76</v>
      </c>
      <c r="N104" s="14" t="s">
        <v>75</v>
      </c>
      <c r="O104" s="14" t="s">
        <v>75</v>
      </c>
      <c r="P104" s="14">
        <v>627</v>
      </c>
      <c r="Q104" s="15"/>
      <c r="R104" s="15">
        <v>4365.09</v>
      </c>
      <c r="S104" s="14" t="s">
        <v>22</v>
      </c>
      <c r="T104" s="15">
        <v>1236650</v>
      </c>
      <c r="U104" s="16">
        <f t="shared" si="11"/>
        <v>7.1105313241089291E-2</v>
      </c>
      <c r="V104" s="14">
        <v>0</v>
      </c>
      <c r="W104" s="17">
        <v>24.9</v>
      </c>
      <c r="X104" s="14">
        <v>10.5</v>
      </c>
      <c r="Y104" s="18">
        <f t="shared" si="12"/>
        <v>22.8</v>
      </c>
      <c r="Z104" s="18" t="str">
        <f t="shared" si="13"/>
        <v>Low</v>
      </c>
      <c r="AA104" s="19" t="str">
        <f t="shared" si="14"/>
        <v>Review</v>
      </c>
      <c r="AB104" s="14" t="s">
        <v>85</v>
      </c>
      <c r="AC104" s="14">
        <v>2</v>
      </c>
      <c r="AD104" s="14" t="s">
        <v>93</v>
      </c>
      <c r="AE104" s="17">
        <v>0.4</v>
      </c>
      <c r="AF104" s="15">
        <v>0</v>
      </c>
      <c r="AG104" s="20">
        <f t="shared" si="15"/>
        <v>736669</v>
      </c>
      <c r="AH104" s="14">
        <v>0</v>
      </c>
      <c r="AI104" s="14" t="s">
        <v>75</v>
      </c>
      <c r="AJ104" s="14">
        <v>60</v>
      </c>
      <c r="AK104" s="21">
        <f t="shared" si="16"/>
        <v>0.09</v>
      </c>
      <c r="AL104" s="20">
        <f t="shared" si="17"/>
        <v>25670.819990670683</v>
      </c>
      <c r="AM104" s="22">
        <f t="shared" si="18"/>
        <v>1.6787050900743754</v>
      </c>
      <c r="AN104" s="20">
        <f t="shared" si="19"/>
        <v>30035.909990670683</v>
      </c>
      <c r="AO104" s="16">
        <f t="shared" si="20"/>
        <v>0.48927119220171911</v>
      </c>
      <c r="AP104" s="15">
        <v>1420436</v>
      </c>
      <c r="AQ104" s="18">
        <f t="shared" si="21"/>
        <v>0.87061296672289357</v>
      </c>
      <c r="AR104" s="23">
        <v>46088</v>
      </c>
      <c r="AS104" s="14" t="s">
        <v>79</v>
      </c>
    </row>
    <row r="105" spans="1:45" x14ac:dyDescent="0.25">
      <c r="A105" s="14" t="s">
        <v>432</v>
      </c>
      <c r="B105" s="14" t="s">
        <v>433</v>
      </c>
      <c r="C105" s="14">
        <v>9989924715</v>
      </c>
      <c r="D105" s="15" t="s">
        <v>434</v>
      </c>
      <c r="E105" s="14">
        <v>62</v>
      </c>
      <c r="F105" s="14" t="s">
        <v>71</v>
      </c>
      <c r="G105" s="14" t="s">
        <v>98</v>
      </c>
      <c r="H105" s="14" t="s">
        <v>107</v>
      </c>
      <c r="I105" s="14" t="s">
        <v>92</v>
      </c>
      <c r="J105" s="15">
        <v>609159</v>
      </c>
      <c r="K105" s="14">
        <v>2</v>
      </c>
      <c r="L105" s="14" t="s">
        <v>75</v>
      </c>
      <c r="M105" s="14" t="s">
        <v>76</v>
      </c>
      <c r="N105" s="14" t="s">
        <v>76</v>
      </c>
      <c r="O105" s="14" t="s">
        <v>75</v>
      </c>
      <c r="P105" s="14">
        <v>407</v>
      </c>
      <c r="Q105" s="15">
        <v>27119.91</v>
      </c>
      <c r="R105" s="15">
        <v>1232.72</v>
      </c>
      <c r="S105" s="14" t="s">
        <v>23</v>
      </c>
      <c r="T105" s="15">
        <v>2849764</v>
      </c>
      <c r="U105" s="16">
        <f t="shared" si="11"/>
        <v>2.4283709179376813E-2</v>
      </c>
      <c r="V105" s="14">
        <v>2</v>
      </c>
      <c r="W105" s="17">
        <v>57</v>
      </c>
      <c r="X105" s="14">
        <v>13.5</v>
      </c>
      <c r="Y105" s="18">
        <f t="shared" si="12"/>
        <v>47.3</v>
      </c>
      <c r="Z105" s="18" t="str">
        <f t="shared" si="13"/>
        <v>Medium</v>
      </c>
      <c r="AA105" s="19" t="str">
        <f t="shared" si="14"/>
        <v>Not Eligible</v>
      </c>
      <c r="AB105" s="14" t="s">
        <v>85</v>
      </c>
      <c r="AC105" s="14">
        <v>2</v>
      </c>
      <c r="AD105" s="14" t="s">
        <v>93</v>
      </c>
      <c r="AE105" s="17">
        <v>14.6</v>
      </c>
      <c r="AF105" s="15">
        <v>856832</v>
      </c>
      <c r="AG105" s="20">
        <f t="shared" si="15"/>
        <v>1465991</v>
      </c>
      <c r="AH105" s="14">
        <v>0</v>
      </c>
      <c r="AI105" s="14" t="s">
        <v>76</v>
      </c>
      <c r="AJ105" s="14">
        <v>180</v>
      </c>
      <c r="AK105" s="21">
        <f t="shared" si="16"/>
        <v>0.1</v>
      </c>
      <c r="AL105" s="20">
        <f t="shared" si="17"/>
        <v>30623.709786603518</v>
      </c>
      <c r="AM105" s="22">
        <f t="shared" si="18"/>
        <v>4.678194034726566</v>
      </c>
      <c r="AN105" s="20">
        <f t="shared" si="19"/>
        <v>31856.429786603519</v>
      </c>
      <c r="AO105" s="16">
        <f t="shared" si="20"/>
        <v>0.62754905934122651</v>
      </c>
      <c r="AP105" s="15">
        <v>3315384</v>
      </c>
      <c r="AQ105" s="18">
        <f t="shared" si="21"/>
        <v>0.85955774655364203</v>
      </c>
      <c r="AR105" s="23">
        <v>46064</v>
      </c>
      <c r="AS105" s="14" t="s">
        <v>79</v>
      </c>
    </row>
    <row r="106" spans="1:45" x14ac:dyDescent="0.25">
      <c r="A106" s="14" t="s">
        <v>435</v>
      </c>
      <c r="B106" s="14" t="s">
        <v>436</v>
      </c>
      <c r="C106" s="14">
        <v>9848609261</v>
      </c>
      <c r="D106" s="15" t="s">
        <v>437</v>
      </c>
      <c r="E106" s="14">
        <v>37</v>
      </c>
      <c r="F106" s="14" t="s">
        <v>89</v>
      </c>
      <c r="G106" s="14" t="s">
        <v>143</v>
      </c>
      <c r="H106" s="14" t="s">
        <v>91</v>
      </c>
      <c r="I106" s="14" t="s">
        <v>92</v>
      </c>
      <c r="J106" s="15">
        <v>702300</v>
      </c>
      <c r="K106" s="14">
        <v>2</v>
      </c>
      <c r="L106" s="14" t="s">
        <v>76</v>
      </c>
      <c r="M106" s="14" t="s">
        <v>75</v>
      </c>
      <c r="N106" s="14" t="s">
        <v>75</v>
      </c>
      <c r="O106" s="14" t="s">
        <v>76</v>
      </c>
      <c r="P106" s="14">
        <v>669</v>
      </c>
      <c r="Q106" s="15">
        <v>1608</v>
      </c>
      <c r="R106" s="15">
        <v>94.58</v>
      </c>
      <c r="S106" s="14" t="s">
        <v>22</v>
      </c>
      <c r="T106" s="15"/>
      <c r="U106" s="16">
        <f t="shared" si="11"/>
        <v>1.6160615121742846E-3</v>
      </c>
      <c r="V106" s="14">
        <v>0</v>
      </c>
      <c r="W106" s="17">
        <v>7.4</v>
      </c>
      <c r="X106" s="14">
        <v>2.7</v>
      </c>
      <c r="Y106" s="18">
        <f t="shared" si="12"/>
        <v>16.2</v>
      </c>
      <c r="Z106" s="18" t="str">
        <f t="shared" si="13"/>
        <v>Low</v>
      </c>
      <c r="AA106" s="19" t="str">
        <f t="shared" si="14"/>
        <v>Eligible</v>
      </c>
      <c r="AB106" s="14" t="s">
        <v>85</v>
      </c>
      <c r="AC106" s="14">
        <v>0</v>
      </c>
      <c r="AD106" s="14" t="s">
        <v>93</v>
      </c>
      <c r="AE106" s="17">
        <v>5.0999999999999996</v>
      </c>
      <c r="AF106" s="15">
        <v>0</v>
      </c>
      <c r="AG106" s="20">
        <f t="shared" si="15"/>
        <v>702300</v>
      </c>
      <c r="AH106" s="14">
        <v>0</v>
      </c>
      <c r="AI106" s="14" t="s">
        <v>75</v>
      </c>
      <c r="AJ106" s="14">
        <v>24</v>
      </c>
      <c r="AK106" s="21">
        <f t="shared" si="16"/>
        <v>0.09</v>
      </c>
      <c r="AL106" s="20">
        <f t="shared" si="17"/>
        <v>0</v>
      </c>
      <c r="AM106" s="22">
        <f t="shared" si="18"/>
        <v>0</v>
      </c>
      <c r="AN106" s="20">
        <f t="shared" si="19"/>
        <v>94.58</v>
      </c>
      <c r="AO106" s="16">
        <f t="shared" si="20"/>
        <v>1.6160615121742846E-3</v>
      </c>
      <c r="AP106" s="15">
        <v>1540512</v>
      </c>
      <c r="AQ106" s="18">
        <f t="shared" si="21"/>
        <v>0</v>
      </c>
      <c r="AR106" s="23">
        <v>46093</v>
      </c>
      <c r="AS106" s="14" t="s">
        <v>79</v>
      </c>
    </row>
    <row r="107" spans="1:45" x14ac:dyDescent="0.25">
      <c r="A107" s="14" t="s">
        <v>438</v>
      </c>
      <c r="B107" s="14" t="s">
        <v>439</v>
      </c>
      <c r="C107" s="14">
        <v>9496642020</v>
      </c>
      <c r="D107" s="15" t="s">
        <v>441</v>
      </c>
      <c r="E107" s="14">
        <v>23</v>
      </c>
      <c r="F107" s="14" t="s">
        <v>89</v>
      </c>
      <c r="G107" s="14" t="s">
        <v>417</v>
      </c>
      <c r="H107" s="14" t="s">
        <v>107</v>
      </c>
      <c r="I107" s="14" t="s">
        <v>92</v>
      </c>
      <c r="J107" s="15">
        <v>1404783</v>
      </c>
      <c r="K107" s="14">
        <v>3</v>
      </c>
      <c r="L107" s="14" t="s">
        <v>76</v>
      </c>
      <c r="M107" s="14" t="s">
        <v>76</v>
      </c>
      <c r="N107" s="14" t="s">
        <v>76</v>
      </c>
      <c r="O107" s="14" t="s">
        <v>75</v>
      </c>
      <c r="P107" s="14">
        <v>399</v>
      </c>
      <c r="Q107" s="15">
        <v>72240</v>
      </c>
      <c r="R107" s="15">
        <v>2124.71</v>
      </c>
      <c r="S107" s="14" t="s">
        <v>23</v>
      </c>
      <c r="T107" s="15">
        <v>7845620</v>
      </c>
      <c r="U107" s="16">
        <f t="shared" si="11"/>
        <v>1.8149792530234209E-2</v>
      </c>
      <c r="V107" s="14">
        <v>1</v>
      </c>
      <c r="W107" s="17">
        <v>57.6</v>
      </c>
      <c r="X107" s="14">
        <v>12.6</v>
      </c>
      <c r="Y107" s="18">
        <f t="shared" si="12"/>
        <v>43.7</v>
      </c>
      <c r="Z107" s="18" t="str">
        <f t="shared" si="13"/>
        <v>Medium</v>
      </c>
      <c r="AA107" s="19" t="str">
        <f t="shared" si="14"/>
        <v>Not Eligible</v>
      </c>
      <c r="AB107" s="14" t="s">
        <v>77</v>
      </c>
      <c r="AC107" s="14">
        <v>1</v>
      </c>
      <c r="AD107" s="14" t="s">
        <v>93</v>
      </c>
      <c r="AE107" s="17">
        <v>1.8</v>
      </c>
      <c r="AF107" s="15">
        <v>0</v>
      </c>
      <c r="AG107" s="20">
        <f t="shared" si="15"/>
        <v>1404783</v>
      </c>
      <c r="AH107" s="14">
        <v>2</v>
      </c>
      <c r="AI107" s="14" t="s">
        <v>75</v>
      </c>
      <c r="AJ107" s="14">
        <v>120</v>
      </c>
      <c r="AK107" s="21">
        <f t="shared" si="16"/>
        <v>0.1</v>
      </c>
      <c r="AL107" s="20">
        <f t="shared" si="17"/>
        <v>103680.44642942869</v>
      </c>
      <c r="AM107" s="22">
        <f t="shared" si="18"/>
        <v>5.5849337584523733</v>
      </c>
      <c r="AN107" s="20">
        <f t="shared" si="19"/>
        <v>105805.15642942869</v>
      </c>
      <c r="AO107" s="16">
        <f t="shared" si="20"/>
        <v>0.90381352646860347</v>
      </c>
      <c r="AP107" s="15">
        <v>9796834</v>
      </c>
      <c r="AQ107" s="18">
        <f t="shared" si="21"/>
        <v>0.80083218721476757</v>
      </c>
      <c r="AR107" s="23">
        <v>46260</v>
      </c>
      <c r="AS107" s="14" t="s">
        <v>79</v>
      </c>
    </row>
    <row r="108" spans="1:45" x14ac:dyDescent="0.25">
      <c r="A108" s="14" t="s">
        <v>442</v>
      </c>
      <c r="B108" s="14" t="s">
        <v>443</v>
      </c>
      <c r="C108" s="14">
        <v>9654928450</v>
      </c>
      <c r="D108" s="15" t="s">
        <v>444</v>
      </c>
      <c r="E108" s="14">
        <v>64</v>
      </c>
      <c r="F108" s="14" t="s">
        <v>71</v>
      </c>
      <c r="G108" s="14" t="s">
        <v>139</v>
      </c>
      <c r="H108" s="14" t="s">
        <v>107</v>
      </c>
      <c r="I108" s="14" t="s">
        <v>92</v>
      </c>
      <c r="J108" s="15">
        <v>1025106</v>
      </c>
      <c r="K108" s="14">
        <v>2</v>
      </c>
      <c r="L108" s="14" t="s">
        <v>75</v>
      </c>
      <c r="M108" s="14" t="s">
        <v>76</v>
      </c>
      <c r="N108" s="14" t="s">
        <v>76</v>
      </c>
      <c r="O108" s="14" t="s">
        <v>75</v>
      </c>
      <c r="P108" s="14">
        <v>343</v>
      </c>
      <c r="Q108" s="15">
        <v>260402.49</v>
      </c>
      <c r="R108" s="15">
        <v>4734.59</v>
      </c>
      <c r="S108" s="14" t="s">
        <v>23</v>
      </c>
      <c r="T108" s="15"/>
      <c r="U108" s="16">
        <f t="shared" si="11"/>
        <v>5.5423614728623186E-2</v>
      </c>
      <c r="V108" s="14">
        <v>10</v>
      </c>
      <c r="W108" s="17">
        <v>64.599999999999994</v>
      </c>
      <c r="X108" s="14">
        <v>12.5</v>
      </c>
      <c r="Y108" s="18">
        <f t="shared" si="12"/>
        <v>65.3</v>
      </c>
      <c r="Z108" s="18" t="str">
        <f t="shared" si="13"/>
        <v>High</v>
      </c>
      <c r="AA108" s="19" t="str">
        <f t="shared" si="14"/>
        <v>Not Eligible</v>
      </c>
      <c r="AB108" s="14" t="s">
        <v>85</v>
      </c>
      <c r="AC108" s="14">
        <v>3</v>
      </c>
      <c r="AD108" s="14" t="s">
        <v>194</v>
      </c>
      <c r="AE108" s="17">
        <v>2.2999999999999998</v>
      </c>
      <c r="AF108" s="15">
        <v>0</v>
      </c>
      <c r="AG108" s="20">
        <f t="shared" si="15"/>
        <v>1025106</v>
      </c>
      <c r="AH108" s="14">
        <v>0</v>
      </c>
      <c r="AI108" s="14" t="s">
        <v>75</v>
      </c>
      <c r="AJ108" s="14">
        <v>240</v>
      </c>
      <c r="AK108" s="21">
        <f t="shared" si="16"/>
        <v>0.115</v>
      </c>
      <c r="AL108" s="20">
        <f t="shared" si="17"/>
        <v>0</v>
      </c>
      <c r="AM108" s="22">
        <f t="shared" si="18"/>
        <v>0</v>
      </c>
      <c r="AN108" s="20">
        <f t="shared" si="19"/>
        <v>4734.59</v>
      </c>
      <c r="AO108" s="16">
        <f t="shared" si="20"/>
        <v>5.5423614728623186E-2</v>
      </c>
      <c r="AP108" s="15">
        <v>4087842</v>
      </c>
      <c r="AQ108" s="18">
        <f t="shared" si="21"/>
        <v>0</v>
      </c>
      <c r="AR108" s="23">
        <v>45901</v>
      </c>
      <c r="AS108" s="14" t="s">
        <v>79</v>
      </c>
    </row>
    <row r="109" spans="1:45" x14ac:dyDescent="0.25">
      <c r="A109" s="14" t="s">
        <v>445</v>
      </c>
      <c r="B109" s="14" t="s">
        <v>446</v>
      </c>
      <c r="C109" s="14"/>
      <c r="D109" s="15" t="s">
        <v>447</v>
      </c>
      <c r="E109" s="14">
        <v>28</v>
      </c>
      <c r="F109" s="14" t="s">
        <v>89</v>
      </c>
      <c r="G109" s="14" t="s">
        <v>72</v>
      </c>
      <c r="H109" s="14" t="s">
        <v>132</v>
      </c>
      <c r="I109" s="14" t="s">
        <v>92</v>
      </c>
      <c r="J109" s="15">
        <v>720286</v>
      </c>
      <c r="K109" s="14">
        <v>1</v>
      </c>
      <c r="L109" s="14" t="s">
        <v>75</v>
      </c>
      <c r="M109" s="14" t="s">
        <v>75</v>
      </c>
      <c r="N109" s="14" t="s">
        <v>76</v>
      </c>
      <c r="O109" s="14" t="s">
        <v>75</v>
      </c>
      <c r="P109" s="14">
        <v>848</v>
      </c>
      <c r="Q109" s="15">
        <v>380370</v>
      </c>
      <c r="R109" s="15">
        <v>10009.73</v>
      </c>
      <c r="S109" s="14" t="s">
        <v>22</v>
      </c>
      <c r="T109" s="15"/>
      <c r="U109" s="16">
        <f t="shared" si="11"/>
        <v>0.16676259152614378</v>
      </c>
      <c r="V109" s="14">
        <v>2</v>
      </c>
      <c r="W109" s="17">
        <v>59.3</v>
      </c>
      <c r="X109" s="14">
        <v>7.2</v>
      </c>
      <c r="Y109" s="18">
        <f t="shared" si="12"/>
        <v>22.4</v>
      </c>
      <c r="Z109" s="18" t="str">
        <f t="shared" si="13"/>
        <v>Low</v>
      </c>
      <c r="AA109" s="19" t="str">
        <f t="shared" si="14"/>
        <v>Eligible</v>
      </c>
      <c r="AB109" s="14" t="s">
        <v>85</v>
      </c>
      <c r="AC109" s="14">
        <v>1</v>
      </c>
      <c r="AD109" s="14" t="s">
        <v>93</v>
      </c>
      <c r="AE109" s="17">
        <v>4.9000000000000004</v>
      </c>
      <c r="AF109" s="15">
        <v>0</v>
      </c>
      <c r="AG109" s="20">
        <f t="shared" si="15"/>
        <v>720286</v>
      </c>
      <c r="AH109" s="14">
        <v>0</v>
      </c>
      <c r="AI109" s="14" t="s">
        <v>75</v>
      </c>
      <c r="AJ109" s="14">
        <v>84</v>
      </c>
      <c r="AK109" s="21">
        <f t="shared" si="16"/>
        <v>0.09</v>
      </c>
      <c r="AL109" s="20">
        <f t="shared" si="17"/>
        <v>0</v>
      </c>
      <c r="AM109" s="22">
        <f t="shared" si="18"/>
        <v>0</v>
      </c>
      <c r="AN109" s="20">
        <f t="shared" si="19"/>
        <v>10009.73</v>
      </c>
      <c r="AO109" s="16">
        <f t="shared" si="20"/>
        <v>0.16676259152614378</v>
      </c>
      <c r="AP109" s="15">
        <v>1210889</v>
      </c>
      <c r="AQ109" s="18">
        <f t="shared" si="21"/>
        <v>0</v>
      </c>
      <c r="AR109" s="23">
        <v>46138</v>
      </c>
      <c r="AS109" s="14" t="s">
        <v>94</v>
      </c>
    </row>
    <row r="110" spans="1:45" x14ac:dyDescent="0.25">
      <c r="A110" s="14" t="s">
        <v>448</v>
      </c>
      <c r="B110" s="14" t="s">
        <v>449</v>
      </c>
      <c r="C110" s="14">
        <v>9121724902</v>
      </c>
      <c r="D110" s="15" t="s">
        <v>451</v>
      </c>
      <c r="E110" s="14">
        <v>40</v>
      </c>
      <c r="F110" s="14" t="s">
        <v>89</v>
      </c>
      <c r="G110" s="14" t="s">
        <v>115</v>
      </c>
      <c r="H110" s="14" t="s">
        <v>73</v>
      </c>
      <c r="I110" s="14" t="s">
        <v>74</v>
      </c>
      <c r="J110" s="15">
        <v>1256122</v>
      </c>
      <c r="K110" s="14">
        <v>1</v>
      </c>
      <c r="L110" s="14" t="s">
        <v>76</v>
      </c>
      <c r="M110" s="14" t="s">
        <v>75</v>
      </c>
      <c r="N110" s="14" t="s">
        <v>75</v>
      </c>
      <c r="O110" s="14" t="s">
        <v>75</v>
      </c>
      <c r="P110" s="14">
        <v>575</v>
      </c>
      <c r="Q110" s="15">
        <v>549277</v>
      </c>
      <c r="R110" s="15">
        <v>10985.53</v>
      </c>
      <c r="S110" s="14" t="s">
        <v>20</v>
      </c>
      <c r="T110" s="15"/>
      <c r="U110" s="16">
        <f t="shared" si="11"/>
        <v>0.10494709908750903</v>
      </c>
      <c r="V110" s="14">
        <v>0</v>
      </c>
      <c r="W110" s="17">
        <v>91.8</v>
      </c>
      <c r="X110" s="14">
        <v>6.2</v>
      </c>
      <c r="Y110" s="18">
        <f t="shared" si="12"/>
        <v>34</v>
      </c>
      <c r="Z110" s="18" t="str">
        <f t="shared" si="13"/>
        <v>Medium</v>
      </c>
      <c r="AA110" s="19" t="str">
        <f t="shared" si="14"/>
        <v>Review</v>
      </c>
      <c r="AB110" s="14" t="s">
        <v>85</v>
      </c>
      <c r="AC110" s="14">
        <v>2</v>
      </c>
      <c r="AD110" s="14" t="s">
        <v>78</v>
      </c>
      <c r="AE110" s="17">
        <v>1.4</v>
      </c>
      <c r="AF110" s="15">
        <v>0</v>
      </c>
      <c r="AG110" s="20">
        <f t="shared" si="15"/>
        <v>1256122</v>
      </c>
      <c r="AH110" s="14">
        <v>0</v>
      </c>
      <c r="AI110" s="14" t="s">
        <v>75</v>
      </c>
      <c r="AJ110" s="14">
        <v>36</v>
      </c>
      <c r="AK110" s="21">
        <f t="shared" si="16"/>
        <v>0.375</v>
      </c>
      <c r="AL110" s="20">
        <f t="shared" si="17"/>
        <v>0</v>
      </c>
      <c r="AM110" s="22">
        <f t="shared" si="18"/>
        <v>0</v>
      </c>
      <c r="AN110" s="20">
        <f t="shared" si="19"/>
        <v>10985.53</v>
      </c>
      <c r="AO110" s="16">
        <f t="shared" si="20"/>
        <v>0.10494709908750903</v>
      </c>
      <c r="AP110" s="15">
        <v>0</v>
      </c>
      <c r="AQ110" s="18" t="str">
        <f t="shared" si="21"/>
        <v>N/A</v>
      </c>
      <c r="AR110" s="23">
        <v>45964</v>
      </c>
      <c r="AS110" s="14" t="s">
        <v>79</v>
      </c>
    </row>
    <row r="111" spans="1:45" x14ac:dyDescent="0.25">
      <c r="A111" s="14" t="s">
        <v>452</v>
      </c>
      <c r="B111" s="14" t="s">
        <v>453</v>
      </c>
      <c r="C111" s="14">
        <v>9710607239</v>
      </c>
      <c r="D111" s="15" t="s">
        <v>454</v>
      </c>
      <c r="E111" s="14">
        <v>33</v>
      </c>
      <c r="F111" s="14" t="s">
        <v>71</v>
      </c>
      <c r="G111" s="14" t="s">
        <v>90</v>
      </c>
      <c r="H111" s="14" t="s">
        <v>91</v>
      </c>
      <c r="I111" s="14" t="s">
        <v>92</v>
      </c>
      <c r="J111" s="15">
        <v>438710</v>
      </c>
      <c r="K111" s="14">
        <v>1</v>
      </c>
      <c r="L111" s="14" t="s">
        <v>76</v>
      </c>
      <c r="M111" s="14" t="s">
        <v>75</v>
      </c>
      <c r="N111" s="14" t="s">
        <v>75</v>
      </c>
      <c r="O111" s="14" t="s">
        <v>75</v>
      </c>
      <c r="P111" s="14">
        <v>775</v>
      </c>
      <c r="Q111" s="15">
        <v>132962.4</v>
      </c>
      <c r="R111" s="15">
        <v>2556.9699999999998</v>
      </c>
      <c r="S111" s="14" t="s">
        <v>20</v>
      </c>
      <c r="T111" s="15">
        <v>377131</v>
      </c>
      <c r="U111" s="16">
        <f t="shared" si="11"/>
        <v>6.9940598573089277E-2</v>
      </c>
      <c r="V111" s="14">
        <v>0</v>
      </c>
      <c r="W111" s="17">
        <v>40.4</v>
      </c>
      <c r="X111" s="14">
        <v>9</v>
      </c>
      <c r="Y111" s="18">
        <f t="shared" si="12"/>
        <v>14.5</v>
      </c>
      <c r="Z111" s="18" t="str">
        <f t="shared" si="13"/>
        <v>Low</v>
      </c>
      <c r="AA111" s="19" t="str">
        <f t="shared" si="14"/>
        <v>Eligible</v>
      </c>
      <c r="AB111" s="14" t="s">
        <v>85</v>
      </c>
      <c r="AC111" s="14">
        <v>3</v>
      </c>
      <c r="AD111" s="14" t="s">
        <v>93</v>
      </c>
      <c r="AE111" s="17">
        <v>4.4000000000000004</v>
      </c>
      <c r="AF111" s="15">
        <v>820869</v>
      </c>
      <c r="AG111" s="20">
        <f t="shared" si="15"/>
        <v>1259579</v>
      </c>
      <c r="AH111" s="14">
        <v>1</v>
      </c>
      <c r="AI111" s="14" t="s">
        <v>75</v>
      </c>
      <c r="AJ111" s="14">
        <v>24</v>
      </c>
      <c r="AK111" s="21">
        <f t="shared" si="16"/>
        <v>0.36</v>
      </c>
      <c r="AL111" s="20">
        <f t="shared" si="17"/>
        <v>22268.611024250957</v>
      </c>
      <c r="AM111" s="22">
        <f t="shared" si="18"/>
        <v>0.85963620614984837</v>
      </c>
      <c r="AN111" s="20">
        <f t="shared" si="19"/>
        <v>24825.581024250958</v>
      </c>
      <c r="AO111" s="16">
        <f t="shared" si="20"/>
        <v>0.67905215812498343</v>
      </c>
      <c r="AP111" s="15">
        <v>0</v>
      </c>
      <c r="AQ111" s="18" t="str">
        <f t="shared" si="21"/>
        <v>N/A</v>
      </c>
      <c r="AR111" s="23">
        <v>45909</v>
      </c>
      <c r="AS111" s="14" t="s">
        <v>79</v>
      </c>
    </row>
    <row r="112" spans="1:45" x14ac:dyDescent="0.25">
      <c r="A112" s="14" t="s">
        <v>455</v>
      </c>
      <c r="B112" s="14" t="s">
        <v>456</v>
      </c>
      <c r="C112" s="14">
        <v>9714457408</v>
      </c>
      <c r="D112" s="15" t="s">
        <v>458</v>
      </c>
      <c r="E112" s="14">
        <v>35</v>
      </c>
      <c r="F112" s="14" t="s">
        <v>71</v>
      </c>
      <c r="G112" s="14" t="s">
        <v>388</v>
      </c>
      <c r="H112" s="14" t="s">
        <v>84</v>
      </c>
      <c r="I112" s="14" t="s">
        <v>74</v>
      </c>
      <c r="J112" s="15">
        <v>2017597</v>
      </c>
      <c r="K112" s="14">
        <v>1</v>
      </c>
      <c r="L112" s="14" t="s">
        <v>76</v>
      </c>
      <c r="M112" s="14" t="s">
        <v>75</v>
      </c>
      <c r="N112" s="14" t="s">
        <v>75</v>
      </c>
      <c r="O112" s="14" t="s">
        <v>75</v>
      </c>
      <c r="P112" s="14">
        <v>785</v>
      </c>
      <c r="Q112" s="15">
        <v>1103442</v>
      </c>
      <c r="R112" s="15">
        <v>20819.669999999998</v>
      </c>
      <c r="S112" s="14" t="s">
        <v>21</v>
      </c>
      <c r="T112" s="15">
        <v>680343</v>
      </c>
      <c r="U112" s="16">
        <f t="shared" si="11"/>
        <v>0.12382851481242289</v>
      </c>
      <c r="V112" s="14">
        <v>3</v>
      </c>
      <c r="W112" s="17">
        <v>26.3</v>
      </c>
      <c r="X112" s="14">
        <v>9.1999999999999993</v>
      </c>
      <c r="Y112" s="18">
        <f t="shared" si="12"/>
        <v>26</v>
      </c>
      <c r="Z112" s="18" t="str">
        <f t="shared" si="13"/>
        <v>Low</v>
      </c>
      <c r="AA112" s="19" t="str">
        <f t="shared" si="14"/>
        <v>Review</v>
      </c>
      <c r="AB112" s="14" t="s">
        <v>77</v>
      </c>
      <c r="AC112" s="14">
        <v>2</v>
      </c>
      <c r="AD112" s="14" t="s">
        <v>93</v>
      </c>
      <c r="AE112" s="17">
        <v>4.0999999999999996</v>
      </c>
      <c r="AF112" s="15">
        <v>0</v>
      </c>
      <c r="AG112" s="20">
        <f t="shared" si="15"/>
        <v>2017597</v>
      </c>
      <c r="AH112" s="14">
        <v>2</v>
      </c>
      <c r="AI112" s="14" t="s">
        <v>75</v>
      </c>
      <c r="AJ112" s="14">
        <v>24</v>
      </c>
      <c r="AK112" s="21">
        <f t="shared" si="16"/>
        <v>0.14000000000000001</v>
      </c>
      <c r="AL112" s="20">
        <f t="shared" si="17"/>
        <v>32665.229041464976</v>
      </c>
      <c r="AM112" s="22">
        <f t="shared" si="18"/>
        <v>0.33720460528044005</v>
      </c>
      <c r="AN112" s="20">
        <f t="shared" si="19"/>
        <v>53484.899041464974</v>
      </c>
      <c r="AO112" s="16">
        <f t="shared" si="20"/>
        <v>0.31811049902313482</v>
      </c>
      <c r="AP112" s="15">
        <v>0</v>
      </c>
      <c r="AQ112" s="18" t="str">
        <f t="shared" si="21"/>
        <v>N/A</v>
      </c>
      <c r="AR112" s="23">
        <v>46133</v>
      </c>
      <c r="AS112" s="14" t="s">
        <v>79</v>
      </c>
    </row>
    <row r="113" spans="1:45" x14ac:dyDescent="0.25">
      <c r="A113" s="14" t="s">
        <v>459</v>
      </c>
      <c r="B113" s="14" t="s">
        <v>460</v>
      </c>
      <c r="C113" s="14"/>
      <c r="D113" s="15"/>
      <c r="E113" s="14">
        <v>27</v>
      </c>
      <c r="F113" s="14" t="s">
        <v>71</v>
      </c>
      <c r="G113" s="14" t="s">
        <v>314</v>
      </c>
      <c r="H113" s="14" t="s">
        <v>103</v>
      </c>
      <c r="I113" s="14" t="s">
        <v>74</v>
      </c>
      <c r="J113" s="15">
        <v>1485632</v>
      </c>
      <c r="K113" s="14">
        <v>3</v>
      </c>
      <c r="L113" s="14" t="s">
        <v>76</v>
      </c>
      <c r="M113" s="14" t="s">
        <v>76</v>
      </c>
      <c r="N113" s="14" t="s">
        <v>76</v>
      </c>
      <c r="O113" s="14" t="s">
        <v>75</v>
      </c>
      <c r="P113" s="14">
        <v>632</v>
      </c>
      <c r="Q113" s="15">
        <v>767915.69</v>
      </c>
      <c r="R113" s="15">
        <v>27425.56</v>
      </c>
      <c r="S113" s="14" t="s">
        <v>22</v>
      </c>
      <c r="T113" s="15"/>
      <c r="U113" s="16">
        <f t="shared" si="11"/>
        <v>0.22152640761642187</v>
      </c>
      <c r="V113" s="14">
        <v>0</v>
      </c>
      <c r="W113" s="17">
        <v>77.7</v>
      </c>
      <c r="X113" s="14">
        <v>13.5</v>
      </c>
      <c r="Y113" s="18">
        <f t="shared" si="12"/>
        <v>32.299999999999997</v>
      </c>
      <c r="Z113" s="18" t="str">
        <f t="shared" si="13"/>
        <v>Medium</v>
      </c>
      <c r="AA113" s="19" t="str">
        <f t="shared" si="14"/>
        <v>Review</v>
      </c>
      <c r="AB113" s="14" t="s">
        <v>77</v>
      </c>
      <c r="AC113" s="14">
        <v>3</v>
      </c>
      <c r="AD113" s="14" t="s">
        <v>93</v>
      </c>
      <c r="AE113" s="17">
        <v>4.0999999999999996</v>
      </c>
      <c r="AF113" s="15">
        <v>0</v>
      </c>
      <c r="AG113" s="20">
        <f t="shared" si="15"/>
        <v>1485632</v>
      </c>
      <c r="AH113" s="14">
        <v>1</v>
      </c>
      <c r="AI113" s="14" t="s">
        <v>75</v>
      </c>
      <c r="AJ113" s="14">
        <v>48</v>
      </c>
      <c r="AK113" s="21">
        <f t="shared" si="16"/>
        <v>0.105</v>
      </c>
      <c r="AL113" s="20">
        <f t="shared" si="17"/>
        <v>0</v>
      </c>
      <c r="AM113" s="22">
        <f t="shared" si="18"/>
        <v>0</v>
      </c>
      <c r="AN113" s="20">
        <f t="shared" si="19"/>
        <v>27425.56</v>
      </c>
      <c r="AO113" s="16">
        <f t="shared" si="20"/>
        <v>0.22152640761642187</v>
      </c>
      <c r="AP113" s="15">
        <v>765831</v>
      </c>
      <c r="AQ113" s="18">
        <f t="shared" si="21"/>
        <v>0</v>
      </c>
      <c r="AR113" s="23">
        <v>46109</v>
      </c>
      <c r="AS113" s="14" t="s">
        <v>79</v>
      </c>
    </row>
    <row r="114" spans="1:45" x14ac:dyDescent="0.25">
      <c r="A114" s="14" t="s">
        <v>461</v>
      </c>
      <c r="B114" s="14" t="s">
        <v>462</v>
      </c>
      <c r="C114" s="14">
        <v>9726016935</v>
      </c>
      <c r="D114" s="15" t="s">
        <v>463</v>
      </c>
      <c r="E114" s="14">
        <v>33</v>
      </c>
      <c r="F114" s="14" t="s">
        <v>89</v>
      </c>
      <c r="G114" s="14" t="s">
        <v>131</v>
      </c>
      <c r="H114" s="14" t="s">
        <v>144</v>
      </c>
      <c r="I114" s="14" t="s">
        <v>92</v>
      </c>
      <c r="J114" s="15">
        <v>2295378</v>
      </c>
      <c r="K114" s="14">
        <v>0</v>
      </c>
      <c r="L114" s="14" t="s">
        <v>75</v>
      </c>
      <c r="M114" s="14" t="s">
        <v>75</v>
      </c>
      <c r="N114" s="14" t="s">
        <v>75</v>
      </c>
      <c r="O114" s="14" t="s">
        <v>75</v>
      </c>
      <c r="P114" s="14">
        <v>871</v>
      </c>
      <c r="Q114" s="15">
        <v>41578</v>
      </c>
      <c r="R114" s="15">
        <v>2309.86</v>
      </c>
      <c r="S114" s="14" t="s">
        <v>23</v>
      </c>
      <c r="T114" s="15">
        <v>2573273</v>
      </c>
      <c r="U114" s="16">
        <f t="shared" si="11"/>
        <v>1.2075710405867792E-2</v>
      </c>
      <c r="V114" s="14">
        <v>2</v>
      </c>
      <c r="W114" s="17">
        <v>73.900000000000006</v>
      </c>
      <c r="X114" s="14">
        <v>8.5</v>
      </c>
      <c r="Y114" s="18">
        <f t="shared" si="12"/>
        <v>17.7</v>
      </c>
      <c r="Z114" s="18" t="str">
        <f t="shared" si="13"/>
        <v>Low</v>
      </c>
      <c r="AA114" s="19" t="str">
        <f t="shared" si="14"/>
        <v>Eligible</v>
      </c>
      <c r="AB114" s="14" t="s">
        <v>77</v>
      </c>
      <c r="AC114" s="14">
        <v>3</v>
      </c>
      <c r="AD114" s="14" t="s">
        <v>93</v>
      </c>
      <c r="AE114" s="17">
        <v>8</v>
      </c>
      <c r="AF114" s="15">
        <v>317496</v>
      </c>
      <c r="AG114" s="20">
        <f t="shared" si="15"/>
        <v>2612874</v>
      </c>
      <c r="AH114" s="14">
        <v>2</v>
      </c>
      <c r="AI114" s="14" t="s">
        <v>75</v>
      </c>
      <c r="AJ114" s="14">
        <v>240</v>
      </c>
      <c r="AK114" s="21">
        <f t="shared" si="16"/>
        <v>8.5000000000000006E-2</v>
      </c>
      <c r="AL114" s="20">
        <f t="shared" si="17"/>
        <v>22331.460951922276</v>
      </c>
      <c r="AM114" s="22">
        <f t="shared" si="18"/>
        <v>1.1210672054885948</v>
      </c>
      <c r="AN114" s="20">
        <f t="shared" si="19"/>
        <v>24641.320951922276</v>
      </c>
      <c r="AO114" s="16">
        <f t="shared" si="20"/>
        <v>0.1288222904563289</v>
      </c>
      <c r="AP114" s="15">
        <v>3198374</v>
      </c>
      <c r="AQ114" s="18">
        <f t="shared" si="21"/>
        <v>0.80455662783651938</v>
      </c>
      <c r="AR114" s="23">
        <v>46194</v>
      </c>
      <c r="AS114" s="14" t="s">
        <v>79</v>
      </c>
    </row>
    <row r="115" spans="1:45" x14ac:dyDescent="0.25">
      <c r="A115" s="14" t="s">
        <v>464</v>
      </c>
      <c r="B115" s="14" t="s">
        <v>465</v>
      </c>
      <c r="C115" s="14">
        <v>9605234798</v>
      </c>
      <c r="D115" s="15" t="s">
        <v>467</v>
      </c>
      <c r="E115" s="14">
        <v>58</v>
      </c>
      <c r="F115" s="14" t="s">
        <v>71</v>
      </c>
      <c r="G115" s="14" t="s">
        <v>115</v>
      </c>
      <c r="H115" s="14" t="s">
        <v>91</v>
      </c>
      <c r="I115" s="14" t="s">
        <v>92</v>
      </c>
      <c r="J115" s="15">
        <v>2399154</v>
      </c>
      <c r="K115" s="14">
        <v>1</v>
      </c>
      <c r="L115" s="14" t="s">
        <v>76</v>
      </c>
      <c r="M115" s="14" t="s">
        <v>75</v>
      </c>
      <c r="N115" s="14" t="s">
        <v>75</v>
      </c>
      <c r="O115" s="14" t="s">
        <v>75</v>
      </c>
      <c r="P115" s="14">
        <v>454</v>
      </c>
      <c r="Q115" s="15">
        <v>197736.25</v>
      </c>
      <c r="R115" s="15">
        <v>8239.01</v>
      </c>
      <c r="S115" s="14" t="s">
        <v>22</v>
      </c>
      <c r="T115" s="15"/>
      <c r="U115" s="16">
        <f t="shared" si="11"/>
        <v>4.1209576375672421E-2</v>
      </c>
      <c r="V115" s="14">
        <v>8</v>
      </c>
      <c r="W115" s="17">
        <v>89.8</v>
      </c>
      <c r="X115" s="14">
        <v>14.8</v>
      </c>
      <c r="Y115" s="18">
        <f t="shared" si="12"/>
        <v>59.9</v>
      </c>
      <c r="Z115" s="18" t="str">
        <f t="shared" si="13"/>
        <v>Medium</v>
      </c>
      <c r="AA115" s="19" t="str">
        <f t="shared" si="14"/>
        <v>Not Eligible</v>
      </c>
      <c r="AB115" s="14" t="s">
        <v>85</v>
      </c>
      <c r="AC115" s="14">
        <v>3</v>
      </c>
      <c r="AD115" s="14" t="s">
        <v>78</v>
      </c>
      <c r="AE115" s="17">
        <v>2.7</v>
      </c>
      <c r="AF115" s="15">
        <v>889980</v>
      </c>
      <c r="AG115" s="20">
        <f t="shared" si="15"/>
        <v>3289134</v>
      </c>
      <c r="AH115" s="14">
        <v>0</v>
      </c>
      <c r="AI115" s="14" t="s">
        <v>75</v>
      </c>
      <c r="AJ115" s="14">
        <v>60</v>
      </c>
      <c r="AK115" s="21">
        <f t="shared" si="16"/>
        <v>0.105</v>
      </c>
      <c r="AL115" s="20">
        <f t="shared" si="17"/>
        <v>0</v>
      </c>
      <c r="AM115" s="22">
        <f t="shared" si="18"/>
        <v>0</v>
      </c>
      <c r="AN115" s="20">
        <f t="shared" si="19"/>
        <v>8239.01</v>
      </c>
      <c r="AO115" s="16">
        <f t="shared" si="20"/>
        <v>4.1209576375672421E-2</v>
      </c>
      <c r="AP115" s="15">
        <v>1279400</v>
      </c>
      <c r="AQ115" s="18">
        <f t="shared" si="21"/>
        <v>0</v>
      </c>
      <c r="AR115" s="23">
        <v>45981</v>
      </c>
      <c r="AS115" s="14" t="s">
        <v>79</v>
      </c>
    </row>
    <row r="116" spans="1:45" x14ac:dyDescent="0.25">
      <c r="A116" s="14" t="s">
        <v>468</v>
      </c>
      <c r="B116" s="14" t="s">
        <v>469</v>
      </c>
      <c r="C116" s="14"/>
      <c r="D116" s="15"/>
      <c r="E116" s="14">
        <v>29</v>
      </c>
      <c r="F116" s="14" t="s">
        <v>89</v>
      </c>
      <c r="G116" s="14" t="s">
        <v>174</v>
      </c>
      <c r="H116" s="14" t="s">
        <v>99</v>
      </c>
      <c r="I116" s="14" t="s">
        <v>74</v>
      </c>
      <c r="J116" s="15">
        <v>2099463</v>
      </c>
      <c r="K116" s="14">
        <v>1</v>
      </c>
      <c r="L116" s="14" t="s">
        <v>75</v>
      </c>
      <c r="M116" s="14" t="s">
        <v>75</v>
      </c>
      <c r="N116" s="14" t="s">
        <v>76</v>
      </c>
      <c r="O116" s="14" t="s">
        <v>75</v>
      </c>
      <c r="P116" s="14">
        <v>682</v>
      </c>
      <c r="Q116" s="15"/>
      <c r="R116" s="15">
        <v>37399.39</v>
      </c>
      <c r="S116" s="14" t="s">
        <v>21</v>
      </c>
      <c r="T116" s="15"/>
      <c r="U116" s="16">
        <f t="shared" si="11"/>
        <v>0.21376546288265141</v>
      </c>
      <c r="V116" s="14">
        <v>2</v>
      </c>
      <c r="W116" s="17">
        <v>64.5</v>
      </c>
      <c r="X116" s="14">
        <v>3.9</v>
      </c>
      <c r="Y116" s="18">
        <f t="shared" si="12"/>
        <v>35.4</v>
      </c>
      <c r="Z116" s="18" t="str">
        <f t="shared" si="13"/>
        <v>Medium</v>
      </c>
      <c r="AA116" s="19" t="str">
        <f t="shared" si="14"/>
        <v>Eligible</v>
      </c>
      <c r="AB116" s="14" t="s">
        <v>77</v>
      </c>
      <c r="AC116" s="14">
        <v>1</v>
      </c>
      <c r="AD116" s="14" t="s">
        <v>78</v>
      </c>
      <c r="AE116" s="17">
        <v>3.3</v>
      </c>
      <c r="AF116" s="15">
        <v>0</v>
      </c>
      <c r="AG116" s="20">
        <f t="shared" si="15"/>
        <v>2099463</v>
      </c>
      <c r="AH116" s="14">
        <v>0</v>
      </c>
      <c r="AI116" s="14" t="s">
        <v>75</v>
      </c>
      <c r="AJ116" s="14">
        <v>36</v>
      </c>
      <c r="AK116" s="21">
        <f t="shared" si="16"/>
        <v>0.15500000000000003</v>
      </c>
      <c r="AL116" s="20">
        <f t="shared" si="17"/>
        <v>0</v>
      </c>
      <c r="AM116" s="22">
        <f t="shared" si="18"/>
        <v>0</v>
      </c>
      <c r="AN116" s="20">
        <f t="shared" si="19"/>
        <v>37399.39</v>
      </c>
      <c r="AO116" s="16">
        <f t="shared" si="20"/>
        <v>0.21376546288265141</v>
      </c>
      <c r="AP116" s="15">
        <v>0</v>
      </c>
      <c r="AQ116" s="18" t="str">
        <f t="shared" si="21"/>
        <v>N/A</v>
      </c>
      <c r="AR116" s="23">
        <v>46043</v>
      </c>
      <c r="AS116" s="14" t="s">
        <v>79</v>
      </c>
    </row>
    <row r="117" spans="1:45" x14ac:dyDescent="0.25">
      <c r="A117" s="14" t="s">
        <v>470</v>
      </c>
      <c r="B117" s="14" t="s">
        <v>471</v>
      </c>
      <c r="C117" s="14"/>
      <c r="D117" s="15" t="s">
        <v>472</v>
      </c>
      <c r="E117" s="14">
        <v>64</v>
      </c>
      <c r="F117" s="14" t="s">
        <v>71</v>
      </c>
      <c r="G117" s="14" t="s">
        <v>226</v>
      </c>
      <c r="H117" s="14" t="s">
        <v>107</v>
      </c>
      <c r="I117" s="14" t="s">
        <v>92</v>
      </c>
      <c r="J117" s="15">
        <v>1806807</v>
      </c>
      <c r="K117" s="14">
        <v>1</v>
      </c>
      <c r="L117" s="14" t="s">
        <v>75</v>
      </c>
      <c r="M117" s="14" t="s">
        <v>76</v>
      </c>
      <c r="N117" s="14" t="s">
        <v>75</v>
      </c>
      <c r="O117" s="14" t="s">
        <v>75</v>
      </c>
      <c r="P117" s="14">
        <v>319</v>
      </c>
      <c r="Q117" s="15"/>
      <c r="R117" s="15">
        <v>4269.3900000000003</v>
      </c>
      <c r="S117" s="14" t="s">
        <v>21</v>
      </c>
      <c r="T117" s="15">
        <v>271449</v>
      </c>
      <c r="U117" s="16">
        <f t="shared" si="11"/>
        <v>2.835536944455053E-2</v>
      </c>
      <c r="V117" s="14">
        <v>2</v>
      </c>
      <c r="W117" s="17">
        <v>61</v>
      </c>
      <c r="X117" s="14">
        <v>2.7</v>
      </c>
      <c r="Y117" s="18">
        <f t="shared" si="12"/>
        <v>53.7</v>
      </c>
      <c r="Z117" s="18" t="str">
        <f t="shared" si="13"/>
        <v>Medium</v>
      </c>
      <c r="AA117" s="19" t="str">
        <f t="shared" si="14"/>
        <v>Not Eligible</v>
      </c>
      <c r="AB117" s="14" t="s">
        <v>85</v>
      </c>
      <c r="AC117" s="14">
        <v>2</v>
      </c>
      <c r="AD117" s="14" t="s">
        <v>78</v>
      </c>
      <c r="AE117" s="17">
        <v>26.3</v>
      </c>
      <c r="AF117" s="15">
        <v>551050</v>
      </c>
      <c r="AG117" s="20">
        <f t="shared" si="15"/>
        <v>2357857</v>
      </c>
      <c r="AH117" s="14">
        <v>0</v>
      </c>
      <c r="AI117" s="14" t="s">
        <v>76</v>
      </c>
      <c r="AJ117" s="14">
        <v>12</v>
      </c>
      <c r="AK117" s="21">
        <f t="shared" si="16"/>
        <v>0.15500000000000003</v>
      </c>
      <c r="AL117" s="20">
        <f t="shared" si="17"/>
        <v>24564.618832977911</v>
      </c>
      <c r="AM117" s="22">
        <f t="shared" si="18"/>
        <v>0.15023685429600395</v>
      </c>
      <c r="AN117" s="20">
        <f t="shared" si="19"/>
        <v>28834.00883297791</v>
      </c>
      <c r="AO117" s="16">
        <f t="shared" si="20"/>
        <v>0.19150252683088725</v>
      </c>
      <c r="AP117" s="15">
        <v>0</v>
      </c>
      <c r="AQ117" s="18" t="str">
        <f t="shared" si="21"/>
        <v>N/A</v>
      </c>
      <c r="AR117" s="23">
        <v>46229</v>
      </c>
      <c r="AS117" s="14" t="s">
        <v>79</v>
      </c>
    </row>
    <row r="118" spans="1:45" x14ac:dyDescent="0.25">
      <c r="A118" s="14" t="s">
        <v>473</v>
      </c>
      <c r="B118" s="14" t="s">
        <v>474</v>
      </c>
      <c r="C118" s="14">
        <v>9224328383</v>
      </c>
      <c r="D118" s="15" t="s">
        <v>475</v>
      </c>
      <c r="E118" s="14">
        <v>45</v>
      </c>
      <c r="F118" s="14" t="s">
        <v>71</v>
      </c>
      <c r="G118" s="14" t="s">
        <v>83</v>
      </c>
      <c r="H118" s="14" t="s">
        <v>84</v>
      </c>
      <c r="I118" s="14" t="s">
        <v>74</v>
      </c>
      <c r="J118" s="15">
        <v>2289762</v>
      </c>
      <c r="K118" s="14">
        <v>2</v>
      </c>
      <c r="L118" s="14" t="s">
        <v>75</v>
      </c>
      <c r="M118" s="14" t="s">
        <v>76</v>
      </c>
      <c r="N118" s="14" t="s">
        <v>75</v>
      </c>
      <c r="O118" s="14" t="s">
        <v>76</v>
      </c>
      <c r="P118" s="14">
        <v>730</v>
      </c>
      <c r="Q118" s="15">
        <v>909033</v>
      </c>
      <c r="R118" s="15">
        <v>16833.939999999999</v>
      </c>
      <c r="S118" s="14" t="s">
        <v>22</v>
      </c>
      <c r="T118" s="15">
        <v>587652</v>
      </c>
      <c r="U118" s="16">
        <f t="shared" si="11"/>
        <v>8.8221954945535808E-2</v>
      </c>
      <c r="V118" s="14">
        <v>0</v>
      </c>
      <c r="W118" s="17">
        <v>90.4</v>
      </c>
      <c r="X118" s="14">
        <v>7.8</v>
      </c>
      <c r="Y118" s="18">
        <f t="shared" si="12"/>
        <v>23</v>
      </c>
      <c r="Z118" s="18" t="str">
        <f t="shared" si="13"/>
        <v>Low</v>
      </c>
      <c r="AA118" s="19" t="str">
        <f t="shared" si="14"/>
        <v>Eligible</v>
      </c>
      <c r="AB118" s="14" t="s">
        <v>77</v>
      </c>
      <c r="AC118" s="14">
        <v>1</v>
      </c>
      <c r="AD118" s="14" t="s">
        <v>93</v>
      </c>
      <c r="AE118" s="17">
        <v>12.1</v>
      </c>
      <c r="AF118" s="15">
        <v>0</v>
      </c>
      <c r="AG118" s="20">
        <f t="shared" si="15"/>
        <v>2289762</v>
      </c>
      <c r="AH118" s="14">
        <v>1</v>
      </c>
      <c r="AI118" s="14" t="s">
        <v>75</v>
      </c>
      <c r="AJ118" s="14">
        <v>36</v>
      </c>
      <c r="AK118" s="21">
        <f t="shared" si="16"/>
        <v>0.09</v>
      </c>
      <c r="AL118" s="20">
        <f t="shared" si="17"/>
        <v>18687.176497079465</v>
      </c>
      <c r="AM118" s="22">
        <f t="shared" si="18"/>
        <v>0.25664326685480848</v>
      </c>
      <c r="AN118" s="20">
        <f t="shared" si="19"/>
        <v>35521.116497079463</v>
      </c>
      <c r="AO118" s="16">
        <f t="shared" si="20"/>
        <v>0.18615620224501653</v>
      </c>
      <c r="AP118" s="15">
        <v>659101</v>
      </c>
      <c r="AQ118" s="18">
        <f t="shared" si="21"/>
        <v>0.891596280387983</v>
      </c>
      <c r="AR118" s="23">
        <v>46104</v>
      </c>
      <c r="AS118" s="14" t="s">
        <v>79</v>
      </c>
    </row>
    <row r="119" spans="1:45" x14ac:dyDescent="0.25">
      <c r="A119" s="14" t="s">
        <v>476</v>
      </c>
      <c r="B119" s="14" t="s">
        <v>477</v>
      </c>
      <c r="C119" s="14"/>
      <c r="D119" s="15" t="s">
        <v>478</v>
      </c>
      <c r="E119" s="14">
        <v>65</v>
      </c>
      <c r="F119" s="14" t="s">
        <v>89</v>
      </c>
      <c r="G119" s="14" t="s">
        <v>226</v>
      </c>
      <c r="H119" s="14" t="s">
        <v>91</v>
      </c>
      <c r="I119" s="14" t="s">
        <v>92</v>
      </c>
      <c r="J119" s="15">
        <v>311484</v>
      </c>
      <c r="K119" s="14">
        <v>3</v>
      </c>
      <c r="L119" s="14" t="s">
        <v>76</v>
      </c>
      <c r="M119" s="14" t="s">
        <v>76</v>
      </c>
      <c r="N119" s="14" t="s">
        <v>76</v>
      </c>
      <c r="O119" s="14" t="s">
        <v>75</v>
      </c>
      <c r="P119" s="14">
        <v>805</v>
      </c>
      <c r="Q119" s="15">
        <v>27873.67</v>
      </c>
      <c r="R119" s="15">
        <v>1639.63</v>
      </c>
      <c r="S119" s="14" t="s">
        <v>20</v>
      </c>
      <c r="T119" s="15"/>
      <c r="U119" s="16">
        <f t="shared" si="11"/>
        <v>6.3167161074084072E-2</v>
      </c>
      <c r="V119" s="14">
        <v>2</v>
      </c>
      <c r="W119" s="17">
        <v>91</v>
      </c>
      <c r="X119" s="14">
        <v>9.6999999999999993</v>
      </c>
      <c r="Y119" s="18">
        <f t="shared" si="12"/>
        <v>25.3</v>
      </c>
      <c r="Z119" s="18" t="str">
        <f t="shared" si="13"/>
        <v>Low</v>
      </c>
      <c r="AA119" s="19" t="str">
        <f t="shared" si="14"/>
        <v>Eligible</v>
      </c>
      <c r="AB119" s="14" t="s">
        <v>85</v>
      </c>
      <c r="AC119" s="14">
        <v>4</v>
      </c>
      <c r="AD119" s="14" t="s">
        <v>78</v>
      </c>
      <c r="AE119" s="17">
        <v>1.8</v>
      </c>
      <c r="AF119" s="15">
        <v>0</v>
      </c>
      <c r="AG119" s="20">
        <f t="shared" si="15"/>
        <v>311484</v>
      </c>
      <c r="AH119" s="14">
        <v>2</v>
      </c>
      <c r="AI119" s="14" t="s">
        <v>75</v>
      </c>
      <c r="AJ119" s="14">
        <v>24</v>
      </c>
      <c r="AK119" s="21">
        <f t="shared" si="16"/>
        <v>0.36</v>
      </c>
      <c r="AL119" s="20">
        <f t="shared" si="17"/>
        <v>0</v>
      </c>
      <c r="AM119" s="22">
        <f t="shared" si="18"/>
        <v>0</v>
      </c>
      <c r="AN119" s="20">
        <f t="shared" si="19"/>
        <v>1639.63</v>
      </c>
      <c r="AO119" s="16">
        <f t="shared" si="20"/>
        <v>6.3167161074084072E-2</v>
      </c>
      <c r="AP119" s="15">
        <v>0</v>
      </c>
      <c r="AQ119" s="18" t="str">
        <f t="shared" si="21"/>
        <v>N/A</v>
      </c>
      <c r="AR119" s="23">
        <v>46241</v>
      </c>
      <c r="AS119" s="14" t="s">
        <v>79</v>
      </c>
    </row>
    <row r="120" spans="1:45" x14ac:dyDescent="0.25">
      <c r="A120" s="14" t="s">
        <v>479</v>
      </c>
      <c r="B120" s="14" t="s">
        <v>480</v>
      </c>
      <c r="C120" s="14">
        <v>9202003827</v>
      </c>
      <c r="D120" s="15" t="s">
        <v>481</v>
      </c>
      <c r="E120" s="14">
        <v>21</v>
      </c>
      <c r="F120" s="14" t="s">
        <v>71</v>
      </c>
      <c r="G120" s="14" t="s">
        <v>98</v>
      </c>
      <c r="H120" s="14" t="s">
        <v>103</v>
      </c>
      <c r="I120" s="14" t="s">
        <v>74</v>
      </c>
      <c r="J120" s="15">
        <v>1799578</v>
      </c>
      <c r="K120" s="14">
        <v>0</v>
      </c>
      <c r="L120" s="14" t="s">
        <v>75</v>
      </c>
      <c r="M120" s="14" t="s">
        <v>75</v>
      </c>
      <c r="N120" s="14" t="s">
        <v>75</v>
      </c>
      <c r="O120" s="14" t="s">
        <v>75</v>
      </c>
      <c r="P120" s="14">
        <v>681</v>
      </c>
      <c r="Q120" s="15">
        <v>146659.18</v>
      </c>
      <c r="R120" s="15">
        <v>6376.49</v>
      </c>
      <c r="S120" s="14" t="s">
        <v>20</v>
      </c>
      <c r="T120" s="15">
        <v>230122</v>
      </c>
      <c r="U120" s="16">
        <f t="shared" si="11"/>
        <v>4.2519901888109328E-2</v>
      </c>
      <c r="V120" s="14">
        <v>0</v>
      </c>
      <c r="W120" s="17">
        <v>48.4</v>
      </c>
      <c r="X120" s="14">
        <v>12.6</v>
      </c>
      <c r="Y120" s="18">
        <f t="shared" si="12"/>
        <v>20.7</v>
      </c>
      <c r="Z120" s="18" t="str">
        <f t="shared" si="13"/>
        <v>Low</v>
      </c>
      <c r="AA120" s="19" t="str">
        <f t="shared" si="14"/>
        <v>Eligible</v>
      </c>
      <c r="AB120" s="14" t="s">
        <v>77</v>
      </c>
      <c r="AC120" s="14">
        <v>1</v>
      </c>
      <c r="AD120" s="14" t="s">
        <v>78</v>
      </c>
      <c r="AE120" s="17">
        <v>0.3</v>
      </c>
      <c r="AF120" s="15">
        <v>0</v>
      </c>
      <c r="AG120" s="20">
        <f t="shared" si="15"/>
        <v>1799578</v>
      </c>
      <c r="AH120" s="14">
        <v>0</v>
      </c>
      <c r="AI120" s="14" t="s">
        <v>75</v>
      </c>
      <c r="AJ120" s="14">
        <v>12</v>
      </c>
      <c r="AK120" s="21">
        <f t="shared" si="16"/>
        <v>0.36</v>
      </c>
      <c r="AL120" s="20">
        <f t="shared" si="17"/>
        <v>23118.536033209195</v>
      </c>
      <c r="AM120" s="22">
        <f t="shared" si="18"/>
        <v>0.12787553526437864</v>
      </c>
      <c r="AN120" s="20">
        <f t="shared" si="19"/>
        <v>29495.026033209193</v>
      </c>
      <c r="AO120" s="16">
        <f t="shared" si="20"/>
        <v>0.19667961733168013</v>
      </c>
      <c r="AP120" s="15">
        <v>0</v>
      </c>
      <c r="AQ120" s="18" t="str">
        <f t="shared" si="21"/>
        <v>N/A</v>
      </c>
      <c r="AR120" s="23">
        <v>45976</v>
      </c>
      <c r="AS120" s="14" t="s">
        <v>79</v>
      </c>
    </row>
    <row r="121" spans="1:45" x14ac:dyDescent="0.25">
      <c r="A121" s="14" t="s">
        <v>482</v>
      </c>
      <c r="B121" s="14" t="s">
        <v>483</v>
      </c>
      <c r="C121" s="14">
        <v>9618268171</v>
      </c>
      <c r="D121" s="15" t="s">
        <v>485</v>
      </c>
      <c r="E121" s="14">
        <v>64</v>
      </c>
      <c r="F121" s="14" t="s">
        <v>89</v>
      </c>
      <c r="G121" s="14" t="s">
        <v>98</v>
      </c>
      <c r="H121" s="14" t="s">
        <v>99</v>
      </c>
      <c r="I121" s="14" t="s">
        <v>74</v>
      </c>
      <c r="J121" s="15">
        <v>1804072</v>
      </c>
      <c r="K121" s="14">
        <v>0</v>
      </c>
      <c r="L121" s="14" t="s">
        <v>75</v>
      </c>
      <c r="M121" s="14" t="s">
        <v>75</v>
      </c>
      <c r="N121" s="14" t="s">
        <v>75</v>
      </c>
      <c r="O121" s="14" t="s">
        <v>75</v>
      </c>
      <c r="P121" s="14">
        <v>433</v>
      </c>
      <c r="Q121" s="15"/>
      <c r="R121" s="15">
        <v>2026.77</v>
      </c>
      <c r="S121" s="14" t="s">
        <v>20</v>
      </c>
      <c r="T121" s="15">
        <v>485354</v>
      </c>
      <c r="U121" s="16">
        <f t="shared" si="11"/>
        <v>1.3481302298356162E-2</v>
      </c>
      <c r="V121" s="14">
        <v>0</v>
      </c>
      <c r="W121" s="17">
        <v>9.4</v>
      </c>
      <c r="X121" s="14">
        <v>4.0999999999999996</v>
      </c>
      <c r="Y121" s="18">
        <f t="shared" si="12"/>
        <v>32.5</v>
      </c>
      <c r="Z121" s="18" t="str">
        <f t="shared" si="13"/>
        <v>Medium</v>
      </c>
      <c r="AA121" s="19" t="str">
        <f t="shared" si="14"/>
        <v>Not Eligible</v>
      </c>
      <c r="AB121" s="14" t="s">
        <v>85</v>
      </c>
      <c r="AC121" s="14">
        <v>2</v>
      </c>
      <c r="AD121" s="14" t="s">
        <v>93</v>
      </c>
      <c r="AE121" s="17">
        <v>23.1</v>
      </c>
      <c r="AF121" s="15">
        <v>0</v>
      </c>
      <c r="AG121" s="20">
        <f t="shared" si="15"/>
        <v>1804072</v>
      </c>
      <c r="AH121" s="14">
        <v>1</v>
      </c>
      <c r="AI121" s="14" t="s">
        <v>76</v>
      </c>
      <c r="AJ121" s="14">
        <v>24</v>
      </c>
      <c r="AK121" s="21">
        <f t="shared" si="16"/>
        <v>0.375</v>
      </c>
      <c r="AL121" s="20">
        <f t="shared" si="17"/>
        <v>29046.174942072943</v>
      </c>
      <c r="AM121" s="22">
        <f t="shared" si="18"/>
        <v>0.26903249981153743</v>
      </c>
      <c r="AN121" s="20">
        <f t="shared" si="19"/>
        <v>31072.944942072943</v>
      </c>
      <c r="AO121" s="16">
        <f t="shared" si="20"/>
        <v>0.20668539798016672</v>
      </c>
      <c r="AP121" s="15">
        <v>0</v>
      </c>
      <c r="AQ121" s="18" t="str">
        <f t="shared" si="21"/>
        <v>N/A</v>
      </c>
      <c r="AR121" s="23">
        <v>46160</v>
      </c>
      <c r="AS121" s="14" t="s">
        <v>79</v>
      </c>
    </row>
    <row r="122" spans="1:45" x14ac:dyDescent="0.25">
      <c r="A122" s="14" t="s">
        <v>486</v>
      </c>
      <c r="B122" s="14" t="s">
        <v>487</v>
      </c>
      <c r="C122" s="14">
        <v>9202265468</v>
      </c>
      <c r="D122" s="15" t="s">
        <v>489</v>
      </c>
      <c r="E122" s="14">
        <v>51</v>
      </c>
      <c r="F122" s="14" t="s">
        <v>89</v>
      </c>
      <c r="G122" s="14" t="s">
        <v>153</v>
      </c>
      <c r="H122" s="14" t="s">
        <v>132</v>
      </c>
      <c r="I122" s="14" t="s">
        <v>92</v>
      </c>
      <c r="J122" s="15">
        <v>528866</v>
      </c>
      <c r="K122" s="14">
        <v>1</v>
      </c>
      <c r="L122" s="14" t="s">
        <v>76</v>
      </c>
      <c r="M122" s="14" t="s">
        <v>75</v>
      </c>
      <c r="N122" s="14" t="s">
        <v>75</v>
      </c>
      <c r="O122" s="14" t="s">
        <v>75</v>
      </c>
      <c r="P122" s="14">
        <v>807</v>
      </c>
      <c r="Q122" s="15">
        <v>275882.62</v>
      </c>
      <c r="R122" s="15">
        <v>17242.66</v>
      </c>
      <c r="S122" s="14" t="s">
        <v>23</v>
      </c>
      <c r="T122" s="15">
        <v>4189671</v>
      </c>
      <c r="U122" s="16">
        <f t="shared" si="11"/>
        <v>0.39123694848978757</v>
      </c>
      <c r="V122" s="14">
        <v>0</v>
      </c>
      <c r="W122" s="17">
        <v>97.2</v>
      </c>
      <c r="X122" s="14">
        <v>0.9</v>
      </c>
      <c r="Y122" s="18">
        <f t="shared" si="12"/>
        <v>27.7</v>
      </c>
      <c r="Z122" s="18" t="str">
        <f t="shared" si="13"/>
        <v>Low</v>
      </c>
      <c r="AA122" s="19" t="str">
        <f t="shared" si="14"/>
        <v>Eligible</v>
      </c>
      <c r="AB122" s="14" t="s">
        <v>85</v>
      </c>
      <c r="AC122" s="14">
        <v>2</v>
      </c>
      <c r="AD122" s="14" t="s">
        <v>78</v>
      </c>
      <c r="AE122" s="17">
        <v>7.3</v>
      </c>
      <c r="AF122" s="15">
        <v>0</v>
      </c>
      <c r="AG122" s="20">
        <f t="shared" si="15"/>
        <v>528866</v>
      </c>
      <c r="AH122" s="14">
        <v>2</v>
      </c>
      <c r="AI122" s="14" t="s">
        <v>75</v>
      </c>
      <c r="AJ122" s="14">
        <v>300</v>
      </c>
      <c r="AK122" s="21">
        <f t="shared" si="16"/>
        <v>8.5000000000000006E-2</v>
      </c>
      <c r="AL122" s="20">
        <f t="shared" si="17"/>
        <v>33736.365599958706</v>
      </c>
      <c r="AM122" s="22">
        <f t="shared" si="18"/>
        <v>7.9219896911504994</v>
      </c>
      <c r="AN122" s="20">
        <f t="shared" si="19"/>
        <v>50979.02559995871</v>
      </c>
      <c r="AO122" s="16">
        <f t="shared" si="20"/>
        <v>1.15671702699645</v>
      </c>
      <c r="AP122" s="15">
        <v>5286389</v>
      </c>
      <c r="AQ122" s="18">
        <f t="shared" si="21"/>
        <v>0.79253929288972114</v>
      </c>
      <c r="AR122" s="23">
        <v>45955</v>
      </c>
      <c r="AS122" s="14" t="s">
        <v>94</v>
      </c>
    </row>
    <row r="123" spans="1:45" x14ac:dyDescent="0.25">
      <c r="A123" s="14" t="s">
        <v>490</v>
      </c>
      <c r="B123" s="14" t="s">
        <v>491</v>
      </c>
      <c r="C123" s="14">
        <v>9119079456</v>
      </c>
      <c r="D123" s="15" t="s">
        <v>493</v>
      </c>
      <c r="E123" s="14">
        <v>47</v>
      </c>
      <c r="F123" s="14" t="s">
        <v>71</v>
      </c>
      <c r="G123" s="14" t="s">
        <v>83</v>
      </c>
      <c r="H123" s="14" t="s">
        <v>144</v>
      </c>
      <c r="I123" s="14" t="s">
        <v>92</v>
      </c>
      <c r="J123" s="15">
        <v>300711</v>
      </c>
      <c r="K123" s="14">
        <v>0</v>
      </c>
      <c r="L123" s="14" t="s">
        <v>75</v>
      </c>
      <c r="M123" s="14" t="s">
        <v>75</v>
      </c>
      <c r="N123" s="14" t="s">
        <v>75</v>
      </c>
      <c r="O123" s="14" t="s">
        <v>75</v>
      </c>
      <c r="P123" s="14">
        <v>820</v>
      </c>
      <c r="Q123" s="15">
        <v>16910</v>
      </c>
      <c r="R123" s="15">
        <v>319.06</v>
      </c>
      <c r="S123" s="14" t="s">
        <v>23</v>
      </c>
      <c r="T123" s="15">
        <v>4359292</v>
      </c>
      <c r="U123" s="16">
        <f t="shared" si="11"/>
        <v>1.2732224627632512E-2</v>
      </c>
      <c r="V123" s="14">
        <v>0</v>
      </c>
      <c r="W123" s="17">
        <v>10.199999999999999</v>
      </c>
      <c r="X123" s="14">
        <v>3.5</v>
      </c>
      <c r="Y123" s="18">
        <f t="shared" si="12"/>
        <v>6.7</v>
      </c>
      <c r="Z123" s="18" t="str">
        <f t="shared" si="13"/>
        <v>Low</v>
      </c>
      <c r="AA123" s="19" t="str">
        <f t="shared" si="14"/>
        <v>Eligible</v>
      </c>
      <c r="AB123" s="14" t="s">
        <v>85</v>
      </c>
      <c r="AC123" s="14">
        <v>2</v>
      </c>
      <c r="AD123" s="14" t="s">
        <v>93</v>
      </c>
      <c r="AE123" s="17">
        <v>12.5</v>
      </c>
      <c r="AF123" s="15">
        <v>0</v>
      </c>
      <c r="AG123" s="20">
        <f t="shared" si="15"/>
        <v>300711</v>
      </c>
      <c r="AH123" s="14">
        <v>1</v>
      </c>
      <c r="AI123" s="14" t="s">
        <v>75</v>
      </c>
      <c r="AJ123" s="14">
        <v>180</v>
      </c>
      <c r="AK123" s="21">
        <f t="shared" si="16"/>
        <v>8.5000000000000006E-2</v>
      </c>
      <c r="AL123" s="20">
        <f t="shared" si="17"/>
        <v>42927.672769485755</v>
      </c>
      <c r="AM123" s="22">
        <f t="shared" si="18"/>
        <v>14.496616352577725</v>
      </c>
      <c r="AN123" s="20">
        <f t="shared" si="19"/>
        <v>43246.732769485752</v>
      </c>
      <c r="AO123" s="16">
        <f t="shared" si="20"/>
        <v>1.7257792140421502</v>
      </c>
      <c r="AP123" s="15">
        <v>5015580</v>
      </c>
      <c r="AQ123" s="18">
        <f t="shared" si="21"/>
        <v>0.86915012820052717</v>
      </c>
      <c r="AR123" s="23">
        <v>46076</v>
      </c>
      <c r="AS123" s="14" t="s">
        <v>79</v>
      </c>
    </row>
    <row r="124" spans="1:45" x14ac:dyDescent="0.25">
      <c r="A124" s="14" t="s">
        <v>494</v>
      </c>
      <c r="B124" s="14" t="s">
        <v>495</v>
      </c>
      <c r="C124" s="14">
        <v>9688078280</v>
      </c>
      <c r="D124" s="15" t="s">
        <v>496</v>
      </c>
      <c r="E124" s="14">
        <v>65</v>
      </c>
      <c r="F124" s="14" t="s">
        <v>71</v>
      </c>
      <c r="G124" s="14" t="s">
        <v>90</v>
      </c>
      <c r="H124" s="14" t="s">
        <v>132</v>
      </c>
      <c r="I124" s="14" t="s">
        <v>92</v>
      </c>
      <c r="J124" s="15">
        <v>2365368</v>
      </c>
      <c r="K124" s="14">
        <v>2</v>
      </c>
      <c r="L124" s="14" t="s">
        <v>76</v>
      </c>
      <c r="M124" s="14" t="s">
        <v>75</v>
      </c>
      <c r="N124" s="14" t="s">
        <v>75</v>
      </c>
      <c r="O124" s="14" t="s">
        <v>76</v>
      </c>
      <c r="P124" s="14">
        <v>500</v>
      </c>
      <c r="Q124" s="15">
        <v>266165.49</v>
      </c>
      <c r="R124" s="15">
        <v>7193.66</v>
      </c>
      <c r="S124" s="14" t="s">
        <v>21</v>
      </c>
      <c r="T124" s="15">
        <v>529247</v>
      </c>
      <c r="U124" s="16">
        <f t="shared" si="11"/>
        <v>3.649492172042574E-2</v>
      </c>
      <c r="V124" s="14">
        <v>3</v>
      </c>
      <c r="W124" s="17">
        <v>23.1</v>
      </c>
      <c r="X124" s="14">
        <v>5.2</v>
      </c>
      <c r="Y124" s="18">
        <f t="shared" si="12"/>
        <v>42.1</v>
      </c>
      <c r="Z124" s="18" t="str">
        <f t="shared" si="13"/>
        <v>Medium</v>
      </c>
      <c r="AA124" s="19" t="str">
        <f t="shared" si="14"/>
        <v>Not Eligible</v>
      </c>
      <c r="AB124" s="14" t="s">
        <v>77</v>
      </c>
      <c r="AC124" s="14">
        <v>0</v>
      </c>
      <c r="AD124" s="14" t="s">
        <v>93</v>
      </c>
      <c r="AE124" s="17">
        <v>20.3</v>
      </c>
      <c r="AF124" s="15">
        <v>818816</v>
      </c>
      <c r="AG124" s="20">
        <f t="shared" si="15"/>
        <v>3184184</v>
      </c>
      <c r="AH124" s="14">
        <v>0</v>
      </c>
      <c r="AI124" s="14" t="s">
        <v>75</v>
      </c>
      <c r="AJ124" s="14">
        <v>60</v>
      </c>
      <c r="AK124" s="21">
        <f t="shared" si="16"/>
        <v>0.15500000000000003</v>
      </c>
      <c r="AL124" s="20">
        <f t="shared" si="17"/>
        <v>12730.079219362246</v>
      </c>
      <c r="AM124" s="22">
        <f t="shared" si="18"/>
        <v>0.22374827088216295</v>
      </c>
      <c r="AN124" s="20">
        <f t="shared" si="19"/>
        <v>19923.739219362244</v>
      </c>
      <c r="AO124" s="16">
        <f t="shared" si="20"/>
        <v>0.10107724067982103</v>
      </c>
      <c r="AP124" s="15">
        <v>0</v>
      </c>
      <c r="AQ124" s="18" t="str">
        <f t="shared" si="21"/>
        <v>N/A</v>
      </c>
      <c r="AR124" s="23">
        <v>45963</v>
      </c>
      <c r="AS124" s="14" t="s">
        <v>94</v>
      </c>
    </row>
    <row r="125" spans="1:45" x14ac:dyDescent="0.25">
      <c r="A125" s="14" t="s">
        <v>497</v>
      </c>
      <c r="B125" s="14" t="s">
        <v>498</v>
      </c>
      <c r="C125" s="14">
        <v>9890503688</v>
      </c>
      <c r="D125" s="15" t="s">
        <v>500</v>
      </c>
      <c r="E125" s="14">
        <v>48</v>
      </c>
      <c r="F125" s="14" t="s">
        <v>89</v>
      </c>
      <c r="G125" s="14" t="s">
        <v>314</v>
      </c>
      <c r="H125" s="14" t="s">
        <v>132</v>
      </c>
      <c r="I125" s="14" t="s">
        <v>92</v>
      </c>
      <c r="J125" s="15">
        <v>1028342</v>
      </c>
      <c r="K125" s="14">
        <v>1</v>
      </c>
      <c r="L125" s="14" t="s">
        <v>75</v>
      </c>
      <c r="M125" s="14" t="s">
        <v>76</v>
      </c>
      <c r="N125" s="14" t="s">
        <v>75</v>
      </c>
      <c r="O125" s="14" t="s">
        <v>75</v>
      </c>
      <c r="P125" s="14">
        <v>629</v>
      </c>
      <c r="Q125" s="15">
        <v>311038.57</v>
      </c>
      <c r="R125" s="15">
        <v>8639.9599999999991</v>
      </c>
      <c r="S125" s="14" t="s">
        <v>23</v>
      </c>
      <c r="T125" s="15">
        <v>6608609</v>
      </c>
      <c r="U125" s="16">
        <f t="shared" si="11"/>
        <v>0.10082202224551753</v>
      </c>
      <c r="V125" s="14">
        <v>5</v>
      </c>
      <c r="W125" s="17">
        <v>77.400000000000006</v>
      </c>
      <c r="X125" s="14">
        <v>4.2</v>
      </c>
      <c r="Y125" s="18">
        <f t="shared" si="12"/>
        <v>48.8</v>
      </c>
      <c r="Z125" s="18" t="str">
        <f t="shared" si="13"/>
        <v>Medium</v>
      </c>
      <c r="AA125" s="19" t="str">
        <f t="shared" si="14"/>
        <v>Not Eligible</v>
      </c>
      <c r="AB125" s="14" t="s">
        <v>161</v>
      </c>
      <c r="AC125" s="14">
        <v>4</v>
      </c>
      <c r="AD125" s="14" t="s">
        <v>93</v>
      </c>
      <c r="AE125" s="17">
        <v>3.9</v>
      </c>
      <c r="AF125" s="15">
        <v>0</v>
      </c>
      <c r="AG125" s="20">
        <f t="shared" si="15"/>
        <v>1028342</v>
      </c>
      <c r="AH125" s="14">
        <v>1</v>
      </c>
      <c r="AI125" s="14" t="s">
        <v>75</v>
      </c>
      <c r="AJ125" s="14">
        <v>240</v>
      </c>
      <c r="AK125" s="21">
        <f t="shared" si="16"/>
        <v>0.1</v>
      </c>
      <c r="AL125" s="20">
        <f t="shared" si="17"/>
        <v>63774.507288308938</v>
      </c>
      <c r="AM125" s="22">
        <f t="shared" si="18"/>
        <v>6.4264699876111253</v>
      </c>
      <c r="AN125" s="20">
        <f t="shared" si="19"/>
        <v>72414.467288308937</v>
      </c>
      <c r="AO125" s="16">
        <f t="shared" si="20"/>
        <v>0.84502393898110473</v>
      </c>
      <c r="AP125" s="15">
        <v>8992788</v>
      </c>
      <c r="AQ125" s="18">
        <f t="shared" si="21"/>
        <v>0.73487877174464689</v>
      </c>
      <c r="AR125" s="23">
        <v>46175</v>
      </c>
      <c r="AS125" s="14" t="s">
        <v>79</v>
      </c>
    </row>
    <row r="126" spans="1:45" x14ac:dyDescent="0.25">
      <c r="A126" s="14" t="s">
        <v>501</v>
      </c>
      <c r="B126" s="14" t="s">
        <v>502</v>
      </c>
      <c r="C126" s="14"/>
      <c r="D126" s="15" t="s">
        <v>503</v>
      </c>
      <c r="E126" s="14">
        <v>33</v>
      </c>
      <c r="F126" s="14" t="s">
        <v>71</v>
      </c>
      <c r="G126" s="14" t="s">
        <v>143</v>
      </c>
      <c r="H126" s="14" t="s">
        <v>103</v>
      </c>
      <c r="I126" s="14" t="s">
        <v>74</v>
      </c>
      <c r="J126" s="15">
        <v>856465</v>
      </c>
      <c r="K126" s="14">
        <v>0</v>
      </c>
      <c r="L126" s="14" t="s">
        <v>75</v>
      </c>
      <c r="M126" s="14" t="s">
        <v>75</v>
      </c>
      <c r="N126" s="14" t="s">
        <v>75</v>
      </c>
      <c r="O126" s="14" t="s">
        <v>75</v>
      </c>
      <c r="P126" s="14">
        <v>630</v>
      </c>
      <c r="Q126" s="15">
        <v>60839</v>
      </c>
      <c r="R126" s="15">
        <v>1013.99</v>
      </c>
      <c r="S126" s="14" t="s">
        <v>22</v>
      </c>
      <c r="T126" s="15">
        <v>1479187</v>
      </c>
      <c r="U126" s="16">
        <f t="shared" si="11"/>
        <v>1.4207095444647476E-2</v>
      </c>
      <c r="V126" s="14">
        <v>1</v>
      </c>
      <c r="W126" s="17">
        <v>59.2</v>
      </c>
      <c r="X126" s="14">
        <v>10.1</v>
      </c>
      <c r="Y126" s="18">
        <f t="shared" si="12"/>
        <v>28.3</v>
      </c>
      <c r="Z126" s="18" t="str">
        <f t="shared" si="13"/>
        <v>Low</v>
      </c>
      <c r="AA126" s="19" t="str">
        <f t="shared" si="14"/>
        <v>Review</v>
      </c>
      <c r="AB126" s="14" t="s">
        <v>85</v>
      </c>
      <c r="AC126" s="14">
        <v>2</v>
      </c>
      <c r="AD126" s="14" t="s">
        <v>93</v>
      </c>
      <c r="AE126" s="17">
        <v>3.6</v>
      </c>
      <c r="AF126" s="15">
        <v>0</v>
      </c>
      <c r="AG126" s="20">
        <f t="shared" si="15"/>
        <v>856465</v>
      </c>
      <c r="AH126" s="14">
        <v>2</v>
      </c>
      <c r="AI126" s="14" t="s">
        <v>75</v>
      </c>
      <c r="AJ126" s="14">
        <v>24</v>
      </c>
      <c r="AK126" s="21">
        <f t="shared" si="16"/>
        <v>0.09</v>
      </c>
      <c r="AL126" s="20">
        <f t="shared" si="17"/>
        <v>67576.276877703218</v>
      </c>
      <c r="AM126" s="22">
        <f t="shared" si="18"/>
        <v>1.7270840022651246</v>
      </c>
      <c r="AN126" s="20">
        <f t="shared" si="19"/>
        <v>68590.266877703223</v>
      </c>
      <c r="AO126" s="16">
        <f t="shared" si="20"/>
        <v>0.96102374590022788</v>
      </c>
      <c r="AP126" s="15">
        <v>1665822</v>
      </c>
      <c r="AQ126" s="18">
        <f t="shared" si="21"/>
        <v>0.88796221925271723</v>
      </c>
      <c r="AR126" s="23">
        <v>45922</v>
      </c>
      <c r="AS126" s="14" t="s">
        <v>79</v>
      </c>
    </row>
    <row r="127" spans="1:45" x14ac:dyDescent="0.25">
      <c r="A127" s="14" t="s">
        <v>504</v>
      </c>
      <c r="B127" s="14" t="s">
        <v>505</v>
      </c>
      <c r="C127" s="14">
        <v>9905505027</v>
      </c>
      <c r="D127" s="15" t="s">
        <v>506</v>
      </c>
      <c r="E127" s="14">
        <v>39</v>
      </c>
      <c r="F127" s="14" t="s">
        <v>89</v>
      </c>
      <c r="G127" s="14" t="s">
        <v>72</v>
      </c>
      <c r="H127" s="14" t="s">
        <v>166</v>
      </c>
      <c r="I127" s="14" t="s">
        <v>74</v>
      </c>
      <c r="J127" s="15">
        <v>1537909</v>
      </c>
      <c r="K127" s="14">
        <v>1</v>
      </c>
      <c r="L127" s="14" t="s">
        <v>76</v>
      </c>
      <c r="M127" s="14" t="s">
        <v>75</v>
      </c>
      <c r="N127" s="14" t="s">
        <v>75</v>
      </c>
      <c r="O127" s="14" t="s">
        <v>75</v>
      </c>
      <c r="P127" s="14">
        <v>875</v>
      </c>
      <c r="Q127" s="15">
        <v>798028</v>
      </c>
      <c r="R127" s="15">
        <v>13525.91</v>
      </c>
      <c r="S127" s="14" t="s">
        <v>23</v>
      </c>
      <c r="T127" s="15">
        <v>3493095</v>
      </c>
      <c r="U127" s="16">
        <f t="shared" si="11"/>
        <v>0.10554000269196681</v>
      </c>
      <c r="V127" s="14">
        <v>1</v>
      </c>
      <c r="W127" s="17">
        <v>80.7</v>
      </c>
      <c r="X127" s="14">
        <v>10.5</v>
      </c>
      <c r="Y127" s="18">
        <f t="shared" si="12"/>
        <v>16.899999999999999</v>
      </c>
      <c r="Z127" s="18" t="str">
        <f t="shared" si="13"/>
        <v>Low</v>
      </c>
      <c r="AA127" s="19" t="str">
        <f t="shared" si="14"/>
        <v>Eligible</v>
      </c>
      <c r="AB127" s="14" t="s">
        <v>77</v>
      </c>
      <c r="AC127" s="14">
        <v>0</v>
      </c>
      <c r="AD127" s="14" t="s">
        <v>78</v>
      </c>
      <c r="AE127" s="17">
        <v>7.7</v>
      </c>
      <c r="AF127" s="15">
        <v>0</v>
      </c>
      <c r="AG127" s="20">
        <f t="shared" si="15"/>
        <v>1537909</v>
      </c>
      <c r="AH127" s="14">
        <v>1</v>
      </c>
      <c r="AI127" s="14" t="s">
        <v>76</v>
      </c>
      <c r="AJ127" s="14">
        <v>120</v>
      </c>
      <c r="AK127" s="21">
        <f t="shared" si="16"/>
        <v>8.5000000000000006E-2</v>
      </c>
      <c r="AL127" s="20">
        <f t="shared" si="17"/>
        <v>43309.378987911041</v>
      </c>
      <c r="AM127" s="22">
        <f t="shared" si="18"/>
        <v>2.2713274972706445</v>
      </c>
      <c r="AN127" s="20">
        <f t="shared" si="19"/>
        <v>56835.288987911044</v>
      </c>
      <c r="AO127" s="16">
        <f t="shared" si="20"/>
        <v>0.44347452798243103</v>
      </c>
      <c r="AP127" s="15">
        <v>4028381</v>
      </c>
      <c r="AQ127" s="18">
        <f t="shared" si="21"/>
        <v>0.86712130754265793</v>
      </c>
      <c r="AR127" s="23">
        <v>46023</v>
      </c>
      <c r="AS127" s="14" t="s">
        <v>79</v>
      </c>
    </row>
    <row r="128" spans="1:45" x14ac:dyDescent="0.25">
      <c r="A128" s="14" t="s">
        <v>507</v>
      </c>
      <c r="B128" s="14" t="s">
        <v>508</v>
      </c>
      <c r="C128" s="14">
        <v>9575736188</v>
      </c>
      <c r="D128" s="15" t="s">
        <v>510</v>
      </c>
      <c r="E128" s="14">
        <v>61</v>
      </c>
      <c r="F128" s="14" t="s">
        <v>89</v>
      </c>
      <c r="G128" s="14" t="s">
        <v>83</v>
      </c>
      <c r="H128" s="14" t="s">
        <v>91</v>
      </c>
      <c r="I128" s="14" t="s">
        <v>92</v>
      </c>
      <c r="J128" s="15">
        <v>1111588</v>
      </c>
      <c r="K128" s="14">
        <v>2</v>
      </c>
      <c r="L128" s="14" t="s">
        <v>76</v>
      </c>
      <c r="M128" s="14" t="s">
        <v>76</v>
      </c>
      <c r="N128" s="14" t="s">
        <v>75</v>
      </c>
      <c r="O128" s="14" t="s">
        <v>75</v>
      </c>
      <c r="P128" s="14">
        <v>477</v>
      </c>
      <c r="Q128" s="15">
        <v>490263.32</v>
      </c>
      <c r="R128" s="15">
        <v>25803.33</v>
      </c>
      <c r="S128" s="14" t="s">
        <v>23</v>
      </c>
      <c r="T128" s="15">
        <v>1840864</v>
      </c>
      <c r="U128" s="16">
        <f t="shared" si="11"/>
        <v>0.27855640758986244</v>
      </c>
      <c r="V128" s="14">
        <v>0</v>
      </c>
      <c r="W128" s="17">
        <v>57.9</v>
      </c>
      <c r="X128" s="14">
        <v>2.1</v>
      </c>
      <c r="Y128" s="18">
        <f t="shared" si="12"/>
        <v>42.3</v>
      </c>
      <c r="Z128" s="18" t="str">
        <f t="shared" si="13"/>
        <v>Medium</v>
      </c>
      <c r="AA128" s="19" t="str">
        <f t="shared" si="14"/>
        <v>Not Eligible</v>
      </c>
      <c r="AB128" s="14" t="s">
        <v>85</v>
      </c>
      <c r="AC128" s="14">
        <v>1</v>
      </c>
      <c r="AD128" s="14" t="s">
        <v>78</v>
      </c>
      <c r="AE128" s="17">
        <v>21.4</v>
      </c>
      <c r="AF128" s="15">
        <v>265278</v>
      </c>
      <c r="AG128" s="20">
        <f t="shared" si="15"/>
        <v>1376866</v>
      </c>
      <c r="AH128" s="14">
        <v>0</v>
      </c>
      <c r="AI128" s="14" t="s">
        <v>75</v>
      </c>
      <c r="AJ128" s="14">
        <v>360</v>
      </c>
      <c r="AK128" s="21">
        <f t="shared" si="16"/>
        <v>0.1</v>
      </c>
      <c r="AL128" s="20">
        <f t="shared" si="17"/>
        <v>16154.899107999465</v>
      </c>
      <c r="AM128" s="22">
        <f t="shared" si="18"/>
        <v>1.6560668161225203</v>
      </c>
      <c r="AN128" s="20">
        <f t="shared" si="19"/>
        <v>41958.229107999468</v>
      </c>
      <c r="AO128" s="16">
        <f t="shared" si="20"/>
        <v>0.45295446630945424</v>
      </c>
      <c r="AP128" s="15">
        <v>2505020</v>
      </c>
      <c r="AQ128" s="18">
        <f t="shared" si="21"/>
        <v>0.73486998107799539</v>
      </c>
      <c r="AR128" s="23">
        <v>46049</v>
      </c>
      <c r="AS128" s="14" t="s">
        <v>79</v>
      </c>
    </row>
    <row r="129" spans="1:45" x14ac:dyDescent="0.25">
      <c r="A129" s="14" t="s">
        <v>511</v>
      </c>
      <c r="B129" s="14" t="s">
        <v>512</v>
      </c>
      <c r="C129" s="14">
        <v>9484491474</v>
      </c>
      <c r="D129" s="15" t="s">
        <v>513</v>
      </c>
      <c r="E129" s="14">
        <v>54</v>
      </c>
      <c r="F129" s="14" t="s">
        <v>71</v>
      </c>
      <c r="G129" s="14" t="s">
        <v>98</v>
      </c>
      <c r="H129" s="14" t="s">
        <v>144</v>
      </c>
      <c r="I129" s="14" t="s">
        <v>92</v>
      </c>
      <c r="J129" s="15">
        <v>585952</v>
      </c>
      <c r="K129" s="14">
        <v>1</v>
      </c>
      <c r="L129" s="14" t="s">
        <v>75</v>
      </c>
      <c r="M129" s="14" t="s">
        <v>76</v>
      </c>
      <c r="N129" s="14" t="s">
        <v>75</v>
      </c>
      <c r="O129" s="14" t="s">
        <v>75</v>
      </c>
      <c r="P129" s="14">
        <v>657</v>
      </c>
      <c r="Q129" s="15">
        <v>77766.87</v>
      </c>
      <c r="R129" s="15">
        <v>3110.67</v>
      </c>
      <c r="S129" s="14" t="s">
        <v>22</v>
      </c>
      <c r="T129" s="15">
        <v>994296</v>
      </c>
      <c r="U129" s="16">
        <f t="shared" si="11"/>
        <v>6.3704945114958222E-2</v>
      </c>
      <c r="V129" s="14">
        <v>0</v>
      </c>
      <c r="W129" s="17">
        <v>25.8</v>
      </c>
      <c r="X129" s="14">
        <v>11.3</v>
      </c>
      <c r="Y129" s="18">
        <f t="shared" si="12"/>
        <v>20.7</v>
      </c>
      <c r="Z129" s="18" t="str">
        <f t="shared" si="13"/>
        <v>Low</v>
      </c>
      <c r="AA129" s="19" t="str">
        <f t="shared" si="14"/>
        <v>Eligible</v>
      </c>
      <c r="AB129" s="14" t="s">
        <v>85</v>
      </c>
      <c r="AC129" s="14">
        <v>4</v>
      </c>
      <c r="AD129" s="14" t="s">
        <v>93</v>
      </c>
      <c r="AE129" s="17">
        <v>29.4</v>
      </c>
      <c r="AF129" s="15">
        <v>651704</v>
      </c>
      <c r="AG129" s="20">
        <f t="shared" si="15"/>
        <v>1237656</v>
      </c>
      <c r="AH129" s="14">
        <v>0</v>
      </c>
      <c r="AI129" s="14" t="s">
        <v>76</v>
      </c>
      <c r="AJ129" s="14">
        <v>72</v>
      </c>
      <c r="AK129" s="21">
        <f t="shared" si="16"/>
        <v>0.09</v>
      </c>
      <c r="AL129" s="20">
        <f t="shared" si="17"/>
        <v>17922.719504264012</v>
      </c>
      <c r="AM129" s="22">
        <f t="shared" si="18"/>
        <v>1.6968898476325707</v>
      </c>
      <c r="AN129" s="20">
        <f t="shared" si="19"/>
        <v>21033.389504264014</v>
      </c>
      <c r="AO129" s="16">
        <f t="shared" si="20"/>
        <v>0.43075315734252662</v>
      </c>
      <c r="AP129" s="15">
        <v>1226684</v>
      </c>
      <c r="AQ129" s="18">
        <f t="shared" si="21"/>
        <v>0.81055593779653112</v>
      </c>
      <c r="AR129" s="23">
        <v>46019</v>
      </c>
      <c r="AS129" s="14" t="s">
        <v>94</v>
      </c>
    </row>
    <row r="130" spans="1:45" x14ac:dyDescent="0.25">
      <c r="A130" s="14" t="s">
        <v>514</v>
      </c>
      <c r="B130" s="14" t="s">
        <v>515</v>
      </c>
      <c r="C130" s="14">
        <v>9444603491</v>
      </c>
      <c r="D130" s="15" t="s">
        <v>516</v>
      </c>
      <c r="E130" s="14">
        <v>45</v>
      </c>
      <c r="F130" s="14" t="s">
        <v>89</v>
      </c>
      <c r="G130" s="14" t="s">
        <v>83</v>
      </c>
      <c r="H130" s="14" t="s">
        <v>84</v>
      </c>
      <c r="I130" s="14" t="s">
        <v>74</v>
      </c>
      <c r="J130" s="15">
        <v>403623</v>
      </c>
      <c r="K130" s="14">
        <v>0</v>
      </c>
      <c r="L130" s="14" t="s">
        <v>75</v>
      </c>
      <c r="M130" s="14" t="s">
        <v>75</v>
      </c>
      <c r="N130" s="14" t="s">
        <v>75</v>
      </c>
      <c r="O130" s="14" t="s">
        <v>75</v>
      </c>
      <c r="P130" s="14">
        <v>756</v>
      </c>
      <c r="Q130" s="15">
        <v>19648.560000000001</v>
      </c>
      <c r="R130" s="15">
        <v>654.95000000000005</v>
      </c>
      <c r="S130" s="14" t="s">
        <v>21</v>
      </c>
      <c r="T130" s="15"/>
      <c r="U130" s="16">
        <f t="shared" ref="U130:U193" si="22">IFERROR((R130*12)/J130,0)</f>
        <v>1.9472131171910424E-2</v>
      </c>
      <c r="V130" s="14">
        <v>1</v>
      </c>
      <c r="W130" s="17">
        <v>95.1</v>
      </c>
      <c r="X130" s="14">
        <v>2.7</v>
      </c>
      <c r="Y130" s="18">
        <f t="shared" ref="Y130:Y193" si="23">ROUND(0.4*((900-P130)/600*100)+0.3*MIN(U130*100,100)+0.2*MIN(V130*20,100)+0.1*W130,1)</f>
        <v>23.7</v>
      </c>
      <c r="Z130" s="18" t="str">
        <f t="shared" ref="Z130:Z193" si="24">IF(Y130&lt;=30,"Low",IF(Y130&lt;=60,"Medium","High"))</f>
        <v>Low</v>
      </c>
      <c r="AA130" s="19" t="str">
        <f t="shared" ref="AA130:AA193" si="25">IF(AND(P130&gt;=650,U130&lt;=0.4,V130&lt;=2,Y130&lt;=50),"Eligible",IF(AND(P130&gt;=550,V130&lt;=4,Y130&lt;=75),"Review","Not Eligible"))</f>
        <v>Eligible</v>
      </c>
      <c r="AB130" s="14" t="s">
        <v>161</v>
      </c>
      <c r="AC130" s="14">
        <v>2</v>
      </c>
      <c r="AD130" s="14" t="s">
        <v>78</v>
      </c>
      <c r="AE130" s="17">
        <v>1.9</v>
      </c>
      <c r="AF130" s="15">
        <v>0</v>
      </c>
      <c r="AG130" s="20">
        <f t="shared" ref="AG130:AG193" si="26">J130+AF130</f>
        <v>403623</v>
      </c>
      <c r="AH130" s="14">
        <v>1</v>
      </c>
      <c r="AI130" s="14" t="s">
        <v>75</v>
      </c>
      <c r="AJ130" s="14">
        <v>48</v>
      </c>
      <c r="AK130" s="21">
        <f t="shared" ref="AK130:AK193" si="27">(IF(S130="Credit Card",0.36,IF(S130="Personal Loan",0.14,IF(S130="Car Loan",0.09,0.085))))+IF(Z130="Low",0,IF(Z130="Medium",0.015,0.03))</f>
        <v>0.14000000000000001</v>
      </c>
      <c r="AL130" s="20">
        <f t="shared" ref="AL130:AL193" si="28">-PMT(AK130/12,AJ130,T130)</f>
        <v>0</v>
      </c>
      <c r="AM130" s="22">
        <f t="shared" ref="AM130:AM193" si="29">IFERROR(T130/J130,0)</f>
        <v>0</v>
      </c>
      <c r="AN130" s="20">
        <f t="shared" ref="AN130:AN193" si="30">R130+AL130</f>
        <v>654.95000000000005</v>
      </c>
      <c r="AO130" s="16">
        <f t="shared" ref="AO130:AO193" si="31">IFERROR((AN130*12)/J130,0)</f>
        <v>1.9472131171910424E-2</v>
      </c>
      <c r="AP130" s="15">
        <v>0</v>
      </c>
      <c r="AQ130" s="18" t="str">
        <f t="shared" ref="AQ130:AQ193" si="32">IF(AP130&gt;0,T130/AP130,"N/A")</f>
        <v>N/A</v>
      </c>
      <c r="AR130" s="23">
        <v>45948</v>
      </c>
      <c r="AS130" s="14" t="s">
        <v>79</v>
      </c>
    </row>
    <row r="131" spans="1:45" x14ac:dyDescent="0.25">
      <c r="A131" s="14" t="s">
        <v>517</v>
      </c>
      <c r="B131" s="14" t="s">
        <v>518</v>
      </c>
      <c r="C131" s="14">
        <v>9896045379</v>
      </c>
      <c r="D131" s="15" t="s">
        <v>520</v>
      </c>
      <c r="E131" s="14">
        <v>62</v>
      </c>
      <c r="F131" s="14" t="s">
        <v>71</v>
      </c>
      <c r="G131" s="14" t="s">
        <v>72</v>
      </c>
      <c r="H131" s="14" t="s">
        <v>166</v>
      </c>
      <c r="I131" s="14" t="s">
        <v>74</v>
      </c>
      <c r="J131" s="15">
        <v>2226130</v>
      </c>
      <c r="K131" s="14">
        <v>3</v>
      </c>
      <c r="L131" s="14" t="s">
        <v>75</v>
      </c>
      <c r="M131" s="14" t="s">
        <v>76</v>
      </c>
      <c r="N131" s="14" t="s">
        <v>76</v>
      </c>
      <c r="O131" s="14" t="s">
        <v>76</v>
      </c>
      <c r="P131" s="14">
        <v>557</v>
      </c>
      <c r="Q131" s="15">
        <v>745420.80000000005</v>
      </c>
      <c r="R131" s="15">
        <v>15529.6</v>
      </c>
      <c r="S131" s="14" t="s">
        <v>21</v>
      </c>
      <c r="T131" s="15">
        <v>321212</v>
      </c>
      <c r="U131" s="16">
        <f t="shared" si="22"/>
        <v>8.3712631337792498E-2</v>
      </c>
      <c r="V131" s="14">
        <v>0</v>
      </c>
      <c r="W131" s="17">
        <v>47.9</v>
      </c>
      <c r="X131" s="14">
        <v>6.2</v>
      </c>
      <c r="Y131" s="18">
        <f t="shared" si="23"/>
        <v>30.2</v>
      </c>
      <c r="Z131" s="18" t="str">
        <f t="shared" si="24"/>
        <v>Medium</v>
      </c>
      <c r="AA131" s="19" t="str">
        <f t="shared" si="25"/>
        <v>Review</v>
      </c>
      <c r="AB131" s="14" t="s">
        <v>85</v>
      </c>
      <c r="AC131" s="14">
        <v>1</v>
      </c>
      <c r="AD131" s="14" t="s">
        <v>78</v>
      </c>
      <c r="AE131" s="17">
        <v>0.5</v>
      </c>
      <c r="AF131" s="15">
        <v>0</v>
      </c>
      <c r="AG131" s="20">
        <f t="shared" si="26"/>
        <v>2226130</v>
      </c>
      <c r="AH131" s="14">
        <v>0</v>
      </c>
      <c r="AI131" s="14" t="s">
        <v>75</v>
      </c>
      <c r="AJ131" s="14">
        <v>12</v>
      </c>
      <c r="AK131" s="21">
        <f t="shared" si="27"/>
        <v>0.15500000000000003</v>
      </c>
      <c r="AL131" s="20">
        <f t="shared" si="28"/>
        <v>29067.892475487111</v>
      </c>
      <c r="AM131" s="22">
        <f t="shared" si="29"/>
        <v>0.14429166311042033</v>
      </c>
      <c r="AN131" s="20">
        <f t="shared" si="30"/>
        <v>44597.49247548711</v>
      </c>
      <c r="AO131" s="16">
        <f t="shared" si="31"/>
        <v>0.24040370944457209</v>
      </c>
      <c r="AP131" s="15">
        <v>0</v>
      </c>
      <c r="AQ131" s="18" t="str">
        <f t="shared" si="32"/>
        <v>N/A</v>
      </c>
      <c r="AR131" s="23">
        <v>46253</v>
      </c>
      <c r="AS131" s="14" t="s">
        <v>79</v>
      </c>
    </row>
    <row r="132" spans="1:45" x14ac:dyDescent="0.25">
      <c r="A132" s="14" t="s">
        <v>521</v>
      </c>
      <c r="B132" s="14" t="s">
        <v>522</v>
      </c>
      <c r="C132" s="14">
        <v>9639917068</v>
      </c>
      <c r="D132" s="15" t="s">
        <v>523</v>
      </c>
      <c r="E132" s="14">
        <v>64</v>
      </c>
      <c r="F132" s="14" t="s">
        <v>89</v>
      </c>
      <c r="G132" s="14" t="s">
        <v>120</v>
      </c>
      <c r="H132" s="14" t="s">
        <v>84</v>
      </c>
      <c r="I132" s="14" t="s">
        <v>74</v>
      </c>
      <c r="J132" s="15">
        <v>2135746</v>
      </c>
      <c r="K132" s="14">
        <v>3</v>
      </c>
      <c r="L132" s="14" t="s">
        <v>76</v>
      </c>
      <c r="M132" s="14" t="s">
        <v>75</v>
      </c>
      <c r="N132" s="14" t="s">
        <v>76</v>
      </c>
      <c r="O132" s="14" t="s">
        <v>76</v>
      </c>
      <c r="P132" s="14">
        <v>525</v>
      </c>
      <c r="Q132" s="15">
        <v>174765.7</v>
      </c>
      <c r="R132" s="15">
        <v>4723.3999999999996</v>
      </c>
      <c r="S132" s="14" t="s">
        <v>22</v>
      </c>
      <c r="T132" s="15">
        <v>602148</v>
      </c>
      <c r="U132" s="16">
        <f t="shared" si="22"/>
        <v>2.6539110924239117E-2</v>
      </c>
      <c r="V132" s="14">
        <v>0</v>
      </c>
      <c r="W132" s="17">
        <v>89.3</v>
      </c>
      <c r="X132" s="14">
        <v>14.5</v>
      </c>
      <c r="Y132" s="18">
        <f t="shared" si="23"/>
        <v>34.700000000000003</v>
      </c>
      <c r="Z132" s="18" t="str">
        <f t="shared" si="24"/>
        <v>Medium</v>
      </c>
      <c r="AA132" s="19" t="str">
        <f t="shared" si="25"/>
        <v>Not Eligible</v>
      </c>
      <c r="AB132" s="14" t="s">
        <v>77</v>
      </c>
      <c r="AC132" s="14">
        <v>2</v>
      </c>
      <c r="AD132" s="14" t="s">
        <v>194</v>
      </c>
      <c r="AE132" s="17">
        <v>0.6</v>
      </c>
      <c r="AF132" s="15">
        <v>0</v>
      </c>
      <c r="AG132" s="20">
        <f t="shared" si="26"/>
        <v>2135746</v>
      </c>
      <c r="AH132" s="14">
        <v>0</v>
      </c>
      <c r="AI132" s="14" t="s">
        <v>75</v>
      </c>
      <c r="AJ132" s="14">
        <v>72</v>
      </c>
      <c r="AK132" s="21">
        <f t="shared" si="27"/>
        <v>0.105</v>
      </c>
      <c r="AL132" s="20">
        <f t="shared" si="28"/>
        <v>11307.719209073726</v>
      </c>
      <c r="AM132" s="22">
        <f t="shared" si="29"/>
        <v>0.28193802071969232</v>
      </c>
      <c r="AN132" s="20">
        <f t="shared" si="30"/>
        <v>16031.119209073726</v>
      </c>
      <c r="AO132" s="16">
        <f t="shared" si="31"/>
        <v>9.0073178415825059E-2</v>
      </c>
      <c r="AP132" s="15">
        <v>704110</v>
      </c>
      <c r="AQ132" s="18">
        <f t="shared" si="32"/>
        <v>0.85519024016133838</v>
      </c>
      <c r="AR132" s="23">
        <v>46170</v>
      </c>
      <c r="AS132" s="14" t="s">
        <v>79</v>
      </c>
    </row>
    <row r="133" spans="1:45" x14ac:dyDescent="0.25">
      <c r="A133" s="14" t="s">
        <v>524</v>
      </c>
      <c r="B133" s="14" t="s">
        <v>525</v>
      </c>
      <c r="C133" s="14">
        <v>9325542573</v>
      </c>
      <c r="D133" s="15"/>
      <c r="E133" s="14">
        <v>34</v>
      </c>
      <c r="F133" s="14" t="s">
        <v>89</v>
      </c>
      <c r="G133" s="14" t="s">
        <v>314</v>
      </c>
      <c r="H133" s="14" t="s">
        <v>132</v>
      </c>
      <c r="I133" s="14" t="s">
        <v>92</v>
      </c>
      <c r="J133" s="15">
        <v>975091</v>
      </c>
      <c r="K133" s="14">
        <v>2</v>
      </c>
      <c r="L133" s="14" t="s">
        <v>76</v>
      </c>
      <c r="M133" s="14" t="s">
        <v>75</v>
      </c>
      <c r="N133" s="14" t="s">
        <v>75</v>
      </c>
      <c r="O133" s="14" t="s">
        <v>76</v>
      </c>
      <c r="P133" s="14">
        <v>880</v>
      </c>
      <c r="Q133" s="15"/>
      <c r="R133" s="15">
        <v>8310.2199999999993</v>
      </c>
      <c r="S133" s="14" t="s">
        <v>23</v>
      </c>
      <c r="T133" s="15">
        <v>6907921</v>
      </c>
      <c r="U133" s="16">
        <f t="shared" si="22"/>
        <v>0.10227008556124503</v>
      </c>
      <c r="V133" s="14">
        <v>1</v>
      </c>
      <c r="W133" s="17">
        <v>32.6</v>
      </c>
      <c r="X133" s="14">
        <v>1.2</v>
      </c>
      <c r="Y133" s="18">
        <f t="shared" si="23"/>
        <v>11.7</v>
      </c>
      <c r="Z133" s="18" t="str">
        <f t="shared" si="24"/>
        <v>Low</v>
      </c>
      <c r="AA133" s="19" t="str">
        <f t="shared" si="25"/>
        <v>Eligible</v>
      </c>
      <c r="AB133" s="14" t="s">
        <v>85</v>
      </c>
      <c r="AC133" s="14">
        <v>2</v>
      </c>
      <c r="AD133" s="14" t="s">
        <v>93</v>
      </c>
      <c r="AE133" s="17">
        <v>4.5</v>
      </c>
      <c r="AF133" s="15">
        <v>641605</v>
      </c>
      <c r="AG133" s="20">
        <f t="shared" si="26"/>
        <v>1616696</v>
      </c>
      <c r="AH133" s="14">
        <v>0</v>
      </c>
      <c r="AI133" s="14" t="s">
        <v>75</v>
      </c>
      <c r="AJ133" s="14">
        <v>180</v>
      </c>
      <c r="AK133" s="21">
        <f t="shared" si="27"/>
        <v>8.5000000000000006E-2</v>
      </c>
      <c r="AL133" s="20">
        <f t="shared" si="28"/>
        <v>68025.030717249218</v>
      </c>
      <c r="AM133" s="22">
        <f t="shared" si="29"/>
        <v>7.0843859701299676</v>
      </c>
      <c r="AN133" s="20">
        <f t="shared" si="30"/>
        <v>76335.250717249219</v>
      </c>
      <c r="AO133" s="16">
        <f t="shared" si="31"/>
        <v>0.9394230985692521</v>
      </c>
      <c r="AP133" s="15">
        <v>8492919</v>
      </c>
      <c r="AQ133" s="18">
        <f t="shared" si="32"/>
        <v>0.81337417677008339</v>
      </c>
      <c r="AR133" s="23">
        <v>46125</v>
      </c>
      <c r="AS133" s="14" t="s">
        <v>79</v>
      </c>
    </row>
    <row r="134" spans="1:45" x14ac:dyDescent="0.25">
      <c r="A134" s="14" t="s">
        <v>527</v>
      </c>
      <c r="B134" s="14" t="s">
        <v>528</v>
      </c>
      <c r="C134" s="14"/>
      <c r="D134" s="15" t="s">
        <v>529</v>
      </c>
      <c r="E134" s="14">
        <v>57</v>
      </c>
      <c r="F134" s="14" t="s">
        <v>89</v>
      </c>
      <c r="G134" s="14" t="s">
        <v>226</v>
      </c>
      <c r="H134" s="14" t="s">
        <v>99</v>
      </c>
      <c r="I134" s="14" t="s">
        <v>74</v>
      </c>
      <c r="J134" s="15">
        <v>1007325</v>
      </c>
      <c r="K134" s="14">
        <v>3</v>
      </c>
      <c r="L134" s="14" t="s">
        <v>76</v>
      </c>
      <c r="M134" s="14" t="s">
        <v>76</v>
      </c>
      <c r="N134" s="14" t="s">
        <v>76</v>
      </c>
      <c r="O134" s="14" t="s">
        <v>75</v>
      </c>
      <c r="P134" s="14">
        <v>746</v>
      </c>
      <c r="Q134" s="15"/>
      <c r="R134" s="15">
        <v>4777.83</v>
      </c>
      <c r="S134" s="14" t="s">
        <v>21</v>
      </c>
      <c r="T134" s="15"/>
      <c r="U134" s="16">
        <f t="shared" si="22"/>
        <v>5.6917042662497204E-2</v>
      </c>
      <c r="V134" s="14">
        <v>2</v>
      </c>
      <c r="W134" s="17">
        <v>88.4</v>
      </c>
      <c r="X134" s="14">
        <v>7.1</v>
      </c>
      <c r="Y134" s="18">
        <f t="shared" si="23"/>
        <v>28.8</v>
      </c>
      <c r="Z134" s="18" t="str">
        <f t="shared" si="24"/>
        <v>Low</v>
      </c>
      <c r="AA134" s="19" t="str">
        <f t="shared" si="25"/>
        <v>Eligible</v>
      </c>
      <c r="AB134" s="14" t="s">
        <v>85</v>
      </c>
      <c r="AC134" s="14">
        <v>1</v>
      </c>
      <c r="AD134" s="14" t="s">
        <v>93</v>
      </c>
      <c r="AE134" s="17">
        <v>5.5</v>
      </c>
      <c r="AF134" s="15">
        <v>0</v>
      </c>
      <c r="AG134" s="20">
        <f t="shared" si="26"/>
        <v>1007325</v>
      </c>
      <c r="AH134" s="14">
        <v>2</v>
      </c>
      <c r="AI134" s="14" t="s">
        <v>75</v>
      </c>
      <c r="AJ134" s="14">
        <v>24</v>
      </c>
      <c r="AK134" s="21">
        <f t="shared" si="27"/>
        <v>0.14000000000000001</v>
      </c>
      <c r="AL134" s="20">
        <f t="shared" si="28"/>
        <v>0</v>
      </c>
      <c r="AM134" s="22">
        <f t="shared" si="29"/>
        <v>0</v>
      </c>
      <c r="AN134" s="20">
        <f t="shared" si="30"/>
        <v>4777.83</v>
      </c>
      <c r="AO134" s="16">
        <f t="shared" si="31"/>
        <v>5.6917042662497204E-2</v>
      </c>
      <c r="AP134" s="15">
        <v>0</v>
      </c>
      <c r="AQ134" s="18" t="str">
        <f t="shared" si="32"/>
        <v>N/A</v>
      </c>
      <c r="AR134" s="23">
        <v>46170</v>
      </c>
      <c r="AS134" s="14" t="s">
        <v>79</v>
      </c>
    </row>
    <row r="135" spans="1:45" x14ac:dyDescent="0.25">
      <c r="A135" s="14" t="s">
        <v>530</v>
      </c>
      <c r="B135" s="14" t="s">
        <v>531</v>
      </c>
      <c r="C135" s="14">
        <v>9772826911</v>
      </c>
      <c r="D135" s="15"/>
      <c r="E135" s="14">
        <v>22</v>
      </c>
      <c r="F135" s="14" t="s">
        <v>71</v>
      </c>
      <c r="G135" s="14" t="s">
        <v>153</v>
      </c>
      <c r="H135" s="14" t="s">
        <v>91</v>
      </c>
      <c r="I135" s="14" t="s">
        <v>92</v>
      </c>
      <c r="J135" s="15">
        <v>453747</v>
      </c>
      <c r="K135" s="14">
        <v>0</v>
      </c>
      <c r="L135" s="14" t="s">
        <v>75</v>
      </c>
      <c r="M135" s="14" t="s">
        <v>75</v>
      </c>
      <c r="N135" s="14" t="s">
        <v>75</v>
      </c>
      <c r="O135" s="14" t="s">
        <v>75</v>
      </c>
      <c r="P135" s="14">
        <v>452</v>
      </c>
      <c r="Q135" s="15">
        <v>16598.91</v>
      </c>
      <c r="R135" s="15">
        <v>638.41999999999996</v>
      </c>
      <c r="S135" s="14" t="s">
        <v>22</v>
      </c>
      <c r="T135" s="15">
        <v>580769</v>
      </c>
      <c r="U135" s="16">
        <f t="shared" si="22"/>
        <v>1.6883946340141089E-2</v>
      </c>
      <c r="V135" s="14">
        <v>1</v>
      </c>
      <c r="W135" s="17">
        <v>53.5</v>
      </c>
      <c r="X135" s="14">
        <v>6.1</v>
      </c>
      <c r="Y135" s="18">
        <f t="shared" si="23"/>
        <v>39.700000000000003</v>
      </c>
      <c r="Z135" s="18" t="str">
        <f t="shared" si="24"/>
        <v>Medium</v>
      </c>
      <c r="AA135" s="19" t="str">
        <f t="shared" si="25"/>
        <v>Not Eligible</v>
      </c>
      <c r="AB135" s="14" t="s">
        <v>85</v>
      </c>
      <c r="AC135" s="14">
        <v>2</v>
      </c>
      <c r="AD135" s="14" t="s">
        <v>93</v>
      </c>
      <c r="AE135" s="17">
        <v>0.9</v>
      </c>
      <c r="AF135" s="15">
        <v>0</v>
      </c>
      <c r="AG135" s="20">
        <f t="shared" si="26"/>
        <v>453747</v>
      </c>
      <c r="AH135" s="14">
        <v>0</v>
      </c>
      <c r="AI135" s="14" t="s">
        <v>75</v>
      </c>
      <c r="AJ135" s="14">
        <v>60</v>
      </c>
      <c r="AK135" s="21">
        <f t="shared" si="27"/>
        <v>0.105</v>
      </c>
      <c r="AL135" s="20">
        <f t="shared" si="28"/>
        <v>12482.9910286989</v>
      </c>
      <c r="AM135" s="22">
        <f t="shared" si="29"/>
        <v>1.2799401428549391</v>
      </c>
      <c r="AN135" s="20">
        <f t="shared" si="30"/>
        <v>13121.4110286989</v>
      </c>
      <c r="AO135" s="16">
        <f t="shared" si="31"/>
        <v>0.34701481738587098</v>
      </c>
      <c r="AP135" s="15">
        <v>628302</v>
      </c>
      <c r="AQ135" s="18">
        <f t="shared" si="32"/>
        <v>0.92434689050806773</v>
      </c>
      <c r="AR135" s="23">
        <v>46184</v>
      </c>
      <c r="AS135" s="14" t="s">
        <v>94</v>
      </c>
    </row>
    <row r="136" spans="1:45" x14ac:dyDescent="0.25">
      <c r="A136" s="14" t="s">
        <v>532</v>
      </c>
      <c r="B136" s="14" t="s">
        <v>319</v>
      </c>
      <c r="C136" s="14"/>
      <c r="D136" s="15" t="s">
        <v>533</v>
      </c>
      <c r="E136" s="14">
        <v>43</v>
      </c>
      <c r="F136" s="14" t="s">
        <v>71</v>
      </c>
      <c r="G136" s="14" t="s">
        <v>131</v>
      </c>
      <c r="H136" s="14" t="s">
        <v>107</v>
      </c>
      <c r="I136" s="14" t="s">
        <v>92</v>
      </c>
      <c r="J136" s="15">
        <v>1272029</v>
      </c>
      <c r="K136" s="14">
        <v>2</v>
      </c>
      <c r="L136" s="14" t="s">
        <v>76</v>
      </c>
      <c r="M136" s="14" t="s">
        <v>75</v>
      </c>
      <c r="N136" s="14" t="s">
        <v>76</v>
      </c>
      <c r="O136" s="14" t="s">
        <v>75</v>
      </c>
      <c r="P136" s="14">
        <v>669</v>
      </c>
      <c r="Q136" s="15"/>
      <c r="R136" s="15">
        <v>7224.38</v>
      </c>
      <c r="S136" s="14" t="s">
        <v>20</v>
      </c>
      <c r="T136" s="15">
        <v>40921</v>
      </c>
      <c r="U136" s="16">
        <f t="shared" si="22"/>
        <v>6.815297449979521E-2</v>
      </c>
      <c r="V136" s="14">
        <v>8</v>
      </c>
      <c r="W136" s="17">
        <v>35.799999999999997</v>
      </c>
      <c r="X136" s="14">
        <v>10.6</v>
      </c>
      <c r="Y136" s="18">
        <f t="shared" si="23"/>
        <v>41</v>
      </c>
      <c r="Z136" s="18" t="str">
        <f t="shared" si="24"/>
        <v>Medium</v>
      </c>
      <c r="AA136" s="19" t="str">
        <f t="shared" si="25"/>
        <v>Not Eligible</v>
      </c>
      <c r="AB136" s="14" t="s">
        <v>85</v>
      </c>
      <c r="AC136" s="14">
        <v>3</v>
      </c>
      <c r="AD136" s="14" t="s">
        <v>93</v>
      </c>
      <c r="AE136" s="17">
        <v>6</v>
      </c>
      <c r="AF136" s="15">
        <v>0</v>
      </c>
      <c r="AG136" s="20">
        <f t="shared" si="26"/>
        <v>1272029</v>
      </c>
      <c r="AH136" s="14">
        <v>0</v>
      </c>
      <c r="AI136" s="14" t="s">
        <v>75</v>
      </c>
      <c r="AJ136" s="14">
        <v>24</v>
      </c>
      <c r="AK136" s="21">
        <f t="shared" si="27"/>
        <v>0.375</v>
      </c>
      <c r="AL136" s="20">
        <f t="shared" si="28"/>
        <v>2448.9311405789731</v>
      </c>
      <c r="AM136" s="22">
        <f t="shared" si="29"/>
        <v>3.2169864051841586E-2</v>
      </c>
      <c r="AN136" s="20">
        <f t="shared" si="30"/>
        <v>9673.3111405789732</v>
      </c>
      <c r="AO136" s="16">
        <f t="shared" si="31"/>
        <v>9.1255571757363763E-2</v>
      </c>
      <c r="AP136" s="15">
        <v>0</v>
      </c>
      <c r="AQ136" s="18" t="str">
        <f t="shared" si="32"/>
        <v>N/A</v>
      </c>
      <c r="AR136" s="23">
        <v>46195</v>
      </c>
      <c r="AS136" s="14" t="s">
        <v>79</v>
      </c>
    </row>
    <row r="137" spans="1:45" x14ac:dyDescent="0.25">
      <c r="A137" s="14" t="s">
        <v>534</v>
      </c>
      <c r="B137" s="14" t="s">
        <v>535</v>
      </c>
      <c r="C137" s="14">
        <v>9654762561</v>
      </c>
      <c r="D137" s="15"/>
      <c r="E137" s="14">
        <v>35</v>
      </c>
      <c r="F137" s="14" t="s">
        <v>89</v>
      </c>
      <c r="G137" s="14" t="s">
        <v>106</v>
      </c>
      <c r="H137" s="14" t="s">
        <v>103</v>
      </c>
      <c r="I137" s="14" t="s">
        <v>74</v>
      </c>
      <c r="J137" s="15">
        <v>2342045</v>
      </c>
      <c r="K137" s="14">
        <v>1</v>
      </c>
      <c r="L137" s="14" t="s">
        <v>75</v>
      </c>
      <c r="M137" s="14" t="s">
        <v>75</v>
      </c>
      <c r="N137" s="14" t="s">
        <v>76</v>
      </c>
      <c r="O137" s="14" t="s">
        <v>75</v>
      </c>
      <c r="P137" s="14">
        <v>750</v>
      </c>
      <c r="Q137" s="15"/>
      <c r="R137" s="15">
        <v>14544.61</v>
      </c>
      <c r="S137" s="14" t="s">
        <v>22</v>
      </c>
      <c r="T137" s="15">
        <v>743583</v>
      </c>
      <c r="U137" s="16">
        <f t="shared" si="22"/>
        <v>7.4522615918993868E-2</v>
      </c>
      <c r="V137" s="14">
        <v>0</v>
      </c>
      <c r="W137" s="17">
        <v>19.899999999999999</v>
      </c>
      <c r="X137" s="14">
        <v>9.1</v>
      </c>
      <c r="Y137" s="18">
        <f t="shared" si="23"/>
        <v>14.2</v>
      </c>
      <c r="Z137" s="18" t="str">
        <f t="shared" si="24"/>
        <v>Low</v>
      </c>
      <c r="AA137" s="19" t="str">
        <f t="shared" si="25"/>
        <v>Eligible</v>
      </c>
      <c r="AB137" s="14" t="s">
        <v>77</v>
      </c>
      <c r="AC137" s="14">
        <v>2</v>
      </c>
      <c r="AD137" s="14" t="s">
        <v>78</v>
      </c>
      <c r="AE137" s="17">
        <v>4.8</v>
      </c>
      <c r="AF137" s="15">
        <v>656422</v>
      </c>
      <c r="AG137" s="20">
        <f t="shared" si="26"/>
        <v>2998467</v>
      </c>
      <c r="AH137" s="14">
        <v>0</v>
      </c>
      <c r="AI137" s="14" t="s">
        <v>75</v>
      </c>
      <c r="AJ137" s="14">
        <v>84</v>
      </c>
      <c r="AK137" s="21">
        <f t="shared" si="27"/>
        <v>0.09</v>
      </c>
      <c r="AL137" s="20">
        <f t="shared" si="28"/>
        <v>11963.565079834245</v>
      </c>
      <c r="AM137" s="22">
        <f t="shared" si="29"/>
        <v>0.31749304560757802</v>
      </c>
      <c r="AN137" s="20">
        <f t="shared" si="30"/>
        <v>26508.175079834247</v>
      </c>
      <c r="AO137" s="16">
        <f t="shared" si="31"/>
        <v>0.13582066141257362</v>
      </c>
      <c r="AP137" s="15">
        <v>904697</v>
      </c>
      <c r="AQ137" s="18">
        <f t="shared" si="32"/>
        <v>0.82191385624137137</v>
      </c>
      <c r="AR137" s="23">
        <v>45906</v>
      </c>
      <c r="AS137" s="14" t="s">
        <v>79</v>
      </c>
    </row>
    <row r="138" spans="1:45" x14ac:dyDescent="0.25">
      <c r="A138" s="14" t="s">
        <v>536</v>
      </c>
      <c r="B138" s="14" t="s">
        <v>537</v>
      </c>
      <c r="C138" s="14">
        <v>9736028462</v>
      </c>
      <c r="D138" s="15" t="s">
        <v>538</v>
      </c>
      <c r="E138" s="14">
        <v>61</v>
      </c>
      <c r="F138" s="14" t="s">
        <v>71</v>
      </c>
      <c r="G138" s="14" t="s">
        <v>72</v>
      </c>
      <c r="H138" s="14" t="s">
        <v>166</v>
      </c>
      <c r="I138" s="14" t="s">
        <v>74</v>
      </c>
      <c r="J138" s="15">
        <v>997686</v>
      </c>
      <c r="K138" s="14">
        <v>2</v>
      </c>
      <c r="L138" s="14" t="s">
        <v>76</v>
      </c>
      <c r="M138" s="14" t="s">
        <v>76</v>
      </c>
      <c r="N138" s="14" t="s">
        <v>75</v>
      </c>
      <c r="O138" s="14" t="s">
        <v>75</v>
      </c>
      <c r="P138" s="14">
        <v>877</v>
      </c>
      <c r="Q138" s="15"/>
      <c r="R138" s="15">
        <v>6580.83</v>
      </c>
      <c r="S138" s="14" t="s">
        <v>22</v>
      </c>
      <c r="T138" s="15">
        <v>479827</v>
      </c>
      <c r="U138" s="16">
        <f t="shared" si="22"/>
        <v>7.9153120320421447E-2</v>
      </c>
      <c r="V138" s="14">
        <v>0</v>
      </c>
      <c r="W138" s="17">
        <v>62.6</v>
      </c>
      <c r="X138" s="14">
        <v>7.2</v>
      </c>
      <c r="Y138" s="18">
        <f t="shared" si="23"/>
        <v>10.199999999999999</v>
      </c>
      <c r="Z138" s="18" t="str">
        <f t="shared" si="24"/>
        <v>Low</v>
      </c>
      <c r="AA138" s="19" t="str">
        <f t="shared" si="25"/>
        <v>Eligible</v>
      </c>
      <c r="AB138" s="14" t="s">
        <v>85</v>
      </c>
      <c r="AC138" s="14">
        <v>0</v>
      </c>
      <c r="AD138" s="14" t="s">
        <v>78</v>
      </c>
      <c r="AE138" s="17">
        <v>4.5</v>
      </c>
      <c r="AF138" s="15">
        <v>0</v>
      </c>
      <c r="AG138" s="20">
        <f t="shared" si="26"/>
        <v>997686</v>
      </c>
      <c r="AH138" s="14">
        <v>1</v>
      </c>
      <c r="AI138" s="14" t="s">
        <v>75</v>
      </c>
      <c r="AJ138" s="14">
        <v>72</v>
      </c>
      <c r="AK138" s="21">
        <f t="shared" si="27"/>
        <v>0.09</v>
      </c>
      <c r="AL138" s="20">
        <f t="shared" si="28"/>
        <v>8649.1394228403678</v>
      </c>
      <c r="AM138" s="22">
        <f t="shared" si="29"/>
        <v>0.48093989491683758</v>
      </c>
      <c r="AN138" s="20">
        <f t="shared" si="30"/>
        <v>15229.969422840368</v>
      </c>
      <c r="AO138" s="16">
        <f t="shared" si="31"/>
        <v>0.1831835197387599</v>
      </c>
      <c r="AP138" s="15">
        <v>529203</v>
      </c>
      <c r="AQ138" s="18">
        <f t="shared" si="32"/>
        <v>0.90669742990874957</v>
      </c>
      <c r="AR138" s="23">
        <v>46246</v>
      </c>
      <c r="AS138" s="14" t="s">
        <v>79</v>
      </c>
    </row>
    <row r="139" spans="1:45" x14ac:dyDescent="0.25">
      <c r="A139" s="14" t="s">
        <v>539</v>
      </c>
      <c r="B139" s="14" t="s">
        <v>540</v>
      </c>
      <c r="C139" s="14"/>
      <c r="D139" s="15" t="s">
        <v>541</v>
      </c>
      <c r="E139" s="14">
        <v>45</v>
      </c>
      <c r="F139" s="14" t="s">
        <v>89</v>
      </c>
      <c r="G139" s="14" t="s">
        <v>72</v>
      </c>
      <c r="H139" s="14" t="s">
        <v>73</v>
      </c>
      <c r="I139" s="14" t="s">
        <v>74</v>
      </c>
      <c r="J139" s="15">
        <v>369468</v>
      </c>
      <c r="K139" s="14">
        <v>1</v>
      </c>
      <c r="L139" s="14" t="s">
        <v>76</v>
      </c>
      <c r="M139" s="14" t="s">
        <v>75</v>
      </c>
      <c r="N139" s="14" t="s">
        <v>75</v>
      </c>
      <c r="O139" s="14" t="s">
        <v>75</v>
      </c>
      <c r="P139" s="14">
        <v>453</v>
      </c>
      <c r="Q139" s="15">
        <v>134230.17000000001</v>
      </c>
      <c r="R139" s="15">
        <v>5836.09</v>
      </c>
      <c r="S139" s="14" t="s">
        <v>23</v>
      </c>
      <c r="T139" s="15">
        <v>6656881</v>
      </c>
      <c r="U139" s="16">
        <f t="shared" si="22"/>
        <v>0.18955113839358212</v>
      </c>
      <c r="V139" s="14">
        <v>1</v>
      </c>
      <c r="W139" s="17">
        <v>88.4</v>
      </c>
      <c r="X139" s="14">
        <v>8.1</v>
      </c>
      <c r="Y139" s="18">
        <f t="shared" si="23"/>
        <v>48.3</v>
      </c>
      <c r="Z139" s="18" t="str">
        <f t="shared" si="24"/>
        <v>Medium</v>
      </c>
      <c r="AA139" s="19" t="str">
        <f t="shared" si="25"/>
        <v>Not Eligible</v>
      </c>
      <c r="AB139" s="14" t="s">
        <v>77</v>
      </c>
      <c r="AC139" s="14">
        <v>0</v>
      </c>
      <c r="AD139" s="14" t="s">
        <v>93</v>
      </c>
      <c r="AE139" s="17">
        <v>21.7</v>
      </c>
      <c r="AF139" s="15">
        <v>0</v>
      </c>
      <c r="AG139" s="20">
        <f t="shared" si="26"/>
        <v>369468</v>
      </c>
      <c r="AH139" s="14">
        <v>0</v>
      </c>
      <c r="AI139" s="14" t="s">
        <v>76</v>
      </c>
      <c r="AJ139" s="14">
        <v>300</v>
      </c>
      <c r="AK139" s="21">
        <f t="shared" si="27"/>
        <v>0.1</v>
      </c>
      <c r="AL139" s="20">
        <f t="shared" si="28"/>
        <v>60491.127276714637</v>
      </c>
      <c r="AM139" s="22">
        <f t="shared" si="29"/>
        <v>18.01747647969513</v>
      </c>
      <c r="AN139" s="20">
        <f t="shared" si="30"/>
        <v>66327.21727671464</v>
      </c>
      <c r="AO139" s="16">
        <f t="shared" si="31"/>
        <v>2.1542504555755189</v>
      </c>
      <c r="AP139" s="15">
        <v>8524210</v>
      </c>
      <c r="AQ139" s="18">
        <f t="shared" si="32"/>
        <v>0.78093817491591599</v>
      </c>
      <c r="AR139" s="23">
        <v>46084</v>
      </c>
      <c r="AS139" s="14" t="s">
        <v>79</v>
      </c>
    </row>
    <row r="140" spans="1:45" x14ac:dyDescent="0.25">
      <c r="A140" s="14" t="s">
        <v>542</v>
      </c>
      <c r="B140" s="14" t="s">
        <v>543</v>
      </c>
      <c r="C140" s="14">
        <v>9560588284</v>
      </c>
      <c r="D140" s="15" t="s">
        <v>545</v>
      </c>
      <c r="E140" s="14">
        <v>45</v>
      </c>
      <c r="F140" s="14" t="s">
        <v>89</v>
      </c>
      <c r="G140" s="14" t="s">
        <v>139</v>
      </c>
      <c r="H140" s="14" t="s">
        <v>99</v>
      </c>
      <c r="I140" s="14" t="s">
        <v>74</v>
      </c>
      <c r="J140" s="15">
        <v>861546</v>
      </c>
      <c r="K140" s="14">
        <v>2</v>
      </c>
      <c r="L140" s="14" t="s">
        <v>76</v>
      </c>
      <c r="M140" s="14" t="s">
        <v>75</v>
      </c>
      <c r="N140" s="14" t="s">
        <v>75</v>
      </c>
      <c r="O140" s="14" t="s">
        <v>76</v>
      </c>
      <c r="P140" s="14">
        <v>856</v>
      </c>
      <c r="Q140" s="15">
        <v>211241</v>
      </c>
      <c r="R140" s="15">
        <v>8801.7000000000007</v>
      </c>
      <c r="S140" s="14" t="s">
        <v>20</v>
      </c>
      <c r="T140" s="15"/>
      <c r="U140" s="16">
        <f t="shared" si="22"/>
        <v>0.12259403444505576</v>
      </c>
      <c r="V140" s="14">
        <v>2</v>
      </c>
      <c r="W140" s="17">
        <v>5.7</v>
      </c>
      <c r="X140" s="14">
        <v>7.9</v>
      </c>
      <c r="Y140" s="18">
        <f t="shared" si="23"/>
        <v>15.2</v>
      </c>
      <c r="Z140" s="18" t="str">
        <f t="shared" si="24"/>
        <v>Low</v>
      </c>
      <c r="AA140" s="19" t="str">
        <f t="shared" si="25"/>
        <v>Eligible</v>
      </c>
      <c r="AB140" s="14" t="s">
        <v>85</v>
      </c>
      <c r="AC140" s="14">
        <v>1</v>
      </c>
      <c r="AD140" s="14" t="s">
        <v>78</v>
      </c>
      <c r="AE140" s="17">
        <v>19.399999999999999</v>
      </c>
      <c r="AF140" s="15">
        <v>0</v>
      </c>
      <c r="AG140" s="20">
        <f t="shared" si="26"/>
        <v>861546</v>
      </c>
      <c r="AH140" s="14">
        <v>0</v>
      </c>
      <c r="AI140" s="14" t="s">
        <v>75</v>
      </c>
      <c r="AJ140" s="14">
        <v>24</v>
      </c>
      <c r="AK140" s="21">
        <f t="shared" si="27"/>
        <v>0.36</v>
      </c>
      <c r="AL140" s="20">
        <f t="shared" si="28"/>
        <v>0</v>
      </c>
      <c r="AM140" s="22">
        <f t="shared" si="29"/>
        <v>0</v>
      </c>
      <c r="AN140" s="20">
        <f t="shared" si="30"/>
        <v>8801.7000000000007</v>
      </c>
      <c r="AO140" s="16">
        <f t="shared" si="31"/>
        <v>0.12259403444505576</v>
      </c>
      <c r="AP140" s="15">
        <v>0</v>
      </c>
      <c r="AQ140" s="18" t="str">
        <f t="shared" si="32"/>
        <v>N/A</v>
      </c>
      <c r="AR140" s="23">
        <v>46028</v>
      </c>
      <c r="AS140" s="14" t="s">
        <v>79</v>
      </c>
    </row>
    <row r="141" spans="1:45" x14ac:dyDescent="0.25">
      <c r="A141" s="14" t="s">
        <v>546</v>
      </c>
      <c r="B141" s="14" t="s">
        <v>547</v>
      </c>
      <c r="C141" s="14"/>
      <c r="D141" s="15" t="s">
        <v>548</v>
      </c>
      <c r="E141" s="14">
        <v>64</v>
      </c>
      <c r="F141" s="14" t="s">
        <v>89</v>
      </c>
      <c r="G141" s="14" t="s">
        <v>388</v>
      </c>
      <c r="H141" s="14" t="s">
        <v>99</v>
      </c>
      <c r="I141" s="14" t="s">
        <v>74</v>
      </c>
      <c r="J141" s="15">
        <v>2323616</v>
      </c>
      <c r="K141" s="14">
        <v>1</v>
      </c>
      <c r="L141" s="14" t="s">
        <v>76</v>
      </c>
      <c r="M141" s="14" t="s">
        <v>75</v>
      </c>
      <c r="N141" s="14" t="s">
        <v>75</v>
      </c>
      <c r="O141" s="14" t="s">
        <v>75</v>
      </c>
      <c r="P141" s="14">
        <v>891</v>
      </c>
      <c r="Q141" s="15"/>
      <c r="R141" s="15">
        <v>8422.65</v>
      </c>
      <c r="S141" s="14" t="s">
        <v>23</v>
      </c>
      <c r="T141" s="15"/>
      <c r="U141" s="16">
        <f t="shared" si="22"/>
        <v>4.3497634721055452E-2</v>
      </c>
      <c r="V141" s="14">
        <v>0</v>
      </c>
      <c r="W141" s="17">
        <v>87.1</v>
      </c>
      <c r="X141" s="14">
        <v>2</v>
      </c>
      <c r="Y141" s="18">
        <f t="shared" si="23"/>
        <v>10.6</v>
      </c>
      <c r="Z141" s="18" t="str">
        <f t="shared" si="24"/>
        <v>Low</v>
      </c>
      <c r="AA141" s="19" t="str">
        <f t="shared" si="25"/>
        <v>Eligible</v>
      </c>
      <c r="AB141" s="14" t="s">
        <v>85</v>
      </c>
      <c r="AC141" s="14">
        <v>2</v>
      </c>
      <c r="AD141" s="14" t="s">
        <v>194</v>
      </c>
      <c r="AE141" s="17">
        <v>3.3</v>
      </c>
      <c r="AF141" s="15">
        <v>0</v>
      </c>
      <c r="AG141" s="20">
        <f t="shared" si="26"/>
        <v>2323616</v>
      </c>
      <c r="AH141" s="14">
        <v>1</v>
      </c>
      <c r="AI141" s="14" t="s">
        <v>75</v>
      </c>
      <c r="AJ141" s="14">
        <v>360</v>
      </c>
      <c r="AK141" s="21">
        <f t="shared" si="27"/>
        <v>8.5000000000000006E-2</v>
      </c>
      <c r="AL141" s="20">
        <f t="shared" si="28"/>
        <v>0</v>
      </c>
      <c r="AM141" s="22">
        <f t="shared" si="29"/>
        <v>0</v>
      </c>
      <c r="AN141" s="20">
        <f t="shared" si="30"/>
        <v>8422.65</v>
      </c>
      <c r="AO141" s="16">
        <f t="shared" si="31"/>
        <v>4.3497634721055452E-2</v>
      </c>
      <c r="AP141" s="15">
        <v>10160008</v>
      </c>
      <c r="AQ141" s="18">
        <f t="shared" si="32"/>
        <v>0</v>
      </c>
      <c r="AR141" s="23">
        <v>46256</v>
      </c>
      <c r="AS141" s="14" t="s">
        <v>79</v>
      </c>
    </row>
    <row r="142" spans="1:45" x14ac:dyDescent="0.25">
      <c r="A142" s="14" t="s">
        <v>549</v>
      </c>
      <c r="B142" s="14" t="s">
        <v>550</v>
      </c>
      <c r="C142" s="14"/>
      <c r="D142" s="15"/>
      <c r="E142" s="14">
        <v>30</v>
      </c>
      <c r="F142" s="14" t="s">
        <v>89</v>
      </c>
      <c r="G142" s="14" t="s">
        <v>174</v>
      </c>
      <c r="H142" s="14" t="s">
        <v>73</v>
      </c>
      <c r="I142" s="14" t="s">
        <v>74</v>
      </c>
      <c r="J142" s="15">
        <v>568772</v>
      </c>
      <c r="K142" s="14">
        <v>1</v>
      </c>
      <c r="L142" s="14" t="s">
        <v>76</v>
      </c>
      <c r="M142" s="14" t="s">
        <v>75</v>
      </c>
      <c r="N142" s="14" t="s">
        <v>75</v>
      </c>
      <c r="O142" s="14" t="s">
        <v>75</v>
      </c>
      <c r="P142" s="14">
        <v>710</v>
      </c>
      <c r="Q142" s="15">
        <v>209524</v>
      </c>
      <c r="R142" s="15">
        <v>4656.09</v>
      </c>
      <c r="S142" s="14" t="s">
        <v>22</v>
      </c>
      <c r="T142" s="15">
        <v>420508</v>
      </c>
      <c r="U142" s="16">
        <f t="shared" si="22"/>
        <v>9.8234582574388329E-2</v>
      </c>
      <c r="V142" s="14">
        <v>5</v>
      </c>
      <c r="W142" s="17">
        <v>82.9</v>
      </c>
      <c r="X142" s="14">
        <v>9.6999999999999993</v>
      </c>
      <c r="Y142" s="18">
        <f t="shared" si="23"/>
        <v>43.9</v>
      </c>
      <c r="Z142" s="18" t="str">
        <f t="shared" si="24"/>
        <v>Medium</v>
      </c>
      <c r="AA142" s="19" t="str">
        <f t="shared" si="25"/>
        <v>Not Eligible</v>
      </c>
      <c r="AB142" s="14" t="s">
        <v>85</v>
      </c>
      <c r="AC142" s="14">
        <v>0</v>
      </c>
      <c r="AD142" s="14" t="s">
        <v>93</v>
      </c>
      <c r="AE142" s="17">
        <v>7.3</v>
      </c>
      <c r="AF142" s="15">
        <v>175207</v>
      </c>
      <c r="AG142" s="20">
        <f t="shared" si="26"/>
        <v>743979</v>
      </c>
      <c r="AH142" s="14">
        <v>1</v>
      </c>
      <c r="AI142" s="14" t="s">
        <v>75</v>
      </c>
      <c r="AJ142" s="14">
        <v>36</v>
      </c>
      <c r="AK142" s="21">
        <f t="shared" si="27"/>
        <v>0.105</v>
      </c>
      <c r="AL142" s="20">
        <f t="shared" si="28"/>
        <v>13667.537513268891</v>
      </c>
      <c r="AM142" s="22">
        <f t="shared" si="29"/>
        <v>0.73932612716519097</v>
      </c>
      <c r="AN142" s="20">
        <f t="shared" si="30"/>
        <v>18323.62751326889</v>
      </c>
      <c r="AO142" s="16">
        <f t="shared" si="31"/>
        <v>0.38659345073109552</v>
      </c>
      <c r="AP142" s="15">
        <v>493272</v>
      </c>
      <c r="AQ142" s="18">
        <f t="shared" si="32"/>
        <v>0.8524870659595517</v>
      </c>
      <c r="AR142" s="23">
        <v>46240</v>
      </c>
      <c r="AS142" s="14" t="s">
        <v>79</v>
      </c>
    </row>
    <row r="143" spans="1:45" x14ac:dyDescent="0.25">
      <c r="A143" s="14" t="s">
        <v>551</v>
      </c>
      <c r="B143" s="14" t="s">
        <v>199</v>
      </c>
      <c r="C143" s="14">
        <v>9100308454</v>
      </c>
      <c r="D143" s="15" t="s">
        <v>553</v>
      </c>
      <c r="E143" s="14">
        <v>38</v>
      </c>
      <c r="F143" s="14" t="s">
        <v>89</v>
      </c>
      <c r="G143" s="14" t="s">
        <v>106</v>
      </c>
      <c r="H143" s="14" t="s">
        <v>99</v>
      </c>
      <c r="I143" s="14" t="s">
        <v>74</v>
      </c>
      <c r="J143" s="15">
        <v>2000584</v>
      </c>
      <c r="K143" s="14">
        <v>1</v>
      </c>
      <c r="L143" s="14" t="s">
        <v>75</v>
      </c>
      <c r="M143" s="14" t="s">
        <v>75</v>
      </c>
      <c r="N143" s="14" t="s">
        <v>75</v>
      </c>
      <c r="O143" s="14" t="s">
        <v>76</v>
      </c>
      <c r="P143" s="14">
        <v>392</v>
      </c>
      <c r="Q143" s="15">
        <v>659704</v>
      </c>
      <c r="R143" s="15">
        <v>11374.2</v>
      </c>
      <c r="S143" s="14" t="s">
        <v>22</v>
      </c>
      <c r="T143" s="15"/>
      <c r="U143" s="16">
        <f t="shared" si="22"/>
        <v>6.8225278218760135E-2</v>
      </c>
      <c r="V143" s="14">
        <v>6</v>
      </c>
      <c r="W143" s="17">
        <v>31.3</v>
      </c>
      <c r="X143" s="14">
        <v>9.1999999999999993</v>
      </c>
      <c r="Y143" s="18">
        <f t="shared" si="23"/>
        <v>59</v>
      </c>
      <c r="Z143" s="18" t="str">
        <f t="shared" si="24"/>
        <v>Medium</v>
      </c>
      <c r="AA143" s="19" t="str">
        <f t="shared" si="25"/>
        <v>Not Eligible</v>
      </c>
      <c r="AB143" s="14" t="s">
        <v>85</v>
      </c>
      <c r="AC143" s="14">
        <v>3</v>
      </c>
      <c r="AD143" s="14" t="s">
        <v>93</v>
      </c>
      <c r="AE143" s="17">
        <v>4.7</v>
      </c>
      <c r="AF143" s="15">
        <v>0</v>
      </c>
      <c r="AG143" s="20">
        <f t="shared" si="26"/>
        <v>2000584</v>
      </c>
      <c r="AH143" s="14">
        <v>0</v>
      </c>
      <c r="AI143" s="14" t="s">
        <v>75</v>
      </c>
      <c r="AJ143" s="14">
        <v>48</v>
      </c>
      <c r="AK143" s="21">
        <f t="shared" si="27"/>
        <v>0.105</v>
      </c>
      <c r="AL143" s="20">
        <f t="shared" si="28"/>
        <v>0</v>
      </c>
      <c r="AM143" s="22">
        <f t="shared" si="29"/>
        <v>0</v>
      </c>
      <c r="AN143" s="20">
        <f t="shared" si="30"/>
        <v>11374.2</v>
      </c>
      <c r="AO143" s="16">
        <f t="shared" si="31"/>
        <v>6.8225278218760135E-2</v>
      </c>
      <c r="AP143" s="15">
        <v>1150089</v>
      </c>
      <c r="AQ143" s="18">
        <f t="shared" si="32"/>
        <v>0</v>
      </c>
      <c r="AR143" s="23">
        <v>45954</v>
      </c>
      <c r="AS143" s="14" t="s">
        <v>79</v>
      </c>
    </row>
    <row r="144" spans="1:45" x14ac:dyDescent="0.25">
      <c r="A144" s="14" t="s">
        <v>554</v>
      </c>
      <c r="B144" s="14" t="s">
        <v>555</v>
      </c>
      <c r="C144" s="14">
        <v>9677569362</v>
      </c>
      <c r="D144" s="15" t="s">
        <v>557</v>
      </c>
      <c r="E144" s="14">
        <v>37</v>
      </c>
      <c r="F144" s="14" t="s">
        <v>89</v>
      </c>
      <c r="G144" s="14" t="s">
        <v>153</v>
      </c>
      <c r="H144" s="14" t="s">
        <v>107</v>
      </c>
      <c r="I144" s="14" t="s">
        <v>92</v>
      </c>
      <c r="J144" s="15">
        <v>1320361</v>
      </c>
      <c r="K144" s="14">
        <v>0</v>
      </c>
      <c r="L144" s="14" t="s">
        <v>75</v>
      </c>
      <c r="M144" s="14" t="s">
        <v>75</v>
      </c>
      <c r="N144" s="14" t="s">
        <v>75</v>
      </c>
      <c r="O144" s="14" t="s">
        <v>75</v>
      </c>
      <c r="P144" s="14">
        <v>900</v>
      </c>
      <c r="Q144" s="15">
        <v>113818.19</v>
      </c>
      <c r="R144" s="15">
        <v>2709.96</v>
      </c>
      <c r="S144" s="14" t="s">
        <v>20</v>
      </c>
      <c r="T144" s="15"/>
      <c r="U144" s="16">
        <f t="shared" si="22"/>
        <v>2.4629264269392992E-2</v>
      </c>
      <c r="V144" s="14">
        <v>0</v>
      </c>
      <c r="W144" s="17">
        <v>65.2</v>
      </c>
      <c r="X144" s="14">
        <v>14.9</v>
      </c>
      <c r="Y144" s="18">
        <f t="shared" si="23"/>
        <v>7.3</v>
      </c>
      <c r="Z144" s="18" t="str">
        <f t="shared" si="24"/>
        <v>Low</v>
      </c>
      <c r="AA144" s="19" t="str">
        <f t="shared" si="25"/>
        <v>Eligible</v>
      </c>
      <c r="AB144" s="14" t="s">
        <v>77</v>
      </c>
      <c r="AC144" s="14">
        <v>0</v>
      </c>
      <c r="AD144" s="14" t="s">
        <v>78</v>
      </c>
      <c r="AE144" s="17">
        <v>15.3</v>
      </c>
      <c r="AF144" s="15">
        <v>0</v>
      </c>
      <c r="AG144" s="20">
        <f t="shared" si="26"/>
        <v>1320361</v>
      </c>
      <c r="AH144" s="14">
        <v>0</v>
      </c>
      <c r="AI144" s="14" t="s">
        <v>75</v>
      </c>
      <c r="AJ144" s="14">
        <v>18</v>
      </c>
      <c r="AK144" s="21">
        <f t="shared" si="27"/>
        <v>0.36</v>
      </c>
      <c r="AL144" s="20">
        <f t="shared" si="28"/>
        <v>0</v>
      </c>
      <c r="AM144" s="22">
        <f t="shared" si="29"/>
        <v>0</v>
      </c>
      <c r="AN144" s="20">
        <f t="shared" si="30"/>
        <v>2709.96</v>
      </c>
      <c r="AO144" s="16">
        <f t="shared" si="31"/>
        <v>2.4629264269392992E-2</v>
      </c>
      <c r="AP144" s="15">
        <v>0</v>
      </c>
      <c r="AQ144" s="18" t="str">
        <f t="shared" si="32"/>
        <v>N/A</v>
      </c>
      <c r="AR144" s="23">
        <v>46042</v>
      </c>
      <c r="AS144" s="14" t="s">
        <v>79</v>
      </c>
    </row>
    <row r="145" spans="1:45" x14ac:dyDescent="0.25">
      <c r="A145" s="14" t="s">
        <v>558</v>
      </c>
      <c r="B145" s="14" t="s">
        <v>559</v>
      </c>
      <c r="C145" s="14"/>
      <c r="D145" s="15" t="s">
        <v>560</v>
      </c>
      <c r="E145" s="14">
        <v>56</v>
      </c>
      <c r="F145" s="14" t="s">
        <v>71</v>
      </c>
      <c r="G145" s="14" t="s">
        <v>115</v>
      </c>
      <c r="H145" s="14" t="s">
        <v>103</v>
      </c>
      <c r="I145" s="14" t="s">
        <v>74</v>
      </c>
      <c r="J145" s="15">
        <v>1782845</v>
      </c>
      <c r="K145" s="14">
        <v>2</v>
      </c>
      <c r="L145" s="14" t="s">
        <v>76</v>
      </c>
      <c r="M145" s="14" t="s">
        <v>75</v>
      </c>
      <c r="N145" s="14" t="s">
        <v>76</v>
      </c>
      <c r="O145" s="14" t="s">
        <v>75</v>
      </c>
      <c r="P145" s="14">
        <v>494</v>
      </c>
      <c r="Q145" s="15"/>
      <c r="R145" s="15">
        <v>22240.959999999999</v>
      </c>
      <c r="S145" s="14" t="s">
        <v>21</v>
      </c>
      <c r="T145" s="15">
        <v>821153</v>
      </c>
      <c r="U145" s="16">
        <f t="shared" si="22"/>
        <v>0.14969978882067708</v>
      </c>
      <c r="V145" s="14">
        <v>0</v>
      </c>
      <c r="W145" s="17">
        <v>30.2</v>
      </c>
      <c r="X145" s="14">
        <v>3.6</v>
      </c>
      <c r="Y145" s="18">
        <f t="shared" si="23"/>
        <v>34.6</v>
      </c>
      <c r="Z145" s="18" t="str">
        <f t="shared" si="24"/>
        <v>Medium</v>
      </c>
      <c r="AA145" s="19" t="str">
        <f t="shared" si="25"/>
        <v>Not Eligible</v>
      </c>
      <c r="AB145" s="14" t="s">
        <v>77</v>
      </c>
      <c r="AC145" s="14">
        <v>3</v>
      </c>
      <c r="AD145" s="14" t="s">
        <v>78</v>
      </c>
      <c r="AE145" s="17">
        <v>23.4</v>
      </c>
      <c r="AF145" s="15">
        <v>208866</v>
      </c>
      <c r="AG145" s="20">
        <f t="shared" si="26"/>
        <v>1991711</v>
      </c>
      <c r="AH145" s="14">
        <v>3</v>
      </c>
      <c r="AI145" s="14" t="s">
        <v>75</v>
      </c>
      <c r="AJ145" s="14">
        <v>12</v>
      </c>
      <c r="AK145" s="21">
        <f t="shared" si="27"/>
        <v>0.15500000000000003</v>
      </c>
      <c r="AL145" s="20">
        <f t="shared" si="28"/>
        <v>74309.761496842169</v>
      </c>
      <c r="AM145" s="22">
        <f t="shared" si="29"/>
        <v>0.4605857491817853</v>
      </c>
      <c r="AN145" s="20">
        <f t="shared" si="30"/>
        <v>96550.721496842161</v>
      </c>
      <c r="AO145" s="16">
        <f t="shared" si="31"/>
        <v>0.64986505162372832</v>
      </c>
      <c r="AP145" s="15">
        <v>0</v>
      </c>
      <c r="AQ145" s="18" t="str">
        <f t="shared" si="32"/>
        <v>N/A</v>
      </c>
      <c r="AR145" s="23">
        <v>46172</v>
      </c>
      <c r="AS145" s="14" t="s">
        <v>94</v>
      </c>
    </row>
    <row r="146" spans="1:45" x14ac:dyDescent="0.25">
      <c r="A146" s="14" t="s">
        <v>561</v>
      </c>
      <c r="B146" s="14" t="s">
        <v>562</v>
      </c>
      <c r="C146" s="14">
        <v>9498569245</v>
      </c>
      <c r="D146" s="15" t="s">
        <v>564</v>
      </c>
      <c r="E146" s="14">
        <v>52</v>
      </c>
      <c r="F146" s="14" t="s">
        <v>89</v>
      </c>
      <c r="G146" s="14" t="s">
        <v>115</v>
      </c>
      <c r="H146" s="14" t="s">
        <v>132</v>
      </c>
      <c r="I146" s="14" t="s">
        <v>92</v>
      </c>
      <c r="J146" s="15">
        <v>2443849</v>
      </c>
      <c r="K146" s="14">
        <v>3</v>
      </c>
      <c r="L146" s="14" t="s">
        <v>76</v>
      </c>
      <c r="M146" s="14" t="s">
        <v>76</v>
      </c>
      <c r="N146" s="14" t="s">
        <v>75</v>
      </c>
      <c r="O146" s="14" t="s">
        <v>76</v>
      </c>
      <c r="P146" s="14">
        <v>733</v>
      </c>
      <c r="Q146" s="15">
        <v>701365.22</v>
      </c>
      <c r="R146" s="15">
        <v>15247.07</v>
      </c>
      <c r="S146" s="14" t="s">
        <v>20</v>
      </c>
      <c r="T146" s="15">
        <v>283441</v>
      </c>
      <c r="U146" s="16">
        <f t="shared" si="22"/>
        <v>7.4867489767166465E-2</v>
      </c>
      <c r="V146" s="14">
        <v>0</v>
      </c>
      <c r="W146" s="17">
        <v>86.7</v>
      </c>
      <c r="X146" s="14">
        <v>11.7</v>
      </c>
      <c r="Y146" s="18">
        <f t="shared" si="23"/>
        <v>22</v>
      </c>
      <c r="Z146" s="18" t="str">
        <f t="shared" si="24"/>
        <v>Low</v>
      </c>
      <c r="AA146" s="19" t="str">
        <f t="shared" si="25"/>
        <v>Eligible</v>
      </c>
      <c r="AB146" s="14" t="s">
        <v>85</v>
      </c>
      <c r="AC146" s="14">
        <v>0</v>
      </c>
      <c r="AD146" s="14" t="s">
        <v>93</v>
      </c>
      <c r="AE146" s="17">
        <v>9.6999999999999993</v>
      </c>
      <c r="AF146" s="15">
        <v>655577</v>
      </c>
      <c r="AG146" s="20">
        <f t="shared" si="26"/>
        <v>3099426</v>
      </c>
      <c r="AH146" s="14">
        <v>0</v>
      </c>
      <c r="AI146" s="14" t="s">
        <v>75</v>
      </c>
      <c r="AJ146" s="14">
        <v>24</v>
      </c>
      <c r="AK146" s="21">
        <f t="shared" si="27"/>
        <v>0.36</v>
      </c>
      <c r="AL146" s="20">
        <f t="shared" si="28"/>
        <v>16736.458623991974</v>
      </c>
      <c r="AM146" s="22">
        <f t="shared" si="29"/>
        <v>0.11598138837546837</v>
      </c>
      <c r="AN146" s="20">
        <f t="shared" si="30"/>
        <v>31983.528623991973</v>
      </c>
      <c r="AO146" s="16">
        <f t="shared" si="31"/>
        <v>0.15704830514811011</v>
      </c>
      <c r="AP146" s="15">
        <v>0</v>
      </c>
      <c r="AQ146" s="18" t="str">
        <f t="shared" si="32"/>
        <v>N/A</v>
      </c>
      <c r="AR146" s="23">
        <v>46208</v>
      </c>
      <c r="AS146" s="14" t="s">
        <v>79</v>
      </c>
    </row>
    <row r="147" spans="1:45" x14ac:dyDescent="0.25">
      <c r="A147" s="14" t="s">
        <v>565</v>
      </c>
      <c r="B147" s="14" t="s">
        <v>566</v>
      </c>
      <c r="C147" s="14">
        <v>9382232003</v>
      </c>
      <c r="D147" s="15" t="s">
        <v>567</v>
      </c>
      <c r="E147" s="14">
        <v>51</v>
      </c>
      <c r="F147" s="14" t="s">
        <v>89</v>
      </c>
      <c r="G147" s="14" t="s">
        <v>106</v>
      </c>
      <c r="H147" s="14" t="s">
        <v>132</v>
      </c>
      <c r="I147" s="14" t="s">
        <v>92</v>
      </c>
      <c r="J147" s="15">
        <v>2391993</v>
      </c>
      <c r="K147" s="14">
        <v>1</v>
      </c>
      <c r="L147" s="14" t="s">
        <v>76</v>
      </c>
      <c r="M147" s="14" t="s">
        <v>75</v>
      </c>
      <c r="N147" s="14" t="s">
        <v>75</v>
      </c>
      <c r="O147" s="14" t="s">
        <v>75</v>
      </c>
      <c r="P147" s="14">
        <v>710</v>
      </c>
      <c r="Q147" s="15">
        <v>401323.13</v>
      </c>
      <c r="R147" s="15">
        <v>17448.830000000002</v>
      </c>
      <c r="S147" s="14" t="s">
        <v>21</v>
      </c>
      <c r="T147" s="15"/>
      <c r="U147" s="16">
        <f t="shared" si="22"/>
        <v>8.7536192622637288E-2</v>
      </c>
      <c r="V147" s="14">
        <v>2</v>
      </c>
      <c r="W147" s="17">
        <v>82.3</v>
      </c>
      <c r="X147" s="14">
        <v>10.9</v>
      </c>
      <c r="Y147" s="18">
        <f t="shared" si="23"/>
        <v>31.5</v>
      </c>
      <c r="Z147" s="18" t="str">
        <f t="shared" si="24"/>
        <v>Medium</v>
      </c>
      <c r="AA147" s="19" t="str">
        <f t="shared" si="25"/>
        <v>Eligible</v>
      </c>
      <c r="AB147" s="14" t="s">
        <v>77</v>
      </c>
      <c r="AC147" s="14">
        <v>2</v>
      </c>
      <c r="AD147" s="14" t="s">
        <v>93</v>
      </c>
      <c r="AE147" s="17">
        <v>6.1</v>
      </c>
      <c r="AF147" s="15">
        <v>0</v>
      </c>
      <c r="AG147" s="20">
        <f t="shared" si="26"/>
        <v>2391993</v>
      </c>
      <c r="AH147" s="14">
        <v>1</v>
      </c>
      <c r="AI147" s="14" t="s">
        <v>75</v>
      </c>
      <c r="AJ147" s="14">
        <v>12</v>
      </c>
      <c r="AK147" s="21">
        <f t="shared" si="27"/>
        <v>0.15500000000000003</v>
      </c>
      <c r="AL147" s="20">
        <f t="shared" si="28"/>
        <v>0</v>
      </c>
      <c r="AM147" s="22">
        <f t="shared" si="29"/>
        <v>0</v>
      </c>
      <c r="AN147" s="20">
        <f t="shared" si="30"/>
        <v>17448.830000000002</v>
      </c>
      <c r="AO147" s="16">
        <f t="shared" si="31"/>
        <v>8.7536192622637288E-2</v>
      </c>
      <c r="AP147" s="15">
        <v>0</v>
      </c>
      <c r="AQ147" s="18" t="str">
        <f t="shared" si="32"/>
        <v>N/A</v>
      </c>
      <c r="AR147" s="23">
        <v>45985</v>
      </c>
      <c r="AS147" s="14" t="s">
        <v>79</v>
      </c>
    </row>
    <row r="148" spans="1:45" x14ac:dyDescent="0.25">
      <c r="A148" s="14" t="s">
        <v>568</v>
      </c>
      <c r="B148" s="14" t="s">
        <v>569</v>
      </c>
      <c r="C148" s="14"/>
      <c r="D148" s="15" t="s">
        <v>570</v>
      </c>
      <c r="E148" s="14">
        <v>41</v>
      </c>
      <c r="F148" s="14" t="s">
        <v>89</v>
      </c>
      <c r="G148" s="14" t="s">
        <v>143</v>
      </c>
      <c r="H148" s="14" t="s">
        <v>84</v>
      </c>
      <c r="I148" s="14" t="s">
        <v>74</v>
      </c>
      <c r="J148" s="15">
        <v>500107</v>
      </c>
      <c r="K148" s="14">
        <v>2</v>
      </c>
      <c r="L148" s="14" t="s">
        <v>76</v>
      </c>
      <c r="M148" s="14" t="s">
        <v>75</v>
      </c>
      <c r="N148" s="14" t="s">
        <v>76</v>
      </c>
      <c r="O148" s="14" t="s">
        <v>75</v>
      </c>
      <c r="P148" s="14">
        <v>787</v>
      </c>
      <c r="Q148" s="15">
        <v>251745</v>
      </c>
      <c r="R148" s="15">
        <v>13985.85</v>
      </c>
      <c r="S148" s="14" t="s">
        <v>23</v>
      </c>
      <c r="T148" s="15">
        <v>7746100</v>
      </c>
      <c r="U148" s="16">
        <f t="shared" si="22"/>
        <v>0.33558858404301484</v>
      </c>
      <c r="V148" s="14">
        <v>0</v>
      </c>
      <c r="W148" s="17">
        <v>39.299999999999997</v>
      </c>
      <c r="X148" s="14">
        <v>8.5</v>
      </c>
      <c r="Y148" s="18">
        <f t="shared" si="23"/>
        <v>21.5</v>
      </c>
      <c r="Z148" s="18" t="str">
        <f t="shared" si="24"/>
        <v>Low</v>
      </c>
      <c r="AA148" s="19" t="str">
        <f t="shared" si="25"/>
        <v>Eligible</v>
      </c>
      <c r="AB148" s="14" t="s">
        <v>77</v>
      </c>
      <c r="AC148" s="14">
        <v>1</v>
      </c>
      <c r="AD148" s="14" t="s">
        <v>78</v>
      </c>
      <c r="AE148" s="17">
        <v>2.7</v>
      </c>
      <c r="AF148" s="15">
        <v>0</v>
      </c>
      <c r="AG148" s="20">
        <f t="shared" si="26"/>
        <v>500107</v>
      </c>
      <c r="AH148" s="14">
        <v>3</v>
      </c>
      <c r="AI148" s="14" t="s">
        <v>75</v>
      </c>
      <c r="AJ148" s="14">
        <v>360</v>
      </c>
      <c r="AK148" s="21">
        <f t="shared" si="27"/>
        <v>8.5000000000000006E-2</v>
      </c>
      <c r="AL148" s="20">
        <f t="shared" si="28"/>
        <v>59560.807351926072</v>
      </c>
      <c r="AM148" s="22">
        <f t="shared" si="29"/>
        <v>15.488885378528995</v>
      </c>
      <c r="AN148" s="20">
        <f t="shared" si="30"/>
        <v>73546.657351926071</v>
      </c>
      <c r="AO148" s="16">
        <f t="shared" si="31"/>
        <v>1.7647421216321963</v>
      </c>
      <c r="AP148" s="15">
        <v>10166496</v>
      </c>
      <c r="AQ148" s="18">
        <f t="shared" si="32"/>
        <v>0.76192426574505123</v>
      </c>
      <c r="AR148" s="23">
        <v>46170</v>
      </c>
      <c r="AS148" s="14" t="s">
        <v>79</v>
      </c>
    </row>
    <row r="149" spans="1:45" x14ac:dyDescent="0.25">
      <c r="A149" s="14" t="s">
        <v>571</v>
      </c>
      <c r="B149" s="14" t="s">
        <v>572</v>
      </c>
      <c r="C149" s="14">
        <v>9481295430</v>
      </c>
      <c r="D149" s="15" t="s">
        <v>574</v>
      </c>
      <c r="E149" s="14">
        <v>52</v>
      </c>
      <c r="F149" s="14" t="s">
        <v>89</v>
      </c>
      <c r="G149" s="14" t="s">
        <v>120</v>
      </c>
      <c r="H149" s="14" t="s">
        <v>99</v>
      </c>
      <c r="I149" s="14" t="s">
        <v>74</v>
      </c>
      <c r="J149" s="15">
        <v>1501766</v>
      </c>
      <c r="K149" s="14">
        <v>1</v>
      </c>
      <c r="L149" s="14" t="s">
        <v>76</v>
      </c>
      <c r="M149" s="14" t="s">
        <v>75</v>
      </c>
      <c r="N149" s="14" t="s">
        <v>75</v>
      </c>
      <c r="O149" s="14" t="s">
        <v>75</v>
      </c>
      <c r="P149" s="14">
        <v>645</v>
      </c>
      <c r="Q149" s="15"/>
      <c r="R149" s="15">
        <v>7452.58</v>
      </c>
      <c r="S149" s="14" t="s">
        <v>23</v>
      </c>
      <c r="T149" s="15">
        <v>2098477</v>
      </c>
      <c r="U149" s="16">
        <f t="shared" si="22"/>
        <v>5.9550529176982295E-2</v>
      </c>
      <c r="V149" s="14">
        <v>0</v>
      </c>
      <c r="W149" s="17">
        <v>37.6</v>
      </c>
      <c r="X149" s="14">
        <v>4.8</v>
      </c>
      <c r="Y149" s="18">
        <f t="shared" si="23"/>
        <v>22.5</v>
      </c>
      <c r="Z149" s="18" t="str">
        <f t="shared" si="24"/>
        <v>Low</v>
      </c>
      <c r="AA149" s="19" t="str">
        <f t="shared" si="25"/>
        <v>Review</v>
      </c>
      <c r="AB149" s="14" t="s">
        <v>77</v>
      </c>
      <c r="AC149" s="14">
        <v>2</v>
      </c>
      <c r="AD149" s="14" t="s">
        <v>93</v>
      </c>
      <c r="AE149" s="17">
        <v>12</v>
      </c>
      <c r="AF149" s="15">
        <v>0</v>
      </c>
      <c r="AG149" s="20">
        <f t="shared" si="26"/>
        <v>1501766</v>
      </c>
      <c r="AH149" s="14">
        <v>1</v>
      </c>
      <c r="AI149" s="14" t="s">
        <v>76</v>
      </c>
      <c r="AJ149" s="14">
        <v>360</v>
      </c>
      <c r="AK149" s="21">
        <f t="shared" si="27"/>
        <v>8.5000000000000006E-2</v>
      </c>
      <c r="AL149" s="20">
        <f t="shared" si="28"/>
        <v>16135.472602916016</v>
      </c>
      <c r="AM149" s="22">
        <f t="shared" si="29"/>
        <v>1.3973395322573556</v>
      </c>
      <c r="AN149" s="20">
        <f t="shared" si="30"/>
        <v>23588.052602916017</v>
      </c>
      <c r="AO149" s="16">
        <f t="shared" si="31"/>
        <v>0.18848251407675509</v>
      </c>
      <c r="AP149" s="15">
        <v>2686541</v>
      </c>
      <c r="AQ149" s="18">
        <f t="shared" si="32"/>
        <v>0.78110737934019991</v>
      </c>
      <c r="AR149" s="23">
        <v>46125</v>
      </c>
      <c r="AS149" s="14" t="s">
        <v>79</v>
      </c>
    </row>
    <row r="150" spans="1:45" x14ac:dyDescent="0.25">
      <c r="A150" s="14" t="s">
        <v>575</v>
      </c>
      <c r="B150" s="14" t="s">
        <v>576</v>
      </c>
      <c r="C150" s="14">
        <v>9124804609</v>
      </c>
      <c r="D150" s="15" t="s">
        <v>577</v>
      </c>
      <c r="E150" s="14">
        <v>63</v>
      </c>
      <c r="F150" s="14" t="s">
        <v>89</v>
      </c>
      <c r="G150" s="14" t="s">
        <v>120</v>
      </c>
      <c r="H150" s="14" t="s">
        <v>91</v>
      </c>
      <c r="I150" s="14" t="s">
        <v>92</v>
      </c>
      <c r="J150" s="15">
        <v>1000073</v>
      </c>
      <c r="K150" s="14">
        <v>2</v>
      </c>
      <c r="L150" s="14" t="s">
        <v>76</v>
      </c>
      <c r="M150" s="14" t="s">
        <v>76</v>
      </c>
      <c r="N150" s="14" t="s">
        <v>75</v>
      </c>
      <c r="O150" s="14" t="s">
        <v>75</v>
      </c>
      <c r="P150" s="14">
        <v>355</v>
      </c>
      <c r="Q150" s="15">
        <v>15820.1</v>
      </c>
      <c r="R150" s="15">
        <v>427.57</v>
      </c>
      <c r="S150" s="14" t="s">
        <v>20</v>
      </c>
      <c r="T150" s="15">
        <v>74488</v>
      </c>
      <c r="U150" s="16">
        <f t="shared" si="22"/>
        <v>5.1304654760202508E-3</v>
      </c>
      <c r="V150" s="14">
        <v>0</v>
      </c>
      <c r="W150" s="17">
        <v>19.8</v>
      </c>
      <c r="X150" s="14">
        <v>9.9</v>
      </c>
      <c r="Y150" s="18">
        <f t="shared" si="23"/>
        <v>38.5</v>
      </c>
      <c r="Z150" s="18" t="str">
        <f t="shared" si="24"/>
        <v>Medium</v>
      </c>
      <c r="AA150" s="19" t="str">
        <f t="shared" si="25"/>
        <v>Not Eligible</v>
      </c>
      <c r="AB150" s="14" t="s">
        <v>77</v>
      </c>
      <c r="AC150" s="14">
        <v>1</v>
      </c>
      <c r="AD150" s="14" t="s">
        <v>78</v>
      </c>
      <c r="AE150" s="17">
        <v>8.6999999999999993</v>
      </c>
      <c r="AF150" s="15">
        <v>0</v>
      </c>
      <c r="AG150" s="20">
        <f t="shared" si="26"/>
        <v>1000073</v>
      </c>
      <c r="AH150" s="14">
        <v>0</v>
      </c>
      <c r="AI150" s="14" t="s">
        <v>75</v>
      </c>
      <c r="AJ150" s="14">
        <v>12</v>
      </c>
      <c r="AK150" s="21">
        <f t="shared" si="27"/>
        <v>0.375</v>
      </c>
      <c r="AL150" s="20">
        <f t="shared" si="28"/>
        <v>7539.1669782016515</v>
      </c>
      <c r="AM150" s="22">
        <f t="shared" si="29"/>
        <v>7.4482562772917579E-2</v>
      </c>
      <c r="AN150" s="20">
        <f t="shared" si="30"/>
        <v>7966.7369782016513</v>
      </c>
      <c r="AO150" s="16">
        <f t="shared" si="31"/>
        <v>9.5593865386246618E-2</v>
      </c>
      <c r="AP150" s="15">
        <v>0</v>
      </c>
      <c r="AQ150" s="18" t="str">
        <f t="shared" si="32"/>
        <v>N/A</v>
      </c>
      <c r="AR150" s="23">
        <v>45912</v>
      </c>
      <c r="AS150" s="14" t="s">
        <v>79</v>
      </c>
    </row>
    <row r="151" spans="1:45" x14ac:dyDescent="0.25">
      <c r="A151" s="14" t="s">
        <v>578</v>
      </c>
      <c r="B151" s="14" t="s">
        <v>579</v>
      </c>
      <c r="C151" s="14">
        <v>9449182252</v>
      </c>
      <c r="D151" s="15" t="s">
        <v>581</v>
      </c>
      <c r="E151" s="14">
        <v>50</v>
      </c>
      <c r="F151" s="14" t="s">
        <v>89</v>
      </c>
      <c r="G151" s="14" t="s">
        <v>83</v>
      </c>
      <c r="H151" s="14" t="s">
        <v>107</v>
      </c>
      <c r="I151" s="14" t="s">
        <v>92</v>
      </c>
      <c r="J151" s="15">
        <v>866712</v>
      </c>
      <c r="K151" s="14">
        <v>1</v>
      </c>
      <c r="L151" s="14" t="s">
        <v>75</v>
      </c>
      <c r="M151" s="14" t="s">
        <v>75</v>
      </c>
      <c r="N151" s="14" t="s">
        <v>76</v>
      </c>
      <c r="O151" s="14" t="s">
        <v>75</v>
      </c>
      <c r="P151" s="14">
        <v>877</v>
      </c>
      <c r="Q151" s="15">
        <v>226200.06</v>
      </c>
      <c r="R151" s="15">
        <v>4350</v>
      </c>
      <c r="S151" s="14" t="s">
        <v>22</v>
      </c>
      <c r="T151" s="15">
        <v>1028064</v>
      </c>
      <c r="U151" s="16">
        <f t="shared" si="22"/>
        <v>6.0227618863013317E-2</v>
      </c>
      <c r="V151" s="14">
        <v>1</v>
      </c>
      <c r="W151" s="17">
        <v>26.6</v>
      </c>
      <c r="X151" s="14">
        <v>1.5</v>
      </c>
      <c r="Y151" s="18">
        <f t="shared" si="23"/>
        <v>10</v>
      </c>
      <c r="Z151" s="18" t="str">
        <f t="shared" si="24"/>
        <v>Low</v>
      </c>
      <c r="AA151" s="19" t="str">
        <f t="shared" si="25"/>
        <v>Eligible</v>
      </c>
      <c r="AB151" s="14" t="s">
        <v>85</v>
      </c>
      <c r="AC151" s="14">
        <v>1</v>
      </c>
      <c r="AD151" s="14" t="s">
        <v>78</v>
      </c>
      <c r="AE151" s="17">
        <v>0.6</v>
      </c>
      <c r="AF151" s="15">
        <v>0</v>
      </c>
      <c r="AG151" s="20">
        <f t="shared" si="26"/>
        <v>866712</v>
      </c>
      <c r="AH151" s="14">
        <v>1</v>
      </c>
      <c r="AI151" s="14" t="s">
        <v>75</v>
      </c>
      <c r="AJ151" s="14">
        <v>48</v>
      </c>
      <c r="AK151" s="21">
        <f t="shared" si="27"/>
        <v>0.09</v>
      </c>
      <c r="AL151" s="20">
        <f t="shared" si="28"/>
        <v>25583.416203116296</v>
      </c>
      <c r="AM151" s="22">
        <f t="shared" si="29"/>
        <v>1.1861656467200177</v>
      </c>
      <c r="AN151" s="20">
        <f t="shared" si="30"/>
        <v>29933.416203116296</v>
      </c>
      <c r="AO151" s="16">
        <f t="shared" si="31"/>
        <v>0.41444100743660583</v>
      </c>
      <c r="AP151" s="15">
        <v>1175940</v>
      </c>
      <c r="AQ151" s="18">
        <f t="shared" si="32"/>
        <v>0.87424868615745699</v>
      </c>
      <c r="AR151" s="23">
        <v>45899</v>
      </c>
      <c r="AS151" s="14" t="s">
        <v>79</v>
      </c>
    </row>
    <row r="152" spans="1:45" x14ac:dyDescent="0.25">
      <c r="A152" s="14" t="s">
        <v>582</v>
      </c>
      <c r="B152" s="14" t="s">
        <v>583</v>
      </c>
      <c r="C152" s="14"/>
      <c r="D152" s="15" t="s">
        <v>584</v>
      </c>
      <c r="E152" s="14">
        <v>48</v>
      </c>
      <c r="F152" s="14" t="s">
        <v>89</v>
      </c>
      <c r="G152" s="14" t="s">
        <v>131</v>
      </c>
      <c r="H152" s="14" t="s">
        <v>166</v>
      </c>
      <c r="I152" s="14" t="s">
        <v>74</v>
      </c>
      <c r="J152" s="15">
        <v>1867176</v>
      </c>
      <c r="K152" s="14">
        <v>1</v>
      </c>
      <c r="L152" s="14" t="s">
        <v>76</v>
      </c>
      <c r="M152" s="14" t="s">
        <v>75</v>
      </c>
      <c r="N152" s="14" t="s">
        <v>75</v>
      </c>
      <c r="O152" s="14" t="s">
        <v>75</v>
      </c>
      <c r="P152" s="14">
        <v>699</v>
      </c>
      <c r="Q152" s="15">
        <v>928091.25</v>
      </c>
      <c r="R152" s="15">
        <v>35695.82</v>
      </c>
      <c r="S152" s="14" t="s">
        <v>22</v>
      </c>
      <c r="T152" s="15">
        <v>466114</v>
      </c>
      <c r="U152" s="16">
        <f t="shared" si="22"/>
        <v>0.22941053226905228</v>
      </c>
      <c r="V152" s="14">
        <v>0</v>
      </c>
      <c r="W152" s="17">
        <v>27.8</v>
      </c>
      <c r="X152" s="14">
        <v>11.5</v>
      </c>
      <c r="Y152" s="18">
        <f t="shared" si="23"/>
        <v>23.1</v>
      </c>
      <c r="Z152" s="18" t="str">
        <f t="shared" si="24"/>
        <v>Low</v>
      </c>
      <c r="AA152" s="19" t="str">
        <f t="shared" si="25"/>
        <v>Eligible</v>
      </c>
      <c r="AB152" s="14" t="s">
        <v>77</v>
      </c>
      <c r="AC152" s="14">
        <v>3</v>
      </c>
      <c r="AD152" s="14" t="s">
        <v>93</v>
      </c>
      <c r="AE152" s="17">
        <v>7.9</v>
      </c>
      <c r="AF152" s="15">
        <v>0</v>
      </c>
      <c r="AG152" s="20">
        <f t="shared" si="26"/>
        <v>1867176</v>
      </c>
      <c r="AH152" s="14">
        <v>2</v>
      </c>
      <c r="AI152" s="14" t="s">
        <v>75</v>
      </c>
      <c r="AJ152" s="14">
        <v>24</v>
      </c>
      <c r="AK152" s="21">
        <f t="shared" si="27"/>
        <v>0.09</v>
      </c>
      <c r="AL152" s="20">
        <f t="shared" si="28"/>
        <v>21294.297962714485</v>
      </c>
      <c r="AM152" s="22">
        <f t="shared" si="29"/>
        <v>0.24963581365655943</v>
      </c>
      <c r="AN152" s="20">
        <f t="shared" si="30"/>
        <v>56990.117962714488</v>
      </c>
      <c r="AO152" s="16">
        <f t="shared" si="31"/>
        <v>0.36626510599567147</v>
      </c>
      <c r="AP152" s="15">
        <v>506424</v>
      </c>
      <c r="AQ152" s="18">
        <f t="shared" si="32"/>
        <v>0.92040266654029035</v>
      </c>
      <c r="AR152" s="23">
        <v>46043</v>
      </c>
      <c r="AS152" s="14" t="s">
        <v>79</v>
      </c>
    </row>
    <row r="153" spans="1:45" x14ac:dyDescent="0.25">
      <c r="A153" s="14" t="s">
        <v>585</v>
      </c>
      <c r="B153" s="14" t="s">
        <v>540</v>
      </c>
      <c r="C153" s="14">
        <v>9586155117</v>
      </c>
      <c r="D153" s="15" t="s">
        <v>586</v>
      </c>
      <c r="E153" s="14">
        <v>52</v>
      </c>
      <c r="F153" s="14" t="s">
        <v>71</v>
      </c>
      <c r="G153" s="14" t="s">
        <v>226</v>
      </c>
      <c r="H153" s="14" t="s">
        <v>166</v>
      </c>
      <c r="I153" s="14" t="s">
        <v>74</v>
      </c>
      <c r="J153" s="15">
        <v>938160</v>
      </c>
      <c r="K153" s="14">
        <v>3</v>
      </c>
      <c r="L153" s="14" t="s">
        <v>76</v>
      </c>
      <c r="M153" s="14" t="s">
        <v>75</v>
      </c>
      <c r="N153" s="14" t="s">
        <v>76</v>
      </c>
      <c r="O153" s="14" t="s">
        <v>76</v>
      </c>
      <c r="P153" s="14">
        <v>575</v>
      </c>
      <c r="Q153" s="15">
        <v>70384</v>
      </c>
      <c r="R153" s="15">
        <v>1759.6</v>
      </c>
      <c r="S153" s="14" t="s">
        <v>20</v>
      </c>
      <c r="T153" s="15">
        <v>142059</v>
      </c>
      <c r="U153" s="16">
        <f t="shared" si="22"/>
        <v>2.2507035047326679E-2</v>
      </c>
      <c r="V153" s="14">
        <v>0</v>
      </c>
      <c r="W153" s="17">
        <v>6.4</v>
      </c>
      <c r="X153" s="14">
        <v>3.4</v>
      </c>
      <c r="Y153" s="18">
        <f t="shared" si="23"/>
        <v>23</v>
      </c>
      <c r="Z153" s="18" t="str">
        <f t="shared" si="24"/>
        <v>Low</v>
      </c>
      <c r="AA153" s="19" t="str">
        <f t="shared" si="25"/>
        <v>Review</v>
      </c>
      <c r="AB153" s="14" t="s">
        <v>85</v>
      </c>
      <c r="AC153" s="14">
        <v>2</v>
      </c>
      <c r="AD153" s="14" t="s">
        <v>93</v>
      </c>
      <c r="AE153" s="17">
        <v>11.3</v>
      </c>
      <c r="AF153" s="15">
        <v>0</v>
      </c>
      <c r="AG153" s="20">
        <f t="shared" si="26"/>
        <v>938160</v>
      </c>
      <c r="AH153" s="14">
        <v>0</v>
      </c>
      <c r="AI153" s="14" t="s">
        <v>75</v>
      </c>
      <c r="AJ153" s="14">
        <v>18</v>
      </c>
      <c r="AK153" s="21">
        <f t="shared" si="27"/>
        <v>0.36</v>
      </c>
      <c r="AL153" s="20">
        <f t="shared" si="28"/>
        <v>10328.924630332052</v>
      </c>
      <c r="AM153" s="22">
        <f t="shared" si="29"/>
        <v>0.15142299820926067</v>
      </c>
      <c r="AN153" s="20">
        <f t="shared" si="30"/>
        <v>12088.524630332053</v>
      </c>
      <c r="AO153" s="16">
        <f t="shared" si="31"/>
        <v>0.15462425978935856</v>
      </c>
      <c r="AP153" s="15">
        <v>0</v>
      </c>
      <c r="AQ153" s="18" t="str">
        <f t="shared" si="32"/>
        <v>N/A</v>
      </c>
      <c r="AR153" s="23">
        <v>45923</v>
      </c>
      <c r="AS153" s="14" t="s">
        <v>79</v>
      </c>
    </row>
    <row r="154" spans="1:45" x14ac:dyDescent="0.25">
      <c r="A154" s="14" t="s">
        <v>587</v>
      </c>
      <c r="B154" s="14" t="s">
        <v>588</v>
      </c>
      <c r="C154" s="14">
        <v>9683247918</v>
      </c>
      <c r="D154" s="15" t="s">
        <v>589</v>
      </c>
      <c r="E154" s="14">
        <v>33</v>
      </c>
      <c r="F154" s="14" t="s">
        <v>89</v>
      </c>
      <c r="G154" s="14" t="s">
        <v>153</v>
      </c>
      <c r="H154" s="14" t="s">
        <v>166</v>
      </c>
      <c r="I154" s="14" t="s">
        <v>74</v>
      </c>
      <c r="J154" s="15">
        <v>811543</v>
      </c>
      <c r="K154" s="14">
        <v>0</v>
      </c>
      <c r="L154" s="14" t="s">
        <v>75</v>
      </c>
      <c r="M154" s="14" t="s">
        <v>75</v>
      </c>
      <c r="N154" s="14" t="s">
        <v>75</v>
      </c>
      <c r="O154" s="14" t="s">
        <v>75</v>
      </c>
      <c r="P154" s="14">
        <v>553</v>
      </c>
      <c r="Q154" s="15">
        <v>59860.95</v>
      </c>
      <c r="R154" s="15">
        <v>4275.78</v>
      </c>
      <c r="S154" s="14" t="s">
        <v>21</v>
      </c>
      <c r="T154" s="15"/>
      <c r="U154" s="16">
        <f t="shared" si="22"/>
        <v>6.3224450213975103E-2</v>
      </c>
      <c r="V154" s="14">
        <v>2</v>
      </c>
      <c r="W154" s="17">
        <v>13.9</v>
      </c>
      <c r="X154" s="14">
        <v>10.1</v>
      </c>
      <c r="Y154" s="18">
        <f t="shared" si="23"/>
        <v>34.4</v>
      </c>
      <c r="Z154" s="18" t="str">
        <f t="shared" si="24"/>
        <v>Medium</v>
      </c>
      <c r="AA154" s="19" t="str">
        <f t="shared" si="25"/>
        <v>Review</v>
      </c>
      <c r="AB154" s="14" t="s">
        <v>85</v>
      </c>
      <c r="AC154" s="14">
        <v>1</v>
      </c>
      <c r="AD154" s="14" t="s">
        <v>194</v>
      </c>
      <c r="AE154" s="17">
        <v>11.3</v>
      </c>
      <c r="AF154" s="15">
        <v>696178</v>
      </c>
      <c r="AG154" s="20">
        <f t="shared" si="26"/>
        <v>1507721</v>
      </c>
      <c r="AH154" s="14">
        <v>1</v>
      </c>
      <c r="AI154" s="14" t="s">
        <v>75</v>
      </c>
      <c r="AJ154" s="14">
        <v>12</v>
      </c>
      <c r="AK154" s="21">
        <f t="shared" si="27"/>
        <v>0.15500000000000003</v>
      </c>
      <c r="AL154" s="20">
        <f t="shared" si="28"/>
        <v>0</v>
      </c>
      <c r="AM154" s="22">
        <f t="shared" si="29"/>
        <v>0</v>
      </c>
      <c r="AN154" s="20">
        <f t="shared" si="30"/>
        <v>4275.78</v>
      </c>
      <c r="AO154" s="16">
        <f t="shared" si="31"/>
        <v>6.3224450213975103E-2</v>
      </c>
      <c r="AP154" s="15">
        <v>0</v>
      </c>
      <c r="AQ154" s="18" t="str">
        <f t="shared" si="32"/>
        <v>N/A</v>
      </c>
      <c r="AR154" s="23">
        <v>46024</v>
      </c>
      <c r="AS154" s="14" t="s">
        <v>79</v>
      </c>
    </row>
    <row r="155" spans="1:45" x14ac:dyDescent="0.25">
      <c r="A155" s="14" t="s">
        <v>590</v>
      </c>
      <c r="B155" s="14" t="s">
        <v>591</v>
      </c>
      <c r="C155" s="14">
        <v>9487005172</v>
      </c>
      <c r="D155" s="15" t="s">
        <v>593</v>
      </c>
      <c r="E155" s="14">
        <v>63</v>
      </c>
      <c r="F155" s="14" t="s">
        <v>71</v>
      </c>
      <c r="G155" s="14" t="s">
        <v>139</v>
      </c>
      <c r="H155" s="14" t="s">
        <v>91</v>
      </c>
      <c r="I155" s="14" t="s">
        <v>92</v>
      </c>
      <c r="J155" s="15">
        <v>2121005</v>
      </c>
      <c r="K155" s="14">
        <v>3</v>
      </c>
      <c r="L155" s="14" t="s">
        <v>76</v>
      </c>
      <c r="M155" s="14" t="s">
        <v>76</v>
      </c>
      <c r="N155" s="14" t="s">
        <v>75</v>
      </c>
      <c r="O155" s="14" t="s">
        <v>76</v>
      </c>
      <c r="P155" s="14">
        <v>548</v>
      </c>
      <c r="Q155" s="15">
        <v>11364</v>
      </c>
      <c r="R155" s="15">
        <v>811.73</v>
      </c>
      <c r="S155" s="14" t="s">
        <v>23</v>
      </c>
      <c r="T155" s="15">
        <v>7274772</v>
      </c>
      <c r="U155" s="16">
        <f t="shared" si="22"/>
        <v>4.592520998300334E-3</v>
      </c>
      <c r="V155" s="14">
        <v>1</v>
      </c>
      <c r="W155" s="17">
        <v>40.299999999999997</v>
      </c>
      <c r="X155" s="14">
        <v>1.5</v>
      </c>
      <c r="Y155" s="18">
        <f t="shared" si="23"/>
        <v>31.6</v>
      </c>
      <c r="Z155" s="18" t="str">
        <f t="shared" si="24"/>
        <v>Medium</v>
      </c>
      <c r="AA155" s="19" t="str">
        <f t="shared" si="25"/>
        <v>Not Eligible</v>
      </c>
      <c r="AB155" s="14" t="s">
        <v>85</v>
      </c>
      <c r="AC155" s="14">
        <v>0</v>
      </c>
      <c r="AD155" s="14" t="s">
        <v>93</v>
      </c>
      <c r="AE155" s="17">
        <v>27.9</v>
      </c>
      <c r="AF155" s="15">
        <v>0</v>
      </c>
      <c r="AG155" s="20">
        <f t="shared" si="26"/>
        <v>2121005</v>
      </c>
      <c r="AH155" s="14">
        <v>1</v>
      </c>
      <c r="AI155" s="14" t="s">
        <v>75</v>
      </c>
      <c r="AJ155" s="14">
        <v>180</v>
      </c>
      <c r="AK155" s="21">
        <f t="shared" si="27"/>
        <v>0.1</v>
      </c>
      <c r="AL155" s="20">
        <f t="shared" si="28"/>
        <v>78175.072213597086</v>
      </c>
      <c r="AM155" s="22">
        <f t="shared" si="29"/>
        <v>3.4298702737617308</v>
      </c>
      <c r="AN155" s="20">
        <f t="shared" si="30"/>
        <v>78986.802213597082</v>
      </c>
      <c r="AO155" s="16">
        <f t="shared" si="31"/>
        <v>0.4468832589094156</v>
      </c>
      <c r="AP155" s="15">
        <v>9641488</v>
      </c>
      <c r="AQ155" s="18">
        <f t="shared" si="32"/>
        <v>0.75452793178812239</v>
      </c>
      <c r="AR155" s="23">
        <v>45949</v>
      </c>
      <c r="AS155" s="14" t="s">
        <v>79</v>
      </c>
    </row>
    <row r="156" spans="1:45" x14ac:dyDescent="0.25">
      <c r="A156" s="14" t="s">
        <v>594</v>
      </c>
      <c r="B156" s="14" t="s">
        <v>595</v>
      </c>
      <c r="C156" s="14">
        <v>9699524216</v>
      </c>
      <c r="D156" s="15" t="s">
        <v>597</v>
      </c>
      <c r="E156" s="14">
        <v>49</v>
      </c>
      <c r="F156" s="14" t="s">
        <v>71</v>
      </c>
      <c r="G156" s="14" t="s">
        <v>127</v>
      </c>
      <c r="H156" s="14" t="s">
        <v>99</v>
      </c>
      <c r="I156" s="14" t="s">
        <v>74</v>
      </c>
      <c r="J156" s="15">
        <v>1802263</v>
      </c>
      <c r="K156" s="14">
        <v>2</v>
      </c>
      <c r="L156" s="14" t="s">
        <v>75</v>
      </c>
      <c r="M156" s="14" t="s">
        <v>76</v>
      </c>
      <c r="N156" s="14" t="s">
        <v>76</v>
      </c>
      <c r="O156" s="14" t="s">
        <v>75</v>
      </c>
      <c r="P156" s="14">
        <v>872</v>
      </c>
      <c r="Q156" s="15"/>
      <c r="R156" s="15">
        <v>5690.93</v>
      </c>
      <c r="S156" s="14" t="s">
        <v>23</v>
      </c>
      <c r="T156" s="15">
        <v>3091955</v>
      </c>
      <c r="U156" s="16">
        <f t="shared" si="22"/>
        <v>3.7891894801147227E-2</v>
      </c>
      <c r="V156" s="14">
        <v>1</v>
      </c>
      <c r="W156" s="17">
        <v>56.6</v>
      </c>
      <c r="X156" s="14">
        <v>5</v>
      </c>
      <c r="Y156" s="18">
        <f t="shared" si="23"/>
        <v>12.7</v>
      </c>
      <c r="Z156" s="18" t="str">
        <f t="shared" si="24"/>
        <v>Low</v>
      </c>
      <c r="AA156" s="19" t="str">
        <f t="shared" si="25"/>
        <v>Eligible</v>
      </c>
      <c r="AB156" s="14" t="s">
        <v>85</v>
      </c>
      <c r="AC156" s="14">
        <v>3</v>
      </c>
      <c r="AD156" s="14" t="s">
        <v>93</v>
      </c>
      <c r="AE156" s="17">
        <v>24.1</v>
      </c>
      <c r="AF156" s="15">
        <v>548353</v>
      </c>
      <c r="AG156" s="20">
        <f t="shared" si="26"/>
        <v>2350616</v>
      </c>
      <c r="AH156" s="14">
        <v>0</v>
      </c>
      <c r="AI156" s="14" t="s">
        <v>75</v>
      </c>
      <c r="AJ156" s="14">
        <v>360</v>
      </c>
      <c r="AK156" s="21">
        <f t="shared" si="27"/>
        <v>8.5000000000000006E-2</v>
      </c>
      <c r="AL156" s="20">
        <f t="shared" si="28"/>
        <v>23774.458901359983</v>
      </c>
      <c r="AM156" s="22">
        <f t="shared" si="29"/>
        <v>1.7155958924973769</v>
      </c>
      <c r="AN156" s="20">
        <f t="shared" si="30"/>
        <v>29465.388901359984</v>
      </c>
      <c r="AO156" s="16">
        <f t="shared" si="31"/>
        <v>0.19618927249592308</v>
      </c>
      <c r="AP156" s="15">
        <v>3839522</v>
      </c>
      <c r="AQ156" s="18">
        <f t="shared" si="32"/>
        <v>0.80529685726504496</v>
      </c>
      <c r="AR156" s="23">
        <v>45895</v>
      </c>
      <c r="AS156" s="14" t="s">
        <v>79</v>
      </c>
    </row>
    <row r="157" spans="1:45" x14ac:dyDescent="0.25">
      <c r="A157" s="14" t="s">
        <v>598</v>
      </c>
      <c r="B157" s="14" t="s">
        <v>599</v>
      </c>
      <c r="C157" s="14"/>
      <c r="D157" s="15"/>
      <c r="E157" s="14">
        <v>60</v>
      </c>
      <c r="F157" s="14" t="s">
        <v>89</v>
      </c>
      <c r="G157" s="14" t="s">
        <v>131</v>
      </c>
      <c r="H157" s="14" t="s">
        <v>103</v>
      </c>
      <c r="I157" s="14" t="s">
        <v>74</v>
      </c>
      <c r="J157" s="15">
        <v>565674</v>
      </c>
      <c r="K157" s="14">
        <v>0</v>
      </c>
      <c r="L157" s="14" t="s">
        <v>75</v>
      </c>
      <c r="M157" s="14" t="s">
        <v>75</v>
      </c>
      <c r="N157" s="14" t="s">
        <v>75</v>
      </c>
      <c r="O157" s="14" t="s">
        <v>75</v>
      </c>
      <c r="P157" s="14">
        <v>809</v>
      </c>
      <c r="Q157" s="15"/>
      <c r="R157" s="15">
        <v>2062.65</v>
      </c>
      <c r="S157" s="14" t="s">
        <v>22</v>
      </c>
      <c r="T157" s="15"/>
      <c r="U157" s="16">
        <f t="shared" si="22"/>
        <v>4.3756297796964334E-2</v>
      </c>
      <c r="V157" s="14">
        <v>0</v>
      </c>
      <c r="W157" s="17">
        <v>35.6</v>
      </c>
      <c r="X157" s="14">
        <v>1.6</v>
      </c>
      <c r="Y157" s="18">
        <f t="shared" si="23"/>
        <v>10.9</v>
      </c>
      <c r="Z157" s="18" t="str">
        <f t="shared" si="24"/>
        <v>Low</v>
      </c>
      <c r="AA157" s="19" t="str">
        <f t="shared" si="25"/>
        <v>Eligible</v>
      </c>
      <c r="AB157" s="14" t="s">
        <v>77</v>
      </c>
      <c r="AC157" s="14">
        <v>0</v>
      </c>
      <c r="AD157" s="14" t="s">
        <v>194</v>
      </c>
      <c r="AE157" s="17">
        <v>5.6</v>
      </c>
      <c r="AF157" s="15">
        <v>230291</v>
      </c>
      <c r="AG157" s="20">
        <f t="shared" si="26"/>
        <v>795965</v>
      </c>
      <c r="AH157" s="14">
        <v>0</v>
      </c>
      <c r="AI157" s="14" t="s">
        <v>75</v>
      </c>
      <c r="AJ157" s="14">
        <v>84</v>
      </c>
      <c r="AK157" s="21">
        <f t="shared" si="27"/>
        <v>0.09</v>
      </c>
      <c r="AL157" s="20">
        <f t="shared" si="28"/>
        <v>0</v>
      </c>
      <c r="AM157" s="22">
        <f t="shared" si="29"/>
        <v>0</v>
      </c>
      <c r="AN157" s="20">
        <f t="shared" si="30"/>
        <v>2062.65</v>
      </c>
      <c r="AO157" s="16">
        <f t="shared" si="31"/>
        <v>4.3756297796964334E-2</v>
      </c>
      <c r="AP157" s="15">
        <v>1188704</v>
      </c>
      <c r="AQ157" s="18">
        <f t="shared" si="32"/>
        <v>0</v>
      </c>
      <c r="AR157" s="23">
        <v>46231</v>
      </c>
      <c r="AS157" s="14" t="s">
        <v>79</v>
      </c>
    </row>
    <row r="158" spans="1:45" x14ac:dyDescent="0.25">
      <c r="A158" s="14" t="s">
        <v>600</v>
      </c>
      <c r="B158" s="14" t="s">
        <v>601</v>
      </c>
      <c r="C158" s="14">
        <v>9733830783</v>
      </c>
      <c r="D158" s="15" t="s">
        <v>603</v>
      </c>
      <c r="E158" s="14">
        <v>44</v>
      </c>
      <c r="F158" s="14" t="s">
        <v>71</v>
      </c>
      <c r="G158" s="14" t="s">
        <v>120</v>
      </c>
      <c r="H158" s="14" t="s">
        <v>166</v>
      </c>
      <c r="I158" s="14" t="s">
        <v>74</v>
      </c>
      <c r="J158" s="15">
        <v>1175511</v>
      </c>
      <c r="K158" s="14">
        <v>0</v>
      </c>
      <c r="L158" s="14" t="s">
        <v>75</v>
      </c>
      <c r="M158" s="14" t="s">
        <v>75</v>
      </c>
      <c r="N158" s="14" t="s">
        <v>75</v>
      </c>
      <c r="O158" s="14" t="s">
        <v>75</v>
      </c>
      <c r="P158" s="14">
        <v>362</v>
      </c>
      <c r="Q158" s="15">
        <v>42427</v>
      </c>
      <c r="R158" s="15">
        <v>719.11</v>
      </c>
      <c r="S158" s="14" t="s">
        <v>23</v>
      </c>
      <c r="T158" s="15"/>
      <c r="U158" s="16">
        <f t="shared" si="22"/>
        <v>7.3409096129257827E-3</v>
      </c>
      <c r="V158" s="14">
        <v>3</v>
      </c>
      <c r="W158" s="17">
        <v>10.5</v>
      </c>
      <c r="X158" s="14">
        <v>9.3000000000000007</v>
      </c>
      <c r="Y158" s="18">
        <f t="shared" si="23"/>
        <v>49.1</v>
      </c>
      <c r="Z158" s="18" t="str">
        <f t="shared" si="24"/>
        <v>Medium</v>
      </c>
      <c r="AA158" s="19" t="str">
        <f t="shared" si="25"/>
        <v>Not Eligible</v>
      </c>
      <c r="AB158" s="14" t="s">
        <v>85</v>
      </c>
      <c r="AC158" s="14">
        <v>2</v>
      </c>
      <c r="AD158" s="14" t="s">
        <v>93</v>
      </c>
      <c r="AE158" s="17">
        <v>2.1</v>
      </c>
      <c r="AF158" s="15">
        <v>539614</v>
      </c>
      <c r="AG158" s="20">
        <f t="shared" si="26"/>
        <v>1715125</v>
      </c>
      <c r="AH158" s="14">
        <v>0</v>
      </c>
      <c r="AI158" s="14" t="s">
        <v>75</v>
      </c>
      <c r="AJ158" s="14">
        <v>300</v>
      </c>
      <c r="AK158" s="21">
        <f t="shared" si="27"/>
        <v>0.1</v>
      </c>
      <c r="AL158" s="20">
        <f t="shared" si="28"/>
        <v>0</v>
      </c>
      <c r="AM158" s="22">
        <f t="shared" si="29"/>
        <v>0</v>
      </c>
      <c r="AN158" s="20">
        <f t="shared" si="30"/>
        <v>719.11</v>
      </c>
      <c r="AO158" s="16">
        <f t="shared" si="31"/>
        <v>7.3409096129257827E-3</v>
      </c>
      <c r="AP158" s="15">
        <v>5503056</v>
      </c>
      <c r="AQ158" s="18">
        <f t="shared" si="32"/>
        <v>0</v>
      </c>
      <c r="AR158" s="23">
        <v>46164</v>
      </c>
      <c r="AS158" s="14" t="s">
        <v>79</v>
      </c>
    </row>
    <row r="159" spans="1:45" x14ac:dyDescent="0.25">
      <c r="A159" s="14" t="s">
        <v>604</v>
      </c>
      <c r="B159" s="14" t="s">
        <v>242</v>
      </c>
      <c r="C159" s="14">
        <v>9292090149</v>
      </c>
      <c r="D159" s="15" t="s">
        <v>605</v>
      </c>
      <c r="E159" s="14">
        <v>47</v>
      </c>
      <c r="F159" s="14" t="s">
        <v>71</v>
      </c>
      <c r="G159" s="14" t="s">
        <v>106</v>
      </c>
      <c r="H159" s="14" t="s">
        <v>107</v>
      </c>
      <c r="I159" s="14" t="s">
        <v>92</v>
      </c>
      <c r="J159" s="15">
        <v>2091282</v>
      </c>
      <c r="K159" s="14">
        <v>2</v>
      </c>
      <c r="L159" s="14" t="s">
        <v>75</v>
      </c>
      <c r="M159" s="14" t="s">
        <v>76</v>
      </c>
      <c r="N159" s="14" t="s">
        <v>76</v>
      </c>
      <c r="O159" s="14" t="s">
        <v>75</v>
      </c>
      <c r="P159" s="14">
        <v>645</v>
      </c>
      <c r="Q159" s="15"/>
      <c r="R159" s="15">
        <v>17935.89</v>
      </c>
      <c r="S159" s="14" t="s">
        <v>23</v>
      </c>
      <c r="T159" s="15">
        <v>4455508</v>
      </c>
      <c r="U159" s="16">
        <f t="shared" si="22"/>
        <v>0.10291805696218874</v>
      </c>
      <c r="V159" s="14">
        <v>4</v>
      </c>
      <c r="W159" s="17">
        <v>57.3</v>
      </c>
      <c r="X159" s="14">
        <v>15</v>
      </c>
      <c r="Y159" s="18">
        <f t="shared" si="23"/>
        <v>41.8</v>
      </c>
      <c r="Z159" s="18" t="str">
        <f t="shared" si="24"/>
        <v>Medium</v>
      </c>
      <c r="AA159" s="19" t="str">
        <f t="shared" si="25"/>
        <v>Review</v>
      </c>
      <c r="AB159" s="14" t="s">
        <v>77</v>
      </c>
      <c r="AC159" s="14">
        <v>1</v>
      </c>
      <c r="AD159" s="14" t="s">
        <v>93</v>
      </c>
      <c r="AE159" s="17">
        <v>21.5</v>
      </c>
      <c r="AF159" s="15">
        <v>330542</v>
      </c>
      <c r="AG159" s="20">
        <f t="shared" si="26"/>
        <v>2421824</v>
      </c>
      <c r="AH159" s="14">
        <v>0</v>
      </c>
      <c r="AI159" s="14" t="s">
        <v>75</v>
      </c>
      <c r="AJ159" s="14">
        <v>360</v>
      </c>
      <c r="AK159" s="21">
        <f t="shared" si="27"/>
        <v>0.1</v>
      </c>
      <c r="AL159" s="20">
        <f t="shared" si="28"/>
        <v>39100.271511032035</v>
      </c>
      <c r="AM159" s="22">
        <f t="shared" si="29"/>
        <v>2.1305151576879635</v>
      </c>
      <c r="AN159" s="20">
        <f t="shared" si="30"/>
        <v>57036.161511032034</v>
      </c>
      <c r="AO159" s="16">
        <f t="shared" si="31"/>
        <v>0.32727960080581409</v>
      </c>
      <c r="AP159" s="15">
        <v>6155448</v>
      </c>
      <c r="AQ159" s="18">
        <f t="shared" si="32"/>
        <v>0.72383163662498651</v>
      </c>
      <c r="AR159" s="23">
        <v>46025</v>
      </c>
      <c r="AS159" s="14" t="s">
        <v>79</v>
      </c>
    </row>
    <row r="160" spans="1:45" x14ac:dyDescent="0.25">
      <c r="A160" s="14" t="s">
        <v>606</v>
      </c>
      <c r="B160" s="14" t="s">
        <v>607</v>
      </c>
      <c r="C160" s="14"/>
      <c r="D160" s="15"/>
      <c r="E160" s="14">
        <v>39</v>
      </c>
      <c r="F160" s="14" t="s">
        <v>71</v>
      </c>
      <c r="G160" s="14" t="s">
        <v>314</v>
      </c>
      <c r="H160" s="14" t="s">
        <v>132</v>
      </c>
      <c r="I160" s="14" t="s">
        <v>92</v>
      </c>
      <c r="J160" s="15">
        <v>1566015</v>
      </c>
      <c r="K160" s="14">
        <v>2</v>
      </c>
      <c r="L160" s="14" t="s">
        <v>76</v>
      </c>
      <c r="M160" s="14" t="s">
        <v>75</v>
      </c>
      <c r="N160" s="14" t="s">
        <v>76</v>
      </c>
      <c r="O160" s="14" t="s">
        <v>75</v>
      </c>
      <c r="P160" s="14">
        <v>582</v>
      </c>
      <c r="Q160" s="15"/>
      <c r="R160" s="15">
        <v>19627.41</v>
      </c>
      <c r="S160" s="14" t="s">
        <v>21</v>
      </c>
      <c r="T160" s="15"/>
      <c r="U160" s="16">
        <f t="shared" si="22"/>
        <v>0.15040016858076072</v>
      </c>
      <c r="V160" s="14">
        <v>0</v>
      </c>
      <c r="W160" s="17">
        <v>38.799999999999997</v>
      </c>
      <c r="X160" s="14">
        <v>2.2000000000000002</v>
      </c>
      <c r="Y160" s="18">
        <f t="shared" si="23"/>
        <v>29.6</v>
      </c>
      <c r="Z160" s="18" t="str">
        <f t="shared" si="24"/>
        <v>Low</v>
      </c>
      <c r="AA160" s="19" t="str">
        <f t="shared" si="25"/>
        <v>Review</v>
      </c>
      <c r="AB160" s="14" t="s">
        <v>85</v>
      </c>
      <c r="AC160" s="14">
        <v>2</v>
      </c>
      <c r="AD160" s="14" t="s">
        <v>78</v>
      </c>
      <c r="AE160" s="17">
        <v>14.7</v>
      </c>
      <c r="AF160" s="15">
        <v>449849</v>
      </c>
      <c r="AG160" s="20">
        <f t="shared" si="26"/>
        <v>2015864</v>
      </c>
      <c r="AH160" s="14">
        <v>2</v>
      </c>
      <c r="AI160" s="14" t="s">
        <v>75</v>
      </c>
      <c r="AJ160" s="14">
        <v>36</v>
      </c>
      <c r="AK160" s="21">
        <f t="shared" si="27"/>
        <v>0.14000000000000001</v>
      </c>
      <c r="AL160" s="20">
        <f t="shared" si="28"/>
        <v>0</v>
      </c>
      <c r="AM160" s="22">
        <f t="shared" si="29"/>
        <v>0</v>
      </c>
      <c r="AN160" s="20">
        <f t="shared" si="30"/>
        <v>19627.41</v>
      </c>
      <c r="AO160" s="16">
        <f t="shared" si="31"/>
        <v>0.15040016858076072</v>
      </c>
      <c r="AP160" s="15">
        <v>0</v>
      </c>
      <c r="AQ160" s="18" t="str">
        <f t="shared" si="32"/>
        <v>N/A</v>
      </c>
      <c r="AR160" s="23">
        <v>46142</v>
      </c>
      <c r="AS160" s="14" t="s">
        <v>79</v>
      </c>
    </row>
    <row r="161" spans="1:45" x14ac:dyDescent="0.25">
      <c r="A161" s="14" t="s">
        <v>608</v>
      </c>
      <c r="B161" s="14" t="s">
        <v>609</v>
      </c>
      <c r="C161" s="14">
        <v>9840447097</v>
      </c>
      <c r="D161" s="15" t="s">
        <v>611</v>
      </c>
      <c r="E161" s="14">
        <v>27</v>
      </c>
      <c r="F161" s="14" t="s">
        <v>89</v>
      </c>
      <c r="G161" s="14" t="s">
        <v>90</v>
      </c>
      <c r="H161" s="14" t="s">
        <v>99</v>
      </c>
      <c r="I161" s="14" t="s">
        <v>74</v>
      </c>
      <c r="J161" s="15">
        <v>629158</v>
      </c>
      <c r="K161" s="14">
        <v>0</v>
      </c>
      <c r="L161" s="14" t="s">
        <v>75</v>
      </c>
      <c r="M161" s="14" t="s">
        <v>75</v>
      </c>
      <c r="N161" s="14" t="s">
        <v>75</v>
      </c>
      <c r="O161" s="14" t="s">
        <v>75</v>
      </c>
      <c r="P161" s="14">
        <v>744</v>
      </c>
      <c r="Q161" s="15">
        <v>26206</v>
      </c>
      <c r="R161" s="15">
        <v>1379.25</v>
      </c>
      <c r="S161" s="14" t="s">
        <v>21</v>
      </c>
      <c r="T161" s="15">
        <v>833997</v>
      </c>
      <c r="U161" s="16">
        <f t="shared" si="22"/>
        <v>2.6306587534450806E-2</v>
      </c>
      <c r="V161" s="14">
        <v>2</v>
      </c>
      <c r="W161" s="17">
        <v>62.2</v>
      </c>
      <c r="X161" s="14">
        <v>0.4</v>
      </c>
      <c r="Y161" s="18">
        <f t="shared" si="23"/>
        <v>25.4</v>
      </c>
      <c r="Z161" s="18" t="str">
        <f t="shared" si="24"/>
        <v>Low</v>
      </c>
      <c r="AA161" s="19" t="str">
        <f t="shared" si="25"/>
        <v>Eligible</v>
      </c>
      <c r="AB161" s="14" t="s">
        <v>77</v>
      </c>
      <c r="AC161" s="14">
        <v>1</v>
      </c>
      <c r="AD161" s="14" t="s">
        <v>78</v>
      </c>
      <c r="AE161" s="17">
        <v>0.5</v>
      </c>
      <c r="AF161" s="15">
        <v>0</v>
      </c>
      <c r="AG161" s="20">
        <f t="shared" si="26"/>
        <v>629158</v>
      </c>
      <c r="AH161" s="14">
        <v>0</v>
      </c>
      <c r="AI161" s="14" t="s">
        <v>75</v>
      </c>
      <c r="AJ161" s="14">
        <v>24</v>
      </c>
      <c r="AK161" s="21">
        <f t="shared" si="27"/>
        <v>0.14000000000000001</v>
      </c>
      <c r="AL161" s="20">
        <f t="shared" si="28"/>
        <v>40042.600607185886</v>
      </c>
      <c r="AM161" s="22">
        <f t="shared" si="29"/>
        <v>1.3255764052908807</v>
      </c>
      <c r="AN161" s="20">
        <f t="shared" si="30"/>
        <v>41421.850607185886</v>
      </c>
      <c r="AO161" s="16">
        <f t="shared" si="31"/>
        <v>0.790043530061178</v>
      </c>
      <c r="AP161" s="15">
        <v>0</v>
      </c>
      <c r="AQ161" s="18" t="str">
        <f t="shared" si="32"/>
        <v>N/A</v>
      </c>
      <c r="AR161" s="23">
        <v>45973</v>
      </c>
      <c r="AS161" s="14" t="s">
        <v>79</v>
      </c>
    </row>
    <row r="162" spans="1:45" x14ac:dyDescent="0.25">
      <c r="A162" s="14" t="s">
        <v>612</v>
      </c>
      <c r="B162" s="14" t="s">
        <v>613</v>
      </c>
      <c r="C162" s="14"/>
      <c r="D162" s="15" t="s">
        <v>614</v>
      </c>
      <c r="E162" s="14">
        <v>57</v>
      </c>
      <c r="F162" s="14" t="s">
        <v>71</v>
      </c>
      <c r="G162" s="14" t="s">
        <v>131</v>
      </c>
      <c r="H162" s="14" t="s">
        <v>99</v>
      </c>
      <c r="I162" s="14" t="s">
        <v>74</v>
      </c>
      <c r="J162" s="15">
        <v>1515438</v>
      </c>
      <c r="K162" s="14">
        <v>1</v>
      </c>
      <c r="L162" s="14" t="s">
        <v>75</v>
      </c>
      <c r="M162" s="14" t="s">
        <v>76</v>
      </c>
      <c r="N162" s="14" t="s">
        <v>75</v>
      </c>
      <c r="O162" s="14" t="s">
        <v>75</v>
      </c>
      <c r="P162" s="14">
        <v>350</v>
      </c>
      <c r="Q162" s="15"/>
      <c r="R162" s="15">
        <v>17800.52</v>
      </c>
      <c r="S162" s="14" t="s">
        <v>20</v>
      </c>
      <c r="T162" s="15">
        <v>228942</v>
      </c>
      <c r="U162" s="16">
        <f t="shared" si="22"/>
        <v>0.14095346691847505</v>
      </c>
      <c r="V162" s="14">
        <v>1</v>
      </c>
      <c r="W162" s="17">
        <v>78.5</v>
      </c>
      <c r="X162" s="14">
        <v>2.1</v>
      </c>
      <c r="Y162" s="18">
        <f t="shared" si="23"/>
        <v>52.7</v>
      </c>
      <c r="Z162" s="18" t="str">
        <f t="shared" si="24"/>
        <v>Medium</v>
      </c>
      <c r="AA162" s="19" t="str">
        <f t="shared" si="25"/>
        <v>Not Eligible</v>
      </c>
      <c r="AB162" s="14" t="s">
        <v>85</v>
      </c>
      <c r="AC162" s="14">
        <v>2</v>
      </c>
      <c r="AD162" s="14" t="s">
        <v>93</v>
      </c>
      <c r="AE162" s="17">
        <v>19.7</v>
      </c>
      <c r="AF162" s="15">
        <v>611998</v>
      </c>
      <c r="AG162" s="20">
        <f t="shared" si="26"/>
        <v>2127436</v>
      </c>
      <c r="AH162" s="14">
        <v>1</v>
      </c>
      <c r="AI162" s="14" t="s">
        <v>75</v>
      </c>
      <c r="AJ162" s="14">
        <v>12</v>
      </c>
      <c r="AK162" s="21">
        <f t="shared" si="27"/>
        <v>0.375</v>
      </c>
      <c r="AL162" s="20">
        <f t="shared" si="28"/>
        <v>23171.946707166826</v>
      </c>
      <c r="AM162" s="22">
        <f t="shared" si="29"/>
        <v>0.151073155087836</v>
      </c>
      <c r="AN162" s="20">
        <f t="shared" si="30"/>
        <v>40972.466707166823</v>
      </c>
      <c r="AO162" s="16">
        <f t="shared" si="31"/>
        <v>0.32444059109379725</v>
      </c>
      <c r="AP162" s="15">
        <v>0</v>
      </c>
      <c r="AQ162" s="18" t="str">
        <f t="shared" si="32"/>
        <v>N/A</v>
      </c>
      <c r="AR162" s="23">
        <v>46031</v>
      </c>
      <c r="AS162" s="14" t="s">
        <v>79</v>
      </c>
    </row>
    <row r="163" spans="1:45" x14ac:dyDescent="0.25">
      <c r="A163" s="14" t="s">
        <v>615</v>
      </c>
      <c r="B163" s="14" t="s">
        <v>616</v>
      </c>
      <c r="C163" s="14">
        <v>9718494872</v>
      </c>
      <c r="D163" s="15" t="s">
        <v>618</v>
      </c>
      <c r="E163" s="14">
        <v>63</v>
      </c>
      <c r="F163" s="14" t="s">
        <v>89</v>
      </c>
      <c r="G163" s="14" t="s">
        <v>174</v>
      </c>
      <c r="H163" s="14" t="s">
        <v>103</v>
      </c>
      <c r="I163" s="14" t="s">
        <v>74</v>
      </c>
      <c r="J163" s="15">
        <v>1760909</v>
      </c>
      <c r="K163" s="14">
        <v>1</v>
      </c>
      <c r="L163" s="14" t="s">
        <v>76</v>
      </c>
      <c r="M163" s="14" t="s">
        <v>75</v>
      </c>
      <c r="N163" s="14" t="s">
        <v>75</v>
      </c>
      <c r="O163" s="14" t="s">
        <v>75</v>
      </c>
      <c r="P163" s="14">
        <v>473</v>
      </c>
      <c r="Q163" s="15"/>
      <c r="R163" s="15">
        <v>20460.77</v>
      </c>
      <c r="S163" s="14" t="s">
        <v>23</v>
      </c>
      <c r="T163" s="15">
        <v>6727630</v>
      </c>
      <c r="U163" s="16">
        <f t="shared" si="22"/>
        <v>0.13943323590259349</v>
      </c>
      <c r="V163" s="14">
        <v>0</v>
      </c>
      <c r="W163" s="17">
        <v>9.3000000000000007</v>
      </c>
      <c r="X163" s="14">
        <v>12.3</v>
      </c>
      <c r="Y163" s="18">
        <f t="shared" si="23"/>
        <v>33.6</v>
      </c>
      <c r="Z163" s="18" t="str">
        <f t="shared" si="24"/>
        <v>Medium</v>
      </c>
      <c r="AA163" s="19" t="str">
        <f t="shared" si="25"/>
        <v>Not Eligible</v>
      </c>
      <c r="AB163" s="14" t="s">
        <v>85</v>
      </c>
      <c r="AC163" s="14">
        <v>1</v>
      </c>
      <c r="AD163" s="14" t="s">
        <v>93</v>
      </c>
      <c r="AE163" s="17">
        <v>25.6</v>
      </c>
      <c r="AF163" s="15">
        <v>190904</v>
      </c>
      <c r="AG163" s="20">
        <f t="shared" si="26"/>
        <v>1951813</v>
      </c>
      <c r="AH163" s="14">
        <v>3</v>
      </c>
      <c r="AI163" s="14" t="s">
        <v>76</v>
      </c>
      <c r="AJ163" s="14">
        <v>240</v>
      </c>
      <c r="AK163" s="21">
        <f t="shared" si="27"/>
        <v>0.1</v>
      </c>
      <c r="AL163" s="20">
        <f t="shared" si="28"/>
        <v>64923.085700492476</v>
      </c>
      <c r="AM163" s="22">
        <f t="shared" si="29"/>
        <v>3.820543821401333</v>
      </c>
      <c r="AN163" s="20">
        <f t="shared" si="30"/>
        <v>85383.855700492481</v>
      </c>
      <c r="AO163" s="16">
        <f t="shared" si="31"/>
        <v>0.5818621339353196</v>
      </c>
      <c r="AP163" s="15">
        <v>7759873</v>
      </c>
      <c r="AQ163" s="18">
        <f t="shared" si="32"/>
        <v>0.86697681779070357</v>
      </c>
      <c r="AR163" s="23">
        <v>46250</v>
      </c>
      <c r="AS163" s="14" t="s">
        <v>79</v>
      </c>
    </row>
    <row r="164" spans="1:45" x14ac:dyDescent="0.25">
      <c r="A164" s="14" t="s">
        <v>619</v>
      </c>
      <c r="B164" s="14" t="s">
        <v>620</v>
      </c>
      <c r="C164" s="14">
        <v>9605936741</v>
      </c>
      <c r="D164" s="15" t="s">
        <v>621</v>
      </c>
      <c r="E164" s="14">
        <v>34</v>
      </c>
      <c r="F164" s="14" t="s">
        <v>71</v>
      </c>
      <c r="G164" s="14" t="s">
        <v>388</v>
      </c>
      <c r="H164" s="14" t="s">
        <v>144</v>
      </c>
      <c r="I164" s="14" t="s">
        <v>92</v>
      </c>
      <c r="J164" s="15">
        <v>2494736</v>
      </c>
      <c r="K164" s="14">
        <v>0</v>
      </c>
      <c r="L164" s="14" t="s">
        <v>75</v>
      </c>
      <c r="M164" s="14" t="s">
        <v>75</v>
      </c>
      <c r="N164" s="14" t="s">
        <v>75</v>
      </c>
      <c r="O164" s="14" t="s">
        <v>75</v>
      </c>
      <c r="P164" s="14">
        <v>318</v>
      </c>
      <c r="Q164" s="15">
        <v>93953.42</v>
      </c>
      <c r="R164" s="15">
        <v>1739.88</v>
      </c>
      <c r="S164" s="14" t="s">
        <v>20</v>
      </c>
      <c r="T164" s="15"/>
      <c r="U164" s="16">
        <f t="shared" si="22"/>
        <v>8.369045862969068E-3</v>
      </c>
      <c r="V164" s="14">
        <v>0</v>
      </c>
      <c r="W164" s="17">
        <v>32</v>
      </c>
      <c r="X164" s="14">
        <v>11.9</v>
      </c>
      <c r="Y164" s="18">
        <f t="shared" si="23"/>
        <v>42.3</v>
      </c>
      <c r="Z164" s="18" t="str">
        <f t="shared" si="24"/>
        <v>Medium</v>
      </c>
      <c r="AA164" s="19" t="str">
        <f t="shared" si="25"/>
        <v>Not Eligible</v>
      </c>
      <c r="AB164" s="14" t="s">
        <v>77</v>
      </c>
      <c r="AC164" s="14">
        <v>0</v>
      </c>
      <c r="AD164" s="14" t="s">
        <v>93</v>
      </c>
      <c r="AE164" s="17">
        <v>0.4</v>
      </c>
      <c r="AF164" s="15">
        <v>0</v>
      </c>
      <c r="AG164" s="20">
        <f t="shared" si="26"/>
        <v>2494736</v>
      </c>
      <c r="AH164" s="14">
        <v>0</v>
      </c>
      <c r="AI164" s="14" t="s">
        <v>75</v>
      </c>
      <c r="AJ164" s="14">
        <v>24</v>
      </c>
      <c r="AK164" s="21">
        <f t="shared" si="27"/>
        <v>0.375</v>
      </c>
      <c r="AL164" s="20">
        <f t="shared" si="28"/>
        <v>0</v>
      </c>
      <c r="AM164" s="22">
        <f t="shared" si="29"/>
        <v>0</v>
      </c>
      <c r="AN164" s="20">
        <f t="shared" si="30"/>
        <v>1739.88</v>
      </c>
      <c r="AO164" s="16">
        <f t="shared" si="31"/>
        <v>8.369045862969068E-3</v>
      </c>
      <c r="AP164" s="15">
        <v>0</v>
      </c>
      <c r="AQ164" s="18" t="str">
        <f t="shared" si="32"/>
        <v>N/A</v>
      </c>
      <c r="AR164" s="23">
        <v>45950</v>
      </c>
      <c r="AS164" s="14" t="s">
        <v>79</v>
      </c>
    </row>
    <row r="165" spans="1:45" x14ac:dyDescent="0.25">
      <c r="A165" s="14" t="s">
        <v>622</v>
      </c>
      <c r="B165" s="14" t="s">
        <v>623</v>
      </c>
      <c r="C165" s="14">
        <v>9797299908</v>
      </c>
      <c r="D165" s="15" t="s">
        <v>625</v>
      </c>
      <c r="E165" s="14">
        <v>45</v>
      </c>
      <c r="F165" s="14" t="s">
        <v>71</v>
      </c>
      <c r="G165" s="14" t="s">
        <v>226</v>
      </c>
      <c r="H165" s="14" t="s">
        <v>107</v>
      </c>
      <c r="I165" s="14" t="s">
        <v>92</v>
      </c>
      <c r="J165" s="15">
        <v>669185</v>
      </c>
      <c r="K165" s="14">
        <v>1</v>
      </c>
      <c r="L165" s="14" t="s">
        <v>76</v>
      </c>
      <c r="M165" s="14" t="s">
        <v>75</v>
      </c>
      <c r="N165" s="14" t="s">
        <v>75</v>
      </c>
      <c r="O165" s="14" t="s">
        <v>75</v>
      </c>
      <c r="P165" s="14">
        <v>322</v>
      </c>
      <c r="Q165" s="15">
        <v>15961.03</v>
      </c>
      <c r="R165" s="15">
        <v>354.69</v>
      </c>
      <c r="S165" s="14" t="s">
        <v>22</v>
      </c>
      <c r="T165" s="15"/>
      <c r="U165" s="16">
        <f t="shared" si="22"/>
        <v>6.3603936131264149E-3</v>
      </c>
      <c r="V165" s="14">
        <v>1</v>
      </c>
      <c r="W165" s="17">
        <v>75.7</v>
      </c>
      <c r="X165" s="14">
        <v>0.5</v>
      </c>
      <c r="Y165" s="18">
        <f t="shared" si="23"/>
        <v>50.3</v>
      </c>
      <c r="Z165" s="18" t="str">
        <f t="shared" si="24"/>
        <v>Medium</v>
      </c>
      <c r="AA165" s="19" t="str">
        <f t="shared" si="25"/>
        <v>Not Eligible</v>
      </c>
      <c r="AB165" s="14" t="s">
        <v>77</v>
      </c>
      <c r="AC165" s="14">
        <v>1</v>
      </c>
      <c r="AD165" s="14" t="s">
        <v>78</v>
      </c>
      <c r="AE165" s="17">
        <v>23.9</v>
      </c>
      <c r="AF165" s="15">
        <v>0</v>
      </c>
      <c r="AG165" s="20">
        <f t="shared" si="26"/>
        <v>669185</v>
      </c>
      <c r="AH165" s="14">
        <v>0</v>
      </c>
      <c r="AI165" s="14" t="s">
        <v>75</v>
      </c>
      <c r="AJ165" s="14">
        <v>48</v>
      </c>
      <c r="AK165" s="21">
        <f t="shared" si="27"/>
        <v>0.105</v>
      </c>
      <c r="AL165" s="20">
        <f t="shared" si="28"/>
        <v>0</v>
      </c>
      <c r="AM165" s="22">
        <f t="shared" si="29"/>
        <v>0</v>
      </c>
      <c r="AN165" s="20">
        <f t="shared" si="30"/>
        <v>354.69</v>
      </c>
      <c r="AO165" s="16">
        <f t="shared" si="31"/>
        <v>6.3603936131264149E-3</v>
      </c>
      <c r="AP165" s="15">
        <v>1225179</v>
      </c>
      <c r="AQ165" s="18">
        <f t="shared" si="32"/>
        <v>0</v>
      </c>
      <c r="AR165" s="23">
        <v>45910</v>
      </c>
      <c r="AS165" s="14" t="s">
        <v>94</v>
      </c>
    </row>
    <row r="166" spans="1:45" x14ac:dyDescent="0.25">
      <c r="A166" s="14" t="s">
        <v>626</v>
      </c>
      <c r="B166" s="14" t="s">
        <v>627</v>
      </c>
      <c r="C166" s="14"/>
      <c r="D166" s="15" t="s">
        <v>628</v>
      </c>
      <c r="E166" s="14">
        <v>63</v>
      </c>
      <c r="F166" s="14" t="s">
        <v>71</v>
      </c>
      <c r="G166" s="14" t="s">
        <v>120</v>
      </c>
      <c r="H166" s="14" t="s">
        <v>99</v>
      </c>
      <c r="I166" s="14" t="s">
        <v>74</v>
      </c>
      <c r="J166" s="15">
        <v>2484048</v>
      </c>
      <c r="K166" s="14">
        <v>0</v>
      </c>
      <c r="L166" s="14" t="s">
        <v>75</v>
      </c>
      <c r="M166" s="14" t="s">
        <v>75</v>
      </c>
      <c r="N166" s="14" t="s">
        <v>75</v>
      </c>
      <c r="O166" s="14" t="s">
        <v>75</v>
      </c>
      <c r="P166" s="14">
        <v>546</v>
      </c>
      <c r="Q166" s="15">
        <v>142311</v>
      </c>
      <c r="R166" s="15">
        <v>3648.99</v>
      </c>
      <c r="S166" s="14" t="s">
        <v>22</v>
      </c>
      <c r="T166" s="15"/>
      <c r="U166" s="16">
        <f t="shared" si="22"/>
        <v>1.7627630383953933E-2</v>
      </c>
      <c r="V166" s="14">
        <v>0</v>
      </c>
      <c r="W166" s="17">
        <v>17.5</v>
      </c>
      <c r="X166" s="14">
        <v>9.9</v>
      </c>
      <c r="Y166" s="18">
        <f t="shared" si="23"/>
        <v>25.9</v>
      </c>
      <c r="Z166" s="18" t="str">
        <f t="shared" si="24"/>
        <v>Low</v>
      </c>
      <c r="AA166" s="19" t="str">
        <f t="shared" si="25"/>
        <v>Not Eligible</v>
      </c>
      <c r="AB166" s="14" t="s">
        <v>85</v>
      </c>
      <c r="AC166" s="14">
        <v>2</v>
      </c>
      <c r="AD166" s="14" t="s">
        <v>78</v>
      </c>
      <c r="AE166" s="17">
        <v>4.4000000000000004</v>
      </c>
      <c r="AF166" s="15">
        <v>0</v>
      </c>
      <c r="AG166" s="20">
        <f t="shared" si="26"/>
        <v>2484048</v>
      </c>
      <c r="AH166" s="14">
        <v>2</v>
      </c>
      <c r="AI166" s="14" t="s">
        <v>76</v>
      </c>
      <c r="AJ166" s="14">
        <v>60</v>
      </c>
      <c r="AK166" s="21">
        <f t="shared" si="27"/>
        <v>0.09</v>
      </c>
      <c r="AL166" s="20">
        <f t="shared" si="28"/>
        <v>0</v>
      </c>
      <c r="AM166" s="22">
        <f t="shared" si="29"/>
        <v>0</v>
      </c>
      <c r="AN166" s="20">
        <f t="shared" si="30"/>
        <v>3648.99</v>
      </c>
      <c r="AO166" s="16">
        <f t="shared" si="31"/>
        <v>1.7627630383953933E-2</v>
      </c>
      <c r="AP166" s="15">
        <v>1237345</v>
      </c>
      <c r="AQ166" s="18">
        <f t="shared" si="32"/>
        <v>0</v>
      </c>
      <c r="AR166" s="23">
        <v>45969</v>
      </c>
      <c r="AS166" s="14" t="s">
        <v>79</v>
      </c>
    </row>
    <row r="167" spans="1:45" x14ac:dyDescent="0.25">
      <c r="A167" s="14" t="s">
        <v>629</v>
      </c>
      <c r="B167" s="14" t="s">
        <v>630</v>
      </c>
      <c r="C167" s="14">
        <v>9269702658</v>
      </c>
      <c r="D167" s="15" t="s">
        <v>632</v>
      </c>
      <c r="E167" s="14">
        <v>56</v>
      </c>
      <c r="F167" s="14" t="s">
        <v>71</v>
      </c>
      <c r="G167" s="14" t="s">
        <v>98</v>
      </c>
      <c r="H167" s="14" t="s">
        <v>103</v>
      </c>
      <c r="I167" s="14" t="s">
        <v>74</v>
      </c>
      <c r="J167" s="15">
        <v>910366</v>
      </c>
      <c r="K167" s="14">
        <v>0</v>
      </c>
      <c r="L167" s="14" t="s">
        <v>75</v>
      </c>
      <c r="M167" s="14" t="s">
        <v>75</v>
      </c>
      <c r="N167" s="14" t="s">
        <v>75</v>
      </c>
      <c r="O167" s="14" t="s">
        <v>75</v>
      </c>
      <c r="P167" s="14">
        <v>721</v>
      </c>
      <c r="Q167" s="15">
        <v>27615.78</v>
      </c>
      <c r="R167" s="15">
        <v>468.06</v>
      </c>
      <c r="S167" s="14" t="s">
        <v>22</v>
      </c>
      <c r="T167" s="15"/>
      <c r="U167" s="16">
        <f t="shared" si="22"/>
        <v>6.1697383250253202E-3</v>
      </c>
      <c r="V167" s="14">
        <v>3</v>
      </c>
      <c r="W167" s="17">
        <v>15.1</v>
      </c>
      <c r="X167" s="14">
        <v>2.9</v>
      </c>
      <c r="Y167" s="18">
        <f t="shared" si="23"/>
        <v>25.6</v>
      </c>
      <c r="Z167" s="18" t="str">
        <f t="shared" si="24"/>
        <v>Low</v>
      </c>
      <c r="AA167" s="19" t="str">
        <f t="shared" si="25"/>
        <v>Review</v>
      </c>
      <c r="AB167" s="14" t="s">
        <v>77</v>
      </c>
      <c r="AC167" s="14">
        <v>2</v>
      </c>
      <c r="AD167" s="14" t="s">
        <v>78</v>
      </c>
      <c r="AE167" s="17">
        <v>17.100000000000001</v>
      </c>
      <c r="AF167" s="15">
        <v>324137</v>
      </c>
      <c r="AG167" s="20">
        <f t="shared" si="26"/>
        <v>1234503</v>
      </c>
      <c r="AH167" s="14">
        <v>1</v>
      </c>
      <c r="AI167" s="14" t="s">
        <v>75</v>
      </c>
      <c r="AJ167" s="14">
        <v>84</v>
      </c>
      <c r="AK167" s="21">
        <f t="shared" si="27"/>
        <v>0.09</v>
      </c>
      <c r="AL167" s="20">
        <f t="shared" si="28"/>
        <v>0</v>
      </c>
      <c r="AM167" s="22">
        <f t="shared" si="29"/>
        <v>0</v>
      </c>
      <c r="AN167" s="20">
        <f t="shared" si="30"/>
        <v>468.06</v>
      </c>
      <c r="AO167" s="16">
        <f t="shared" si="31"/>
        <v>6.1697383250253202E-3</v>
      </c>
      <c r="AP167" s="15">
        <v>746103</v>
      </c>
      <c r="AQ167" s="18">
        <f t="shared" si="32"/>
        <v>0</v>
      </c>
      <c r="AR167" s="23">
        <v>45963</v>
      </c>
      <c r="AS167" s="14" t="s">
        <v>79</v>
      </c>
    </row>
    <row r="168" spans="1:45" x14ac:dyDescent="0.25">
      <c r="A168" s="14" t="s">
        <v>633</v>
      </c>
      <c r="B168" s="14" t="s">
        <v>634</v>
      </c>
      <c r="C168" s="14">
        <v>9864524716</v>
      </c>
      <c r="D168" s="15" t="s">
        <v>636</v>
      </c>
      <c r="E168" s="14">
        <v>32</v>
      </c>
      <c r="F168" s="14" t="s">
        <v>89</v>
      </c>
      <c r="G168" s="14" t="s">
        <v>115</v>
      </c>
      <c r="H168" s="14" t="s">
        <v>107</v>
      </c>
      <c r="I168" s="14" t="s">
        <v>92</v>
      </c>
      <c r="J168" s="15">
        <v>876770</v>
      </c>
      <c r="K168" s="14">
        <v>2</v>
      </c>
      <c r="L168" s="14" t="s">
        <v>76</v>
      </c>
      <c r="M168" s="14" t="s">
        <v>76</v>
      </c>
      <c r="N168" s="14" t="s">
        <v>75</v>
      </c>
      <c r="O168" s="14" t="s">
        <v>75</v>
      </c>
      <c r="P168" s="14">
        <v>576</v>
      </c>
      <c r="Q168" s="15"/>
      <c r="R168" s="15">
        <v>19225.5</v>
      </c>
      <c r="S168" s="14" t="s">
        <v>21</v>
      </c>
      <c r="T168" s="15">
        <v>844586</v>
      </c>
      <c r="U168" s="16">
        <f t="shared" si="22"/>
        <v>0.26313172211640451</v>
      </c>
      <c r="V168" s="14">
        <v>0</v>
      </c>
      <c r="W168" s="17">
        <v>21.8</v>
      </c>
      <c r="X168" s="14">
        <v>14.3</v>
      </c>
      <c r="Y168" s="18">
        <f t="shared" si="23"/>
        <v>31.7</v>
      </c>
      <c r="Z168" s="18" t="str">
        <f t="shared" si="24"/>
        <v>Medium</v>
      </c>
      <c r="AA168" s="19" t="str">
        <f t="shared" si="25"/>
        <v>Review</v>
      </c>
      <c r="AB168" s="14" t="s">
        <v>85</v>
      </c>
      <c r="AC168" s="14">
        <v>2</v>
      </c>
      <c r="AD168" s="14" t="s">
        <v>93</v>
      </c>
      <c r="AE168" s="17">
        <v>9.6</v>
      </c>
      <c r="AF168" s="15">
        <v>0</v>
      </c>
      <c r="AG168" s="20">
        <f t="shared" si="26"/>
        <v>876770</v>
      </c>
      <c r="AH168" s="14">
        <v>0</v>
      </c>
      <c r="AI168" s="14" t="s">
        <v>75</v>
      </c>
      <c r="AJ168" s="14">
        <v>60</v>
      </c>
      <c r="AK168" s="21">
        <f t="shared" si="27"/>
        <v>0.15500000000000003</v>
      </c>
      <c r="AL168" s="20">
        <f t="shared" si="28"/>
        <v>20314.988441246303</v>
      </c>
      <c r="AM168" s="22">
        <f t="shared" si="29"/>
        <v>0.96329253966262529</v>
      </c>
      <c r="AN168" s="20">
        <f t="shared" si="30"/>
        <v>39540.4884412463</v>
      </c>
      <c r="AO168" s="16">
        <f t="shared" si="31"/>
        <v>0.54117483638235298</v>
      </c>
      <c r="AP168" s="15">
        <v>0</v>
      </c>
      <c r="AQ168" s="18" t="str">
        <f t="shared" si="32"/>
        <v>N/A</v>
      </c>
      <c r="AR168" s="23">
        <v>46089</v>
      </c>
      <c r="AS168" s="14" t="s">
        <v>79</v>
      </c>
    </row>
    <row r="169" spans="1:45" x14ac:dyDescent="0.25">
      <c r="A169" s="14" t="s">
        <v>637</v>
      </c>
      <c r="B169" s="14" t="s">
        <v>638</v>
      </c>
      <c r="C169" s="14">
        <v>9897218787</v>
      </c>
      <c r="D169" s="15" t="s">
        <v>639</v>
      </c>
      <c r="E169" s="14">
        <v>55</v>
      </c>
      <c r="F169" s="14" t="s">
        <v>71</v>
      </c>
      <c r="G169" s="14" t="s">
        <v>314</v>
      </c>
      <c r="H169" s="14" t="s">
        <v>73</v>
      </c>
      <c r="I169" s="14" t="s">
        <v>74</v>
      </c>
      <c r="J169" s="15">
        <v>2194187</v>
      </c>
      <c r="K169" s="14">
        <v>1</v>
      </c>
      <c r="L169" s="14" t="s">
        <v>76</v>
      </c>
      <c r="M169" s="14" t="s">
        <v>75</v>
      </c>
      <c r="N169" s="14" t="s">
        <v>75</v>
      </c>
      <c r="O169" s="14" t="s">
        <v>75</v>
      </c>
      <c r="P169" s="14">
        <v>850</v>
      </c>
      <c r="Q169" s="15">
        <v>520826.97</v>
      </c>
      <c r="R169" s="15">
        <v>8827.58</v>
      </c>
      <c r="S169" s="14" t="s">
        <v>20</v>
      </c>
      <c r="T169" s="15">
        <v>312395</v>
      </c>
      <c r="U169" s="16">
        <f t="shared" si="22"/>
        <v>4.8278000006380495E-2</v>
      </c>
      <c r="V169" s="14">
        <v>0</v>
      </c>
      <c r="W169" s="17">
        <v>77.7</v>
      </c>
      <c r="X169" s="14">
        <v>14.4</v>
      </c>
      <c r="Y169" s="18">
        <f t="shared" si="23"/>
        <v>12.6</v>
      </c>
      <c r="Z169" s="18" t="str">
        <f t="shared" si="24"/>
        <v>Low</v>
      </c>
      <c r="AA169" s="19" t="str">
        <f t="shared" si="25"/>
        <v>Eligible</v>
      </c>
      <c r="AB169" s="14" t="s">
        <v>85</v>
      </c>
      <c r="AC169" s="14">
        <v>1</v>
      </c>
      <c r="AD169" s="14" t="s">
        <v>93</v>
      </c>
      <c r="AE169" s="17">
        <v>23.3</v>
      </c>
      <c r="AF169" s="15">
        <v>274865</v>
      </c>
      <c r="AG169" s="20">
        <f t="shared" si="26"/>
        <v>2469052</v>
      </c>
      <c r="AH169" s="14">
        <v>0</v>
      </c>
      <c r="AI169" s="14" t="s">
        <v>76</v>
      </c>
      <c r="AJ169" s="14">
        <v>18</v>
      </c>
      <c r="AK169" s="21">
        <f t="shared" si="27"/>
        <v>0.36</v>
      </c>
      <c r="AL169" s="20">
        <f t="shared" si="28"/>
        <v>22713.833054523693</v>
      </c>
      <c r="AM169" s="22">
        <f t="shared" si="29"/>
        <v>0.14237391799331597</v>
      </c>
      <c r="AN169" s="20">
        <f t="shared" si="30"/>
        <v>31541.413054523691</v>
      </c>
      <c r="AO169" s="16">
        <f t="shared" si="31"/>
        <v>0.17249986288966448</v>
      </c>
      <c r="AP169" s="15">
        <v>0</v>
      </c>
      <c r="AQ169" s="18" t="str">
        <f t="shared" si="32"/>
        <v>N/A</v>
      </c>
      <c r="AR169" s="23">
        <v>46132</v>
      </c>
      <c r="AS169" s="14" t="s">
        <v>79</v>
      </c>
    </row>
    <row r="170" spans="1:45" x14ac:dyDescent="0.25">
      <c r="A170" s="14" t="s">
        <v>640</v>
      </c>
      <c r="B170" s="14" t="s">
        <v>641</v>
      </c>
      <c r="C170" s="14"/>
      <c r="D170" s="15" t="s">
        <v>642</v>
      </c>
      <c r="E170" s="14">
        <v>32</v>
      </c>
      <c r="F170" s="14" t="s">
        <v>71</v>
      </c>
      <c r="G170" s="14" t="s">
        <v>153</v>
      </c>
      <c r="H170" s="14" t="s">
        <v>99</v>
      </c>
      <c r="I170" s="14" t="s">
        <v>74</v>
      </c>
      <c r="J170" s="15">
        <v>1656693</v>
      </c>
      <c r="K170" s="14">
        <v>2</v>
      </c>
      <c r="L170" s="14" t="s">
        <v>76</v>
      </c>
      <c r="M170" s="14" t="s">
        <v>76</v>
      </c>
      <c r="N170" s="14" t="s">
        <v>75</v>
      </c>
      <c r="O170" s="14" t="s">
        <v>75</v>
      </c>
      <c r="P170" s="14">
        <v>506</v>
      </c>
      <c r="Q170" s="15">
        <v>877267.1</v>
      </c>
      <c r="R170" s="15">
        <v>51603.95</v>
      </c>
      <c r="S170" s="14" t="s">
        <v>22</v>
      </c>
      <c r="T170" s="15">
        <v>979634</v>
      </c>
      <c r="U170" s="16">
        <f t="shared" si="22"/>
        <v>0.37378524566712112</v>
      </c>
      <c r="V170" s="14">
        <v>2</v>
      </c>
      <c r="W170" s="17">
        <v>91.2</v>
      </c>
      <c r="X170" s="14">
        <v>12</v>
      </c>
      <c r="Y170" s="18">
        <f t="shared" si="23"/>
        <v>54.6</v>
      </c>
      <c r="Z170" s="18" t="str">
        <f t="shared" si="24"/>
        <v>Medium</v>
      </c>
      <c r="AA170" s="19" t="str">
        <f t="shared" si="25"/>
        <v>Not Eligible</v>
      </c>
      <c r="AB170" s="14" t="s">
        <v>77</v>
      </c>
      <c r="AC170" s="14">
        <v>0</v>
      </c>
      <c r="AD170" s="14" t="s">
        <v>78</v>
      </c>
      <c r="AE170" s="17">
        <v>5.0999999999999996</v>
      </c>
      <c r="AF170" s="15">
        <v>0</v>
      </c>
      <c r="AG170" s="20">
        <f t="shared" si="26"/>
        <v>1656693</v>
      </c>
      <c r="AH170" s="14">
        <v>0</v>
      </c>
      <c r="AI170" s="14" t="s">
        <v>75</v>
      </c>
      <c r="AJ170" s="14">
        <v>72</v>
      </c>
      <c r="AK170" s="21">
        <f t="shared" si="27"/>
        <v>0.105</v>
      </c>
      <c r="AL170" s="20">
        <f t="shared" si="28"/>
        <v>18396.517466904697</v>
      </c>
      <c r="AM170" s="22">
        <f t="shared" si="29"/>
        <v>0.59131897098617547</v>
      </c>
      <c r="AN170" s="20">
        <f t="shared" si="30"/>
        <v>70000.467466904694</v>
      </c>
      <c r="AO170" s="16">
        <f t="shared" si="31"/>
        <v>0.50703758004823851</v>
      </c>
      <c r="AP170" s="15">
        <v>1148537</v>
      </c>
      <c r="AQ170" s="18">
        <f t="shared" si="32"/>
        <v>0.85294074113415586</v>
      </c>
      <c r="AR170" s="23">
        <v>45976</v>
      </c>
      <c r="AS170" s="14" t="s">
        <v>79</v>
      </c>
    </row>
    <row r="171" spans="1:45" x14ac:dyDescent="0.25">
      <c r="A171" s="14" t="s">
        <v>643</v>
      </c>
      <c r="B171" s="14" t="s">
        <v>644</v>
      </c>
      <c r="C171" s="14"/>
      <c r="D171" s="15"/>
      <c r="E171" s="14">
        <v>57</v>
      </c>
      <c r="F171" s="14" t="s">
        <v>71</v>
      </c>
      <c r="G171" s="14" t="s">
        <v>98</v>
      </c>
      <c r="H171" s="14" t="s">
        <v>132</v>
      </c>
      <c r="I171" s="14" t="s">
        <v>92</v>
      </c>
      <c r="J171" s="15">
        <v>1050221</v>
      </c>
      <c r="K171" s="14">
        <v>1</v>
      </c>
      <c r="L171" s="14" t="s">
        <v>75</v>
      </c>
      <c r="M171" s="14" t="s">
        <v>76</v>
      </c>
      <c r="N171" s="14" t="s">
        <v>75</v>
      </c>
      <c r="O171" s="14" t="s">
        <v>75</v>
      </c>
      <c r="P171" s="14">
        <v>756</v>
      </c>
      <c r="Q171" s="15"/>
      <c r="R171" s="15">
        <v>7911.74</v>
      </c>
      <c r="S171" s="14" t="s">
        <v>20</v>
      </c>
      <c r="T171" s="15">
        <v>491094</v>
      </c>
      <c r="U171" s="16">
        <f t="shared" si="22"/>
        <v>9.0400858485975816E-2</v>
      </c>
      <c r="V171" s="14">
        <v>0</v>
      </c>
      <c r="W171" s="17">
        <v>24.3</v>
      </c>
      <c r="X171" s="14">
        <v>9.4</v>
      </c>
      <c r="Y171" s="18">
        <f t="shared" si="23"/>
        <v>14.7</v>
      </c>
      <c r="Z171" s="18" t="str">
        <f t="shared" si="24"/>
        <v>Low</v>
      </c>
      <c r="AA171" s="19" t="str">
        <f t="shared" si="25"/>
        <v>Eligible</v>
      </c>
      <c r="AB171" s="14" t="s">
        <v>85</v>
      </c>
      <c r="AC171" s="14">
        <v>1</v>
      </c>
      <c r="AD171" s="14" t="s">
        <v>93</v>
      </c>
      <c r="AE171" s="17">
        <v>16.399999999999999</v>
      </c>
      <c r="AF171" s="15">
        <v>812027</v>
      </c>
      <c r="AG171" s="20">
        <f t="shared" si="26"/>
        <v>1862248</v>
      </c>
      <c r="AH171" s="14">
        <v>0</v>
      </c>
      <c r="AI171" s="14" t="s">
        <v>75</v>
      </c>
      <c r="AJ171" s="14">
        <v>36</v>
      </c>
      <c r="AK171" s="21">
        <f t="shared" si="27"/>
        <v>0.36</v>
      </c>
      <c r="AL171" s="20">
        <f t="shared" si="28"/>
        <v>22493.968501074429</v>
      </c>
      <c r="AM171" s="22">
        <f t="shared" si="29"/>
        <v>0.46761015062543981</v>
      </c>
      <c r="AN171" s="20">
        <f t="shared" si="30"/>
        <v>30405.708501074427</v>
      </c>
      <c r="AO171" s="16">
        <f t="shared" si="31"/>
        <v>0.3474206876580197</v>
      </c>
      <c r="AP171" s="15">
        <v>0</v>
      </c>
      <c r="AQ171" s="18" t="str">
        <f t="shared" si="32"/>
        <v>N/A</v>
      </c>
      <c r="AR171" s="23">
        <v>46127</v>
      </c>
      <c r="AS171" s="14" t="s">
        <v>79</v>
      </c>
    </row>
    <row r="172" spans="1:45" x14ac:dyDescent="0.25">
      <c r="A172" s="14" t="s">
        <v>645</v>
      </c>
      <c r="B172" s="14" t="s">
        <v>646</v>
      </c>
      <c r="C172" s="14">
        <v>9744354734</v>
      </c>
      <c r="D172" s="15" t="s">
        <v>647</v>
      </c>
      <c r="E172" s="14">
        <v>56</v>
      </c>
      <c r="F172" s="14" t="s">
        <v>89</v>
      </c>
      <c r="G172" s="14" t="s">
        <v>83</v>
      </c>
      <c r="H172" s="14" t="s">
        <v>91</v>
      </c>
      <c r="I172" s="14" t="s">
        <v>92</v>
      </c>
      <c r="J172" s="15">
        <v>505180</v>
      </c>
      <c r="K172" s="14">
        <v>3</v>
      </c>
      <c r="L172" s="14" t="s">
        <v>76</v>
      </c>
      <c r="M172" s="14" t="s">
        <v>76</v>
      </c>
      <c r="N172" s="14" t="s">
        <v>75</v>
      </c>
      <c r="O172" s="14" t="s">
        <v>76</v>
      </c>
      <c r="P172" s="14">
        <v>333</v>
      </c>
      <c r="Q172" s="15">
        <v>202172</v>
      </c>
      <c r="R172" s="15">
        <v>4043.44</v>
      </c>
      <c r="S172" s="14" t="s">
        <v>22</v>
      </c>
      <c r="T172" s="15">
        <v>994390</v>
      </c>
      <c r="U172" s="16">
        <f t="shared" si="22"/>
        <v>9.6047507818995209E-2</v>
      </c>
      <c r="V172" s="14">
        <v>5</v>
      </c>
      <c r="W172" s="17">
        <v>9.6999999999999993</v>
      </c>
      <c r="X172" s="14">
        <v>6.4</v>
      </c>
      <c r="Y172" s="18">
        <f t="shared" si="23"/>
        <v>61.7</v>
      </c>
      <c r="Z172" s="18" t="str">
        <f t="shared" si="24"/>
        <v>High</v>
      </c>
      <c r="AA172" s="19" t="str">
        <f t="shared" si="25"/>
        <v>Not Eligible</v>
      </c>
      <c r="AB172" s="14" t="s">
        <v>85</v>
      </c>
      <c r="AC172" s="14">
        <v>2</v>
      </c>
      <c r="AD172" s="14" t="s">
        <v>93</v>
      </c>
      <c r="AE172" s="17">
        <v>20.8</v>
      </c>
      <c r="AF172" s="15">
        <v>0</v>
      </c>
      <c r="AG172" s="20">
        <f t="shared" si="26"/>
        <v>505180</v>
      </c>
      <c r="AH172" s="14">
        <v>1</v>
      </c>
      <c r="AI172" s="14" t="s">
        <v>75</v>
      </c>
      <c r="AJ172" s="14">
        <v>60</v>
      </c>
      <c r="AK172" s="21">
        <f t="shared" si="27"/>
        <v>0.12</v>
      </c>
      <c r="AL172" s="20">
        <f t="shared" si="28"/>
        <v>22119.656333389474</v>
      </c>
      <c r="AM172" s="22">
        <f t="shared" si="29"/>
        <v>1.9683875054436042</v>
      </c>
      <c r="AN172" s="20">
        <f t="shared" si="30"/>
        <v>26163.096333389472</v>
      </c>
      <c r="AO172" s="16">
        <f t="shared" si="31"/>
        <v>0.62147582248044986</v>
      </c>
      <c r="AP172" s="15">
        <v>1193136</v>
      </c>
      <c r="AQ172" s="18">
        <f t="shared" si="32"/>
        <v>0.83342552734977404</v>
      </c>
      <c r="AR172" s="23">
        <v>46079</v>
      </c>
      <c r="AS172" s="14" t="s">
        <v>94</v>
      </c>
    </row>
    <row r="173" spans="1:45" x14ac:dyDescent="0.25">
      <c r="A173" s="14" t="s">
        <v>648</v>
      </c>
      <c r="B173" s="14" t="s">
        <v>649</v>
      </c>
      <c r="C173" s="14"/>
      <c r="D173" s="15" t="s">
        <v>650</v>
      </c>
      <c r="E173" s="14">
        <v>45</v>
      </c>
      <c r="F173" s="14" t="s">
        <v>71</v>
      </c>
      <c r="G173" s="14" t="s">
        <v>174</v>
      </c>
      <c r="H173" s="14" t="s">
        <v>144</v>
      </c>
      <c r="I173" s="14" t="s">
        <v>92</v>
      </c>
      <c r="J173" s="15">
        <v>572318</v>
      </c>
      <c r="K173" s="14">
        <v>2</v>
      </c>
      <c r="L173" s="14" t="s">
        <v>76</v>
      </c>
      <c r="M173" s="14" t="s">
        <v>76</v>
      </c>
      <c r="N173" s="14" t="s">
        <v>75</v>
      </c>
      <c r="O173" s="14" t="s">
        <v>75</v>
      </c>
      <c r="P173" s="14">
        <v>839</v>
      </c>
      <c r="Q173" s="15">
        <v>142081</v>
      </c>
      <c r="R173" s="15">
        <v>5683.23</v>
      </c>
      <c r="S173" s="14" t="s">
        <v>21</v>
      </c>
      <c r="T173" s="15">
        <v>691784</v>
      </c>
      <c r="U173" s="16">
        <f t="shared" si="22"/>
        <v>0.11916235379631603</v>
      </c>
      <c r="V173" s="14">
        <v>0</v>
      </c>
      <c r="W173" s="17">
        <v>59.3</v>
      </c>
      <c r="X173" s="14">
        <v>14.7</v>
      </c>
      <c r="Y173" s="18">
        <f t="shared" si="23"/>
        <v>13.6</v>
      </c>
      <c r="Z173" s="18" t="str">
        <f t="shared" si="24"/>
        <v>Low</v>
      </c>
      <c r="AA173" s="19" t="str">
        <f t="shared" si="25"/>
        <v>Eligible</v>
      </c>
      <c r="AB173" s="14" t="s">
        <v>85</v>
      </c>
      <c r="AC173" s="14">
        <v>0</v>
      </c>
      <c r="AD173" s="14" t="s">
        <v>93</v>
      </c>
      <c r="AE173" s="17">
        <v>14.6</v>
      </c>
      <c r="AF173" s="15">
        <v>0</v>
      </c>
      <c r="AG173" s="20">
        <f t="shared" si="26"/>
        <v>572318</v>
      </c>
      <c r="AH173" s="14">
        <v>1</v>
      </c>
      <c r="AI173" s="14" t="s">
        <v>75</v>
      </c>
      <c r="AJ173" s="14">
        <v>36</v>
      </c>
      <c r="AK173" s="21">
        <f t="shared" si="27"/>
        <v>0.14000000000000001</v>
      </c>
      <c r="AL173" s="20">
        <f t="shared" si="28"/>
        <v>23643.537424525995</v>
      </c>
      <c r="AM173" s="22">
        <f t="shared" si="29"/>
        <v>1.2087405952634724</v>
      </c>
      <c r="AN173" s="20">
        <f t="shared" si="30"/>
        <v>29326.767424525995</v>
      </c>
      <c r="AO173" s="16">
        <f t="shared" si="31"/>
        <v>0.61490501625724148</v>
      </c>
      <c r="AP173" s="15">
        <v>0</v>
      </c>
      <c r="AQ173" s="18" t="str">
        <f t="shared" si="32"/>
        <v>N/A</v>
      </c>
      <c r="AR173" s="23">
        <v>46027</v>
      </c>
      <c r="AS173" s="14" t="s">
        <v>79</v>
      </c>
    </row>
    <row r="174" spans="1:45" x14ac:dyDescent="0.25">
      <c r="A174" s="14" t="s">
        <v>651</v>
      </c>
      <c r="B174" s="14" t="s">
        <v>652</v>
      </c>
      <c r="C174" s="14">
        <v>9239278422</v>
      </c>
      <c r="D174" s="15" t="s">
        <v>653</v>
      </c>
      <c r="E174" s="14">
        <v>52</v>
      </c>
      <c r="F174" s="14" t="s">
        <v>89</v>
      </c>
      <c r="G174" s="14" t="s">
        <v>115</v>
      </c>
      <c r="H174" s="14" t="s">
        <v>132</v>
      </c>
      <c r="I174" s="14" t="s">
        <v>92</v>
      </c>
      <c r="J174" s="15">
        <v>1276105</v>
      </c>
      <c r="K174" s="14">
        <v>2</v>
      </c>
      <c r="L174" s="14" t="s">
        <v>75</v>
      </c>
      <c r="M174" s="14" t="s">
        <v>75</v>
      </c>
      <c r="N174" s="14" t="s">
        <v>76</v>
      </c>
      <c r="O174" s="14" t="s">
        <v>76</v>
      </c>
      <c r="P174" s="14">
        <v>420</v>
      </c>
      <c r="Q174" s="15"/>
      <c r="R174" s="15">
        <v>22586.09</v>
      </c>
      <c r="S174" s="14" t="s">
        <v>23</v>
      </c>
      <c r="T174" s="15"/>
      <c r="U174" s="16">
        <f t="shared" si="22"/>
        <v>0.21239089259896327</v>
      </c>
      <c r="V174" s="14">
        <v>0</v>
      </c>
      <c r="W174" s="17">
        <v>38.200000000000003</v>
      </c>
      <c r="X174" s="14">
        <v>12.1</v>
      </c>
      <c r="Y174" s="18">
        <f t="shared" si="23"/>
        <v>42.2</v>
      </c>
      <c r="Z174" s="18" t="str">
        <f t="shared" si="24"/>
        <v>Medium</v>
      </c>
      <c r="AA174" s="19" t="str">
        <f t="shared" si="25"/>
        <v>Not Eligible</v>
      </c>
      <c r="AB174" s="14" t="s">
        <v>85</v>
      </c>
      <c r="AC174" s="14">
        <v>2</v>
      </c>
      <c r="AD174" s="14" t="s">
        <v>93</v>
      </c>
      <c r="AE174" s="17">
        <v>7.9</v>
      </c>
      <c r="AF174" s="15">
        <v>375213</v>
      </c>
      <c r="AG174" s="20">
        <f t="shared" si="26"/>
        <v>1651318</v>
      </c>
      <c r="AH174" s="14">
        <v>0</v>
      </c>
      <c r="AI174" s="14" t="s">
        <v>75</v>
      </c>
      <c r="AJ174" s="14">
        <v>120</v>
      </c>
      <c r="AK174" s="21">
        <f t="shared" si="27"/>
        <v>0.1</v>
      </c>
      <c r="AL174" s="20">
        <f t="shared" si="28"/>
        <v>0</v>
      </c>
      <c r="AM174" s="22">
        <f t="shared" si="29"/>
        <v>0</v>
      </c>
      <c r="AN174" s="20">
        <f t="shared" si="30"/>
        <v>22586.09</v>
      </c>
      <c r="AO174" s="16">
        <f t="shared" si="31"/>
        <v>0.21239089259896327</v>
      </c>
      <c r="AP174" s="15">
        <v>6571917</v>
      </c>
      <c r="AQ174" s="18">
        <f t="shared" si="32"/>
        <v>0</v>
      </c>
      <c r="AR174" s="23">
        <v>46069</v>
      </c>
      <c r="AS174" s="14" t="s">
        <v>79</v>
      </c>
    </row>
    <row r="175" spans="1:45" x14ac:dyDescent="0.25">
      <c r="A175" s="14" t="s">
        <v>654</v>
      </c>
      <c r="B175" s="14" t="s">
        <v>655</v>
      </c>
      <c r="C175" s="14">
        <v>9131264549</v>
      </c>
      <c r="D175" s="15"/>
      <c r="E175" s="14">
        <v>33</v>
      </c>
      <c r="F175" s="14" t="s">
        <v>89</v>
      </c>
      <c r="G175" s="14" t="s">
        <v>226</v>
      </c>
      <c r="H175" s="14" t="s">
        <v>107</v>
      </c>
      <c r="I175" s="14" t="s">
        <v>92</v>
      </c>
      <c r="J175" s="15">
        <v>2290199</v>
      </c>
      <c r="K175" s="14">
        <v>0</v>
      </c>
      <c r="L175" s="14" t="s">
        <v>75</v>
      </c>
      <c r="M175" s="14" t="s">
        <v>75</v>
      </c>
      <c r="N175" s="14" t="s">
        <v>75</v>
      </c>
      <c r="O175" s="14" t="s">
        <v>75</v>
      </c>
      <c r="P175" s="14">
        <v>849</v>
      </c>
      <c r="Q175" s="15">
        <v>205185.48</v>
      </c>
      <c r="R175" s="15">
        <v>5004.5200000000004</v>
      </c>
      <c r="S175" s="14" t="s">
        <v>23</v>
      </c>
      <c r="T175" s="15">
        <v>7729251</v>
      </c>
      <c r="U175" s="16">
        <f t="shared" si="22"/>
        <v>2.6222280247262357E-2</v>
      </c>
      <c r="V175" s="14">
        <v>0</v>
      </c>
      <c r="W175" s="17">
        <v>54.5</v>
      </c>
      <c r="X175" s="14">
        <v>8.6</v>
      </c>
      <c r="Y175" s="18">
        <f t="shared" si="23"/>
        <v>9.6</v>
      </c>
      <c r="Z175" s="18" t="str">
        <f t="shared" si="24"/>
        <v>Low</v>
      </c>
      <c r="AA175" s="19" t="str">
        <f t="shared" si="25"/>
        <v>Eligible</v>
      </c>
      <c r="AB175" s="14" t="s">
        <v>77</v>
      </c>
      <c r="AC175" s="14">
        <v>2</v>
      </c>
      <c r="AD175" s="14" t="s">
        <v>78</v>
      </c>
      <c r="AE175" s="17">
        <v>7.1</v>
      </c>
      <c r="AF175" s="15">
        <v>837140</v>
      </c>
      <c r="AG175" s="20">
        <f t="shared" si="26"/>
        <v>3127339</v>
      </c>
      <c r="AH175" s="14">
        <v>1</v>
      </c>
      <c r="AI175" s="14" t="s">
        <v>75</v>
      </c>
      <c r="AJ175" s="14">
        <v>180</v>
      </c>
      <c r="AK175" s="21">
        <f t="shared" si="27"/>
        <v>8.5000000000000006E-2</v>
      </c>
      <c r="AL175" s="20">
        <f t="shared" si="28"/>
        <v>76112.992128359503</v>
      </c>
      <c r="AM175" s="22">
        <f t="shared" si="29"/>
        <v>3.3749254977405894</v>
      </c>
      <c r="AN175" s="20">
        <f t="shared" si="30"/>
        <v>81117.512128359507</v>
      </c>
      <c r="AO175" s="16">
        <f t="shared" si="31"/>
        <v>0.4250329973684881</v>
      </c>
      <c r="AP175" s="15">
        <v>9430575</v>
      </c>
      <c r="AQ175" s="18">
        <f t="shared" si="32"/>
        <v>0.81959488154221771</v>
      </c>
      <c r="AR175" s="23">
        <v>45910</v>
      </c>
      <c r="AS175" s="14" t="s">
        <v>79</v>
      </c>
    </row>
    <row r="176" spans="1:45" x14ac:dyDescent="0.25">
      <c r="A176" s="14" t="s">
        <v>656</v>
      </c>
      <c r="B176" s="14" t="s">
        <v>550</v>
      </c>
      <c r="C176" s="14">
        <v>9673671448</v>
      </c>
      <c r="D176" s="15"/>
      <c r="E176" s="14">
        <v>57</v>
      </c>
      <c r="F176" s="14" t="s">
        <v>89</v>
      </c>
      <c r="G176" s="14" t="s">
        <v>98</v>
      </c>
      <c r="H176" s="14" t="s">
        <v>73</v>
      </c>
      <c r="I176" s="14" t="s">
        <v>74</v>
      </c>
      <c r="J176" s="15">
        <v>1593025</v>
      </c>
      <c r="K176" s="14">
        <v>1</v>
      </c>
      <c r="L176" s="14" t="s">
        <v>75</v>
      </c>
      <c r="M176" s="14" t="s">
        <v>75</v>
      </c>
      <c r="N176" s="14" t="s">
        <v>76</v>
      </c>
      <c r="O176" s="14" t="s">
        <v>75</v>
      </c>
      <c r="P176" s="14">
        <v>808</v>
      </c>
      <c r="Q176" s="15">
        <v>838296.33</v>
      </c>
      <c r="R176" s="15">
        <v>23951.32</v>
      </c>
      <c r="S176" s="14" t="s">
        <v>23</v>
      </c>
      <c r="T176" s="15">
        <v>4038633</v>
      </c>
      <c r="U176" s="16">
        <f t="shared" si="22"/>
        <v>0.18042142464807517</v>
      </c>
      <c r="V176" s="14">
        <v>0</v>
      </c>
      <c r="W176" s="17">
        <v>33.700000000000003</v>
      </c>
      <c r="X176" s="14">
        <v>1.9</v>
      </c>
      <c r="Y176" s="18">
        <f t="shared" si="23"/>
        <v>14.9</v>
      </c>
      <c r="Z176" s="18" t="str">
        <f t="shared" si="24"/>
        <v>Low</v>
      </c>
      <c r="AA176" s="19" t="str">
        <f t="shared" si="25"/>
        <v>Eligible</v>
      </c>
      <c r="AB176" s="14" t="s">
        <v>77</v>
      </c>
      <c r="AC176" s="14">
        <v>2</v>
      </c>
      <c r="AD176" s="14" t="s">
        <v>194</v>
      </c>
      <c r="AE176" s="17">
        <v>13.5</v>
      </c>
      <c r="AF176" s="15">
        <v>511997</v>
      </c>
      <c r="AG176" s="20">
        <f t="shared" si="26"/>
        <v>2105022</v>
      </c>
      <c r="AH176" s="14">
        <v>0</v>
      </c>
      <c r="AI176" s="14" t="s">
        <v>75</v>
      </c>
      <c r="AJ176" s="14">
        <v>300</v>
      </c>
      <c r="AK176" s="21">
        <f t="shared" si="27"/>
        <v>8.5000000000000006E-2</v>
      </c>
      <c r="AL176" s="20">
        <f t="shared" si="28"/>
        <v>32520.166717639175</v>
      </c>
      <c r="AM176" s="22">
        <f t="shared" si="29"/>
        <v>2.5351975016085748</v>
      </c>
      <c r="AN176" s="20">
        <f t="shared" si="30"/>
        <v>56471.486717639171</v>
      </c>
      <c r="AO176" s="16">
        <f t="shared" si="31"/>
        <v>0.42539058747456571</v>
      </c>
      <c r="AP176" s="15">
        <v>5383943</v>
      </c>
      <c r="AQ176" s="18">
        <f t="shared" si="32"/>
        <v>0.75012551210144685</v>
      </c>
      <c r="AR176" s="23">
        <v>46163</v>
      </c>
      <c r="AS176" s="14" t="s">
        <v>79</v>
      </c>
    </row>
    <row r="177" spans="1:45" x14ac:dyDescent="0.25">
      <c r="A177" s="14" t="s">
        <v>658</v>
      </c>
      <c r="B177" s="14" t="s">
        <v>659</v>
      </c>
      <c r="C177" s="14">
        <v>9926224353</v>
      </c>
      <c r="D177" s="15"/>
      <c r="E177" s="14">
        <v>54</v>
      </c>
      <c r="F177" s="14" t="s">
        <v>71</v>
      </c>
      <c r="G177" s="14" t="s">
        <v>388</v>
      </c>
      <c r="H177" s="14" t="s">
        <v>166</v>
      </c>
      <c r="I177" s="14" t="s">
        <v>74</v>
      </c>
      <c r="J177" s="15">
        <v>2226730</v>
      </c>
      <c r="K177" s="14">
        <v>2</v>
      </c>
      <c r="L177" s="14" t="s">
        <v>76</v>
      </c>
      <c r="M177" s="14" t="s">
        <v>75</v>
      </c>
      <c r="N177" s="14" t="s">
        <v>76</v>
      </c>
      <c r="O177" s="14" t="s">
        <v>75</v>
      </c>
      <c r="P177" s="14">
        <v>345</v>
      </c>
      <c r="Q177" s="15"/>
      <c r="R177" s="15">
        <v>18358.560000000001</v>
      </c>
      <c r="S177" s="14" t="s">
        <v>20</v>
      </c>
      <c r="T177" s="15">
        <v>194739</v>
      </c>
      <c r="U177" s="16">
        <f t="shared" si="22"/>
        <v>9.8935533270760281E-2</v>
      </c>
      <c r="V177" s="14">
        <v>1</v>
      </c>
      <c r="W177" s="17">
        <v>9.4</v>
      </c>
      <c r="X177" s="14">
        <v>7.9</v>
      </c>
      <c r="Y177" s="18">
        <f t="shared" si="23"/>
        <v>44.9</v>
      </c>
      <c r="Z177" s="18" t="str">
        <f t="shared" si="24"/>
        <v>Medium</v>
      </c>
      <c r="AA177" s="19" t="str">
        <f t="shared" si="25"/>
        <v>Not Eligible</v>
      </c>
      <c r="AB177" s="14" t="s">
        <v>77</v>
      </c>
      <c r="AC177" s="14">
        <v>1</v>
      </c>
      <c r="AD177" s="14" t="s">
        <v>93</v>
      </c>
      <c r="AE177" s="17">
        <v>9.6</v>
      </c>
      <c r="AF177" s="15">
        <v>0</v>
      </c>
      <c r="AG177" s="20">
        <f t="shared" si="26"/>
        <v>2226730</v>
      </c>
      <c r="AH177" s="14">
        <v>0</v>
      </c>
      <c r="AI177" s="14" t="s">
        <v>75</v>
      </c>
      <c r="AJ177" s="14">
        <v>24</v>
      </c>
      <c r="AK177" s="21">
        <f t="shared" si="27"/>
        <v>0.375</v>
      </c>
      <c r="AL177" s="20">
        <f t="shared" si="28"/>
        <v>11654.221582688806</v>
      </c>
      <c r="AM177" s="22">
        <f t="shared" si="29"/>
        <v>8.745514723383617E-2</v>
      </c>
      <c r="AN177" s="20">
        <f t="shared" si="30"/>
        <v>30012.781582688807</v>
      </c>
      <c r="AO177" s="16">
        <f t="shared" si="31"/>
        <v>0.16174092907189722</v>
      </c>
      <c r="AP177" s="15">
        <v>0</v>
      </c>
      <c r="AQ177" s="18" t="str">
        <f t="shared" si="32"/>
        <v>N/A</v>
      </c>
      <c r="AR177" s="23">
        <v>46167</v>
      </c>
      <c r="AS177" s="14" t="s">
        <v>79</v>
      </c>
    </row>
    <row r="178" spans="1:45" x14ac:dyDescent="0.25">
      <c r="A178" s="14" t="s">
        <v>661</v>
      </c>
      <c r="B178" s="14" t="s">
        <v>662</v>
      </c>
      <c r="C178" s="14">
        <v>9226326628</v>
      </c>
      <c r="D178" s="15" t="s">
        <v>664</v>
      </c>
      <c r="E178" s="14">
        <v>31</v>
      </c>
      <c r="F178" s="14" t="s">
        <v>89</v>
      </c>
      <c r="G178" s="14" t="s">
        <v>139</v>
      </c>
      <c r="H178" s="14" t="s">
        <v>166</v>
      </c>
      <c r="I178" s="14" t="s">
        <v>74</v>
      </c>
      <c r="J178" s="15">
        <v>2456126</v>
      </c>
      <c r="K178" s="14">
        <v>1</v>
      </c>
      <c r="L178" s="14" t="s">
        <v>76</v>
      </c>
      <c r="M178" s="14" t="s">
        <v>75</v>
      </c>
      <c r="N178" s="14" t="s">
        <v>75</v>
      </c>
      <c r="O178" s="14" t="s">
        <v>75</v>
      </c>
      <c r="P178" s="14">
        <v>590</v>
      </c>
      <c r="Q178" s="15">
        <v>846012.02</v>
      </c>
      <c r="R178" s="15">
        <v>38455.089999999997</v>
      </c>
      <c r="S178" s="14" t="s">
        <v>20</v>
      </c>
      <c r="T178" s="15">
        <v>183251</v>
      </c>
      <c r="U178" s="16">
        <f t="shared" si="22"/>
        <v>0.18788168033724653</v>
      </c>
      <c r="V178" s="14">
        <v>1</v>
      </c>
      <c r="W178" s="17">
        <v>37.200000000000003</v>
      </c>
      <c r="X178" s="14">
        <v>6.8</v>
      </c>
      <c r="Y178" s="18">
        <f t="shared" si="23"/>
        <v>34</v>
      </c>
      <c r="Z178" s="18" t="str">
        <f t="shared" si="24"/>
        <v>Medium</v>
      </c>
      <c r="AA178" s="19" t="str">
        <f t="shared" si="25"/>
        <v>Review</v>
      </c>
      <c r="AB178" s="14" t="s">
        <v>85</v>
      </c>
      <c r="AC178" s="14">
        <v>1</v>
      </c>
      <c r="AD178" s="14" t="s">
        <v>93</v>
      </c>
      <c r="AE178" s="17">
        <v>1.3</v>
      </c>
      <c r="AF178" s="15">
        <v>469849</v>
      </c>
      <c r="AG178" s="20">
        <f t="shared" si="26"/>
        <v>2925975</v>
      </c>
      <c r="AH178" s="14">
        <v>0</v>
      </c>
      <c r="AI178" s="14" t="s">
        <v>75</v>
      </c>
      <c r="AJ178" s="14">
        <v>36</v>
      </c>
      <c r="AK178" s="21">
        <f t="shared" si="27"/>
        <v>0.375</v>
      </c>
      <c r="AL178" s="20">
        <f t="shared" si="28"/>
        <v>8550.8749892139604</v>
      </c>
      <c r="AM178" s="22">
        <f t="shared" si="29"/>
        <v>7.4609771648522921E-2</v>
      </c>
      <c r="AN178" s="20">
        <f t="shared" si="30"/>
        <v>47005.964989213957</v>
      </c>
      <c r="AO178" s="16">
        <f t="shared" si="31"/>
        <v>0.229659056526647</v>
      </c>
      <c r="AP178" s="15">
        <v>0</v>
      </c>
      <c r="AQ178" s="18" t="str">
        <f t="shared" si="32"/>
        <v>N/A</v>
      </c>
      <c r="AR178" s="23">
        <v>46210</v>
      </c>
      <c r="AS178" s="14" t="s">
        <v>79</v>
      </c>
    </row>
    <row r="179" spans="1:45" x14ac:dyDescent="0.25">
      <c r="A179" s="14" t="s">
        <v>665</v>
      </c>
      <c r="B179" s="14" t="s">
        <v>666</v>
      </c>
      <c r="C179" s="14">
        <v>9312758864</v>
      </c>
      <c r="D179" s="15" t="s">
        <v>667</v>
      </c>
      <c r="E179" s="14">
        <v>26</v>
      </c>
      <c r="F179" s="14" t="s">
        <v>89</v>
      </c>
      <c r="G179" s="14" t="s">
        <v>72</v>
      </c>
      <c r="H179" s="14" t="s">
        <v>73</v>
      </c>
      <c r="I179" s="14" t="s">
        <v>74</v>
      </c>
      <c r="J179" s="15">
        <v>2264091</v>
      </c>
      <c r="K179" s="14">
        <v>1</v>
      </c>
      <c r="L179" s="14" t="s">
        <v>76</v>
      </c>
      <c r="M179" s="14" t="s">
        <v>75</v>
      </c>
      <c r="N179" s="14" t="s">
        <v>75</v>
      </c>
      <c r="O179" s="14" t="s">
        <v>75</v>
      </c>
      <c r="P179" s="14">
        <v>781</v>
      </c>
      <c r="Q179" s="15">
        <v>314746</v>
      </c>
      <c r="R179" s="15">
        <v>12105.62</v>
      </c>
      <c r="S179" s="14" t="s">
        <v>21</v>
      </c>
      <c r="T179" s="15"/>
      <c r="U179" s="16">
        <f t="shared" si="22"/>
        <v>6.4161484675306774E-2</v>
      </c>
      <c r="V179" s="14">
        <v>4</v>
      </c>
      <c r="W179" s="17">
        <v>29.5</v>
      </c>
      <c r="X179" s="14">
        <v>5.6</v>
      </c>
      <c r="Y179" s="18">
        <f t="shared" si="23"/>
        <v>28.8</v>
      </c>
      <c r="Z179" s="18" t="str">
        <f t="shared" si="24"/>
        <v>Low</v>
      </c>
      <c r="AA179" s="19" t="str">
        <f t="shared" si="25"/>
        <v>Review</v>
      </c>
      <c r="AB179" s="14" t="s">
        <v>85</v>
      </c>
      <c r="AC179" s="14">
        <v>3</v>
      </c>
      <c r="AD179" s="14" t="s">
        <v>78</v>
      </c>
      <c r="AE179" s="17">
        <v>4.3</v>
      </c>
      <c r="AF179" s="15">
        <v>515630</v>
      </c>
      <c r="AG179" s="20">
        <f t="shared" si="26"/>
        <v>2779721</v>
      </c>
      <c r="AH179" s="14">
        <v>0</v>
      </c>
      <c r="AI179" s="14" t="s">
        <v>75</v>
      </c>
      <c r="AJ179" s="14">
        <v>48</v>
      </c>
      <c r="AK179" s="21">
        <f t="shared" si="27"/>
        <v>0.14000000000000001</v>
      </c>
      <c r="AL179" s="20">
        <f t="shared" si="28"/>
        <v>0</v>
      </c>
      <c r="AM179" s="22">
        <f t="shared" si="29"/>
        <v>0</v>
      </c>
      <c r="AN179" s="20">
        <f t="shared" si="30"/>
        <v>12105.62</v>
      </c>
      <c r="AO179" s="16">
        <f t="shared" si="31"/>
        <v>6.4161484675306774E-2</v>
      </c>
      <c r="AP179" s="15">
        <v>0</v>
      </c>
      <c r="AQ179" s="18" t="str">
        <f t="shared" si="32"/>
        <v>N/A</v>
      </c>
      <c r="AR179" s="23">
        <v>46131</v>
      </c>
      <c r="AS179" s="14" t="s">
        <v>79</v>
      </c>
    </row>
    <row r="180" spans="1:45" x14ac:dyDescent="0.25">
      <c r="A180" s="14" t="s">
        <v>668</v>
      </c>
      <c r="B180" s="14" t="s">
        <v>669</v>
      </c>
      <c r="C180" s="14">
        <v>9474322976</v>
      </c>
      <c r="D180" s="15" t="s">
        <v>671</v>
      </c>
      <c r="E180" s="14">
        <v>29</v>
      </c>
      <c r="F180" s="14" t="s">
        <v>71</v>
      </c>
      <c r="G180" s="14" t="s">
        <v>153</v>
      </c>
      <c r="H180" s="14" t="s">
        <v>73</v>
      </c>
      <c r="I180" s="14" t="s">
        <v>74</v>
      </c>
      <c r="J180" s="15">
        <v>1666796</v>
      </c>
      <c r="K180" s="14">
        <v>1</v>
      </c>
      <c r="L180" s="14" t="s">
        <v>75</v>
      </c>
      <c r="M180" s="14" t="s">
        <v>76</v>
      </c>
      <c r="N180" s="14" t="s">
        <v>75</v>
      </c>
      <c r="O180" s="14" t="s">
        <v>75</v>
      </c>
      <c r="P180" s="14">
        <v>723</v>
      </c>
      <c r="Q180" s="15">
        <v>238593.81</v>
      </c>
      <c r="R180" s="15">
        <v>8836.81</v>
      </c>
      <c r="S180" s="14" t="s">
        <v>21</v>
      </c>
      <c r="T180" s="15">
        <v>555806</v>
      </c>
      <c r="U180" s="16">
        <f t="shared" si="22"/>
        <v>6.3620095080621747E-2</v>
      </c>
      <c r="V180" s="14">
        <v>0</v>
      </c>
      <c r="W180" s="17">
        <v>37.4</v>
      </c>
      <c r="X180" s="14">
        <v>12.2</v>
      </c>
      <c r="Y180" s="18">
        <f t="shared" si="23"/>
        <v>17.399999999999999</v>
      </c>
      <c r="Z180" s="18" t="str">
        <f t="shared" si="24"/>
        <v>Low</v>
      </c>
      <c r="AA180" s="19" t="str">
        <f t="shared" si="25"/>
        <v>Eligible</v>
      </c>
      <c r="AB180" s="14" t="s">
        <v>85</v>
      </c>
      <c r="AC180" s="14">
        <v>2</v>
      </c>
      <c r="AD180" s="14" t="s">
        <v>78</v>
      </c>
      <c r="AE180" s="17">
        <v>6.4</v>
      </c>
      <c r="AF180" s="15">
        <v>0</v>
      </c>
      <c r="AG180" s="20">
        <f t="shared" si="26"/>
        <v>1666796</v>
      </c>
      <c r="AH180" s="14">
        <v>0</v>
      </c>
      <c r="AI180" s="14" t="s">
        <v>75</v>
      </c>
      <c r="AJ180" s="14">
        <v>12</v>
      </c>
      <c r="AK180" s="21">
        <f t="shared" si="27"/>
        <v>0.14000000000000001</v>
      </c>
      <c r="AL180" s="20">
        <f t="shared" si="28"/>
        <v>49904.218691129303</v>
      </c>
      <c r="AM180" s="22">
        <f t="shared" si="29"/>
        <v>0.33345772368064236</v>
      </c>
      <c r="AN180" s="20">
        <f t="shared" si="30"/>
        <v>58741.028691129301</v>
      </c>
      <c r="AO180" s="16">
        <f t="shared" si="31"/>
        <v>0.42290258933519859</v>
      </c>
      <c r="AP180" s="15">
        <v>0</v>
      </c>
      <c r="AQ180" s="18" t="str">
        <f t="shared" si="32"/>
        <v>N/A</v>
      </c>
      <c r="AR180" s="23">
        <v>46259</v>
      </c>
      <c r="AS180" s="14" t="s">
        <v>79</v>
      </c>
    </row>
    <row r="181" spans="1:45" x14ac:dyDescent="0.25">
      <c r="A181" s="14" t="s">
        <v>672</v>
      </c>
      <c r="B181" s="14" t="s">
        <v>673</v>
      </c>
      <c r="C181" s="14">
        <v>9735830320</v>
      </c>
      <c r="D181" s="15" t="s">
        <v>675</v>
      </c>
      <c r="E181" s="14">
        <v>41</v>
      </c>
      <c r="F181" s="14" t="s">
        <v>71</v>
      </c>
      <c r="G181" s="14" t="s">
        <v>417</v>
      </c>
      <c r="H181" s="14" t="s">
        <v>132</v>
      </c>
      <c r="I181" s="14" t="s">
        <v>92</v>
      </c>
      <c r="J181" s="15">
        <v>1591995</v>
      </c>
      <c r="K181" s="14">
        <v>2</v>
      </c>
      <c r="L181" s="14" t="s">
        <v>75</v>
      </c>
      <c r="M181" s="14" t="s">
        <v>76</v>
      </c>
      <c r="N181" s="14" t="s">
        <v>76</v>
      </c>
      <c r="O181" s="14" t="s">
        <v>75</v>
      </c>
      <c r="P181" s="14">
        <v>688</v>
      </c>
      <c r="Q181" s="15"/>
      <c r="R181" s="15">
        <v>5900.74</v>
      </c>
      <c r="S181" s="14" t="s">
        <v>20</v>
      </c>
      <c r="T181" s="15">
        <v>67465</v>
      </c>
      <c r="U181" s="16">
        <f t="shared" si="22"/>
        <v>4.4478079390952864E-2</v>
      </c>
      <c r="V181" s="14">
        <v>0</v>
      </c>
      <c r="W181" s="17">
        <v>18.2</v>
      </c>
      <c r="X181" s="14">
        <v>8.8000000000000007</v>
      </c>
      <c r="Y181" s="18">
        <f t="shared" si="23"/>
        <v>17.3</v>
      </c>
      <c r="Z181" s="18" t="str">
        <f t="shared" si="24"/>
        <v>Low</v>
      </c>
      <c r="AA181" s="19" t="str">
        <f t="shared" si="25"/>
        <v>Eligible</v>
      </c>
      <c r="AB181" s="14" t="s">
        <v>77</v>
      </c>
      <c r="AC181" s="14">
        <v>3</v>
      </c>
      <c r="AD181" s="14" t="s">
        <v>93</v>
      </c>
      <c r="AE181" s="17">
        <v>13.3</v>
      </c>
      <c r="AF181" s="15">
        <v>0</v>
      </c>
      <c r="AG181" s="20">
        <f t="shared" si="26"/>
        <v>1591995</v>
      </c>
      <c r="AH181" s="14">
        <v>0</v>
      </c>
      <c r="AI181" s="14" t="s">
        <v>75</v>
      </c>
      <c r="AJ181" s="14">
        <v>36</v>
      </c>
      <c r="AK181" s="21">
        <f t="shared" si="27"/>
        <v>0.36</v>
      </c>
      <c r="AL181" s="20">
        <f t="shared" si="28"/>
        <v>3090.1529746341566</v>
      </c>
      <c r="AM181" s="22">
        <f t="shared" si="29"/>
        <v>4.2377645658434854E-2</v>
      </c>
      <c r="AN181" s="20">
        <f t="shared" si="30"/>
        <v>8990.8929746341564</v>
      </c>
      <c r="AO181" s="16">
        <f t="shared" si="31"/>
        <v>6.777076290792991E-2</v>
      </c>
      <c r="AP181" s="15">
        <v>0</v>
      </c>
      <c r="AQ181" s="18" t="str">
        <f t="shared" si="32"/>
        <v>N/A</v>
      </c>
      <c r="AR181" s="23">
        <v>45995</v>
      </c>
      <c r="AS181" s="14" t="s">
        <v>79</v>
      </c>
    </row>
    <row r="182" spans="1:45" x14ac:dyDescent="0.25">
      <c r="A182" s="14" t="s">
        <v>676</v>
      </c>
      <c r="B182" s="14" t="s">
        <v>677</v>
      </c>
      <c r="C182" s="14">
        <v>9421838360</v>
      </c>
      <c r="D182" s="15" t="s">
        <v>678</v>
      </c>
      <c r="E182" s="14">
        <v>48</v>
      </c>
      <c r="F182" s="14" t="s">
        <v>89</v>
      </c>
      <c r="G182" s="14" t="s">
        <v>120</v>
      </c>
      <c r="H182" s="14" t="s">
        <v>166</v>
      </c>
      <c r="I182" s="14" t="s">
        <v>74</v>
      </c>
      <c r="J182" s="15">
        <v>2440872</v>
      </c>
      <c r="K182" s="14">
        <v>2</v>
      </c>
      <c r="L182" s="14" t="s">
        <v>76</v>
      </c>
      <c r="M182" s="14" t="s">
        <v>76</v>
      </c>
      <c r="N182" s="14" t="s">
        <v>75</v>
      </c>
      <c r="O182" s="14" t="s">
        <v>75</v>
      </c>
      <c r="P182" s="14">
        <v>862</v>
      </c>
      <c r="Q182" s="15">
        <v>1417511.3</v>
      </c>
      <c r="R182" s="15">
        <v>118125.94</v>
      </c>
      <c r="S182" s="14" t="s">
        <v>22</v>
      </c>
      <c r="T182" s="15"/>
      <c r="U182" s="16">
        <f t="shared" si="22"/>
        <v>0.58073970286028931</v>
      </c>
      <c r="V182" s="14">
        <v>4</v>
      </c>
      <c r="W182" s="17">
        <v>87.2</v>
      </c>
      <c r="X182" s="14">
        <v>3.7</v>
      </c>
      <c r="Y182" s="18">
        <f t="shared" si="23"/>
        <v>44.7</v>
      </c>
      <c r="Z182" s="18" t="str">
        <f t="shared" si="24"/>
        <v>Medium</v>
      </c>
      <c r="AA182" s="19" t="str">
        <f t="shared" si="25"/>
        <v>Review</v>
      </c>
      <c r="AB182" s="14" t="s">
        <v>77</v>
      </c>
      <c r="AC182" s="14">
        <v>1</v>
      </c>
      <c r="AD182" s="14" t="s">
        <v>78</v>
      </c>
      <c r="AE182" s="17">
        <v>10.5</v>
      </c>
      <c r="AF182" s="15">
        <v>0</v>
      </c>
      <c r="AG182" s="20">
        <f t="shared" si="26"/>
        <v>2440872</v>
      </c>
      <c r="AH182" s="14">
        <v>0</v>
      </c>
      <c r="AI182" s="14" t="s">
        <v>75</v>
      </c>
      <c r="AJ182" s="14">
        <v>60</v>
      </c>
      <c r="AK182" s="21">
        <f t="shared" si="27"/>
        <v>0.105</v>
      </c>
      <c r="AL182" s="20">
        <f t="shared" si="28"/>
        <v>0</v>
      </c>
      <c r="AM182" s="22">
        <f t="shared" si="29"/>
        <v>0</v>
      </c>
      <c r="AN182" s="20">
        <f t="shared" si="30"/>
        <v>118125.94</v>
      </c>
      <c r="AO182" s="16">
        <f t="shared" si="31"/>
        <v>0.58073970286028931</v>
      </c>
      <c r="AP182" s="15">
        <v>571300</v>
      </c>
      <c r="AQ182" s="18">
        <f t="shared" si="32"/>
        <v>0</v>
      </c>
      <c r="AR182" s="23">
        <v>46179</v>
      </c>
      <c r="AS182" s="14" t="s">
        <v>79</v>
      </c>
    </row>
    <row r="183" spans="1:45" x14ac:dyDescent="0.25">
      <c r="A183" s="14" t="s">
        <v>679</v>
      </c>
      <c r="B183" s="14" t="s">
        <v>680</v>
      </c>
      <c r="C183" s="14">
        <v>9548003203</v>
      </c>
      <c r="D183" s="15" t="s">
        <v>681</v>
      </c>
      <c r="E183" s="14">
        <v>63</v>
      </c>
      <c r="F183" s="14" t="s">
        <v>71</v>
      </c>
      <c r="G183" s="14" t="s">
        <v>72</v>
      </c>
      <c r="H183" s="14" t="s">
        <v>166</v>
      </c>
      <c r="I183" s="14" t="s">
        <v>74</v>
      </c>
      <c r="J183" s="15">
        <v>600924</v>
      </c>
      <c r="K183" s="14">
        <v>1</v>
      </c>
      <c r="L183" s="14" t="s">
        <v>75</v>
      </c>
      <c r="M183" s="14" t="s">
        <v>76</v>
      </c>
      <c r="N183" s="14" t="s">
        <v>75</v>
      </c>
      <c r="O183" s="14" t="s">
        <v>75</v>
      </c>
      <c r="P183" s="14">
        <v>439</v>
      </c>
      <c r="Q183" s="15">
        <v>30526</v>
      </c>
      <c r="R183" s="15">
        <v>575.96</v>
      </c>
      <c r="S183" s="14" t="s">
        <v>23</v>
      </c>
      <c r="T183" s="15">
        <v>5325445</v>
      </c>
      <c r="U183" s="16">
        <f t="shared" si="22"/>
        <v>1.1501487708928251E-2</v>
      </c>
      <c r="V183" s="14">
        <v>4</v>
      </c>
      <c r="W183" s="17">
        <v>71.099999999999994</v>
      </c>
      <c r="X183" s="14">
        <v>14</v>
      </c>
      <c r="Y183" s="18">
        <f t="shared" si="23"/>
        <v>54.2</v>
      </c>
      <c r="Z183" s="18" t="str">
        <f t="shared" si="24"/>
        <v>Medium</v>
      </c>
      <c r="AA183" s="19" t="str">
        <f t="shared" si="25"/>
        <v>Not Eligible</v>
      </c>
      <c r="AB183" s="14" t="s">
        <v>77</v>
      </c>
      <c r="AC183" s="14">
        <v>1</v>
      </c>
      <c r="AD183" s="14" t="s">
        <v>78</v>
      </c>
      <c r="AE183" s="17">
        <v>24.7</v>
      </c>
      <c r="AF183" s="15">
        <v>0</v>
      </c>
      <c r="AG183" s="20">
        <f t="shared" si="26"/>
        <v>600924</v>
      </c>
      <c r="AH183" s="14">
        <v>0</v>
      </c>
      <c r="AI183" s="14" t="s">
        <v>75</v>
      </c>
      <c r="AJ183" s="14">
        <v>120</v>
      </c>
      <c r="AK183" s="21">
        <f t="shared" si="27"/>
        <v>0.1</v>
      </c>
      <c r="AL183" s="20">
        <f t="shared" si="28"/>
        <v>70376.148097329322</v>
      </c>
      <c r="AM183" s="22">
        <f t="shared" si="29"/>
        <v>8.86209404184223</v>
      </c>
      <c r="AN183" s="20">
        <f t="shared" si="30"/>
        <v>70952.108097329328</v>
      </c>
      <c r="AO183" s="16">
        <f t="shared" si="31"/>
        <v>1.4168601972428325</v>
      </c>
      <c r="AP183" s="15">
        <v>6893707</v>
      </c>
      <c r="AQ183" s="18">
        <f t="shared" si="32"/>
        <v>0.77250817303375385</v>
      </c>
      <c r="AR183" s="23">
        <v>46016</v>
      </c>
      <c r="AS183" s="14" t="s">
        <v>79</v>
      </c>
    </row>
    <row r="184" spans="1:45" x14ac:dyDescent="0.25">
      <c r="A184" s="14" t="s">
        <v>682</v>
      </c>
      <c r="B184" s="14" t="s">
        <v>683</v>
      </c>
      <c r="C184" s="14">
        <v>9686441554</v>
      </c>
      <c r="D184" s="15" t="s">
        <v>685</v>
      </c>
      <c r="E184" s="14">
        <v>23</v>
      </c>
      <c r="F184" s="14" t="s">
        <v>71</v>
      </c>
      <c r="G184" s="14" t="s">
        <v>115</v>
      </c>
      <c r="H184" s="14" t="s">
        <v>103</v>
      </c>
      <c r="I184" s="14" t="s">
        <v>74</v>
      </c>
      <c r="J184" s="15">
        <v>774645</v>
      </c>
      <c r="K184" s="14">
        <v>1</v>
      </c>
      <c r="L184" s="14" t="s">
        <v>75</v>
      </c>
      <c r="M184" s="14" t="s">
        <v>75</v>
      </c>
      <c r="N184" s="14" t="s">
        <v>76</v>
      </c>
      <c r="O184" s="14" t="s">
        <v>75</v>
      </c>
      <c r="P184" s="14">
        <v>839</v>
      </c>
      <c r="Q184" s="15"/>
      <c r="R184" s="15">
        <v>7619.25</v>
      </c>
      <c r="S184" s="14" t="s">
        <v>22</v>
      </c>
      <c r="T184" s="15">
        <v>1275042</v>
      </c>
      <c r="U184" s="16">
        <f t="shared" si="22"/>
        <v>0.11802954901922816</v>
      </c>
      <c r="V184" s="14">
        <v>1</v>
      </c>
      <c r="W184" s="17">
        <v>54.7</v>
      </c>
      <c r="X184" s="14">
        <v>9.1999999999999993</v>
      </c>
      <c r="Y184" s="18">
        <f t="shared" si="23"/>
        <v>17.100000000000001</v>
      </c>
      <c r="Z184" s="18" t="str">
        <f t="shared" si="24"/>
        <v>Low</v>
      </c>
      <c r="AA184" s="19" t="str">
        <f t="shared" si="25"/>
        <v>Eligible</v>
      </c>
      <c r="AB184" s="14" t="s">
        <v>85</v>
      </c>
      <c r="AC184" s="14">
        <v>2</v>
      </c>
      <c r="AD184" s="14" t="s">
        <v>93</v>
      </c>
      <c r="AE184" s="17">
        <v>1.4</v>
      </c>
      <c r="AF184" s="15">
        <v>0</v>
      </c>
      <c r="AG184" s="20">
        <f t="shared" si="26"/>
        <v>774645</v>
      </c>
      <c r="AH184" s="14">
        <v>0</v>
      </c>
      <c r="AI184" s="14" t="s">
        <v>75</v>
      </c>
      <c r="AJ184" s="14">
        <v>72</v>
      </c>
      <c r="AK184" s="21">
        <f t="shared" si="27"/>
        <v>0.09</v>
      </c>
      <c r="AL184" s="20">
        <f t="shared" si="28"/>
        <v>22983.316962107652</v>
      </c>
      <c r="AM184" s="22">
        <f t="shared" si="29"/>
        <v>1.645969444067928</v>
      </c>
      <c r="AN184" s="20">
        <f t="shared" si="30"/>
        <v>30602.566962107652</v>
      </c>
      <c r="AO184" s="16">
        <f t="shared" si="31"/>
        <v>0.47406334972186204</v>
      </c>
      <c r="AP184" s="15">
        <v>1352252</v>
      </c>
      <c r="AQ184" s="18">
        <f t="shared" si="32"/>
        <v>0.94290265423900277</v>
      </c>
      <c r="AR184" s="23">
        <v>46070</v>
      </c>
      <c r="AS184" s="14" t="s">
        <v>79</v>
      </c>
    </row>
    <row r="185" spans="1:45" x14ac:dyDescent="0.25">
      <c r="A185" s="14" t="s">
        <v>686</v>
      </c>
      <c r="B185" s="14" t="s">
        <v>687</v>
      </c>
      <c r="C185" s="14">
        <v>9587516124</v>
      </c>
      <c r="D185" s="15" t="s">
        <v>688</v>
      </c>
      <c r="E185" s="14">
        <v>57</v>
      </c>
      <c r="F185" s="14" t="s">
        <v>89</v>
      </c>
      <c r="G185" s="14" t="s">
        <v>174</v>
      </c>
      <c r="H185" s="14" t="s">
        <v>103</v>
      </c>
      <c r="I185" s="14" t="s">
        <v>74</v>
      </c>
      <c r="J185" s="15">
        <v>1535717</v>
      </c>
      <c r="K185" s="14">
        <v>2</v>
      </c>
      <c r="L185" s="14" t="s">
        <v>76</v>
      </c>
      <c r="M185" s="14" t="s">
        <v>76</v>
      </c>
      <c r="N185" s="14" t="s">
        <v>75</v>
      </c>
      <c r="O185" s="14" t="s">
        <v>75</v>
      </c>
      <c r="P185" s="14">
        <v>877</v>
      </c>
      <c r="Q185" s="15">
        <v>239980.17</v>
      </c>
      <c r="R185" s="15">
        <v>4615</v>
      </c>
      <c r="S185" s="14" t="s">
        <v>23</v>
      </c>
      <c r="T185" s="15">
        <v>6349798</v>
      </c>
      <c r="U185" s="16">
        <f t="shared" si="22"/>
        <v>3.6061331612530174E-2</v>
      </c>
      <c r="V185" s="14">
        <v>0</v>
      </c>
      <c r="W185" s="17">
        <v>9.9</v>
      </c>
      <c r="X185" s="14">
        <v>14.9</v>
      </c>
      <c r="Y185" s="18">
        <f t="shared" si="23"/>
        <v>3.6</v>
      </c>
      <c r="Z185" s="18" t="str">
        <f t="shared" si="24"/>
        <v>Low</v>
      </c>
      <c r="AA185" s="19" t="str">
        <f t="shared" si="25"/>
        <v>Eligible</v>
      </c>
      <c r="AB185" s="14" t="s">
        <v>77</v>
      </c>
      <c r="AC185" s="14">
        <v>2</v>
      </c>
      <c r="AD185" s="14" t="s">
        <v>78</v>
      </c>
      <c r="AE185" s="17">
        <v>2.8</v>
      </c>
      <c r="AF185" s="15">
        <v>0</v>
      </c>
      <c r="AG185" s="20">
        <f t="shared" si="26"/>
        <v>1535717</v>
      </c>
      <c r="AH185" s="14">
        <v>2</v>
      </c>
      <c r="AI185" s="14" t="s">
        <v>75</v>
      </c>
      <c r="AJ185" s="14">
        <v>180</v>
      </c>
      <c r="AK185" s="21">
        <f t="shared" si="27"/>
        <v>8.5000000000000006E-2</v>
      </c>
      <c r="AL185" s="20">
        <f t="shared" si="28"/>
        <v>62528.972754368166</v>
      </c>
      <c r="AM185" s="22">
        <f t="shared" si="29"/>
        <v>4.134744878125332</v>
      </c>
      <c r="AN185" s="20">
        <f t="shared" si="30"/>
        <v>67143.972754368166</v>
      </c>
      <c r="AO185" s="16">
        <f t="shared" si="31"/>
        <v>0.52465895282296027</v>
      </c>
      <c r="AP185" s="15">
        <v>8279816</v>
      </c>
      <c r="AQ185" s="18">
        <f t="shared" si="32"/>
        <v>0.76690085866642443</v>
      </c>
      <c r="AR185" s="23">
        <v>46035</v>
      </c>
      <c r="AS185" s="14" t="s">
        <v>79</v>
      </c>
    </row>
    <row r="186" spans="1:45" x14ac:dyDescent="0.25">
      <c r="A186" s="14" t="s">
        <v>689</v>
      </c>
      <c r="B186" s="14" t="s">
        <v>690</v>
      </c>
      <c r="C186" s="14"/>
      <c r="D186" s="15" t="s">
        <v>691</v>
      </c>
      <c r="E186" s="14">
        <v>58</v>
      </c>
      <c r="F186" s="14" t="s">
        <v>71</v>
      </c>
      <c r="G186" s="14" t="s">
        <v>417</v>
      </c>
      <c r="H186" s="14" t="s">
        <v>103</v>
      </c>
      <c r="I186" s="14" t="s">
        <v>74</v>
      </c>
      <c r="J186" s="15">
        <v>1035678</v>
      </c>
      <c r="K186" s="14">
        <v>1</v>
      </c>
      <c r="L186" s="14" t="s">
        <v>76</v>
      </c>
      <c r="M186" s="14" t="s">
        <v>75</v>
      </c>
      <c r="N186" s="14" t="s">
        <v>75</v>
      </c>
      <c r="O186" s="14" t="s">
        <v>75</v>
      </c>
      <c r="P186" s="14">
        <v>333</v>
      </c>
      <c r="Q186" s="15">
        <v>213048.08</v>
      </c>
      <c r="R186" s="15">
        <v>12532.24</v>
      </c>
      <c r="S186" s="14" t="s">
        <v>21</v>
      </c>
      <c r="T186" s="15"/>
      <c r="U186" s="16">
        <f t="shared" si="22"/>
        <v>0.14520621274179812</v>
      </c>
      <c r="V186" s="14">
        <v>5</v>
      </c>
      <c r="W186" s="17">
        <v>19.600000000000001</v>
      </c>
      <c r="X186" s="14">
        <v>7.5</v>
      </c>
      <c r="Y186" s="18">
        <f t="shared" si="23"/>
        <v>64.099999999999994</v>
      </c>
      <c r="Z186" s="18" t="str">
        <f t="shared" si="24"/>
        <v>High</v>
      </c>
      <c r="AA186" s="19" t="str">
        <f t="shared" si="25"/>
        <v>Not Eligible</v>
      </c>
      <c r="AB186" s="14" t="s">
        <v>161</v>
      </c>
      <c r="AC186" s="14">
        <v>2</v>
      </c>
      <c r="AD186" s="14" t="s">
        <v>78</v>
      </c>
      <c r="AE186" s="17">
        <v>13.4</v>
      </c>
      <c r="AF186" s="15">
        <v>0</v>
      </c>
      <c r="AG186" s="20">
        <f t="shared" si="26"/>
        <v>1035678</v>
      </c>
      <c r="AH186" s="14">
        <v>0</v>
      </c>
      <c r="AI186" s="14" t="s">
        <v>75</v>
      </c>
      <c r="AJ186" s="14">
        <v>36</v>
      </c>
      <c r="AK186" s="21">
        <f t="shared" si="27"/>
        <v>0.17</v>
      </c>
      <c r="AL186" s="20">
        <f t="shared" si="28"/>
        <v>0</v>
      </c>
      <c r="AM186" s="22">
        <f t="shared" si="29"/>
        <v>0</v>
      </c>
      <c r="AN186" s="20">
        <f t="shared" si="30"/>
        <v>12532.24</v>
      </c>
      <c r="AO186" s="16">
        <f t="shared" si="31"/>
        <v>0.14520621274179812</v>
      </c>
      <c r="AP186" s="15">
        <v>0</v>
      </c>
      <c r="AQ186" s="18" t="str">
        <f t="shared" si="32"/>
        <v>N/A</v>
      </c>
      <c r="AR186" s="23">
        <v>45922</v>
      </c>
      <c r="AS186" s="14" t="s">
        <v>79</v>
      </c>
    </row>
    <row r="187" spans="1:45" x14ac:dyDescent="0.25">
      <c r="A187" s="14" t="s">
        <v>692</v>
      </c>
      <c r="B187" s="14" t="s">
        <v>693</v>
      </c>
      <c r="C187" s="14">
        <v>9224548001</v>
      </c>
      <c r="D187" s="15" t="s">
        <v>694</v>
      </c>
      <c r="E187" s="14">
        <v>50</v>
      </c>
      <c r="F187" s="14" t="s">
        <v>89</v>
      </c>
      <c r="G187" s="14" t="s">
        <v>115</v>
      </c>
      <c r="H187" s="14" t="s">
        <v>84</v>
      </c>
      <c r="I187" s="14" t="s">
        <v>74</v>
      </c>
      <c r="J187" s="15">
        <v>2297605</v>
      </c>
      <c r="K187" s="14">
        <v>0</v>
      </c>
      <c r="L187" s="14" t="s">
        <v>75</v>
      </c>
      <c r="M187" s="14" t="s">
        <v>75</v>
      </c>
      <c r="N187" s="14" t="s">
        <v>75</v>
      </c>
      <c r="O187" s="14" t="s">
        <v>75</v>
      </c>
      <c r="P187" s="14">
        <v>699</v>
      </c>
      <c r="Q187" s="15"/>
      <c r="R187" s="15">
        <v>5192.47</v>
      </c>
      <c r="S187" s="14" t="s">
        <v>23</v>
      </c>
      <c r="T187" s="15">
        <v>1599514</v>
      </c>
      <c r="U187" s="16">
        <f t="shared" si="22"/>
        <v>2.7119387362057445E-2</v>
      </c>
      <c r="V187" s="14">
        <v>0</v>
      </c>
      <c r="W187" s="17">
        <v>80.7</v>
      </c>
      <c r="X187" s="14">
        <v>5.9</v>
      </c>
      <c r="Y187" s="18">
        <f t="shared" si="23"/>
        <v>22.3</v>
      </c>
      <c r="Z187" s="18" t="str">
        <f t="shared" si="24"/>
        <v>Low</v>
      </c>
      <c r="AA187" s="19" t="str">
        <f t="shared" si="25"/>
        <v>Eligible</v>
      </c>
      <c r="AB187" s="14" t="s">
        <v>85</v>
      </c>
      <c r="AC187" s="14">
        <v>2</v>
      </c>
      <c r="AD187" s="14" t="s">
        <v>194</v>
      </c>
      <c r="AE187" s="17">
        <v>3.1</v>
      </c>
      <c r="AF187" s="15">
        <v>0</v>
      </c>
      <c r="AG187" s="20">
        <f t="shared" si="26"/>
        <v>2297605</v>
      </c>
      <c r="AH187" s="14">
        <v>0</v>
      </c>
      <c r="AI187" s="14" t="s">
        <v>75</v>
      </c>
      <c r="AJ187" s="14">
        <v>360</v>
      </c>
      <c r="AK187" s="21">
        <f t="shared" si="27"/>
        <v>8.5000000000000006E-2</v>
      </c>
      <c r="AL187" s="20">
        <f t="shared" si="28"/>
        <v>12298.878817819117</v>
      </c>
      <c r="AM187" s="22">
        <f t="shared" si="29"/>
        <v>0.69616579002918255</v>
      </c>
      <c r="AN187" s="20">
        <f t="shared" si="30"/>
        <v>17491.348817819118</v>
      </c>
      <c r="AO187" s="16">
        <f t="shared" si="31"/>
        <v>9.1354338893686868E-2</v>
      </c>
      <c r="AP187" s="15">
        <v>2206546</v>
      </c>
      <c r="AQ187" s="18">
        <f t="shared" si="32"/>
        <v>0.72489492627844609</v>
      </c>
      <c r="AR187" s="23">
        <v>46034</v>
      </c>
      <c r="AS187" s="14" t="s">
        <v>79</v>
      </c>
    </row>
    <row r="188" spans="1:45" x14ac:dyDescent="0.25">
      <c r="A188" s="14" t="s">
        <v>695</v>
      </c>
      <c r="B188" s="14" t="s">
        <v>696</v>
      </c>
      <c r="C188" s="14">
        <v>9205523897</v>
      </c>
      <c r="D188" s="15" t="s">
        <v>698</v>
      </c>
      <c r="E188" s="14">
        <v>46</v>
      </c>
      <c r="F188" s="14" t="s">
        <v>89</v>
      </c>
      <c r="G188" s="14" t="s">
        <v>131</v>
      </c>
      <c r="H188" s="14" t="s">
        <v>91</v>
      </c>
      <c r="I188" s="14" t="s">
        <v>92</v>
      </c>
      <c r="J188" s="15">
        <v>2480838</v>
      </c>
      <c r="K188" s="14">
        <v>2</v>
      </c>
      <c r="L188" s="14" t="s">
        <v>76</v>
      </c>
      <c r="M188" s="14" t="s">
        <v>75</v>
      </c>
      <c r="N188" s="14" t="s">
        <v>76</v>
      </c>
      <c r="O188" s="14" t="s">
        <v>75</v>
      </c>
      <c r="P188" s="14">
        <v>308</v>
      </c>
      <c r="Q188" s="15">
        <v>1237972.1499999999</v>
      </c>
      <c r="R188" s="15">
        <v>103164.35</v>
      </c>
      <c r="S188" s="14" t="s">
        <v>23</v>
      </c>
      <c r="T188" s="15">
        <v>2319556</v>
      </c>
      <c r="U188" s="16">
        <f t="shared" si="22"/>
        <v>0.49901372036384489</v>
      </c>
      <c r="V188" s="14">
        <v>1</v>
      </c>
      <c r="W188" s="17">
        <v>70.099999999999994</v>
      </c>
      <c r="X188" s="14">
        <v>5.4</v>
      </c>
      <c r="Y188" s="18">
        <f t="shared" si="23"/>
        <v>65.400000000000006</v>
      </c>
      <c r="Z188" s="18" t="str">
        <f t="shared" si="24"/>
        <v>High</v>
      </c>
      <c r="AA188" s="19" t="str">
        <f t="shared" si="25"/>
        <v>Not Eligible</v>
      </c>
      <c r="AB188" s="14" t="s">
        <v>77</v>
      </c>
      <c r="AC188" s="14">
        <v>1</v>
      </c>
      <c r="AD188" s="14" t="s">
        <v>78</v>
      </c>
      <c r="AE188" s="17">
        <v>15.6</v>
      </c>
      <c r="AF188" s="15">
        <v>595604</v>
      </c>
      <c r="AG188" s="20">
        <f t="shared" si="26"/>
        <v>3076442</v>
      </c>
      <c r="AH188" s="14">
        <v>2</v>
      </c>
      <c r="AI188" s="14" t="s">
        <v>75</v>
      </c>
      <c r="AJ188" s="14">
        <v>360</v>
      </c>
      <c r="AK188" s="21">
        <f t="shared" si="27"/>
        <v>0.115</v>
      </c>
      <c r="AL188" s="20">
        <f t="shared" si="28"/>
        <v>22970.36435486321</v>
      </c>
      <c r="AM188" s="22">
        <f t="shared" si="29"/>
        <v>0.93498890294327963</v>
      </c>
      <c r="AN188" s="20">
        <f t="shared" si="30"/>
        <v>126134.71435486322</v>
      </c>
      <c r="AO188" s="16">
        <f t="shared" si="31"/>
        <v>0.61012310044362372</v>
      </c>
      <c r="AP188" s="15">
        <v>3037507</v>
      </c>
      <c r="AQ188" s="18">
        <f t="shared" si="32"/>
        <v>0.76363807556657481</v>
      </c>
      <c r="AR188" s="23">
        <v>46257</v>
      </c>
      <c r="AS188" s="14" t="s">
        <v>94</v>
      </c>
    </row>
    <row r="189" spans="1:45" x14ac:dyDescent="0.25">
      <c r="A189" s="14" t="s">
        <v>699</v>
      </c>
      <c r="B189" s="14" t="s">
        <v>700</v>
      </c>
      <c r="C189" s="14">
        <v>9749276419</v>
      </c>
      <c r="D189" s="15" t="s">
        <v>701</v>
      </c>
      <c r="E189" s="14">
        <v>63</v>
      </c>
      <c r="F189" s="14" t="s">
        <v>71</v>
      </c>
      <c r="G189" s="14" t="s">
        <v>139</v>
      </c>
      <c r="H189" s="14" t="s">
        <v>132</v>
      </c>
      <c r="I189" s="14" t="s">
        <v>92</v>
      </c>
      <c r="J189" s="15">
        <v>1362567</v>
      </c>
      <c r="K189" s="14">
        <v>2</v>
      </c>
      <c r="L189" s="14" t="s">
        <v>76</v>
      </c>
      <c r="M189" s="14" t="s">
        <v>75</v>
      </c>
      <c r="N189" s="14" t="s">
        <v>76</v>
      </c>
      <c r="O189" s="14" t="s">
        <v>75</v>
      </c>
      <c r="P189" s="14">
        <v>583</v>
      </c>
      <c r="Q189" s="15"/>
      <c r="R189" s="15">
        <v>11231.82</v>
      </c>
      <c r="S189" s="14" t="s">
        <v>22</v>
      </c>
      <c r="T189" s="15">
        <v>839673</v>
      </c>
      <c r="U189" s="16">
        <f t="shared" si="22"/>
        <v>9.8917587171860166E-2</v>
      </c>
      <c r="V189" s="14">
        <v>0</v>
      </c>
      <c r="W189" s="17">
        <v>12</v>
      </c>
      <c r="X189" s="14">
        <v>11.7</v>
      </c>
      <c r="Y189" s="18">
        <f t="shared" si="23"/>
        <v>25.3</v>
      </c>
      <c r="Z189" s="18" t="str">
        <f t="shared" si="24"/>
        <v>Low</v>
      </c>
      <c r="AA189" s="19" t="str">
        <f t="shared" si="25"/>
        <v>Review</v>
      </c>
      <c r="AB189" s="14" t="s">
        <v>85</v>
      </c>
      <c r="AC189" s="14">
        <v>1</v>
      </c>
      <c r="AD189" s="14" t="s">
        <v>78</v>
      </c>
      <c r="AE189" s="17">
        <v>28.7</v>
      </c>
      <c r="AF189" s="15">
        <v>480431</v>
      </c>
      <c r="AG189" s="20">
        <f t="shared" si="26"/>
        <v>1842998</v>
      </c>
      <c r="AH189" s="14">
        <v>0</v>
      </c>
      <c r="AI189" s="14" t="s">
        <v>76</v>
      </c>
      <c r="AJ189" s="14">
        <v>72</v>
      </c>
      <c r="AK189" s="21">
        <f t="shared" si="27"/>
        <v>0.09</v>
      </c>
      <c r="AL189" s="20">
        <f t="shared" si="28"/>
        <v>15135.556870694316</v>
      </c>
      <c r="AM189" s="22">
        <f t="shared" si="29"/>
        <v>0.61624345811985759</v>
      </c>
      <c r="AN189" s="20">
        <f t="shared" si="30"/>
        <v>26367.376870694316</v>
      </c>
      <c r="AO189" s="16">
        <f t="shared" si="31"/>
        <v>0.23221501948038653</v>
      </c>
      <c r="AP189" s="15">
        <v>947594</v>
      </c>
      <c r="AQ189" s="18">
        <f t="shared" si="32"/>
        <v>0.88611050724255325</v>
      </c>
      <c r="AR189" s="23">
        <v>46225</v>
      </c>
      <c r="AS189" s="14" t="s">
        <v>79</v>
      </c>
    </row>
    <row r="190" spans="1:45" x14ac:dyDescent="0.25">
      <c r="A190" s="14" t="s">
        <v>702</v>
      </c>
      <c r="B190" s="14" t="s">
        <v>703</v>
      </c>
      <c r="C190" s="14"/>
      <c r="D190" s="15" t="s">
        <v>704</v>
      </c>
      <c r="E190" s="14">
        <v>60</v>
      </c>
      <c r="F190" s="14" t="s">
        <v>71</v>
      </c>
      <c r="G190" s="14" t="s">
        <v>417</v>
      </c>
      <c r="H190" s="14" t="s">
        <v>84</v>
      </c>
      <c r="I190" s="14" t="s">
        <v>74</v>
      </c>
      <c r="J190" s="15">
        <v>733217</v>
      </c>
      <c r="K190" s="14">
        <v>2</v>
      </c>
      <c r="L190" s="14" t="s">
        <v>76</v>
      </c>
      <c r="M190" s="14" t="s">
        <v>76</v>
      </c>
      <c r="N190" s="14" t="s">
        <v>75</v>
      </c>
      <c r="O190" s="14" t="s">
        <v>75</v>
      </c>
      <c r="P190" s="14">
        <v>319</v>
      </c>
      <c r="Q190" s="15"/>
      <c r="R190" s="15">
        <v>18781.09</v>
      </c>
      <c r="S190" s="14" t="s">
        <v>20</v>
      </c>
      <c r="T190" s="15">
        <v>39836</v>
      </c>
      <c r="U190" s="16">
        <f t="shared" si="22"/>
        <v>0.30737568823417899</v>
      </c>
      <c r="V190" s="14">
        <v>2</v>
      </c>
      <c r="W190" s="17">
        <v>30.3</v>
      </c>
      <c r="X190" s="14">
        <v>10.6</v>
      </c>
      <c r="Y190" s="18">
        <f t="shared" si="23"/>
        <v>59</v>
      </c>
      <c r="Z190" s="18" t="str">
        <f t="shared" si="24"/>
        <v>Medium</v>
      </c>
      <c r="AA190" s="19" t="str">
        <f t="shared" si="25"/>
        <v>Not Eligible</v>
      </c>
      <c r="AB190" s="14" t="s">
        <v>77</v>
      </c>
      <c r="AC190" s="14">
        <v>2</v>
      </c>
      <c r="AD190" s="14" t="s">
        <v>93</v>
      </c>
      <c r="AE190" s="17">
        <v>28.2</v>
      </c>
      <c r="AF190" s="15">
        <v>0</v>
      </c>
      <c r="AG190" s="20">
        <f t="shared" si="26"/>
        <v>733217</v>
      </c>
      <c r="AH190" s="14">
        <v>0</v>
      </c>
      <c r="AI190" s="14" t="s">
        <v>75</v>
      </c>
      <c r="AJ190" s="14">
        <v>12</v>
      </c>
      <c r="AK190" s="21">
        <f t="shared" si="27"/>
        <v>0.375</v>
      </c>
      <c r="AL190" s="20">
        <f t="shared" si="28"/>
        <v>4031.9280386591263</v>
      </c>
      <c r="AM190" s="22">
        <f t="shared" si="29"/>
        <v>5.4330436964773049E-2</v>
      </c>
      <c r="AN190" s="20">
        <f t="shared" si="30"/>
        <v>22813.018038659127</v>
      </c>
      <c r="AO190" s="16">
        <f t="shared" si="31"/>
        <v>0.37336316051579482</v>
      </c>
      <c r="AP190" s="15">
        <v>0</v>
      </c>
      <c r="AQ190" s="18" t="str">
        <f t="shared" si="32"/>
        <v>N/A</v>
      </c>
      <c r="AR190" s="23">
        <v>46171</v>
      </c>
      <c r="AS190" s="14" t="s">
        <v>79</v>
      </c>
    </row>
    <row r="191" spans="1:45" x14ac:dyDescent="0.25">
      <c r="A191" s="14" t="s">
        <v>705</v>
      </c>
      <c r="B191" s="14" t="s">
        <v>706</v>
      </c>
      <c r="C191" s="14">
        <v>9978295746</v>
      </c>
      <c r="D191" s="15" t="s">
        <v>707</v>
      </c>
      <c r="E191" s="14">
        <v>28</v>
      </c>
      <c r="F191" s="14" t="s">
        <v>89</v>
      </c>
      <c r="G191" s="14" t="s">
        <v>226</v>
      </c>
      <c r="H191" s="14" t="s">
        <v>84</v>
      </c>
      <c r="I191" s="14" t="s">
        <v>74</v>
      </c>
      <c r="J191" s="15">
        <v>1980300</v>
      </c>
      <c r="K191" s="14">
        <v>1</v>
      </c>
      <c r="L191" s="14" t="s">
        <v>76</v>
      </c>
      <c r="M191" s="14" t="s">
        <v>75</v>
      </c>
      <c r="N191" s="14" t="s">
        <v>75</v>
      </c>
      <c r="O191" s="14" t="s">
        <v>75</v>
      </c>
      <c r="P191" s="14">
        <v>648</v>
      </c>
      <c r="Q191" s="15">
        <v>95597.14</v>
      </c>
      <c r="R191" s="15">
        <v>2331.64</v>
      </c>
      <c r="S191" s="14" t="s">
        <v>22</v>
      </c>
      <c r="T191" s="15">
        <v>725974</v>
      </c>
      <c r="U191" s="16">
        <f t="shared" si="22"/>
        <v>1.4129010755946069E-2</v>
      </c>
      <c r="V191" s="14">
        <v>0</v>
      </c>
      <c r="W191" s="17">
        <v>8.6999999999999993</v>
      </c>
      <c r="X191" s="14">
        <v>5.9</v>
      </c>
      <c r="Y191" s="18">
        <f t="shared" si="23"/>
        <v>18.100000000000001</v>
      </c>
      <c r="Z191" s="18" t="str">
        <f t="shared" si="24"/>
        <v>Low</v>
      </c>
      <c r="AA191" s="19" t="str">
        <f t="shared" si="25"/>
        <v>Review</v>
      </c>
      <c r="AB191" s="14" t="s">
        <v>85</v>
      </c>
      <c r="AC191" s="14">
        <v>2</v>
      </c>
      <c r="AD191" s="14" t="s">
        <v>93</v>
      </c>
      <c r="AE191" s="17">
        <v>4.5</v>
      </c>
      <c r="AF191" s="15">
        <v>0</v>
      </c>
      <c r="AG191" s="20">
        <f t="shared" si="26"/>
        <v>1980300</v>
      </c>
      <c r="AH191" s="14">
        <v>0</v>
      </c>
      <c r="AI191" s="14" t="s">
        <v>75</v>
      </c>
      <c r="AJ191" s="14">
        <v>84</v>
      </c>
      <c r="AK191" s="21">
        <f t="shared" si="27"/>
        <v>0.09</v>
      </c>
      <c r="AL191" s="20">
        <f t="shared" si="28"/>
        <v>11680.252500753226</v>
      </c>
      <c r="AM191" s="22">
        <f t="shared" si="29"/>
        <v>0.36659799020350453</v>
      </c>
      <c r="AN191" s="20">
        <f t="shared" si="30"/>
        <v>14011.892500753225</v>
      </c>
      <c r="AO191" s="16">
        <f t="shared" si="31"/>
        <v>8.4907695808230418E-2</v>
      </c>
      <c r="AP191" s="15">
        <v>789782</v>
      </c>
      <c r="AQ191" s="18">
        <f t="shared" si="32"/>
        <v>0.91920808526909958</v>
      </c>
      <c r="AR191" s="23">
        <v>45913</v>
      </c>
      <c r="AS191" s="14" t="s">
        <v>79</v>
      </c>
    </row>
    <row r="192" spans="1:45" x14ac:dyDescent="0.25">
      <c r="A192" s="14" t="s">
        <v>708</v>
      </c>
      <c r="B192" s="14" t="s">
        <v>709</v>
      </c>
      <c r="C192" s="14"/>
      <c r="D192" s="15"/>
      <c r="E192" s="14">
        <v>25</v>
      </c>
      <c r="F192" s="14" t="s">
        <v>89</v>
      </c>
      <c r="G192" s="14" t="s">
        <v>115</v>
      </c>
      <c r="H192" s="14" t="s">
        <v>144</v>
      </c>
      <c r="I192" s="14" t="s">
        <v>92</v>
      </c>
      <c r="J192" s="15">
        <v>2184531</v>
      </c>
      <c r="K192" s="14">
        <v>1</v>
      </c>
      <c r="L192" s="14" t="s">
        <v>75</v>
      </c>
      <c r="M192" s="14" t="s">
        <v>76</v>
      </c>
      <c r="N192" s="14" t="s">
        <v>75</v>
      </c>
      <c r="O192" s="14" t="s">
        <v>75</v>
      </c>
      <c r="P192" s="14">
        <v>343</v>
      </c>
      <c r="Q192" s="15">
        <v>531507</v>
      </c>
      <c r="R192" s="15">
        <v>21260.27</v>
      </c>
      <c r="S192" s="14" t="s">
        <v>23</v>
      </c>
      <c r="T192" s="15">
        <v>7188129</v>
      </c>
      <c r="U192" s="16">
        <f t="shared" si="22"/>
        <v>0.11678627586424729</v>
      </c>
      <c r="V192" s="14">
        <v>4</v>
      </c>
      <c r="W192" s="17">
        <v>56</v>
      </c>
      <c r="X192" s="14">
        <v>11.2</v>
      </c>
      <c r="Y192" s="18">
        <f t="shared" si="23"/>
        <v>62.2</v>
      </c>
      <c r="Z192" s="18" t="str">
        <f t="shared" si="24"/>
        <v>High</v>
      </c>
      <c r="AA192" s="19" t="str">
        <f t="shared" si="25"/>
        <v>Not Eligible</v>
      </c>
      <c r="AB192" s="14" t="s">
        <v>85</v>
      </c>
      <c r="AC192" s="14">
        <v>0</v>
      </c>
      <c r="AD192" s="14" t="s">
        <v>93</v>
      </c>
      <c r="AE192" s="17">
        <v>2.1</v>
      </c>
      <c r="AF192" s="15">
        <v>830384</v>
      </c>
      <c r="AG192" s="20">
        <f t="shared" si="26"/>
        <v>3014915</v>
      </c>
      <c r="AH192" s="14">
        <v>1</v>
      </c>
      <c r="AI192" s="14" t="s">
        <v>75</v>
      </c>
      <c r="AJ192" s="14">
        <v>180</v>
      </c>
      <c r="AK192" s="21">
        <f t="shared" si="27"/>
        <v>0.115</v>
      </c>
      <c r="AL192" s="20">
        <f t="shared" si="28"/>
        <v>83970.990501041684</v>
      </c>
      <c r="AM192" s="22">
        <f t="shared" si="29"/>
        <v>3.2904678395499993</v>
      </c>
      <c r="AN192" s="20">
        <f t="shared" si="30"/>
        <v>105231.26050104169</v>
      </c>
      <c r="AO192" s="16">
        <f t="shared" si="31"/>
        <v>0.57805319586332282</v>
      </c>
      <c r="AP192" s="15">
        <v>8292163</v>
      </c>
      <c r="AQ192" s="18">
        <f t="shared" si="32"/>
        <v>0.86685814063230548</v>
      </c>
      <c r="AR192" s="23">
        <v>46218</v>
      </c>
      <c r="AS192" s="14" t="s">
        <v>79</v>
      </c>
    </row>
    <row r="193" spans="1:45" x14ac:dyDescent="0.25">
      <c r="A193" s="14" t="s">
        <v>710</v>
      </c>
      <c r="B193" s="14" t="s">
        <v>711</v>
      </c>
      <c r="C193" s="14">
        <v>9952225776</v>
      </c>
      <c r="D193" s="15" t="s">
        <v>712</v>
      </c>
      <c r="E193" s="14">
        <v>60</v>
      </c>
      <c r="F193" s="14" t="s">
        <v>71</v>
      </c>
      <c r="G193" s="14" t="s">
        <v>120</v>
      </c>
      <c r="H193" s="14" t="s">
        <v>73</v>
      </c>
      <c r="I193" s="14" t="s">
        <v>74</v>
      </c>
      <c r="J193" s="15">
        <v>778904</v>
      </c>
      <c r="K193" s="14">
        <v>2</v>
      </c>
      <c r="L193" s="14" t="s">
        <v>76</v>
      </c>
      <c r="M193" s="14" t="s">
        <v>75</v>
      </c>
      <c r="N193" s="14" t="s">
        <v>76</v>
      </c>
      <c r="O193" s="14" t="s">
        <v>75</v>
      </c>
      <c r="P193" s="14">
        <v>736</v>
      </c>
      <c r="Q193" s="15">
        <v>157655</v>
      </c>
      <c r="R193" s="15">
        <v>2672.11</v>
      </c>
      <c r="S193" s="14" t="s">
        <v>23</v>
      </c>
      <c r="T193" s="15">
        <v>4219879</v>
      </c>
      <c r="U193" s="16">
        <f t="shared" si="22"/>
        <v>4.1167229851175498E-2</v>
      </c>
      <c r="V193" s="14">
        <v>0</v>
      </c>
      <c r="W193" s="17">
        <v>70</v>
      </c>
      <c r="X193" s="14">
        <v>8.3000000000000007</v>
      </c>
      <c r="Y193" s="18">
        <f t="shared" si="23"/>
        <v>19.2</v>
      </c>
      <c r="Z193" s="18" t="str">
        <f t="shared" si="24"/>
        <v>Low</v>
      </c>
      <c r="AA193" s="19" t="str">
        <f t="shared" si="25"/>
        <v>Eligible</v>
      </c>
      <c r="AB193" s="14" t="s">
        <v>85</v>
      </c>
      <c r="AC193" s="14">
        <v>4</v>
      </c>
      <c r="AD193" s="14" t="s">
        <v>78</v>
      </c>
      <c r="AE193" s="17">
        <v>1.7</v>
      </c>
      <c r="AF193" s="15">
        <v>197416</v>
      </c>
      <c r="AG193" s="20">
        <f t="shared" si="26"/>
        <v>976320</v>
      </c>
      <c r="AH193" s="14">
        <v>0</v>
      </c>
      <c r="AI193" s="14" t="s">
        <v>75</v>
      </c>
      <c r="AJ193" s="14">
        <v>180</v>
      </c>
      <c r="AK193" s="21">
        <f t="shared" si="27"/>
        <v>8.5000000000000006E-2</v>
      </c>
      <c r="AL193" s="20">
        <f t="shared" si="28"/>
        <v>41554.817809594948</v>
      </c>
      <c r="AM193" s="22">
        <f t="shared" si="29"/>
        <v>5.4177138646097598</v>
      </c>
      <c r="AN193" s="20">
        <f t="shared" si="30"/>
        <v>44226.927809594948</v>
      </c>
      <c r="AO193" s="16">
        <f t="shared" si="31"/>
        <v>0.68137168857155617</v>
      </c>
      <c r="AP193" s="15">
        <v>5587432</v>
      </c>
      <c r="AQ193" s="18">
        <f t="shared" si="32"/>
        <v>0.75524480655871962</v>
      </c>
      <c r="AR193" s="23">
        <v>46178</v>
      </c>
      <c r="AS193" s="14" t="s">
        <v>79</v>
      </c>
    </row>
    <row r="194" spans="1:45" x14ac:dyDescent="0.25">
      <c r="A194" s="14" t="s">
        <v>713</v>
      </c>
      <c r="B194" s="14" t="s">
        <v>714</v>
      </c>
      <c r="C194" s="14">
        <v>9724902501</v>
      </c>
      <c r="D194" s="15" t="s">
        <v>716</v>
      </c>
      <c r="E194" s="14">
        <v>27</v>
      </c>
      <c r="F194" s="14" t="s">
        <v>89</v>
      </c>
      <c r="G194" s="14" t="s">
        <v>98</v>
      </c>
      <c r="H194" s="14" t="s">
        <v>166</v>
      </c>
      <c r="I194" s="14" t="s">
        <v>74</v>
      </c>
      <c r="J194" s="15">
        <v>2342489</v>
      </c>
      <c r="K194" s="14">
        <v>2</v>
      </c>
      <c r="L194" s="14" t="s">
        <v>76</v>
      </c>
      <c r="M194" s="14" t="s">
        <v>76</v>
      </c>
      <c r="N194" s="14" t="s">
        <v>75</v>
      </c>
      <c r="O194" s="14" t="s">
        <v>75</v>
      </c>
      <c r="P194" s="14">
        <v>590</v>
      </c>
      <c r="Q194" s="15">
        <v>584998</v>
      </c>
      <c r="R194" s="15">
        <v>13928.51</v>
      </c>
      <c r="S194" s="14" t="s">
        <v>21</v>
      </c>
      <c r="T194" s="15">
        <v>266174</v>
      </c>
      <c r="U194" s="16">
        <f t="shared" ref="U194:U257" si="33">IFERROR((R194*12)/J194,0)</f>
        <v>7.1352360672771564E-2</v>
      </c>
      <c r="V194" s="14">
        <v>0</v>
      </c>
      <c r="W194" s="17">
        <v>30.7</v>
      </c>
      <c r="X194" s="14">
        <v>6.9</v>
      </c>
      <c r="Y194" s="18">
        <f t="shared" ref="Y194:Y257" si="34">ROUND(0.4*((900-P194)/600*100)+0.3*MIN(U194*100,100)+0.2*MIN(V194*20,100)+0.1*W194,1)</f>
        <v>25.9</v>
      </c>
      <c r="Z194" s="18" t="str">
        <f t="shared" ref="Z194:Z257" si="35">IF(Y194&lt;=30,"Low",IF(Y194&lt;=60,"Medium","High"))</f>
        <v>Low</v>
      </c>
      <c r="AA194" s="19" t="str">
        <f t="shared" ref="AA194:AA257" si="36">IF(AND(P194&gt;=650,U194&lt;=0.4,V194&lt;=2,Y194&lt;=50),"Eligible",IF(AND(P194&gt;=550,V194&lt;=4,Y194&lt;=75),"Review","Not Eligible"))</f>
        <v>Review</v>
      </c>
      <c r="AB194" s="14" t="s">
        <v>85</v>
      </c>
      <c r="AC194" s="14">
        <v>0</v>
      </c>
      <c r="AD194" s="14" t="s">
        <v>93</v>
      </c>
      <c r="AE194" s="17">
        <v>3.7</v>
      </c>
      <c r="AF194" s="15">
        <v>0</v>
      </c>
      <c r="AG194" s="20">
        <f t="shared" ref="AG194:AG257" si="37">J194+AF194</f>
        <v>2342489</v>
      </c>
      <c r="AH194" s="14">
        <v>1</v>
      </c>
      <c r="AI194" s="14" t="s">
        <v>75</v>
      </c>
      <c r="AJ194" s="14">
        <v>36</v>
      </c>
      <c r="AK194" s="21">
        <f t="shared" ref="AK194:AK257" si="38">(IF(S194="Credit Card",0.36,IF(S194="Personal Loan",0.14,IF(S194="Car Loan",0.09,0.085))))+IF(Z194="Low",0,IF(Z194="Medium",0.015,0.03))</f>
        <v>0.14000000000000001</v>
      </c>
      <c r="AL194" s="20">
        <f t="shared" ref="AL194:AL257" si="39">-PMT(AK194/12,AJ194,T194)</f>
        <v>9097.196423212712</v>
      </c>
      <c r="AM194" s="22">
        <f t="shared" ref="AM194:AM257" si="40">IFERROR(T194/J194,0)</f>
        <v>0.11362870860866368</v>
      </c>
      <c r="AN194" s="20">
        <f t="shared" ref="AN194:AN257" si="41">R194+AL194</f>
        <v>23025.706423212712</v>
      </c>
      <c r="AO194" s="16">
        <f t="shared" ref="AO194:AO257" si="42">IFERROR((AN194*12)/J194,0)</f>
        <v>0.1179550798652854</v>
      </c>
      <c r="AP194" s="15">
        <v>0</v>
      </c>
      <c r="AQ194" s="18" t="str">
        <f t="shared" ref="AQ194:AQ257" si="43">IF(AP194&gt;0,T194/AP194,"N/A")</f>
        <v>N/A</v>
      </c>
      <c r="AR194" s="23">
        <v>46073</v>
      </c>
      <c r="AS194" s="14" t="s">
        <v>79</v>
      </c>
    </row>
    <row r="195" spans="1:45" x14ac:dyDescent="0.25">
      <c r="A195" s="14" t="s">
        <v>717</v>
      </c>
      <c r="B195" s="14" t="s">
        <v>718</v>
      </c>
      <c r="C195" s="14">
        <v>9306054135</v>
      </c>
      <c r="D195" s="15" t="s">
        <v>719</v>
      </c>
      <c r="E195" s="14">
        <v>27</v>
      </c>
      <c r="F195" s="14" t="s">
        <v>89</v>
      </c>
      <c r="G195" s="14" t="s">
        <v>83</v>
      </c>
      <c r="H195" s="14" t="s">
        <v>144</v>
      </c>
      <c r="I195" s="14" t="s">
        <v>92</v>
      </c>
      <c r="J195" s="15">
        <v>1219710</v>
      </c>
      <c r="K195" s="14">
        <v>3</v>
      </c>
      <c r="L195" s="14" t="s">
        <v>76</v>
      </c>
      <c r="M195" s="14" t="s">
        <v>75</v>
      </c>
      <c r="N195" s="14" t="s">
        <v>76</v>
      </c>
      <c r="O195" s="14" t="s">
        <v>76</v>
      </c>
      <c r="P195" s="14">
        <v>415</v>
      </c>
      <c r="Q195" s="15">
        <v>582982</v>
      </c>
      <c r="R195" s="15">
        <v>10599.67</v>
      </c>
      <c r="S195" s="14" t="s">
        <v>23</v>
      </c>
      <c r="T195" s="15">
        <v>5673456</v>
      </c>
      <c r="U195" s="16">
        <f t="shared" si="33"/>
        <v>0.10428383796148265</v>
      </c>
      <c r="V195" s="14">
        <v>0</v>
      </c>
      <c r="W195" s="17">
        <v>68.7</v>
      </c>
      <c r="X195" s="14">
        <v>0.8</v>
      </c>
      <c r="Y195" s="18">
        <f t="shared" si="34"/>
        <v>42.3</v>
      </c>
      <c r="Z195" s="18" t="str">
        <f t="shared" si="35"/>
        <v>Medium</v>
      </c>
      <c r="AA195" s="19" t="str">
        <f t="shared" si="36"/>
        <v>Not Eligible</v>
      </c>
      <c r="AB195" s="14" t="s">
        <v>77</v>
      </c>
      <c r="AC195" s="14">
        <v>1</v>
      </c>
      <c r="AD195" s="14" t="s">
        <v>78</v>
      </c>
      <c r="AE195" s="17">
        <v>2.2000000000000002</v>
      </c>
      <c r="AF195" s="15">
        <v>0</v>
      </c>
      <c r="AG195" s="20">
        <f t="shared" si="37"/>
        <v>1219710</v>
      </c>
      <c r="AH195" s="14">
        <v>1</v>
      </c>
      <c r="AI195" s="14" t="s">
        <v>75</v>
      </c>
      <c r="AJ195" s="14">
        <v>120</v>
      </c>
      <c r="AK195" s="21">
        <f t="shared" si="38"/>
        <v>0.1</v>
      </c>
      <c r="AL195" s="20">
        <f t="shared" si="39"/>
        <v>74975.139106625196</v>
      </c>
      <c r="AM195" s="22">
        <f t="shared" si="40"/>
        <v>4.6514794500332046</v>
      </c>
      <c r="AN195" s="20">
        <f t="shared" si="41"/>
        <v>85574.809106625195</v>
      </c>
      <c r="AO195" s="16">
        <f t="shared" si="42"/>
        <v>0.84191956225619391</v>
      </c>
      <c r="AP195" s="15">
        <v>7836264</v>
      </c>
      <c r="AQ195" s="18">
        <f t="shared" si="43"/>
        <v>0.72400011025662225</v>
      </c>
      <c r="AR195" s="23">
        <v>45985</v>
      </c>
      <c r="AS195" s="14" t="s">
        <v>79</v>
      </c>
    </row>
    <row r="196" spans="1:45" x14ac:dyDescent="0.25">
      <c r="A196" s="14" t="s">
        <v>720</v>
      </c>
      <c r="B196" s="14" t="s">
        <v>721</v>
      </c>
      <c r="C196" s="14">
        <v>9652873657</v>
      </c>
      <c r="D196" s="15" t="s">
        <v>723</v>
      </c>
      <c r="E196" s="14">
        <v>36</v>
      </c>
      <c r="F196" s="14" t="s">
        <v>89</v>
      </c>
      <c r="G196" s="14" t="s">
        <v>226</v>
      </c>
      <c r="H196" s="14" t="s">
        <v>99</v>
      </c>
      <c r="I196" s="14" t="s">
        <v>74</v>
      </c>
      <c r="J196" s="15">
        <v>1133623</v>
      </c>
      <c r="K196" s="14">
        <v>2</v>
      </c>
      <c r="L196" s="14" t="s">
        <v>75</v>
      </c>
      <c r="M196" s="14" t="s">
        <v>75</v>
      </c>
      <c r="N196" s="14" t="s">
        <v>76</v>
      </c>
      <c r="O196" s="14" t="s">
        <v>76</v>
      </c>
      <c r="P196" s="14">
        <v>533</v>
      </c>
      <c r="Q196" s="15">
        <v>66700.649999999994</v>
      </c>
      <c r="R196" s="15">
        <v>1130.52</v>
      </c>
      <c r="S196" s="14" t="s">
        <v>23</v>
      </c>
      <c r="T196" s="15"/>
      <c r="U196" s="16">
        <f t="shared" si="33"/>
        <v>1.1967153101163261E-2</v>
      </c>
      <c r="V196" s="14">
        <v>0</v>
      </c>
      <c r="W196" s="17">
        <v>26</v>
      </c>
      <c r="X196" s="14">
        <v>7.2</v>
      </c>
      <c r="Y196" s="18">
        <f t="shared" si="34"/>
        <v>27.4</v>
      </c>
      <c r="Z196" s="18" t="str">
        <f t="shared" si="35"/>
        <v>Low</v>
      </c>
      <c r="AA196" s="19" t="str">
        <f t="shared" si="36"/>
        <v>Not Eligible</v>
      </c>
      <c r="AB196" s="14" t="s">
        <v>85</v>
      </c>
      <c r="AC196" s="14">
        <v>3</v>
      </c>
      <c r="AD196" s="14" t="s">
        <v>78</v>
      </c>
      <c r="AE196" s="17">
        <v>13.9</v>
      </c>
      <c r="AF196" s="15">
        <v>0</v>
      </c>
      <c r="AG196" s="20">
        <f t="shared" si="37"/>
        <v>1133623</v>
      </c>
      <c r="AH196" s="14">
        <v>0</v>
      </c>
      <c r="AI196" s="14" t="s">
        <v>75</v>
      </c>
      <c r="AJ196" s="14">
        <v>180</v>
      </c>
      <c r="AK196" s="21">
        <f t="shared" si="38"/>
        <v>8.5000000000000006E-2</v>
      </c>
      <c r="AL196" s="20">
        <f t="shared" si="39"/>
        <v>0</v>
      </c>
      <c r="AM196" s="22">
        <f t="shared" si="40"/>
        <v>0</v>
      </c>
      <c r="AN196" s="20">
        <f t="shared" si="41"/>
        <v>1130.52</v>
      </c>
      <c r="AO196" s="16">
        <f t="shared" si="42"/>
        <v>1.1967153101163261E-2</v>
      </c>
      <c r="AP196" s="15">
        <v>4155992</v>
      </c>
      <c r="AQ196" s="18">
        <f t="shared" si="43"/>
        <v>0</v>
      </c>
      <c r="AR196" s="23">
        <v>46033</v>
      </c>
      <c r="AS196" s="14" t="s">
        <v>79</v>
      </c>
    </row>
    <row r="197" spans="1:45" x14ac:dyDescent="0.25">
      <c r="A197" s="14" t="s">
        <v>724</v>
      </c>
      <c r="B197" s="14" t="s">
        <v>725</v>
      </c>
      <c r="C197" s="14">
        <v>9843255395</v>
      </c>
      <c r="D197" s="15" t="s">
        <v>727</v>
      </c>
      <c r="E197" s="14">
        <v>38</v>
      </c>
      <c r="F197" s="14" t="s">
        <v>71</v>
      </c>
      <c r="G197" s="14" t="s">
        <v>139</v>
      </c>
      <c r="H197" s="14" t="s">
        <v>107</v>
      </c>
      <c r="I197" s="14" t="s">
        <v>92</v>
      </c>
      <c r="J197" s="15">
        <v>2223419</v>
      </c>
      <c r="K197" s="14">
        <v>2</v>
      </c>
      <c r="L197" s="14" t="s">
        <v>76</v>
      </c>
      <c r="M197" s="14" t="s">
        <v>75</v>
      </c>
      <c r="N197" s="14" t="s">
        <v>76</v>
      </c>
      <c r="O197" s="14" t="s">
        <v>75</v>
      </c>
      <c r="P197" s="14">
        <v>460</v>
      </c>
      <c r="Q197" s="15">
        <v>1053296.23</v>
      </c>
      <c r="R197" s="15">
        <v>20255.7</v>
      </c>
      <c r="S197" s="14" t="s">
        <v>21</v>
      </c>
      <c r="T197" s="15"/>
      <c r="U197" s="16">
        <f t="shared" si="33"/>
        <v>0.10932190468823016</v>
      </c>
      <c r="V197" s="14">
        <v>8</v>
      </c>
      <c r="W197" s="17">
        <v>86.2</v>
      </c>
      <c r="X197" s="14">
        <v>1.5</v>
      </c>
      <c r="Y197" s="18">
        <f t="shared" si="34"/>
        <v>61.2</v>
      </c>
      <c r="Z197" s="18" t="str">
        <f t="shared" si="35"/>
        <v>High</v>
      </c>
      <c r="AA197" s="19" t="str">
        <f t="shared" si="36"/>
        <v>Not Eligible</v>
      </c>
      <c r="AB197" s="14" t="s">
        <v>77</v>
      </c>
      <c r="AC197" s="14">
        <v>1</v>
      </c>
      <c r="AD197" s="14" t="s">
        <v>194</v>
      </c>
      <c r="AE197" s="17">
        <v>10.199999999999999</v>
      </c>
      <c r="AF197" s="15">
        <v>0</v>
      </c>
      <c r="AG197" s="20">
        <f t="shared" si="37"/>
        <v>2223419</v>
      </c>
      <c r="AH197" s="14">
        <v>0</v>
      </c>
      <c r="AI197" s="14" t="s">
        <v>75</v>
      </c>
      <c r="AJ197" s="14">
        <v>24</v>
      </c>
      <c r="AK197" s="21">
        <f t="shared" si="38"/>
        <v>0.17</v>
      </c>
      <c r="AL197" s="20">
        <f t="shared" si="39"/>
        <v>0</v>
      </c>
      <c r="AM197" s="22">
        <f t="shared" si="40"/>
        <v>0</v>
      </c>
      <c r="AN197" s="20">
        <f t="shared" si="41"/>
        <v>20255.7</v>
      </c>
      <c r="AO197" s="16">
        <f t="shared" si="42"/>
        <v>0.10932190468823016</v>
      </c>
      <c r="AP197" s="15">
        <v>0</v>
      </c>
      <c r="AQ197" s="18" t="str">
        <f t="shared" si="43"/>
        <v>N/A</v>
      </c>
      <c r="AR197" s="23">
        <v>46021</v>
      </c>
      <c r="AS197" s="14" t="s">
        <v>79</v>
      </c>
    </row>
    <row r="198" spans="1:45" x14ac:dyDescent="0.25">
      <c r="A198" s="14" t="s">
        <v>728</v>
      </c>
      <c r="B198" s="14" t="s">
        <v>729</v>
      </c>
      <c r="C198" s="14">
        <v>9735409949</v>
      </c>
      <c r="D198" s="15" t="s">
        <v>730</v>
      </c>
      <c r="E198" s="14">
        <v>57</v>
      </c>
      <c r="F198" s="14" t="s">
        <v>71</v>
      </c>
      <c r="G198" s="14" t="s">
        <v>174</v>
      </c>
      <c r="H198" s="14" t="s">
        <v>166</v>
      </c>
      <c r="I198" s="14" t="s">
        <v>74</v>
      </c>
      <c r="J198" s="15">
        <v>468018</v>
      </c>
      <c r="K198" s="14">
        <v>0</v>
      </c>
      <c r="L198" s="14" t="s">
        <v>75</v>
      </c>
      <c r="M198" s="14" t="s">
        <v>75</v>
      </c>
      <c r="N198" s="14" t="s">
        <v>75</v>
      </c>
      <c r="O198" s="14" t="s">
        <v>75</v>
      </c>
      <c r="P198" s="14">
        <v>703</v>
      </c>
      <c r="Q198" s="15">
        <v>22430.67</v>
      </c>
      <c r="R198" s="15">
        <v>400.55</v>
      </c>
      <c r="S198" s="14" t="s">
        <v>20</v>
      </c>
      <c r="T198" s="15">
        <v>257209</v>
      </c>
      <c r="U198" s="16">
        <f t="shared" si="33"/>
        <v>1.0270117815981437E-2</v>
      </c>
      <c r="V198" s="14">
        <v>1</v>
      </c>
      <c r="W198" s="17">
        <v>12.9</v>
      </c>
      <c r="X198" s="14">
        <v>11.3</v>
      </c>
      <c r="Y198" s="18">
        <f t="shared" si="34"/>
        <v>18.7</v>
      </c>
      <c r="Z198" s="18" t="str">
        <f t="shared" si="35"/>
        <v>Low</v>
      </c>
      <c r="AA198" s="19" t="str">
        <f t="shared" si="36"/>
        <v>Eligible</v>
      </c>
      <c r="AB198" s="14" t="s">
        <v>77</v>
      </c>
      <c r="AC198" s="14">
        <v>1</v>
      </c>
      <c r="AD198" s="14" t="s">
        <v>78</v>
      </c>
      <c r="AE198" s="17">
        <v>10.9</v>
      </c>
      <c r="AF198" s="15">
        <v>899214</v>
      </c>
      <c r="AG198" s="20">
        <f t="shared" si="37"/>
        <v>1367232</v>
      </c>
      <c r="AH198" s="14">
        <v>0</v>
      </c>
      <c r="AI198" s="14" t="s">
        <v>75</v>
      </c>
      <c r="AJ198" s="14">
        <v>18</v>
      </c>
      <c r="AK198" s="21">
        <f t="shared" si="38"/>
        <v>0.36</v>
      </c>
      <c r="AL198" s="20">
        <f t="shared" si="39"/>
        <v>18701.330962790649</v>
      </c>
      <c r="AM198" s="22">
        <f t="shared" si="40"/>
        <v>0.54957074300561093</v>
      </c>
      <c r="AN198" s="20">
        <f t="shared" si="41"/>
        <v>19101.880962790648</v>
      </c>
      <c r="AO198" s="16">
        <f t="shared" si="42"/>
        <v>0.48977298213634474</v>
      </c>
      <c r="AP198" s="15">
        <v>0</v>
      </c>
      <c r="AQ198" s="18" t="str">
        <f t="shared" si="43"/>
        <v>N/A</v>
      </c>
      <c r="AR198" s="23">
        <v>46255</v>
      </c>
      <c r="AS198" s="14" t="s">
        <v>79</v>
      </c>
    </row>
    <row r="199" spans="1:45" x14ac:dyDescent="0.25">
      <c r="A199" s="14" t="s">
        <v>731</v>
      </c>
      <c r="B199" s="14" t="s">
        <v>732</v>
      </c>
      <c r="C199" s="14">
        <v>9726700279</v>
      </c>
      <c r="D199" s="15" t="s">
        <v>734</v>
      </c>
      <c r="E199" s="14">
        <v>50</v>
      </c>
      <c r="F199" s="14" t="s">
        <v>71</v>
      </c>
      <c r="G199" s="14" t="s">
        <v>153</v>
      </c>
      <c r="H199" s="14" t="s">
        <v>132</v>
      </c>
      <c r="I199" s="14" t="s">
        <v>92</v>
      </c>
      <c r="J199" s="15">
        <v>1853656</v>
      </c>
      <c r="K199" s="14">
        <v>1</v>
      </c>
      <c r="L199" s="14" t="s">
        <v>75</v>
      </c>
      <c r="M199" s="14" t="s">
        <v>75</v>
      </c>
      <c r="N199" s="14" t="s">
        <v>76</v>
      </c>
      <c r="O199" s="14" t="s">
        <v>75</v>
      </c>
      <c r="P199" s="14">
        <v>694</v>
      </c>
      <c r="Q199" s="15"/>
      <c r="R199" s="15">
        <v>30111.27</v>
      </c>
      <c r="S199" s="14" t="s">
        <v>20</v>
      </c>
      <c r="T199" s="15">
        <v>175498</v>
      </c>
      <c r="U199" s="16">
        <f t="shared" si="33"/>
        <v>0.19493111990574302</v>
      </c>
      <c r="V199" s="14">
        <v>0</v>
      </c>
      <c r="W199" s="17">
        <v>30.6</v>
      </c>
      <c r="X199" s="14">
        <v>14.2</v>
      </c>
      <c r="Y199" s="18">
        <f t="shared" si="34"/>
        <v>22.6</v>
      </c>
      <c r="Z199" s="18" t="str">
        <f t="shared" si="35"/>
        <v>Low</v>
      </c>
      <c r="AA199" s="19" t="str">
        <f t="shared" si="36"/>
        <v>Eligible</v>
      </c>
      <c r="AB199" s="14" t="s">
        <v>85</v>
      </c>
      <c r="AC199" s="14">
        <v>2</v>
      </c>
      <c r="AD199" s="14" t="s">
        <v>93</v>
      </c>
      <c r="AE199" s="17">
        <v>2.6</v>
      </c>
      <c r="AF199" s="15">
        <v>0</v>
      </c>
      <c r="AG199" s="20">
        <f t="shared" si="37"/>
        <v>1853656</v>
      </c>
      <c r="AH199" s="14">
        <v>1</v>
      </c>
      <c r="AI199" s="14" t="s">
        <v>75</v>
      </c>
      <c r="AJ199" s="14">
        <v>24</v>
      </c>
      <c r="AK199" s="21">
        <f t="shared" si="38"/>
        <v>0.36</v>
      </c>
      <c r="AL199" s="20">
        <f t="shared" si="39"/>
        <v>10362.703404212316</v>
      </c>
      <c r="AM199" s="22">
        <f t="shared" si="40"/>
        <v>9.4676682189144046E-2</v>
      </c>
      <c r="AN199" s="20">
        <f t="shared" si="41"/>
        <v>40473.973404212316</v>
      </c>
      <c r="AO199" s="16">
        <f t="shared" si="42"/>
        <v>0.26201608111243285</v>
      </c>
      <c r="AP199" s="15">
        <v>0</v>
      </c>
      <c r="AQ199" s="18" t="str">
        <f t="shared" si="43"/>
        <v>N/A</v>
      </c>
      <c r="AR199" s="23">
        <v>45921</v>
      </c>
      <c r="AS199" s="14" t="s">
        <v>79</v>
      </c>
    </row>
    <row r="200" spans="1:45" x14ac:dyDescent="0.25">
      <c r="A200" s="14" t="s">
        <v>735</v>
      </c>
      <c r="B200" s="14" t="s">
        <v>736</v>
      </c>
      <c r="C200" s="14">
        <v>9764789481</v>
      </c>
      <c r="D200" s="15" t="s">
        <v>737</v>
      </c>
      <c r="E200" s="14">
        <v>44</v>
      </c>
      <c r="F200" s="14" t="s">
        <v>71</v>
      </c>
      <c r="G200" s="14" t="s">
        <v>83</v>
      </c>
      <c r="H200" s="14" t="s">
        <v>73</v>
      </c>
      <c r="I200" s="14" t="s">
        <v>74</v>
      </c>
      <c r="J200" s="15">
        <v>1158626</v>
      </c>
      <c r="K200" s="14">
        <v>1</v>
      </c>
      <c r="L200" s="14" t="s">
        <v>76</v>
      </c>
      <c r="M200" s="14" t="s">
        <v>75</v>
      </c>
      <c r="N200" s="14" t="s">
        <v>75</v>
      </c>
      <c r="O200" s="14" t="s">
        <v>75</v>
      </c>
      <c r="P200" s="14">
        <v>894</v>
      </c>
      <c r="Q200" s="15">
        <v>605589.28</v>
      </c>
      <c r="R200" s="15">
        <v>10814.09</v>
      </c>
      <c r="S200" s="14" t="s">
        <v>21</v>
      </c>
      <c r="T200" s="15"/>
      <c r="U200" s="16">
        <f t="shared" si="33"/>
        <v>0.11200256165492575</v>
      </c>
      <c r="V200" s="14">
        <v>2</v>
      </c>
      <c r="W200" s="17">
        <v>26.4</v>
      </c>
      <c r="X200" s="14">
        <v>5.4</v>
      </c>
      <c r="Y200" s="18">
        <f t="shared" si="34"/>
        <v>14.4</v>
      </c>
      <c r="Z200" s="18" t="str">
        <f t="shared" si="35"/>
        <v>Low</v>
      </c>
      <c r="AA200" s="19" t="str">
        <f t="shared" si="36"/>
        <v>Eligible</v>
      </c>
      <c r="AB200" s="14" t="s">
        <v>85</v>
      </c>
      <c r="AC200" s="14">
        <v>2</v>
      </c>
      <c r="AD200" s="14" t="s">
        <v>78</v>
      </c>
      <c r="AE200" s="17">
        <v>1.7</v>
      </c>
      <c r="AF200" s="15">
        <v>514670</v>
      </c>
      <c r="AG200" s="20">
        <f t="shared" si="37"/>
        <v>1673296</v>
      </c>
      <c r="AH200" s="14">
        <v>0</v>
      </c>
      <c r="AI200" s="14" t="s">
        <v>75</v>
      </c>
      <c r="AJ200" s="14">
        <v>60</v>
      </c>
      <c r="AK200" s="21">
        <f t="shared" si="38"/>
        <v>0.14000000000000001</v>
      </c>
      <c r="AL200" s="20">
        <f t="shared" si="39"/>
        <v>0</v>
      </c>
      <c r="AM200" s="22">
        <f t="shared" si="40"/>
        <v>0</v>
      </c>
      <c r="AN200" s="20">
        <f t="shared" si="41"/>
        <v>10814.09</v>
      </c>
      <c r="AO200" s="16">
        <f t="shared" si="42"/>
        <v>0.11200256165492575</v>
      </c>
      <c r="AP200" s="15">
        <v>0</v>
      </c>
      <c r="AQ200" s="18" t="str">
        <f t="shared" si="43"/>
        <v>N/A</v>
      </c>
      <c r="AR200" s="23">
        <v>46242</v>
      </c>
      <c r="AS200" s="14" t="s">
        <v>79</v>
      </c>
    </row>
    <row r="201" spans="1:45" x14ac:dyDescent="0.25">
      <c r="A201" s="14" t="s">
        <v>738</v>
      </c>
      <c r="B201" s="14" t="s">
        <v>205</v>
      </c>
      <c r="C201" s="14">
        <v>9585308092</v>
      </c>
      <c r="D201" s="15" t="s">
        <v>739</v>
      </c>
      <c r="E201" s="14">
        <v>64</v>
      </c>
      <c r="F201" s="14" t="s">
        <v>71</v>
      </c>
      <c r="G201" s="14" t="s">
        <v>388</v>
      </c>
      <c r="H201" s="14" t="s">
        <v>107</v>
      </c>
      <c r="I201" s="14" t="s">
        <v>92</v>
      </c>
      <c r="J201" s="15">
        <v>666199</v>
      </c>
      <c r="K201" s="14">
        <v>1</v>
      </c>
      <c r="L201" s="14" t="s">
        <v>76</v>
      </c>
      <c r="M201" s="14" t="s">
        <v>75</v>
      </c>
      <c r="N201" s="14" t="s">
        <v>75</v>
      </c>
      <c r="O201" s="14" t="s">
        <v>75</v>
      </c>
      <c r="P201" s="14">
        <v>411</v>
      </c>
      <c r="Q201" s="15">
        <v>65860.25</v>
      </c>
      <c r="R201" s="15">
        <v>3466.33</v>
      </c>
      <c r="S201" s="14" t="s">
        <v>21</v>
      </c>
      <c r="T201" s="15">
        <v>570438</v>
      </c>
      <c r="U201" s="16">
        <f t="shared" si="33"/>
        <v>6.2437740074662372E-2</v>
      </c>
      <c r="V201" s="14">
        <v>0</v>
      </c>
      <c r="W201" s="17">
        <v>24.4</v>
      </c>
      <c r="X201" s="14">
        <v>14.3</v>
      </c>
      <c r="Y201" s="18">
        <f t="shared" si="34"/>
        <v>36.9</v>
      </c>
      <c r="Z201" s="18" t="str">
        <f t="shared" si="35"/>
        <v>Medium</v>
      </c>
      <c r="AA201" s="19" t="str">
        <f t="shared" si="36"/>
        <v>Not Eligible</v>
      </c>
      <c r="AB201" s="14" t="s">
        <v>85</v>
      </c>
      <c r="AC201" s="14">
        <v>1</v>
      </c>
      <c r="AD201" s="14" t="s">
        <v>93</v>
      </c>
      <c r="AE201" s="17">
        <v>28</v>
      </c>
      <c r="AF201" s="15">
        <v>0</v>
      </c>
      <c r="AG201" s="20">
        <f t="shared" si="37"/>
        <v>666199</v>
      </c>
      <c r="AH201" s="14">
        <v>0</v>
      </c>
      <c r="AI201" s="14" t="s">
        <v>75</v>
      </c>
      <c r="AJ201" s="14">
        <v>12</v>
      </c>
      <c r="AK201" s="21">
        <f t="shared" si="38"/>
        <v>0.15500000000000003</v>
      </c>
      <c r="AL201" s="20">
        <f t="shared" si="39"/>
        <v>51621.453893166872</v>
      </c>
      <c r="AM201" s="22">
        <f t="shared" si="40"/>
        <v>0.85625766475182341</v>
      </c>
      <c r="AN201" s="20">
        <f t="shared" si="41"/>
        <v>55087.783893166874</v>
      </c>
      <c r="AO201" s="16">
        <f t="shared" si="42"/>
        <v>0.99227619182556936</v>
      </c>
      <c r="AP201" s="15">
        <v>0</v>
      </c>
      <c r="AQ201" s="18" t="str">
        <f t="shared" si="43"/>
        <v>N/A</v>
      </c>
      <c r="AR201" s="23">
        <v>46044</v>
      </c>
      <c r="AS201" s="14" t="s">
        <v>79</v>
      </c>
    </row>
    <row r="202" spans="1:45" x14ac:dyDescent="0.25">
      <c r="A202" s="14" t="s">
        <v>740</v>
      </c>
      <c r="B202" s="14" t="s">
        <v>741</v>
      </c>
      <c r="C202" s="14">
        <v>9961129245</v>
      </c>
      <c r="D202" s="15" t="s">
        <v>742</v>
      </c>
      <c r="E202" s="14">
        <v>62</v>
      </c>
      <c r="F202" s="14" t="s">
        <v>89</v>
      </c>
      <c r="G202" s="14" t="s">
        <v>174</v>
      </c>
      <c r="H202" s="14" t="s">
        <v>103</v>
      </c>
      <c r="I202" s="14" t="s">
        <v>74</v>
      </c>
      <c r="J202" s="15">
        <v>1668628</v>
      </c>
      <c r="K202" s="14">
        <v>1</v>
      </c>
      <c r="L202" s="14" t="s">
        <v>76</v>
      </c>
      <c r="M202" s="14" t="s">
        <v>75</v>
      </c>
      <c r="N202" s="14" t="s">
        <v>75</v>
      </c>
      <c r="O202" s="14" t="s">
        <v>75</v>
      </c>
      <c r="P202" s="14">
        <v>768</v>
      </c>
      <c r="Q202" s="15">
        <v>304440</v>
      </c>
      <c r="R202" s="15">
        <v>15222.01</v>
      </c>
      <c r="S202" s="14" t="s">
        <v>22</v>
      </c>
      <c r="T202" s="15">
        <v>660158</v>
      </c>
      <c r="U202" s="16">
        <f t="shared" si="33"/>
        <v>0.10946964811809462</v>
      </c>
      <c r="V202" s="14">
        <v>3</v>
      </c>
      <c r="W202" s="17">
        <v>26.5</v>
      </c>
      <c r="X202" s="14">
        <v>5.7</v>
      </c>
      <c r="Y202" s="18">
        <f t="shared" si="34"/>
        <v>26.7</v>
      </c>
      <c r="Z202" s="18" t="str">
        <f t="shared" si="35"/>
        <v>Low</v>
      </c>
      <c r="AA202" s="19" t="str">
        <f t="shared" si="36"/>
        <v>Review</v>
      </c>
      <c r="AB202" s="14" t="s">
        <v>85</v>
      </c>
      <c r="AC202" s="14">
        <v>3</v>
      </c>
      <c r="AD202" s="14" t="s">
        <v>78</v>
      </c>
      <c r="AE202" s="17">
        <v>8.6999999999999993</v>
      </c>
      <c r="AF202" s="15">
        <v>0</v>
      </c>
      <c r="AG202" s="20">
        <f t="shared" si="37"/>
        <v>1668628</v>
      </c>
      <c r="AH202" s="14">
        <v>1</v>
      </c>
      <c r="AI202" s="14" t="s">
        <v>75</v>
      </c>
      <c r="AJ202" s="14">
        <v>72</v>
      </c>
      <c r="AK202" s="21">
        <f t="shared" si="38"/>
        <v>0.09</v>
      </c>
      <c r="AL202" s="20">
        <f t="shared" si="39"/>
        <v>11899.702565931997</v>
      </c>
      <c r="AM202" s="22">
        <f t="shared" si="40"/>
        <v>0.39562922352975016</v>
      </c>
      <c r="AN202" s="20">
        <f t="shared" si="41"/>
        <v>27121.712565931997</v>
      </c>
      <c r="AO202" s="16">
        <f t="shared" si="42"/>
        <v>0.19504679940117506</v>
      </c>
      <c r="AP202" s="15">
        <v>730827</v>
      </c>
      <c r="AQ202" s="18">
        <f t="shared" si="43"/>
        <v>0.9033026968078629</v>
      </c>
      <c r="AR202" s="23">
        <v>45984</v>
      </c>
      <c r="AS202" s="14" t="s">
        <v>79</v>
      </c>
    </row>
    <row r="203" spans="1:45" x14ac:dyDescent="0.25">
      <c r="A203" s="14" t="s">
        <v>743</v>
      </c>
      <c r="B203" s="14" t="s">
        <v>744</v>
      </c>
      <c r="C203" s="14">
        <v>9815494270</v>
      </c>
      <c r="D203" s="15" t="s">
        <v>745</v>
      </c>
      <c r="E203" s="14">
        <v>31</v>
      </c>
      <c r="F203" s="14" t="s">
        <v>71</v>
      </c>
      <c r="G203" s="14" t="s">
        <v>139</v>
      </c>
      <c r="H203" s="14" t="s">
        <v>166</v>
      </c>
      <c r="I203" s="14" t="s">
        <v>74</v>
      </c>
      <c r="J203" s="15">
        <v>1628025</v>
      </c>
      <c r="K203" s="14">
        <v>0</v>
      </c>
      <c r="L203" s="14" t="s">
        <v>75</v>
      </c>
      <c r="M203" s="14" t="s">
        <v>75</v>
      </c>
      <c r="N203" s="14" t="s">
        <v>75</v>
      </c>
      <c r="O203" s="14" t="s">
        <v>75</v>
      </c>
      <c r="P203" s="14">
        <v>335</v>
      </c>
      <c r="Q203" s="15">
        <v>108353.74</v>
      </c>
      <c r="R203" s="15">
        <v>3186.87</v>
      </c>
      <c r="S203" s="14" t="s">
        <v>21</v>
      </c>
      <c r="T203" s="15">
        <v>441029</v>
      </c>
      <c r="U203" s="16">
        <f t="shared" si="33"/>
        <v>2.3490081540516884E-2</v>
      </c>
      <c r="V203" s="14">
        <v>0</v>
      </c>
      <c r="W203" s="17">
        <v>97.7</v>
      </c>
      <c r="X203" s="14">
        <v>8.1</v>
      </c>
      <c r="Y203" s="18">
        <f t="shared" si="34"/>
        <v>48.1</v>
      </c>
      <c r="Z203" s="18" t="str">
        <f t="shared" si="35"/>
        <v>Medium</v>
      </c>
      <c r="AA203" s="19" t="str">
        <f t="shared" si="36"/>
        <v>Not Eligible</v>
      </c>
      <c r="AB203" s="14" t="s">
        <v>85</v>
      </c>
      <c r="AC203" s="14">
        <v>0</v>
      </c>
      <c r="AD203" s="14" t="s">
        <v>194</v>
      </c>
      <c r="AE203" s="17">
        <v>7.8</v>
      </c>
      <c r="AF203" s="15">
        <v>0</v>
      </c>
      <c r="AG203" s="20">
        <f t="shared" si="37"/>
        <v>1628025</v>
      </c>
      <c r="AH203" s="14">
        <v>2</v>
      </c>
      <c r="AI203" s="14" t="s">
        <v>75</v>
      </c>
      <c r="AJ203" s="14">
        <v>60</v>
      </c>
      <c r="AK203" s="21">
        <f t="shared" si="38"/>
        <v>0.15500000000000003</v>
      </c>
      <c r="AL203" s="20">
        <f t="shared" si="39"/>
        <v>10608.154808692561</v>
      </c>
      <c r="AM203" s="22">
        <f t="shared" si="40"/>
        <v>0.27089817416808709</v>
      </c>
      <c r="AN203" s="20">
        <f t="shared" si="41"/>
        <v>13795.02480869256</v>
      </c>
      <c r="AO203" s="16">
        <f t="shared" si="42"/>
        <v>0.10168166809742525</v>
      </c>
      <c r="AP203" s="15">
        <v>0</v>
      </c>
      <c r="AQ203" s="18" t="str">
        <f t="shared" si="43"/>
        <v>N/A</v>
      </c>
      <c r="AR203" s="23">
        <v>46154</v>
      </c>
      <c r="AS203" s="14" t="s">
        <v>79</v>
      </c>
    </row>
    <row r="204" spans="1:45" x14ac:dyDescent="0.25">
      <c r="A204" s="14" t="s">
        <v>746</v>
      </c>
      <c r="B204" s="14" t="s">
        <v>747</v>
      </c>
      <c r="C204" s="14">
        <v>9608857707</v>
      </c>
      <c r="D204" s="15"/>
      <c r="E204" s="14">
        <v>57</v>
      </c>
      <c r="F204" s="14" t="s">
        <v>71</v>
      </c>
      <c r="G204" s="14" t="s">
        <v>417</v>
      </c>
      <c r="H204" s="14" t="s">
        <v>103</v>
      </c>
      <c r="I204" s="14" t="s">
        <v>74</v>
      </c>
      <c r="J204" s="15">
        <v>771085</v>
      </c>
      <c r="K204" s="14">
        <v>1</v>
      </c>
      <c r="L204" s="14" t="s">
        <v>75</v>
      </c>
      <c r="M204" s="14" t="s">
        <v>75</v>
      </c>
      <c r="N204" s="14" t="s">
        <v>76</v>
      </c>
      <c r="O204" s="14" t="s">
        <v>75</v>
      </c>
      <c r="P204" s="14">
        <v>615</v>
      </c>
      <c r="Q204" s="15">
        <v>11472</v>
      </c>
      <c r="R204" s="15">
        <v>224.94</v>
      </c>
      <c r="S204" s="14" t="s">
        <v>21</v>
      </c>
      <c r="T204" s="15">
        <v>517636</v>
      </c>
      <c r="U204" s="16">
        <f t="shared" si="33"/>
        <v>3.5006257416497527E-3</v>
      </c>
      <c r="V204" s="14">
        <v>0</v>
      </c>
      <c r="W204" s="17">
        <v>36</v>
      </c>
      <c r="X204" s="14">
        <v>9.1999999999999993</v>
      </c>
      <c r="Y204" s="18">
        <f t="shared" si="34"/>
        <v>22.7</v>
      </c>
      <c r="Z204" s="18" t="str">
        <f t="shared" si="35"/>
        <v>Low</v>
      </c>
      <c r="AA204" s="19" t="str">
        <f t="shared" si="36"/>
        <v>Review</v>
      </c>
      <c r="AB204" s="14" t="s">
        <v>85</v>
      </c>
      <c r="AC204" s="14">
        <v>2</v>
      </c>
      <c r="AD204" s="14" t="s">
        <v>93</v>
      </c>
      <c r="AE204" s="17">
        <v>23.1</v>
      </c>
      <c r="AF204" s="15">
        <v>212692</v>
      </c>
      <c r="AG204" s="20">
        <f t="shared" si="37"/>
        <v>983777</v>
      </c>
      <c r="AH204" s="14">
        <v>2</v>
      </c>
      <c r="AI204" s="14" t="s">
        <v>75</v>
      </c>
      <c r="AJ204" s="14">
        <v>12</v>
      </c>
      <c r="AK204" s="21">
        <f t="shared" si="38"/>
        <v>0.14000000000000001</v>
      </c>
      <c r="AL204" s="20">
        <f t="shared" si="39"/>
        <v>46477.044411901654</v>
      </c>
      <c r="AM204" s="22">
        <f t="shared" si="40"/>
        <v>0.6713086105941628</v>
      </c>
      <c r="AN204" s="20">
        <f t="shared" si="41"/>
        <v>46701.984411901656</v>
      </c>
      <c r="AO204" s="16">
        <f t="shared" si="42"/>
        <v>0.72679900781732221</v>
      </c>
      <c r="AP204" s="15">
        <v>0</v>
      </c>
      <c r="AQ204" s="18" t="str">
        <f t="shared" si="43"/>
        <v>N/A</v>
      </c>
      <c r="AR204" s="23">
        <v>46157</v>
      </c>
      <c r="AS204" s="14" t="s">
        <v>79</v>
      </c>
    </row>
    <row r="205" spans="1:45" x14ac:dyDescent="0.25">
      <c r="A205" s="14" t="s">
        <v>749</v>
      </c>
      <c r="B205" s="14" t="s">
        <v>750</v>
      </c>
      <c r="C205" s="14">
        <v>9747650867</v>
      </c>
      <c r="D205" s="15"/>
      <c r="E205" s="14">
        <v>24</v>
      </c>
      <c r="F205" s="14" t="s">
        <v>89</v>
      </c>
      <c r="G205" s="14" t="s">
        <v>153</v>
      </c>
      <c r="H205" s="14" t="s">
        <v>132</v>
      </c>
      <c r="I205" s="14" t="s">
        <v>92</v>
      </c>
      <c r="J205" s="15">
        <v>2093654</v>
      </c>
      <c r="K205" s="14">
        <v>1</v>
      </c>
      <c r="L205" s="14" t="s">
        <v>76</v>
      </c>
      <c r="M205" s="14" t="s">
        <v>75</v>
      </c>
      <c r="N205" s="14" t="s">
        <v>75</v>
      </c>
      <c r="O205" s="14" t="s">
        <v>75</v>
      </c>
      <c r="P205" s="14">
        <v>756</v>
      </c>
      <c r="Q205" s="15">
        <v>1098291</v>
      </c>
      <c r="R205" s="15">
        <v>64605.36</v>
      </c>
      <c r="S205" s="14" t="s">
        <v>21</v>
      </c>
      <c r="T205" s="15">
        <v>813209</v>
      </c>
      <c r="U205" s="16">
        <f t="shared" si="33"/>
        <v>0.37029247430568762</v>
      </c>
      <c r="V205" s="14">
        <v>4</v>
      </c>
      <c r="W205" s="17">
        <v>75.400000000000006</v>
      </c>
      <c r="X205" s="14">
        <v>6.4</v>
      </c>
      <c r="Y205" s="18">
        <f t="shared" si="34"/>
        <v>44.2</v>
      </c>
      <c r="Z205" s="18" t="str">
        <f t="shared" si="35"/>
        <v>Medium</v>
      </c>
      <c r="AA205" s="19" t="str">
        <f t="shared" si="36"/>
        <v>Review</v>
      </c>
      <c r="AB205" s="14" t="s">
        <v>85</v>
      </c>
      <c r="AC205" s="14">
        <v>0</v>
      </c>
      <c r="AD205" s="14" t="s">
        <v>93</v>
      </c>
      <c r="AE205" s="17">
        <v>2.7</v>
      </c>
      <c r="AF205" s="15">
        <v>0</v>
      </c>
      <c r="AG205" s="20">
        <f t="shared" si="37"/>
        <v>2093654</v>
      </c>
      <c r="AH205" s="14">
        <v>0</v>
      </c>
      <c r="AI205" s="14" t="s">
        <v>75</v>
      </c>
      <c r="AJ205" s="14">
        <v>60</v>
      </c>
      <c r="AK205" s="21">
        <f t="shared" si="38"/>
        <v>0.15500000000000003</v>
      </c>
      <c r="AL205" s="20">
        <f t="shared" si="39"/>
        <v>19560.271464738304</v>
      </c>
      <c r="AM205" s="22">
        <f t="shared" si="40"/>
        <v>0.38841613752797738</v>
      </c>
      <c r="AN205" s="20">
        <f t="shared" si="41"/>
        <v>84165.631464738311</v>
      </c>
      <c r="AO205" s="16">
        <f t="shared" si="42"/>
        <v>0.48240424519851882</v>
      </c>
      <c r="AP205" s="15">
        <v>0</v>
      </c>
      <c r="AQ205" s="18" t="str">
        <f t="shared" si="43"/>
        <v>N/A</v>
      </c>
      <c r="AR205" s="23">
        <v>45939</v>
      </c>
      <c r="AS205" s="14" t="s">
        <v>79</v>
      </c>
    </row>
    <row r="206" spans="1:45" x14ac:dyDescent="0.25">
      <c r="A206" s="14" t="s">
        <v>751</v>
      </c>
      <c r="B206" s="14" t="s">
        <v>752</v>
      </c>
      <c r="C206" s="14"/>
      <c r="D206" s="15" t="s">
        <v>753</v>
      </c>
      <c r="E206" s="14">
        <v>58</v>
      </c>
      <c r="F206" s="14" t="s">
        <v>89</v>
      </c>
      <c r="G206" s="14" t="s">
        <v>120</v>
      </c>
      <c r="H206" s="14" t="s">
        <v>166</v>
      </c>
      <c r="I206" s="14" t="s">
        <v>74</v>
      </c>
      <c r="J206" s="15">
        <v>2017402</v>
      </c>
      <c r="K206" s="14">
        <v>2</v>
      </c>
      <c r="L206" s="14" t="s">
        <v>75</v>
      </c>
      <c r="M206" s="14" t="s">
        <v>76</v>
      </c>
      <c r="N206" s="14" t="s">
        <v>76</v>
      </c>
      <c r="O206" s="14" t="s">
        <v>75</v>
      </c>
      <c r="P206" s="14">
        <v>881</v>
      </c>
      <c r="Q206" s="15"/>
      <c r="R206" s="15">
        <v>45708.91</v>
      </c>
      <c r="S206" s="14" t="s">
        <v>21</v>
      </c>
      <c r="T206" s="15">
        <v>245041</v>
      </c>
      <c r="U206" s="16">
        <f t="shared" si="33"/>
        <v>0.27188776456055858</v>
      </c>
      <c r="V206" s="14">
        <v>3</v>
      </c>
      <c r="W206" s="17">
        <v>32.5</v>
      </c>
      <c r="X206" s="14">
        <v>7.5</v>
      </c>
      <c r="Y206" s="18">
        <f t="shared" si="34"/>
        <v>24.7</v>
      </c>
      <c r="Z206" s="18" t="str">
        <f t="shared" si="35"/>
        <v>Low</v>
      </c>
      <c r="AA206" s="19" t="str">
        <f t="shared" si="36"/>
        <v>Review</v>
      </c>
      <c r="AB206" s="14" t="s">
        <v>77</v>
      </c>
      <c r="AC206" s="14">
        <v>1</v>
      </c>
      <c r="AD206" s="14" t="s">
        <v>93</v>
      </c>
      <c r="AE206" s="17">
        <v>15</v>
      </c>
      <c r="AF206" s="15">
        <v>0</v>
      </c>
      <c r="AG206" s="20">
        <f t="shared" si="37"/>
        <v>2017402</v>
      </c>
      <c r="AH206" s="14">
        <v>0</v>
      </c>
      <c r="AI206" s="14" t="s">
        <v>75</v>
      </c>
      <c r="AJ206" s="14">
        <v>24</v>
      </c>
      <c r="AK206" s="21">
        <f t="shared" si="38"/>
        <v>0.14000000000000001</v>
      </c>
      <c r="AL206" s="20">
        <f t="shared" si="39"/>
        <v>11765.124928969093</v>
      </c>
      <c r="AM206" s="22">
        <f t="shared" si="40"/>
        <v>0.12146364482636579</v>
      </c>
      <c r="AN206" s="20">
        <f t="shared" si="41"/>
        <v>57474.034928969093</v>
      </c>
      <c r="AO206" s="16">
        <f t="shared" si="42"/>
        <v>0.3418696021653736</v>
      </c>
      <c r="AP206" s="15">
        <v>0</v>
      </c>
      <c r="AQ206" s="18" t="str">
        <f t="shared" si="43"/>
        <v>N/A</v>
      </c>
      <c r="AR206" s="23">
        <v>46029</v>
      </c>
      <c r="AS206" s="14" t="s">
        <v>79</v>
      </c>
    </row>
    <row r="207" spans="1:45" x14ac:dyDescent="0.25">
      <c r="A207" s="14" t="s">
        <v>754</v>
      </c>
      <c r="B207" s="14" t="s">
        <v>755</v>
      </c>
      <c r="C207" s="14">
        <v>9783501986</v>
      </c>
      <c r="D207" s="15" t="s">
        <v>757</v>
      </c>
      <c r="E207" s="14">
        <v>62</v>
      </c>
      <c r="F207" s="14" t="s">
        <v>89</v>
      </c>
      <c r="G207" s="14" t="s">
        <v>174</v>
      </c>
      <c r="H207" s="14" t="s">
        <v>132</v>
      </c>
      <c r="I207" s="14" t="s">
        <v>92</v>
      </c>
      <c r="J207" s="15">
        <v>2363121</v>
      </c>
      <c r="K207" s="14">
        <v>1</v>
      </c>
      <c r="L207" s="14" t="s">
        <v>75</v>
      </c>
      <c r="M207" s="14" t="s">
        <v>75</v>
      </c>
      <c r="N207" s="14" t="s">
        <v>76</v>
      </c>
      <c r="O207" s="14" t="s">
        <v>75</v>
      </c>
      <c r="P207" s="14">
        <v>804</v>
      </c>
      <c r="Q207" s="15">
        <v>1409837.45</v>
      </c>
      <c r="R207" s="15">
        <v>88114.84</v>
      </c>
      <c r="S207" s="14" t="s">
        <v>22</v>
      </c>
      <c r="T207" s="15">
        <v>1307651</v>
      </c>
      <c r="U207" s="16">
        <f t="shared" si="33"/>
        <v>0.44744982588703669</v>
      </c>
      <c r="V207" s="14">
        <v>1</v>
      </c>
      <c r="W207" s="17">
        <v>87.5</v>
      </c>
      <c r="X207" s="14">
        <v>9.5</v>
      </c>
      <c r="Y207" s="18">
        <f t="shared" si="34"/>
        <v>32.6</v>
      </c>
      <c r="Z207" s="18" t="str">
        <f t="shared" si="35"/>
        <v>Medium</v>
      </c>
      <c r="AA207" s="19" t="str">
        <f t="shared" si="36"/>
        <v>Review</v>
      </c>
      <c r="AB207" s="14" t="s">
        <v>85</v>
      </c>
      <c r="AC207" s="14">
        <v>2</v>
      </c>
      <c r="AD207" s="14" t="s">
        <v>78</v>
      </c>
      <c r="AE207" s="17">
        <v>15.5</v>
      </c>
      <c r="AF207" s="15">
        <v>0</v>
      </c>
      <c r="AG207" s="20">
        <f t="shared" si="37"/>
        <v>2363121</v>
      </c>
      <c r="AH207" s="14">
        <v>2</v>
      </c>
      <c r="AI207" s="14" t="s">
        <v>75</v>
      </c>
      <c r="AJ207" s="14">
        <v>24</v>
      </c>
      <c r="AK207" s="21">
        <f t="shared" si="38"/>
        <v>0.105</v>
      </c>
      <c r="AL207" s="20">
        <f t="shared" si="39"/>
        <v>60643.677225765969</v>
      </c>
      <c r="AM207" s="22">
        <f t="shared" si="40"/>
        <v>0.55335761478146905</v>
      </c>
      <c r="AN207" s="20">
        <f t="shared" si="41"/>
        <v>148758.51722576597</v>
      </c>
      <c r="AO207" s="16">
        <f t="shared" si="42"/>
        <v>0.75540025530186206</v>
      </c>
      <c r="AP207" s="15">
        <v>1411253</v>
      </c>
      <c r="AQ207" s="18">
        <f t="shared" si="43"/>
        <v>0.92658864144132913</v>
      </c>
      <c r="AR207" s="23">
        <v>46131</v>
      </c>
      <c r="AS207" s="14" t="s">
        <v>79</v>
      </c>
    </row>
    <row r="208" spans="1:45" x14ac:dyDescent="0.25">
      <c r="A208" s="14" t="s">
        <v>758</v>
      </c>
      <c r="B208" s="14" t="s">
        <v>759</v>
      </c>
      <c r="C208" s="14">
        <v>9275351550</v>
      </c>
      <c r="D208" s="15" t="s">
        <v>761</v>
      </c>
      <c r="E208" s="14">
        <v>44</v>
      </c>
      <c r="F208" s="14" t="s">
        <v>89</v>
      </c>
      <c r="G208" s="14" t="s">
        <v>106</v>
      </c>
      <c r="H208" s="14" t="s">
        <v>166</v>
      </c>
      <c r="I208" s="14" t="s">
        <v>74</v>
      </c>
      <c r="J208" s="15">
        <v>1515745</v>
      </c>
      <c r="K208" s="14">
        <v>2</v>
      </c>
      <c r="L208" s="14" t="s">
        <v>76</v>
      </c>
      <c r="M208" s="14" t="s">
        <v>75</v>
      </c>
      <c r="N208" s="14" t="s">
        <v>76</v>
      </c>
      <c r="O208" s="14" t="s">
        <v>75</v>
      </c>
      <c r="P208" s="14">
        <v>487</v>
      </c>
      <c r="Q208" s="15"/>
      <c r="R208" s="15">
        <v>13908.89</v>
      </c>
      <c r="S208" s="14" t="s">
        <v>21</v>
      </c>
      <c r="T208" s="15"/>
      <c r="U208" s="16">
        <f t="shared" si="33"/>
        <v>0.1101152766461377</v>
      </c>
      <c r="V208" s="14">
        <v>0</v>
      </c>
      <c r="W208" s="17">
        <v>35</v>
      </c>
      <c r="X208" s="14">
        <v>12.7</v>
      </c>
      <c r="Y208" s="18">
        <f t="shared" si="34"/>
        <v>34.299999999999997</v>
      </c>
      <c r="Z208" s="18" t="str">
        <f t="shared" si="35"/>
        <v>Medium</v>
      </c>
      <c r="AA208" s="19" t="str">
        <f t="shared" si="36"/>
        <v>Not Eligible</v>
      </c>
      <c r="AB208" s="14" t="s">
        <v>77</v>
      </c>
      <c r="AC208" s="14">
        <v>1</v>
      </c>
      <c r="AD208" s="14" t="s">
        <v>93</v>
      </c>
      <c r="AE208" s="17">
        <v>8.5</v>
      </c>
      <c r="AF208" s="15">
        <v>0</v>
      </c>
      <c r="AG208" s="20">
        <f t="shared" si="37"/>
        <v>1515745</v>
      </c>
      <c r="AH208" s="14">
        <v>0</v>
      </c>
      <c r="AI208" s="14" t="s">
        <v>75</v>
      </c>
      <c r="AJ208" s="14">
        <v>24</v>
      </c>
      <c r="AK208" s="21">
        <f t="shared" si="38"/>
        <v>0.15500000000000003</v>
      </c>
      <c r="AL208" s="20">
        <f t="shared" si="39"/>
        <v>0</v>
      </c>
      <c r="AM208" s="22">
        <f t="shared" si="40"/>
        <v>0</v>
      </c>
      <c r="AN208" s="20">
        <f t="shared" si="41"/>
        <v>13908.89</v>
      </c>
      <c r="AO208" s="16">
        <f t="shared" si="42"/>
        <v>0.1101152766461377</v>
      </c>
      <c r="AP208" s="15">
        <v>0</v>
      </c>
      <c r="AQ208" s="18" t="str">
        <f t="shared" si="43"/>
        <v>N/A</v>
      </c>
      <c r="AR208" s="23">
        <v>46160</v>
      </c>
      <c r="AS208" s="14" t="s">
        <v>79</v>
      </c>
    </row>
    <row r="209" spans="1:45" x14ac:dyDescent="0.25">
      <c r="A209" s="14" t="s">
        <v>762</v>
      </c>
      <c r="B209" s="14" t="s">
        <v>763</v>
      </c>
      <c r="C209" s="14">
        <v>9542375728</v>
      </c>
      <c r="D209" s="15" t="s">
        <v>764</v>
      </c>
      <c r="E209" s="14">
        <v>27</v>
      </c>
      <c r="F209" s="14" t="s">
        <v>71</v>
      </c>
      <c r="G209" s="14" t="s">
        <v>72</v>
      </c>
      <c r="H209" s="14" t="s">
        <v>144</v>
      </c>
      <c r="I209" s="14" t="s">
        <v>92</v>
      </c>
      <c r="J209" s="15">
        <v>1227417</v>
      </c>
      <c r="K209" s="14">
        <v>0</v>
      </c>
      <c r="L209" s="14" t="s">
        <v>75</v>
      </c>
      <c r="M209" s="14" t="s">
        <v>75</v>
      </c>
      <c r="N209" s="14" t="s">
        <v>75</v>
      </c>
      <c r="O209" s="14" t="s">
        <v>75</v>
      </c>
      <c r="P209" s="14">
        <v>838</v>
      </c>
      <c r="Q209" s="15">
        <v>103848.04</v>
      </c>
      <c r="R209" s="15">
        <v>1821.9</v>
      </c>
      <c r="S209" s="14" t="s">
        <v>20</v>
      </c>
      <c r="T209" s="15">
        <v>238809</v>
      </c>
      <c r="U209" s="16">
        <f t="shared" si="33"/>
        <v>1.7812039429142664E-2</v>
      </c>
      <c r="V209" s="14">
        <v>1</v>
      </c>
      <c r="W209" s="17">
        <v>12.3</v>
      </c>
      <c r="X209" s="14">
        <v>12.3</v>
      </c>
      <c r="Y209" s="18">
        <f t="shared" si="34"/>
        <v>9.9</v>
      </c>
      <c r="Z209" s="18" t="str">
        <f t="shared" si="35"/>
        <v>Low</v>
      </c>
      <c r="AA209" s="19" t="str">
        <f t="shared" si="36"/>
        <v>Eligible</v>
      </c>
      <c r="AB209" s="14" t="s">
        <v>77</v>
      </c>
      <c r="AC209" s="14">
        <v>1</v>
      </c>
      <c r="AD209" s="14" t="s">
        <v>78</v>
      </c>
      <c r="AE209" s="17">
        <v>2.4</v>
      </c>
      <c r="AF209" s="15">
        <v>0</v>
      </c>
      <c r="AG209" s="20">
        <f t="shared" si="37"/>
        <v>1227417</v>
      </c>
      <c r="AH209" s="14">
        <v>2</v>
      </c>
      <c r="AI209" s="14" t="s">
        <v>75</v>
      </c>
      <c r="AJ209" s="14">
        <v>24</v>
      </c>
      <c r="AK209" s="21">
        <f t="shared" si="38"/>
        <v>0.36</v>
      </c>
      <c r="AL209" s="20">
        <f t="shared" si="39"/>
        <v>14101.054355357546</v>
      </c>
      <c r="AM209" s="22">
        <f t="shared" si="40"/>
        <v>0.19456223923898724</v>
      </c>
      <c r="AN209" s="20">
        <f t="shared" si="41"/>
        <v>15922.954355357546</v>
      </c>
      <c r="AO209" s="16">
        <f t="shared" si="42"/>
        <v>0.15567280904883224</v>
      </c>
      <c r="AP209" s="15">
        <v>0</v>
      </c>
      <c r="AQ209" s="18" t="str">
        <f t="shared" si="43"/>
        <v>N/A</v>
      </c>
      <c r="AR209" s="23">
        <v>45983</v>
      </c>
      <c r="AS209" s="14" t="s">
        <v>79</v>
      </c>
    </row>
    <row r="210" spans="1:45" x14ac:dyDescent="0.25">
      <c r="A210" s="14" t="s">
        <v>765</v>
      </c>
      <c r="B210" s="14" t="s">
        <v>766</v>
      </c>
      <c r="C210" s="14">
        <v>9974642290</v>
      </c>
      <c r="D210" s="15" t="s">
        <v>767</v>
      </c>
      <c r="E210" s="14">
        <v>29</v>
      </c>
      <c r="F210" s="14" t="s">
        <v>71</v>
      </c>
      <c r="G210" s="14" t="s">
        <v>131</v>
      </c>
      <c r="H210" s="14" t="s">
        <v>84</v>
      </c>
      <c r="I210" s="14" t="s">
        <v>74</v>
      </c>
      <c r="J210" s="15">
        <v>825731</v>
      </c>
      <c r="K210" s="14">
        <v>1</v>
      </c>
      <c r="L210" s="14" t="s">
        <v>76</v>
      </c>
      <c r="M210" s="14" t="s">
        <v>75</v>
      </c>
      <c r="N210" s="14" t="s">
        <v>75</v>
      </c>
      <c r="O210" s="14" t="s">
        <v>75</v>
      </c>
      <c r="P210" s="14">
        <v>414</v>
      </c>
      <c r="Q210" s="15">
        <v>38513.07</v>
      </c>
      <c r="R210" s="15">
        <v>916.98</v>
      </c>
      <c r="S210" s="14" t="s">
        <v>23</v>
      </c>
      <c r="T210" s="15">
        <v>1856657</v>
      </c>
      <c r="U210" s="16">
        <f t="shared" si="33"/>
        <v>1.3326083191741622E-2</v>
      </c>
      <c r="V210" s="14">
        <v>0</v>
      </c>
      <c r="W210" s="17">
        <v>8.1</v>
      </c>
      <c r="X210" s="14">
        <v>10</v>
      </c>
      <c r="Y210" s="18">
        <f t="shared" si="34"/>
        <v>33.6</v>
      </c>
      <c r="Z210" s="18" t="str">
        <f t="shared" si="35"/>
        <v>Medium</v>
      </c>
      <c r="AA210" s="19" t="str">
        <f t="shared" si="36"/>
        <v>Not Eligible</v>
      </c>
      <c r="AB210" s="14" t="s">
        <v>85</v>
      </c>
      <c r="AC210" s="14">
        <v>1</v>
      </c>
      <c r="AD210" s="14" t="s">
        <v>194</v>
      </c>
      <c r="AE210" s="17">
        <v>0.6</v>
      </c>
      <c r="AF210" s="15">
        <v>157704</v>
      </c>
      <c r="AG210" s="20">
        <f t="shared" si="37"/>
        <v>983435</v>
      </c>
      <c r="AH210" s="14">
        <v>0</v>
      </c>
      <c r="AI210" s="14" t="s">
        <v>75</v>
      </c>
      <c r="AJ210" s="14">
        <v>360</v>
      </c>
      <c r="AK210" s="21">
        <f t="shared" si="38"/>
        <v>0.1</v>
      </c>
      <c r="AL210" s="20">
        <f t="shared" si="39"/>
        <v>16293.493986063588</v>
      </c>
      <c r="AM210" s="22">
        <f t="shared" si="40"/>
        <v>2.248501025152259</v>
      </c>
      <c r="AN210" s="20">
        <f t="shared" si="41"/>
        <v>17210.473986063589</v>
      </c>
      <c r="AO210" s="16">
        <f t="shared" si="42"/>
        <v>0.2501125521904386</v>
      </c>
      <c r="AP210" s="15">
        <v>2230495</v>
      </c>
      <c r="AQ210" s="18">
        <f t="shared" si="43"/>
        <v>0.83239684464659192</v>
      </c>
      <c r="AR210" s="23">
        <v>45997</v>
      </c>
      <c r="AS210" s="14" t="s">
        <v>79</v>
      </c>
    </row>
    <row r="211" spans="1:45" x14ac:dyDescent="0.25">
      <c r="A211" s="14" t="s">
        <v>768</v>
      </c>
      <c r="B211" s="14" t="s">
        <v>769</v>
      </c>
      <c r="C211" s="14">
        <v>9197473548</v>
      </c>
      <c r="D211" s="15" t="s">
        <v>771</v>
      </c>
      <c r="E211" s="14">
        <v>58</v>
      </c>
      <c r="F211" s="14" t="s">
        <v>89</v>
      </c>
      <c r="G211" s="14" t="s">
        <v>106</v>
      </c>
      <c r="H211" s="14" t="s">
        <v>132</v>
      </c>
      <c r="I211" s="14" t="s">
        <v>92</v>
      </c>
      <c r="J211" s="15">
        <v>2399812</v>
      </c>
      <c r="K211" s="14">
        <v>1</v>
      </c>
      <c r="L211" s="14" t="s">
        <v>75</v>
      </c>
      <c r="M211" s="14" t="s">
        <v>75</v>
      </c>
      <c r="N211" s="14" t="s">
        <v>75</v>
      </c>
      <c r="O211" s="14" t="s">
        <v>76</v>
      </c>
      <c r="P211" s="14">
        <v>892</v>
      </c>
      <c r="Q211" s="15">
        <v>1098985.31</v>
      </c>
      <c r="R211" s="15">
        <v>24421.9</v>
      </c>
      <c r="S211" s="14" t="s">
        <v>21</v>
      </c>
      <c r="T211" s="15">
        <v>800582</v>
      </c>
      <c r="U211" s="16">
        <f t="shared" si="33"/>
        <v>0.12211906599350285</v>
      </c>
      <c r="V211" s="14">
        <v>0</v>
      </c>
      <c r="W211" s="17">
        <v>31.8</v>
      </c>
      <c r="X211" s="14">
        <v>13.5</v>
      </c>
      <c r="Y211" s="18">
        <f t="shared" si="34"/>
        <v>7.4</v>
      </c>
      <c r="Z211" s="18" t="str">
        <f t="shared" si="35"/>
        <v>Low</v>
      </c>
      <c r="AA211" s="19" t="str">
        <f t="shared" si="36"/>
        <v>Eligible</v>
      </c>
      <c r="AB211" s="14" t="s">
        <v>85</v>
      </c>
      <c r="AC211" s="14">
        <v>4</v>
      </c>
      <c r="AD211" s="14" t="s">
        <v>78</v>
      </c>
      <c r="AE211" s="17">
        <v>6.7</v>
      </c>
      <c r="AF211" s="15">
        <v>0</v>
      </c>
      <c r="AG211" s="20">
        <f t="shared" si="37"/>
        <v>2399812</v>
      </c>
      <c r="AH211" s="14">
        <v>1</v>
      </c>
      <c r="AI211" s="14" t="s">
        <v>75</v>
      </c>
      <c r="AJ211" s="14">
        <v>60</v>
      </c>
      <c r="AK211" s="21">
        <f t="shared" si="38"/>
        <v>0.14000000000000001</v>
      </c>
      <c r="AL211" s="20">
        <f t="shared" si="39"/>
        <v>18628.142801504502</v>
      </c>
      <c r="AM211" s="22">
        <f t="shared" si="40"/>
        <v>0.33360196548729648</v>
      </c>
      <c r="AN211" s="20">
        <f t="shared" si="41"/>
        <v>43050.042801504504</v>
      </c>
      <c r="AO211" s="16">
        <f t="shared" si="42"/>
        <v>0.21526707659518915</v>
      </c>
      <c r="AP211" s="15">
        <v>0</v>
      </c>
      <c r="AQ211" s="18" t="str">
        <f t="shared" si="43"/>
        <v>N/A</v>
      </c>
      <c r="AR211" s="23">
        <v>45989</v>
      </c>
      <c r="AS211" s="14" t="s">
        <v>79</v>
      </c>
    </row>
    <row r="212" spans="1:45" x14ac:dyDescent="0.25">
      <c r="A212" s="14" t="s">
        <v>772</v>
      </c>
      <c r="B212" s="14" t="s">
        <v>773</v>
      </c>
      <c r="C212" s="14">
        <v>9996297562</v>
      </c>
      <c r="D212" s="15" t="s">
        <v>774</v>
      </c>
      <c r="E212" s="14">
        <v>48</v>
      </c>
      <c r="F212" s="14" t="s">
        <v>71</v>
      </c>
      <c r="G212" s="14" t="s">
        <v>314</v>
      </c>
      <c r="H212" s="14" t="s">
        <v>91</v>
      </c>
      <c r="I212" s="14" t="s">
        <v>92</v>
      </c>
      <c r="J212" s="15">
        <v>2009505</v>
      </c>
      <c r="K212" s="14">
        <v>3</v>
      </c>
      <c r="L212" s="14" t="s">
        <v>76</v>
      </c>
      <c r="M212" s="14" t="s">
        <v>75</v>
      </c>
      <c r="N212" s="14" t="s">
        <v>76</v>
      </c>
      <c r="O212" s="14" t="s">
        <v>76</v>
      </c>
      <c r="P212" s="14">
        <v>439</v>
      </c>
      <c r="Q212" s="15">
        <v>597806.86</v>
      </c>
      <c r="R212" s="15">
        <v>17080.2</v>
      </c>
      <c r="S212" s="14" t="s">
        <v>22</v>
      </c>
      <c r="T212" s="15"/>
      <c r="U212" s="16">
        <f t="shared" si="33"/>
        <v>0.10199646181522316</v>
      </c>
      <c r="V212" s="14">
        <v>2</v>
      </c>
      <c r="W212" s="17">
        <v>12.8</v>
      </c>
      <c r="X212" s="14">
        <v>7.5</v>
      </c>
      <c r="Y212" s="18">
        <f t="shared" si="34"/>
        <v>43.1</v>
      </c>
      <c r="Z212" s="18" t="str">
        <f t="shared" si="35"/>
        <v>Medium</v>
      </c>
      <c r="AA212" s="19" t="str">
        <f t="shared" si="36"/>
        <v>Not Eligible</v>
      </c>
      <c r="AB212" s="14" t="s">
        <v>85</v>
      </c>
      <c r="AC212" s="14">
        <v>1</v>
      </c>
      <c r="AD212" s="14" t="s">
        <v>93</v>
      </c>
      <c r="AE212" s="17">
        <v>18.600000000000001</v>
      </c>
      <c r="AF212" s="15">
        <v>0</v>
      </c>
      <c r="AG212" s="20">
        <f t="shared" si="37"/>
        <v>2009505</v>
      </c>
      <c r="AH212" s="14">
        <v>0</v>
      </c>
      <c r="AI212" s="14" t="s">
        <v>75</v>
      </c>
      <c r="AJ212" s="14">
        <v>60</v>
      </c>
      <c r="AK212" s="21">
        <f t="shared" si="38"/>
        <v>0.105</v>
      </c>
      <c r="AL212" s="20">
        <f t="shared" si="39"/>
        <v>0</v>
      </c>
      <c r="AM212" s="22">
        <f t="shared" si="40"/>
        <v>0</v>
      </c>
      <c r="AN212" s="20">
        <f t="shared" si="41"/>
        <v>17080.2</v>
      </c>
      <c r="AO212" s="16">
        <f t="shared" si="42"/>
        <v>0.10199646181522316</v>
      </c>
      <c r="AP212" s="15">
        <v>1597251</v>
      </c>
      <c r="AQ212" s="18">
        <f t="shared" si="43"/>
        <v>0</v>
      </c>
      <c r="AR212" s="23">
        <v>45930</v>
      </c>
      <c r="AS212" s="14" t="s">
        <v>79</v>
      </c>
    </row>
    <row r="213" spans="1:45" x14ac:dyDescent="0.25">
      <c r="A213" s="14" t="s">
        <v>775</v>
      </c>
      <c r="B213" s="14" t="s">
        <v>776</v>
      </c>
      <c r="C213" s="14">
        <v>9829211472</v>
      </c>
      <c r="D213" s="15" t="s">
        <v>777</v>
      </c>
      <c r="E213" s="14">
        <v>21</v>
      </c>
      <c r="F213" s="14" t="s">
        <v>89</v>
      </c>
      <c r="G213" s="14" t="s">
        <v>139</v>
      </c>
      <c r="H213" s="14" t="s">
        <v>99</v>
      </c>
      <c r="I213" s="14" t="s">
        <v>74</v>
      </c>
      <c r="J213" s="15">
        <v>2137349</v>
      </c>
      <c r="K213" s="14">
        <v>2</v>
      </c>
      <c r="L213" s="14" t="s">
        <v>76</v>
      </c>
      <c r="M213" s="14" t="s">
        <v>75</v>
      </c>
      <c r="N213" s="14" t="s">
        <v>76</v>
      </c>
      <c r="O213" s="14" t="s">
        <v>75</v>
      </c>
      <c r="P213" s="14">
        <v>404</v>
      </c>
      <c r="Q213" s="15">
        <v>950819.57</v>
      </c>
      <c r="R213" s="15">
        <v>43219.07</v>
      </c>
      <c r="S213" s="14" t="s">
        <v>20</v>
      </c>
      <c r="T213" s="15">
        <v>210688</v>
      </c>
      <c r="U213" s="16">
        <f t="shared" si="33"/>
        <v>0.24265051706576696</v>
      </c>
      <c r="V213" s="14">
        <v>8</v>
      </c>
      <c r="W213" s="17">
        <v>37.200000000000003</v>
      </c>
      <c r="X213" s="14">
        <v>9</v>
      </c>
      <c r="Y213" s="18">
        <f t="shared" si="34"/>
        <v>64.099999999999994</v>
      </c>
      <c r="Z213" s="18" t="str">
        <f t="shared" si="35"/>
        <v>High</v>
      </c>
      <c r="AA213" s="19" t="str">
        <f t="shared" si="36"/>
        <v>Not Eligible</v>
      </c>
      <c r="AB213" s="14" t="s">
        <v>161</v>
      </c>
      <c r="AC213" s="14">
        <v>0</v>
      </c>
      <c r="AD213" s="14" t="s">
        <v>93</v>
      </c>
      <c r="AE213" s="17">
        <v>0.3</v>
      </c>
      <c r="AF213" s="15">
        <v>0</v>
      </c>
      <c r="AG213" s="20">
        <f t="shared" si="37"/>
        <v>2137349</v>
      </c>
      <c r="AH213" s="14">
        <v>0</v>
      </c>
      <c r="AI213" s="14" t="s">
        <v>75</v>
      </c>
      <c r="AJ213" s="14">
        <v>24</v>
      </c>
      <c r="AK213" s="21">
        <f t="shared" si="38"/>
        <v>0.39</v>
      </c>
      <c r="AL213" s="20">
        <f t="shared" si="39"/>
        <v>12777.996776319513</v>
      </c>
      <c r="AM213" s="22">
        <f t="shared" si="40"/>
        <v>9.8574449002011372E-2</v>
      </c>
      <c r="AN213" s="20">
        <f t="shared" si="41"/>
        <v>55997.066776319509</v>
      </c>
      <c r="AO213" s="16">
        <f t="shared" si="42"/>
        <v>0.31439170735141247</v>
      </c>
      <c r="AP213" s="15">
        <v>0</v>
      </c>
      <c r="AQ213" s="18" t="str">
        <f t="shared" si="43"/>
        <v>N/A</v>
      </c>
      <c r="AR213" s="23">
        <v>46224</v>
      </c>
      <c r="AS213" s="14" t="s">
        <v>94</v>
      </c>
    </row>
    <row r="214" spans="1:45" x14ac:dyDescent="0.25">
      <c r="A214" s="14" t="s">
        <v>778</v>
      </c>
      <c r="B214" s="14" t="s">
        <v>779</v>
      </c>
      <c r="C214" s="14">
        <v>9815838988</v>
      </c>
      <c r="D214" s="15" t="s">
        <v>780</v>
      </c>
      <c r="E214" s="14">
        <v>52</v>
      </c>
      <c r="F214" s="14" t="s">
        <v>89</v>
      </c>
      <c r="G214" s="14" t="s">
        <v>72</v>
      </c>
      <c r="H214" s="14" t="s">
        <v>107</v>
      </c>
      <c r="I214" s="14" t="s">
        <v>92</v>
      </c>
      <c r="J214" s="15">
        <v>753138</v>
      </c>
      <c r="K214" s="14">
        <v>2</v>
      </c>
      <c r="L214" s="14" t="s">
        <v>76</v>
      </c>
      <c r="M214" s="14" t="s">
        <v>75</v>
      </c>
      <c r="N214" s="14" t="s">
        <v>76</v>
      </c>
      <c r="O214" s="14" t="s">
        <v>75</v>
      </c>
      <c r="P214" s="14">
        <v>330</v>
      </c>
      <c r="Q214" s="15"/>
      <c r="R214" s="15">
        <v>3000.6</v>
      </c>
      <c r="S214" s="14" t="s">
        <v>20</v>
      </c>
      <c r="T214" s="15">
        <v>281166</v>
      </c>
      <c r="U214" s="16">
        <f t="shared" si="33"/>
        <v>4.7809564780956472E-2</v>
      </c>
      <c r="V214" s="14">
        <v>2</v>
      </c>
      <c r="W214" s="17">
        <v>97.3</v>
      </c>
      <c r="X214" s="14">
        <v>5.9</v>
      </c>
      <c r="Y214" s="18">
        <f t="shared" si="34"/>
        <v>57.2</v>
      </c>
      <c r="Z214" s="18" t="str">
        <f t="shared" si="35"/>
        <v>Medium</v>
      </c>
      <c r="AA214" s="19" t="str">
        <f t="shared" si="36"/>
        <v>Not Eligible</v>
      </c>
      <c r="AB214" s="14" t="s">
        <v>77</v>
      </c>
      <c r="AC214" s="14">
        <v>0</v>
      </c>
      <c r="AD214" s="14" t="s">
        <v>93</v>
      </c>
      <c r="AE214" s="17">
        <v>3.2</v>
      </c>
      <c r="AF214" s="15">
        <v>713707</v>
      </c>
      <c r="AG214" s="20">
        <f t="shared" si="37"/>
        <v>1466845</v>
      </c>
      <c r="AH214" s="14">
        <v>1</v>
      </c>
      <c r="AI214" s="14" t="s">
        <v>75</v>
      </c>
      <c r="AJ214" s="14">
        <v>18</v>
      </c>
      <c r="AK214" s="21">
        <f t="shared" si="38"/>
        <v>0.375</v>
      </c>
      <c r="AL214" s="20">
        <f t="shared" si="39"/>
        <v>20659.869277186743</v>
      </c>
      <c r="AM214" s="22">
        <f t="shared" si="40"/>
        <v>0.37332600399926708</v>
      </c>
      <c r="AN214" s="20">
        <f t="shared" si="41"/>
        <v>23660.469277186741</v>
      </c>
      <c r="AO214" s="16">
        <f t="shared" si="42"/>
        <v>0.37699018151552688</v>
      </c>
      <c r="AP214" s="15">
        <v>0</v>
      </c>
      <c r="AQ214" s="18" t="str">
        <f t="shared" si="43"/>
        <v>N/A</v>
      </c>
      <c r="AR214" s="23">
        <v>46045</v>
      </c>
      <c r="AS214" s="14" t="s">
        <v>79</v>
      </c>
    </row>
    <row r="215" spans="1:45" x14ac:dyDescent="0.25">
      <c r="A215" s="14" t="s">
        <v>781</v>
      </c>
      <c r="B215" s="14" t="s">
        <v>782</v>
      </c>
      <c r="C215" s="14"/>
      <c r="D215" s="15" t="s">
        <v>783</v>
      </c>
      <c r="E215" s="14">
        <v>55</v>
      </c>
      <c r="F215" s="14" t="s">
        <v>71</v>
      </c>
      <c r="G215" s="14" t="s">
        <v>90</v>
      </c>
      <c r="H215" s="14" t="s">
        <v>99</v>
      </c>
      <c r="I215" s="14" t="s">
        <v>74</v>
      </c>
      <c r="J215" s="15">
        <v>799684</v>
      </c>
      <c r="K215" s="14">
        <v>1</v>
      </c>
      <c r="L215" s="14" t="s">
        <v>76</v>
      </c>
      <c r="M215" s="14" t="s">
        <v>75</v>
      </c>
      <c r="N215" s="14" t="s">
        <v>75</v>
      </c>
      <c r="O215" s="14" t="s">
        <v>75</v>
      </c>
      <c r="P215" s="14">
        <v>333</v>
      </c>
      <c r="Q215" s="15"/>
      <c r="R215" s="15">
        <v>1571.55</v>
      </c>
      <c r="S215" s="14" t="s">
        <v>22</v>
      </c>
      <c r="T215" s="15">
        <v>644235</v>
      </c>
      <c r="U215" s="16">
        <f t="shared" si="33"/>
        <v>2.3582565113219722E-2</v>
      </c>
      <c r="V215" s="14">
        <v>1</v>
      </c>
      <c r="W215" s="17">
        <v>17.8</v>
      </c>
      <c r="X215" s="14">
        <v>10.8</v>
      </c>
      <c r="Y215" s="18">
        <f t="shared" si="34"/>
        <v>44.3</v>
      </c>
      <c r="Z215" s="18" t="str">
        <f t="shared" si="35"/>
        <v>Medium</v>
      </c>
      <c r="AA215" s="19" t="str">
        <f t="shared" si="36"/>
        <v>Not Eligible</v>
      </c>
      <c r="AB215" s="14" t="s">
        <v>85</v>
      </c>
      <c r="AC215" s="14">
        <v>0</v>
      </c>
      <c r="AD215" s="14" t="s">
        <v>93</v>
      </c>
      <c r="AE215" s="17">
        <v>19.899999999999999</v>
      </c>
      <c r="AF215" s="15">
        <v>0</v>
      </c>
      <c r="AG215" s="20">
        <f t="shared" si="37"/>
        <v>799684</v>
      </c>
      <c r="AH215" s="14">
        <v>1</v>
      </c>
      <c r="AI215" s="14" t="s">
        <v>75</v>
      </c>
      <c r="AJ215" s="14">
        <v>36</v>
      </c>
      <c r="AK215" s="21">
        <f t="shared" si="38"/>
        <v>0.105</v>
      </c>
      <c r="AL215" s="20">
        <f t="shared" si="39"/>
        <v>20939.211691241984</v>
      </c>
      <c r="AM215" s="22">
        <f t="shared" si="40"/>
        <v>0.80561196672685709</v>
      </c>
      <c r="AN215" s="20">
        <f t="shared" si="41"/>
        <v>22510.761691241983</v>
      </c>
      <c r="AO215" s="16">
        <f t="shared" si="42"/>
        <v>0.33779485433609246</v>
      </c>
      <c r="AP215" s="15">
        <v>741732</v>
      </c>
      <c r="AQ215" s="18">
        <f t="shared" si="43"/>
        <v>0.86855494976622283</v>
      </c>
      <c r="AR215" s="23">
        <v>46095</v>
      </c>
      <c r="AS215" s="14" t="s">
        <v>79</v>
      </c>
    </row>
    <row r="216" spans="1:45" x14ac:dyDescent="0.25">
      <c r="A216" s="14" t="s">
        <v>784</v>
      </c>
      <c r="B216" s="14" t="s">
        <v>785</v>
      </c>
      <c r="C216" s="14"/>
      <c r="D216" s="15" t="s">
        <v>786</v>
      </c>
      <c r="E216" s="14">
        <v>39</v>
      </c>
      <c r="F216" s="14" t="s">
        <v>89</v>
      </c>
      <c r="G216" s="14" t="s">
        <v>90</v>
      </c>
      <c r="H216" s="14" t="s">
        <v>166</v>
      </c>
      <c r="I216" s="14" t="s">
        <v>74</v>
      </c>
      <c r="J216" s="15">
        <v>489240</v>
      </c>
      <c r="K216" s="14">
        <v>1</v>
      </c>
      <c r="L216" s="14" t="s">
        <v>76</v>
      </c>
      <c r="M216" s="14" t="s">
        <v>75</v>
      </c>
      <c r="N216" s="14" t="s">
        <v>75</v>
      </c>
      <c r="O216" s="14" t="s">
        <v>75</v>
      </c>
      <c r="P216" s="14">
        <v>649</v>
      </c>
      <c r="Q216" s="15"/>
      <c r="R216" s="15">
        <v>2864.49</v>
      </c>
      <c r="S216" s="14" t="s">
        <v>22</v>
      </c>
      <c r="T216" s="15"/>
      <c r="U216" s="16">
        <f t="shared" si="33"/>
        <v>7.0259749816041203E-2</v>
      </c>
      <c r="V216" s="14">
        <v>0</v>
      </c>
      <c r="W216" s="17">
        <v>10.4</v>
      </c>
      <c r="X216" s="14">
        <v>3.8</v>
      </c>
      <c r="Y216" s="18">
        <f t="shared" si="34"/>
        <v>19.899999999999999</v>
      </c>
      <c r="Z216" s="18" t="str">
        <f t="shared" si="35"/>
        <v>Low</v>
      </c>
      <c r="AA216" s="19" t="str">
        <f t="shared" si="36"/>
        <v>Review</v>
      </c>
      <c r="AB216" s="14" t="s">
        <v>85</v>
      </c>
      <c r="AC216" s="14">
        <v>1</v>
      </c>
      <c r="AD216" s="14" t="s">
        <v>78</v>
      </c>
      <c r="AE216" s="17">
        <v>12.5</v>
      </c>
      <c r="AF216" s="15">
        <v>0</v>
      </c>
      <c r="AG216" s="20">
        <f t="shared" si="37"/>
        <v>489240</v>
      </c>
      <c r="AH216" s="14">
        <v>0</v>
      </c>
      <c r="AI216" s="14" t="s">
        <v>75</v>
      </c>
      <c r="AJ216" s="14">
        <v>72</v>
      </c>
      <c r="AK216" s="21">
        <f t="shared" si="38"/>
        <v>0.09</v>
      </c>
      <c r="AL216" s="20">
        <f t="shared" si="39"/>
        <v>0</v>
      </c>
      <c r="AM216" s="22">
        <f t="shared" si="40"/>
        <v>0</v>
      </c>
      <c r="AN216" s="20">
        <f t="shared" si="41"/>
        <v>2864.49</v>
      </c>
      <c r="AO216" s="16">
        <f t="shared" si="42"/>
        <v>7.0259749816041203E-2</v>
      </c>
      <c r="AP216" s="15">
        <v>1170371</v>
      </c>
      <c r="AQ216" s="18">
        <f t="shared" si="43"/>
        <v>0</v>
      </c>
      <c r="AR216" s="23">
        <v>46130</v>
      </c>
      <c r="AS216" s="14" t="s">
        <v>79</v>
      </c>
    </row>
    <row r="217" spans="1:45" x14ac:dyDescent="0.25">
      <c r="A217" s="14" t="s">
        <v>787</v>
      </c>
      <c r="B217" s="14" t="s">
        <v>547</v>
      </c>
      <c r="C217" s="14">
        <v>9652719151</v>
      </c>
      <c r="D217" s="15" t="s">
        <v>789</v>
      </c>
      <c r="E217" s="14">
        <v>38</v>
      </c>
      <c r="F217" s="14" t="s">
        <v>71</v>
      </c>
      <c r="G217" s="14" t="s">
        <v>115</v>
      </c>
      <c r="H217" s="14" t="s">
        <v>166</v>
      </c>
      <c r="I217" s="14" t="s">
        <v>74</v>
      </c>
      <c r="J217" s="15">
        <v>1627557</v>
      </c>
      <c r="K217" s="14">
        <v>1</v>
      </c>
      <c r="L217" s="14" t="s">
        <v>76</v>
      </c>
      <c r="M217" s="14" t="s">
        <v>75</v>
      </c>
      <c r="N217" s="14" t="s">
        <v>75</v>
      </c>
      <c r="O217" s="14" t="s">
        <v>75</v>
      </c>
      <c r="P217" s="14">
        <v>402</v>
      </c>
      <c r="Q217" s="15">
        <v>674652.29</v>
      </c>
      <c r="R217" s="15">
        <v>26986.09</v>
      </c>
      <c r="S217" s="14" t="s">
        <v>22</v>
      </c>
      <c r="T217" s="15">
        <v>1341721</v>
      </c>
      <c r="U217" s="16">
        <f t="shared" si="33"/>
        <v>0.19896881030894772</v>
      </c>
      <c r="V217" s="14">
        <v>1</v>
      </c>
      <c r="W217" s="17">
        <v>77.7</v>
      </c>
      <c r="X217" s="14">
        <v>5.2</v>
      </c>
      <c r="Y217" s="18">
        <f t="shared" si="34"/>
        <v>50.9</v>
      </c>
      <c r="Z217" s="18" t="str">
        <f t="shared" si="35"/>
        <v>Medium</v>
      </c>
      <c r="AA217" s="19" t="str">
        <f t="shared" si="36"/>
        <v>Not Eligible</v>
      </c>
      <c r="AB217" s="14" t="s">
        <v>77</v>
      </c>
      <c r="AC217" s="14">
        <v>1</v>
      </c>
      <c r="AD217" s="14" t="s">
        <v>78</v>
      </c>
      <c r="AE217" s="17">
        <v>8.6</v>
      </c>
      <c r="AF217" s="15">
        <v>0</v>
      </c>
      <c r="AG217" s="20">
        <f t="shared" si="37"/>
        <v>1627557</v>
      </c>
      <c r="AH217" s="14">
        <v>1</v>
      </c>
      <c r="AI217" s="14" t="s">
        <v>75</v>
      </c>
      <c r="AJ217" s="14">
        <v>72</v>
      </c>
      <c r="AK217" s="21">
        <f t="shared" si="38"/>
        <v>0.105</v>
      </c>
      <c r="AL217" s="20">
        <f t="shared" si="39"/>
        <v>25196.138366178428</v>
      </c>
      <c r="AM217" s="22">
        <f t="shared" si="40"/>
        <v>0.82437727219384638</v>
      </c>
      <c r="AN217" s="20">
        <f t="shared" si="41"/>
        <v>52182.228366178431</v>
      </c>
      <c r="AO217" s="16">
        <f t="shared" si="42"/>
        <v>0.3847402827637626</v>
      </c>
      <c r="AP217" s="15">
        <v>1466254</v>
      </c>
      <c r="AQ217" s="18">
        <f t="shared" si="43"/>
        <v>0.91506723937326007</v>
      </c>
      <c r="AR217" s="23">
        <v>46030</v>
      </c>
      <c r="AS217" s="14" t="s">
        <v>79</v>
      </c>
    </row>
    <row r="218" spans="1:45" x14ac:dyDescent="0.25">
      <c r="A218" s="14" t="s">
        <v>790</v>
      </c>
      <c r="B218" s="14" t="s">
        <v>791</v>
      </c>
      <c r="C218" s="14">
        <v>9963935915</v>
      </c>
      <c r="D218" s="15" t="s">
        <v>792</v>
      </c>
      <c r="E218" s="14">
        <v>26</v>
      </c>
      <c r="F218" s="14" t="s">
        <v>71</v>
      </c>
      <c r="G218" s="14" t="s">
        <v>226</v>
      </c>
      <c r="H218" s="14" t="s">
        <v>84</v>
      </c>
      <c r="I218" s="14" t="s">
        <v>74</v>
      </c>
      <c r="J218" s="15">
        <v>582149</v>
      </c>
      <c r="K218" s="14">
        <v>0</v>
      </c>
      <c r="L218" s="14" t="s">
        <v>75</v>
      </c>
      <c r="M218" s="14" t="s">
        <v>75</v>
      </c>
      <c r="N218" s="14" t="s">
        <v>75</v>
      </c>
      <c r="O218" s="14" t="s">
        <v>75</v>
      </c>
      <c r="P218" s="14">
        <v>378</v>
      </c>
      <c r="Q218" s="15">
        <v>37929</v>
      </c>
      <c r="R218" s="15">
        <v>1223.52</v>
      </c>
      <c r="S218" s="14" t="s">
        <v>22</v>
      </c>
      <c r="T218" s="15">
        <v>1207879</v>
      </c>
      <c r="U218" s="16">
        <f t="shared" si="33"/>
        <v>2.5220759633702024E-2</v>
      </c>
      <c r="V218" s="14">
        <v>2</v>
      </c>
      <c r="W218" s="17">
        <v>34.799999999999997</v>
      </c>
      <c r="X218" s="14">
        <v>6.3</v>
      </c>
      <c r="Y218" s="18">
        <f t="shared" si="34"/>
        <v>47</v>
      </c>
      <c r="Z218" s="18" t="str">
        <f t="shared" si="35"/>
        <v>Medium</v>
      </c>
      <c r="AA218" s="19" t="str">
        <f t="shared" si="36"/>
        <v>Not Eligible</v>
      </c>
      <c r="AB218" s="14" t="s">
        <v>85</v>
      </c>
      <c r="AC218" s="14">
        <v>2</v>
      </c>
      <c r="AD218" s="14" t="s">
        <v>93</v>
      </c>
      <c r="AE218" s="17">
        <v>2.9</v>
      </c>
      <c r="AF218" s="15">
        <v>0</v>
      </c>
      <c r="AG218" s="20">
        <f t="shared" si="37"/>
        <v>582149</v>
      </c>
      <c r="AH218" s="14">
        <v>1</v>
      </c>
      <c r="AI218" s="14" t="s">
        <v>75</v>
      </c>
      <c r="AJ218" s="14">
        <v>36</v>
      </c>
      <c r="AK218" s="21">
        <f t="shared" si="38"/>
        <v>0.105</v>
      </c>
      <c r="AL218" s="20">
        <f t="shared" si="39"/>
        <v>39259.018957997745</v>
      </c>
      <c r="AM218" s="22">
        <f t="shared" si="40"/>
        <v>2.0748622775268872</v>
      </c>
      <c r="AN218" s="20">
        <f t="shared" si="41"/>
        <v>40482.538957997742</v>
      </c>
      <c r="AO218" s="16">
        <f t="shared" si="42"/>
        <v>0.83447788709758652</v>
      </c>
      <c r="AP218" s="15">
        <v>1407624</v>
      </c>
      <c r="AQ218" s="18">
        <f t="shared" si="43"/>
        <v>0.85809775906065822</v>
      </c>
      <c r="AR218" s="23">
        <v>46004</v>
      </c>
      <c r="AS218" s="14" t="s">
        <v>79</v>
      </c>
    </row>
    <row r="219" spans="1:45" x14ac:dyDescent="0.25">
      <c r="A219" s="14" t="s">
        <v>793</v>
      </c>
      <c r="B219" s="14" t="s">
        <v>794</v>
      </c>
      <c r="C219" s="14"/>
      <c r="D219" s="15" t="s">
        <v>795</v>
      </c>
      <c r="E219" s="14">
        <v>60</v>
      </c>
      <c r="F219" s="14" t="s">
        <v>89</v>
      </c>
      <c r="G219" s="14" t="s">
        <v>90</v>
      </c>
      <c r="H219" s="14" t="s">
        <v>144</v>
      </c>
      <c r="I219" s="14" t="s">
        <v>92</v>
      </c>
      <c r="J219" s="15">
        <v>1141578</v>
      </c>
      <c r="K219" s="14">
        <v>3</v>
      </c>
      <c r="L219" s="14" t="s">
        <v>76</v>
      </c>
      <c r="M219" s="14" t="s">
        <v>76</v>
      </c>
      <c r="N219" s="14" t="s">
        <v>76</v>
      </c>
      <c r="O219" s="14" t="s">
        <v>75</v>
      </c>
      <c r="P219" s="14">
        <v>607</v>
      </c>
      <c r="Q219" s="15">
        <v>578178.66</v>
      </c>
      <c r="R219" s="15">
        <v>15215.23</v>
      </c>
      <c r="S219" s="14" t="s">
        <v>22</v>
      </c>
      <c r="T219" s="15">
        <v>435114</v>
      </c>
      <c r="U219" s="16">
        <f t="shared" si="33"/>
        <v>0.1599389266436459</v>
      </c>
      <c r="V219" s="14">
        <v>1</v>
      </c>
      <c r="W219" s="17">
        <v>85.4</v>
      </c>
      <c r="X219" s="14">
        <v>4.2</v>
      </c>
      <c r="Y219" s="18">
        <f t="shared" si="34"/>
        <v>36.9</v>
      </c>
      <c r="Z219" s="18" t="str">
        <f t="shared" si="35"/>
        <v>Medium</v>
      </c>
      <c r="AA219" s="19" t="str">
        <f t="shared" si="36"/>
        <v>Review</v>
      </c>
      <c r="AB219" s="14" t="s">
        <v>85</v>
      </c>
      <c r="AC219" s="14">
        <v>0</v>
      </c>
      <c r="AD219" s="14" t="s">
        <v>93</v>
      </c>
      <c r="AE219" s="17">
        <v>7.3</v>
      </c>
      <c r="AF219" s="15">
        <v>262472</v>
      </c>
      <c r="AG219" s="20">
        <f t="shared" si="37"/>
        <v>1404050</v>
      </c>
      <c r="AH219" s="14">
        <v>0</v>
      </c>
      <c r="AI219" s="14" t="s">
        <v>75</v>
      </c>
      <c r="AJ219" s="14">
        <v>48</v>
      </c>
      <c r="AK219" s="21">
        <f t="shared" si="38"/>
        <v>0.105</v>
      </c>
      <c r="AL219" s="20">
        <f t="shared" si="39"/>
        <v>11140.38897736997</v>
      </c>
      <c r="AM219" s="22">
        <f t="shared" si="40"/>
        <v>0.38115135365257563</v>
      </c>
      <c r="AN219" s="20">
        <f t="shared" si="41"/>
        <v>26355.61897736997</v>
      </c>
      <c r="AO219" s="16">
        <f t="shared" si="42"/>
        <v>0.27704408084987592</v>
      </c>
      <c r="AP219" s="15">
        <v>497262</v>
      </c>
      <c r="AQ219" s="18">
        <f t="shared" si="43"/>
        <v>0.87501960736995787</v>
      </c>
      <c r="AR219" s="23">
        <v>46181</v>
      </c>
      <c r="AS219" s="14" t="s">
        <v>94</v>
      </c>
    </row>
    <row r="220" spans="1:45" x14ac:dyDescent="0.25">
      <c r="A220" s="14" t="s">
        <v>796</v>
      </c>
      <c r="B220" s="14" t="s">
        <v>340</v>
      </c>
      <c r="C220" s="14">
        <v>9139732456</v>
      </c>
      <c r="D220" s="15" t="s">
        <v>797</v>
      </c>
      <c r="E220" s="14">
        <v>38</v>
      </c>
      <c r="F220" s="14" t="s">
        <v>71</v>
      </c>
      <c r="G220" s="14" t="s">
        <v>127</v>
      </c>
      <c r="H220" s="14" t="s">
        <v>84</v>
      </c>
      <c r="I220" s="14" t="s">
        <v>74</v>
      </c>
      <c r="J220" s="15">
        <v>1465060</v>
      </c>
      <c r="K220" s="14">
        <v>1</v>
      </c>
      <c r="L220" s="14" t="s">
        <v>75</v>
      </c>
      <c r="M220" s="14" t="s">
        <v>76</v>
      </c>
      <c r="N220" s="14" t="s">
        <v>75</v>
      </c>
      <c r="O220" s="14" t="s">
        <v>75</v>
      </c>
      <c r="P220" s="14">
        <v>797</v>
      </c>
      <c r="Q220" s="15">
        <v>687612</v>
      </c>
      <c r="R220" s="15">
        <v>45840.77</v>
      </c>
      <c r="S220" s="14" t="s">
        <v>20</v>
      </c>
      <c r="T220" s="15"/>
      <c r="U220" s="16">
        <f t="shared" si="33"/>
        <v>0.37547215813686813</v>
      </c>
      <c r="V220" s="14">
        <v>1</v>
      </c>
      <c r="W220" s="17">
        <v>87.4</v>
      </c>
      <c r="X220" s="14">
        <v>13.5</v>
      </c>
      <c r="Y220" s="18">
        <f t="shared" si="34"/>
        <v>30.9</v>
      </c>
      <c r="Z220" s="18" t="str">
        <f t="shared" si="35"/>
        <v>Medium</v>
      </c>
      <c r="AA220" s="19" t="str">
        <f t="shared" si="36"/>
        <v>Eligible</v>
      </c>
      <c r="AB220" s="14" t="s">
        <v>85</v>
      </c>
      <c r="AC220" s="14">
        <v>1</v>
      </c>
      <c r="AD220" s="14" t="s">
        <v>93</v>
      </c>
      <c r="AE220" s="17">
        <v>1.8</v>
      </c>
      <c r="AF220" s="15">
        <v>0</v>
      </c>
      <c r="AG220" s="20">
        <f t="shared" si="37"/>
        <v>1465060</v>
      </c>
      <c r="AH220" s="14">
        <v>1</v>
      </c>
      <c r="AI220" s="14" t="s">
        <v>75</v>
      </c>
      <c r="AJ220" s="14">
        <v>12</v>
      </c>
      <c r="AK220" s="21">
        <f t="shared" si="38"/>
        <v>0.375</v>
      </c>
      <c r="AL220" s="20">
        <f t="shared" si="39"/>
        <v>0</v>
      </c>
      <c r="AM220" s="22">
        <f t="shared" si="40"/>
        <v>0</v>
      </c>
      <c r="AN220" s="20">
        <f t="shared" si="41"/>
        <v>45840.77</v>
      </c>
      <c r="AO220" s="16">
        <f t="shared" si="42"/>
        <v>0.37547215813686813</v>
      </c>
      <c r="AP220" s="15">
        <v>0</v>
      </c>
      <c r="AQ220" s="18" t="str">
        <f t="shared" si="43"/>
        <v>N/A</v>
      </c>
      <c r="AR220" s="23">
        <v>46187</v>
      </c>
      <c r="AS220" s="14" t="s">
        <v>79</v>
      </c>
    </row>
    <row r="221" spans="1:45" x14ac:dyDescent="0.25">
      <c r="A221" s="14" t="s">
        <v>798</v>
      </c>
      <c r="B221" s="14" t="s">
        <v>799</v>
      </c>
      <c r="C221" s="14">
        <v>9660447662</v>
      </c>
      <c r="D221" s="15" t="s">
        <v>800</v>
      </c>
      <c r="E221" s="14">
        <v>54</v>
      </c>
      <c r="F221" s="14" t="s">
        <v>89</v>
      </c>
      <c r="G221" s="14" t="s">
        <v>115</v>
      </c>
      <c r="H221" s="14" t="s">
        <v>73</v>
      </c>
      <c r="I221" s="14" t="s">
        <v>74</v>
      </c>
      <c r="J221" s="15">
        <v>1298566</v>
      </c>
      <c r="K221" s="14">
        <v>0</v>
      </c>
      <c r="L221" s="14" t="s">
        <v>75</v>
      </c>
      <c r="M221" s="14" t="s">
        <v>75</v>
      </c>
      <c r="N221" s="14" t="s">
        <v>75</v>
      </c>
      <c r="O221" s="14" t="s">
        <v>75</v>
      </c>
      <c r="P221" s="14">
        <v>699</v>
      </c>
      <c r="Q221" s="15"/>
      <c r="R221" s="15">
        <v>1773.62</v>
      </c>
      <c r="S221" s="14" t="s">
        <v>21</v>
      </c>
      <c r="T221" s="15">
        <v>493410</v>
      </c>
      <c r="U221" s="16">
        <f t="shared" si="33"/>
        <v>1.6389956305647921E-2</v>
      </c>
      <c r="V221" s="14">
        <v>0</v>
      </c>
      <c r="W221" s="17">
        <v>15.1</v>
      </c>
      <c r="X221" s="14">
        <v>3.4</v>
      </c>
      <c r="Y221" s="18">
        <f t="shared" si="34"/>
        <v>15.4</v>
      </c>
      <c r="Z221" s="18" t="str">
        <f t="shared" si="35"/>
        <v>Low</v>
      </c>
      <c r="AA221" s="19" t="str">
        <f t="shared" si="36"/>
        <v>Eligible</v>
      </c>
      <c r="AB221" s="14" t="s">
        <v>85</v>
      </c>
      <c r="AC221" s="14">
        <v>1</v>
      </c>
      <c r="AD221" s="14" t="s">
        <v>93</v>
      </c>
      <c r="AE221" s="17">
        <v>2</v>
      </c>
      <c r="AF221" s="15">
        <v>0</v>
      </c>
      <c r="AG221" s="20">
        <f t="shared" si="37"/>
        <v>1298566</v>
      </c>
      <c r="AH221" s="14">
        <v>1</v>
      </c>
      <c r="AI221" s="14" t="s">
        <v>75</v>
      </c>
      <c r="AJ221" s="14">
        <v>60</v>
      </c>
      <c r="AK221" s="21">
        <f t="shared" si="38"/>
        <v>0.14000000000000001</v>
      </c>
      <c r="AL221" s="20">
        <f t="shared" si="39"/>
        <v>11480.787651596384</v>
      </c>
      <c r="AM221" s="22">
        <f t="shared" si="40"/>
        <v>0.37996528478336872</v>
      </c>
      <c r="AN221" s="20">
        <f t="shared" si="41"/>
        <v>13254.407651596382</v>
      </c>
      <c r="AO221" s="16">
        <f t="shared" si="42"/>
        <v>0.12248348703042941</v>
      </c>
      <c r="AP221" s="15">
        <v>0</v>
      </c>
      <c r="AQ221" s="18" t="str">
        <f t="shared" si="43"/>
        <v>N/A</v>
      </c>
      <c r="AR221" s="23">
        <v>46111</v>
      </c>
      <c r="AS221" s="14" t="s">
        <v>79</v>
      </c>
    </row>
    <row r="222" spans="1:45" x14ac:dyDescent="0.25">
      <c r="A222" s="14" t="s">
        <v>801</v>
      </c>
      <c r="B222" s="14" t="s">
        <v>802</v>
      </c>
      <c r="C222" s="14">
        <v>9942106991</v>
      </c>
      <c r="D222" s="15" t="s">
        <v>803</v>
      </c>
      <c r="E222" s="14">
        <v>44</v>
      </c>
      <c r="F222" s="14" t="s">
        <v>89</v>
      </c>
      <c r="G222" s="14" t="s">
        <v>106</v>
      </c>
      <c r="H222" s="14" t="s">
        <v>84</v>
      </c>
      <c r="I222" s="14" t="s">
        <v>74</v>
      </c>
      <c r="J222" s="15">
        <v>388391</v>
      </c>
      <c r="K222" s="14">
        <v>1</v>
      </c>
      <c r="L222" s="14" t="s">
        <v>75</v>
      </c>
      <c r="M222" s="14" t="s">
        <v>75</v>
      </c>
      <c r="N222" s="14" t="s">
        <v>76</v>
      </c>
      <c r="O222" s="14" t="s">
        <v>75</v>
      </c>
      <c r="P222" s="14">
        <v>355</v>
      </c>
      <c r="Q222" s="15">
        <v>160953</v>
      </c>
      <c r="R222" s="15">
        <v>2980.61</v>
      </c>
      <c r="S222" s="14" t="s">
        <v>21</v>
      </c>
      <c r="T222" s="15">
        <v>315271</v>
      </c>
      <c r="U222" s="16">
        <f t="shared" si="33"/>
        <v>9.2091011377709572E-2</v>
      </c>
      <c r="V222" s="14">
        <v>1</v>
      </c>
      <c r="W222" s="17">
        <v>34.4</v>
      </c>
      <c r="X222" s="14">
        <v>14.4</v>
      </c>
      <c r="Y222" s="18">
        <f t="shared" si="34"/>
        <v>46.5</v>
      </c>
      <c r="Z222" s="18" t="str">
        <f t="shared" si="35"/>
        <v>Medium</v>
      </c>
      <c r="AA222" s="19" t="str">
        <f t="shared" si="36"/>
        <v>Not Eligible</v>
      </c>
      <c r="AB222" s="14" t="s">
        <v>85</v>
      </c>
      <c r="AC222" s="14">
        <v>3</v>
      </c>
      <c r="AD222" s="14" t="s">
        <v>78</v>
      </c>
      <c r="AE222" s="17">
        <v>20</v>
      </c>
      <c r="AF222" s="15">
        <v>0</v>
      </c>
      <c r="AG222" s="20">
        <f t="shared" si="37"/>
        <v>388391</v>
      </c>
      <c r="AH222" s="14">
        <v>0</v>
      </c>
      <c r="AI222" s="14" t="s">
        <v>76</v>
      </c>
      <c r="AJ222" s="14">
        <v>48</v>
      </c>
      <c r="AK222" s="21">
        <f t="shared" si="38"/>
        <v>0.15500000000000003</v>
      </c>
      <c r="AL222" s="20">
        <f t="shared" si="39"/>
        <v>8854.3415487020302</v>
      </c>
      <c r="AM222" s="22">
        <f t="shared" si="40"/>
        <v>0.81173611128991141</v>
      </c>
      <c r="AN222" s="20">
        <f t="shared" si="41"/>
        <v>11834.951548702031</v>
      </c>
      <c r="AO222" s="16">
        <f t="shared" si="42"/>
        <v>0.36566094112485709</v>
      </c>
      <c r="AP222" s="15">
        <v>0</v>
      </c>
      <c r="AQ222" s="18" t="str">
        <f t="shared" si="43"/>
        <v>N/A</v>
      </c>
      <c r="AR222" s="23">
        <v>46025</v>
      </c>
      <c r="AS222" s="14" t="s">
        <v>79</v>
      </c>
    </row>
    <row r="223" spans="1:45" x14ac:dyDescent="0.25">
      <c r="A223" s="14" t="s">
        <v>804</v>
      </c>
      <c r="B223" s="14" t="s">
        <v>805</v>
      </c>
      <c r="C223" s="14">
        <v>9912466001</v>
      </c>
      <c r="D223" s="15" t="s">
        <v>806</v>
      </c>
      <c r="E223" s="14">
        <v>34</v>
      </c>
      <c r="F223" s="14" t="s">
        <v>71</v>
      </c>
      <c r="G223" s="14" t="s">
        <v>417</v>
      </c>
      <c r="H223" s="14" t="s">
        <v>103</v>
      </c>
      <c r="I223" s="14" t="s">
        <v>74</v>
      </c>
      <c r="J223" s="15">
        <v>2004098</v>
      </c>
      <c r="K223" s="14">
        <v>2</v>
      </c>
      <c r="L223" s="14" t="s">
        <v>75</v>
      </c>
      <c r="M223" s="14" t="s">
        <v>76</v>
      </c>
      <c r="N223" s="14" t="s">
        <v>76</v>
      </c>
      <c r="O223" s="14" t="s">
        <v>75</v>
      </c>
      <c r="P223" s="14">
        <v>803</v>
      </c>
      <c r="Q223" s="15">
        <v>566468</v>
      </c>
      <c r="R223" s="15">
        <v>14907.05</v>
      </c>
      <c r="S223" s="14" t="s">
        <v>22</v>
      </c>
      <c r="T223" s="15">
        <v>1185765</v>
      </c>
      <c r="U223" s="16">
        <f t="shared" si="33"/>
        <v>8.9259407474085589E-2</v>
      </c>
      <c r="V223" s="14">
        <v>4</v>
      </c>
      <c r="W223" s="17">
        <v>82.9</v>
      </c>
      <c r="X223" s="14">
        <v>12.4</v>
      </c>
      <c r="Y223" s="18">
        <f t="shared" si="34"/>
        <v>33.4</v>
      </c>
      <c r="Z223" s="18" t="str">
        <f t="shared" si="35"/>
        <v>Medium</v>
      </c>
      <c r="AA223" s="19" t="str">
        <f t="shared" si="36"/>
        <v>Review</v>
      </c>
      <c r="AB223" s="14" t="s">
        <v>77</v>
      </c>
      <c r="AC223" s="14">
        <v>2</v>
      </c>
      <c r="AD223" s="14" t="s">
        <v>78</v>
      </c>
      <c r="AE223" s="17">
        <v>7.9</v>
      </c>
      <c r="AF223" s="15">
        <v>0</v>
      </c>
      <c r="AG223" s="20">
        <f t="shared" si="37"/>
        <v>2004098</v>
      </c>
      <c r="AH223" s="14">
        <v>1</v>
      </c>
      <c r="AI223" s="14" t="s">
        <v>75</v>
      </c>
      <c r="AJ223" s="14">
        <v>24</v>
      </c>
      <c r="AK223" s="21">
        <f t="shared" si="38"/>
        <v>0.105</v>
      </c>
      <c r="AL223" s="20">
        <f t="shared" si="39"/>
        <v>54991.087014509518</v>
      </c>
      <c r="AM223" s="22">
        <f t="shared" si="40"/>
        <v>0.59167016782612425</v>
      </c>
      <c r="AN223" s="20">
        <f t="shared" si="41"/>
        <v>69898.137014509513</v>
      </c>
      <c r="AO223" s="16">
        <f t="shared" si="42"/>
        <v>0.41853125155262572</v>
      </c>
      <c r="AP223" s="15">
        <v>1425758</v>
      </c>
      <c r="AQ223" s="18">
        <f t="shared" si="43"/>
        <v>0.83167339758921222</v>
      </c>
      <c r="AR223" s="23">
        <v>46223</v>
      </c>
      <c r="AS223" s="14" t="s">
        <v>79</v>
      </c>
    </row>
    <row r="224" spans="1:45" x14ac:dyDescent="0.25">
      <c r="A224" s="14" t="s">
        <v>807</v>
      </c>
      <c r="B224" s="14" t="s">
        <v>808</v>
      </c>
      <c r="C224" s="14">
        <v>9949350526</v>
      </c>
      <c r="D224" s="15" t="s">
        <v>810</v>
      </c>
      <c r="E224" s="14">
        <v>21</v>
      </c>
      <c r="F224" s="14" t="s">
        <v>89</v>
      </c>
      <c r="G224" s="14" t="s">
        <v>388</v>
      </c>
      <c r="H224" s="14" t="s">
        <v>84</v>
      </c>
      <c r="I224" s="14" t="s">
        <v>74</v>
      </c>
      <c r="J224" s="15">
        <v>1615844</v>
      </c>
      <c r="K224" s="14">
        <v>2</v>
      </c>
      <c r="L224" s="14" t="s">
        <v>75</v>
      </c>
      <c r="M224" s="14" t="s">
        <v>76</v>
      </c>
      <c r="N224" s="14" t="s">
        <v>76</v>
      </c>
      <c r="O224" s="14" t="s">
        <v>75</v>
      </c>
      <c r="P224" s="14">
        <v>433</v>
      </c>
      <c r="Q224" s="15">
        <v>821134</v>
      </c>
      <c r="R224" s="15">
        <v>14929.7</v>
      </c>
      <c r="S224" s="14" t="s">
        <v>23</v>
      </c>
      <c r="T224" s="15">
        <v>4179314</v>
      </c>
      <c r="U224" s="16">
        <f t="shared" si="33"/>
        <v>0.11087481217246221</v>
      </c>
      <c r="V224" s="14">
        <v>1</v>
      </c>
      <c r="W224" s="17">
        <v>88</v>
      </c>
      <c r="X224" s="14">
        <v>2.2000000000000002</v>
      </c>
      <c r="Y224" s="18">
        <f t="shared" si="34"/>
        <v>47.3</v>
      </c>
      <c r="Z224" s="18" t="str">
        <f t="shared" si="35"/>
        <v>Medium</v>
      </c>
      <c r="AA224" s="19" t="str">
        <f t="shared" si="36"/>
        <v>Not Eligible</v>
      </c>
      <c r="AB224" s="14" t="s">
        <v>85</v>
      </c>
      <c r="AC224" s="14">
        <v>2</v>
      </c>
      <c r="AD224" s="14" t="s">
        <v>78</v>
      </c>
      <c r="AE224" s="17">
        <v>0.3</v>
      </c>
      <c r="AF224" s="15">
        <v>213299</v>
      </c>
      <c r="AG224" s="20">
        <f t="shared" si="37"/>
        <v>1829143</v>
      </c>
      <c r="AH224" s="14">
        <v>0</v>
      </c>
      <c r="AI224" s="14" t="s">
        <v>75</v>
      </c>
      <c r="AJ224" s="14">
        <v>300</v>
      </c>
      <c r="AK224" s="21">
        <f t="shared" si="38"/>
        <v>0.1</v>
      </c>
      <c r="AL224" s="20">
        <f t="shared" si="39"/>
        <v>37977.457476460128</v>
      </c>
      <c r="AM224" s="22">
        <f t="shared" si="40"/>
        <v>2.586458841323791</v>
      </c>
      <c r="AN224" s="20">
        <f t="shared" si="41"/>
        <v>52907.157476460125</v>
      </c>
      <c r="AO224" s="16">
        <f t="shared" si="42"/>
        <v>0.3929128614628154</v>
      </c>
      <c r="AP224" s="15">
        <v>5793320</v>
      </c>
      <c r="AQ224" s="18">
        <f t="shared" si="43"/>
        <v>0.72140223567833295</v>
      </c>
      <c r="AR224" s="23">
        <v>46187</v>
      </c>
      <c r="AS224" s="14" t="s">
        <v>79</v>
      </c>
    </row>
    <row r="225" spans="1:45" x14ac:dyDescent="0.25">
      <c r="A225" s="14" t="s">
        <v>811</v>
      </c>
      <c r="B225" s="14" t="s">
        <v>812</v>
      </c>
      <c r="C225" s="14">
        <v>9699717002</v>
      </c>
      <c r="D225" s="15" t="s">
        <v>813</v>
      </c>
      <c r="E225" s="14">
        <v>61</v>
      </c>
      <c r="F225" s="14" t="s">
        <v>71</v>
      </c>
      <c r="G225" s="14" t="s">
        <v>120</v>
      </c>
      <c r="H225" s="14" t="s">
        <v>107</v>
      </c>
      <c r="I225" s="14" t="s">
        <v>92</v>
      </c>
      <c r="J225" s="15">
        <v>1131588</v>
      </c>
      <c r="K225" s="14">
        <v>2</v>
      </c>
      <c r="L225" s="14" t="s">
        <v>76</v>
      </c>
      <c r="M225" s="14" t="s">
        <v>75</v>
      </c>
      <c r="N225" s="14" t="s">
        <v>76</v>
      </c>
      <c r="O225" s="14" t="s">
        <v>75</v>
      </c>
      <c r="P225" s="14">
        <v>566</v>
      </c>
      <c r="Q225" s="15"/>
      <c r="R225" s="15">
        <v>2895.27</v>
      </c>
      <c r="S225" s="14" t="s">
        <v>21</v>
      </c>
      <c r="T225" s="15">
        <v>644797</v>
      </c>
      <c r="U225" s="16">
        <f t="shared" si="33"/>
        <v>3.0703082747431044E-2</v>
      </c>
      <c r="V225" s="14">
        <v>0</v>
      </c>
      <c r="W225" s="17">
        <v>73.3</v>
      </c>
      <c r="X225" s="14">
        <v>6.6</v>
      </c>
      <c r="Y225" s="18">
        <f t="shared" si="34"/>
        <v>30.5</v>
      </c>
      <c r="Z225" s="18" t="str">
        <f t="shared" si="35"/>
        <v>Medium</v>
      </c>
      <c r="AA225" s="19" t="str">
        <f t="shared" si="36"/>
        <v>Review</v>
      </c>
      <c r="AB225" s="14" t="s">
        <v>77</v>
      </c>
      <c r="AC225" s="14">
        <v>1</v>
      </c>
      <c r="AD225" s="14" t="s">
        <v>93</v>
      </c>
      <c r="AE225" s="17">
        <v>3.8</v>
      </c>
      <c r="AF225" s="15">
        <v>0</v>
      </c>
      <c r="AG225" s="20">
        <f t="shared" si="37"/>
        <v>1131588</v>
      </c>
      <c r="AH225" s="14">
        <v>0</v>
      </c>
      <c r="AI225" s="14" t="s">
        <v>75</v>
      </c>
      <c r="AJ225" s="14">
        <v>36</v>
      </c>
      <c r="AK225" s="21">
        <f t="shared" si="38"/>
        <v>0.15500000000000003</v>
      </c>
      <c r="AL225" s="20">
        <f t="shared" si="39"/>
        <v>22510.30239081063</v>
      </c>
      <c r="AM225" s="22">
        <f t="shared" si="40"/>
        <v>0.5698160461227938</v>
      </c>
      <c r="AN225" s="20">
        <f t="shared" si="41"/>
        <v>25405.57239081063</v>
      </c>
      <c r="AO225" s="16">
        <f t="shared" si="42"/>
        <v>0.26941507747495341</v>
      </c>
      <c r="AP225" s="15">
        <v>0</v>
      </c>
      <c r="AQ225" s="18" t="str">
        <f t="shared" si="43"/>
        <v>N/A</v>
      </c>
      <c r="AR225" s="23">
        <v>46042</v>
      </c>
      <c r="AS225" s="14" t="s">
        <v>79</v>
      </c>
    </row>
    <row r="226" spans="1:45" x14ac:dyDescent="0.25">
      <c r="A226" s="14" t="s">
        <v>814</v>
      </c>
      <c r="B226" s="14" t="s">
        <v>815</v>
      </c>
      <c r="C226" s="14"/>
      <c r="D226" s="15" t="s">
        <v>816</v>
      </c>
      <c r="E226" s="14">
        <v>59</v>
      </c>
      <c r="F226" s="14" t="s">
        <v>71</v>
      </c>
      <c r="G226" s="14" t="s">
        <v>143</v>
      </c>
      <c r="H226" s="14" t="s">
        <v>91</v>
      </c>
      <c r="I226" s="14" t="s">
        <v>92</v>
      </c>
      <c r="J226" s="15">
        <v>2054607</v>
      </c>
      <c r="K226" s="14">
        <v>2</v>
      </c>
      <c r="L226" s="14" t="s">
        <v>76</v>
      </c>
      <c r="M226" s="14" t="s">
        <v>75</v>
      </c>
      <c r="N226" s="14" t="s">
        <v>76</v>
      </c>
      <c r="O226" s="14" t="s">
        <v>75</v>
      </c>
      <c r="P226" s="14">
        <v>541</v>
      </c>
      <c r="Q226" s="15">
        <v>761454</v>
      </c>
      <c r="R226" s="15">
        <v>28202</v>
      </c>
      <c r="S226" s="14" t="s">
        <v>22</v>
      </c>
      <c r="T226" s="15">
        <v>1260839</v>
      </c>
      <c r="U226" s="16">
        <f t="shared" si="33"/>
        <v>0.16471471186460476</v>
      </c>
      <c r="V226" s="14">
        <v>0</v>
      </c>
      <c r="W226" s="17">
        <v>49.5</v>
      </c>
      <c r="X226" s="14">
        <v>13.1</v>
      </c>
      <c r="Y226" s="18">
        <f t="shared" si="34"/>
        <v>33.799999999999997</v>
      </c>
      <c r="Z226" s="18" t="str">
        <f t="shared" si="35"/>
        <v>Medium</v>
      </c>
      <c r="AA226" s="19" t="str">
        <f t="shared" si="36"/>
        <v>Not Eligible</v>
      </c>
      <c r="AB226" s="14" t="s">
        <v>161</v>
      </c>
      <c r="AC226" s="14">
        <v>1</v>
      </c>
      <c r="AD226" s="14" t="s">
        <v>78</v>
      </c>
      <c r="AE226" s="17">
        <v>11.7</v>
      </c>
      <c r="AF226" s="15">
        <v>0</v>
      </c>
      <c r="AG226" s="20">
        <f t="shared" si="37"/>
        <v>2054607</v>
      </c>
      <c r="AH226" s="14">
        <v>1</v>
      </c>
      <c r="AI226" s="14" t="s">
        <v>75</v>
      </c>
      <c r="AJ226" s="14">
        <v>72</v>
      </c>
      <c r="AK226" s="21">
        <f t="shared" si="38"/>
        <v>0.105</v>
      </c>
      <c r="AL226" s="20">
        <f t="shared" si="39"/>
        <v>23677.257717121549</v>
      </c>
      <c r="AM226" s="22">
        <f t="shared" si="40"/>
        <v>0.61366431633884244</v>
      </c>
      <c r="AN226" s="20">
        <f t="shared" si="41"/>
        <v>51879.257717121553</v>
      </c>
      <c r="AO226" s="16">
        <f t="shared" si="42"/>
        <v>0.30300251707769837</v>
      </c>
      <c r="AP226" s="15">
        <v>1338696</v>
      </c>
      <c r="AQ226" s="18">
        <f t="shared" si="43"/>
        <v>0.94184116483503355</v>
      </c>
      <c r="AR226" s="23">
        <v>46065</v>
      </c>
      <c r="AS226" s="14" t="s">
        <v>94</v>
      </c>
    </row>
    <row r="227" spans="1:45" x14ac:dyDescent="0.25">
      <c r="A227" s="14" t="s">
        <v>817</v>
      </c>
      <c r="B227" s="14" t="s">
        <v>818</v>
      </c>
      <c r="C227" s="14">
        <v>9480428530</v>
      </c>
      <c r="D227" s="15" t="s">
        <v>819</v>
      </c>
      <c r="E227" s="14">
        <v>23</v>
      </c>
      <c r="F227" s="14" t="s">
        <v>71</v>
      </c>
      <c r="G227" s="14" t="s">
        <v>215</v>
      </c>
      <c r="H227" s="14" t="s">
        <v>144</v>
      </c>
      <c r="I227" s="14" t="s">
        <v>92</v>
      </c>
      <c r="J227" s="15">
        <v>1897768</v>
      </c>
      <c r="K227" s="14">
        <v>1</v>
      </c>
      <c r="L227" s="14" t="s">
        <v>76</v>
      </c>
      <c r="M227" s="14" t="s">
        <v>75</v>
      </c>
      <c r="N227" s="14" t="s">
        <v>75</v>
      </c>
      <c r="O227" s="14" t="s">
        <v>75</v>
      </c>
      <c r="P227" s="14">
        <v>872</v>
      </c>
      <c r="Q227" s="15">
        <v>46827</v>
      </c>
      <c r="R227" s="15">
        <v>2035.97</v>
      </c>
      <c r="S227" s="14" t="s">
        <v>22</v>
      </c>
      <c r="T227" s="15">
        <v>656235</v>
      </c>
      <c r="U227" s="16">
        <f t="shared" si="33"/>
        <v>1.2873881317421306E-2</v>
      </c>
      <c r="V227" s="14">
        <v>1</v>
      </c>
      <c r="W227" s="17">
        <v>93.4</v>
      </c>
      <c r="X227" s="14">
        <v>13.2</v>
      </c>
      <c r="Y227" s="18">
        <f t="shared" si="34"/>
        <v>15.6</v>
      </c>
      <c r="Z227" s="18" t="str">
        <f t="shared" si="35"/>
        <v>Low</v>
      </c>
      <c r="AA227" s="19" t="str">
        <f t="shared" si="36"/>
        <v>Eligible</v>
      </c>
      <c r="AB227" s="14" t="s">
        <v>85</v>
      </c>
      <c r="AC227" s="14">
        <v>1</v>
      </c>
      <c r="AD227" s="14" t="s">
        <v>93</v>
      </c>
      <c r="AE227" s="17">
        <v>0.5</v>
      </c>
      <c r="AF227" s="15">
        <v>183122</v>
      </c>
      <c r="AG227" s="20">
        <f t="shared" si="37"/>
        <v>2080890</v>
      </c>
      <c r="AH227" s="14">
        <v>0</v>
      </c>
      <c r="AI227" s="14" t="s">
        <v>75</v>
      </c>
      <c r="AJ227" s="14">
        <v>48</v>
      </c>
      <c r="AK227" s="21">
        <f t="shared" si="38"/>
        <v>0.09</v>
      </c>
      <c r="AL227" s="20">
        <f t="shared" si="39"/>
        <v>16330.435782258715</v>
      </c>
      <c r="AM227" s="22">
        <f t="shared" si="40"/>
        <v>0.3457930579501815</v>
      </c>
      <c r="AN227" s="20">
        <f t="shared" si="41"/>
        <v>18366.405782258716</v>
      </c>
      <c r="AO227" s="16">
        <f t="shared" si="42"/>
        <v>0.11613478011385195</v>
      </c>
      <c r="AP227" s="15">
        <v>787196</v>
      </c>
      <c r="AQ227" s="18">
        <f t="shared" si="43"/>
        <v>0.83363609571186847</v>
      </c>
      <c r="AR227" s="23">
        <v>46115</v>
      </c>
      <c r="AS227" s="14" t="s">
        <v>79</v>
      </c>
    </row>
    <row r="228" spans="1:45" x14ac:dyDescent="0.25">
      <c r="A228" s="14" t="s">
        <v>820</v>
      </c>
      <c r="B228" s="14" t="s">
        <v>821</v>
      </c>
      <c r="C228" s="14"/>
      <c r="D228" s="15" t="s">
        <v>822</v>
      </c>
      <c r="E228" s="14">
        <v>54</v>
      </c>
      <c r="F228" s="14" t="s">
        <v>89</v>
      </c>
      <c r="G228" s="14" t="s">
        <v>174</v>
      </c>
      <c r="H228" s="14" t="s">
        <v>132</v>
      </c>
      <c r="I228" s="14" t="s">
        <v>92</v>
      </c>
      <c r="J228" s="15">
        <v>1623482</v>
      </c>
      <c r="K228" s="14">
        <v>0</v>
      </c>
      <c r="L228" s="14" t="s">
        <v>75</v>
      </c>
      <c r="M228" s="14" t="s">
        <v>75</v>
      </c>
      <c r="N228" s="14" t="s">
        <v>75</v>
      </c>
      <c r="O228" s="14" t="s">
        <v>75</v>
      </c>
      <c r="P228" s="14">
        <v>750</v>
      </c>
      <c r="Q228" s="15">
        <v>8640.5300000000007</v>
      </c>
      <c r="R228" s="15">
        <v>411.45</v>
      </c>
      <c r="S228" s="14" t="s">
        <v>20</v>
      </c>
      <c r="T228" s="15">
        <v>140513</v>
      </c>
      <c r="U228" s="16">
        <f t="shared" si="33"/>
        <v>3.0412409869650537E-3</v>
      </c>
      <c r="V228" s="14">
        <v>0</v>
      </c>
      <c r="W228" s="17">
        <v>49.7</v>
      </c>
      <c r="X228" s="14">
        <v>2.6</v>
      </c>
      <c r="Y228" s="18">
        <f t="shared" si="34"/>
        <v>15.1</v>
      </c>
      <c r="Z228" s="18" t="str">
        <f t="shared" si="35"/>
        <v>Low</v>
      </c>
      <c r="AA228" s="19" t="str">
        <f t="shared" si="36"/>
        <v>Eligible</v>
      </c>
      <c r="AB228" s="14" t="s">
        <v>85</v>
      </c>
      <c r="AC228" s="14">
        <v>0</v>
      </c>
      <c r="AD228" s="14" t="s">
        <v>93</v>
      </c>
      <c r="AE228" s="17">
        <v>15</v>
      </c>
      <c r="AF228" s="15">
        <v>0</v>
      </c>
      <c r="AG228" s="20">
        <f t="shared" si="37"/>
        <v>1623482</v>
      </c>
      <c r="AH228" s="14">
        <v>3</v>
      </c>
      <c r="AI228" s="14" t="s">
        <v>75</v>
      </c>
      <c r="AJ228" s="14">
        <v>36</v>
      </c>
      <c r="AK228" s="21">
        <f t="shared" si="38"/>
        <v>0.36</v>
      </c>
      <c r="AL228" s="20">
        <f t="shared" si="39"/>
        <v>6436.0285321984611</v>
      </c>
      <c r="AM228" s="22">
        <f t="shared" si="40"/>
        <v>8.655038984109463E-2</v>
      </c>
      <c r="AN228" s="20">
        <f t="shared" si="41"/>
        <v>6847.4785321984609</v>
      </c>
      <c r="AO228" s="16">
        <f t="shared" si="42"/>
        <v>5.0613275901045737E-2</v>
      </c>
      <c r="AP228" s="15">
        <v>0</v>
      </c>
      <c r="AQ228" s="18" t="str">
        <f t="shared" si="43"/>
        <v>N/A</v>
      </c>
      <c r="AR228" s="23">
        <v>46147</v>
      </c>
      <c r="AS228" s="14" t="s">
        <v>79</v>
      </c>
    </row>
    <row r="229" spans="1:45" x14ac:dyDescent="0.25">
      <c r="A229" s="14" t="s">
        <v>823</v>
      </c>
      <c r="B229" s="14" t="s">
        <v>824</v>
      </c>
      <c r="C229" s="14">
        <v>9258971462</v>
      </c>
      <c r="D229" s="15" t="s">
        <v>825</v>
      </c>
      <c r="E229" s="14">
        <v>26</v>
      </c>
      <c r="F229" s="14" t="s">
        <v>71</v>
      </c>
      <c r="G229" s="14" t="s">
        <v>143</v>
      </c>
      <c r="H229" s="14" t="s">
        <v>132</v>
      </c>
      <c r="I229" s="14" t="s">
        <v>92</v>
      </c>
      <c r="J229" s="15">
        <v>1005880</v>
      </c>
      <c r="K229" s="14">
        <v>0</v>
      </c>
      <c r="L229" s="14" t="s">
        <v>75</v>
      </c>
      <c r="M229" s="14" t="s">
        <v>75</v>
      </c>
      <c r="N229" s="14" t="s">
        <v>75</v>
      </c>
      <c r="O229" s="14" t="s">
        <v>75</v>
      </c>
      <c r="P229" s="14">
        <v>517</v>
      </c>
      <c r="Q229" s="15">
        <v>58698</v>
      </c>
      <c r="R229" s="15">
        <v>4891.49</v>
      </c>
      <c r="S229" s="14" t="s">
        <v>21</v>
      </c>
      <c r="T229" s="15">
        <v>486646</v>
      </c>
      <c r="U229" s="16">
        <f t="shared" si="33"/>
        <v>5.8354754046208296E-2</v>
      </c>
      <c r="V229" s="14">
        <v>5</v>
      </c>
      <c r="W229" s="17">
        <v>28.4</v>
      </c>
      <c r="X229" s="14">
        <v>7.6</v>
      </c>
      <c r="Y229" s="18">
        <f t="shared" si="34"/>
        <v>50.1</v>
      </c>
      <c r="Z229" s="18" t="str">
        <f t="shared" si="35"/>
        <v>Medium</v>
      </c>
      <c r="AA229" s="19" t="str">
        <f t="shared" si="36"/>
        <v>Not Eligible</v>
      </c>
      <c r="AB229" s="14" t="s">
        <v>85</v>
      </c>
      <c r="AC229" s="14">
        <v>1</v>
      </c>
      <c r="AD229" s="14" t="s">
        <v>78</v>
      </c>
      <c r="AE229" s="17">
        <v>4.9000000000000004</v>
      </c>
      <c r="AF229" s="15">
        <v>430169</v>
      </c>
      <c r="AG229" s="20">
        <f t="shared" si="37"/>
        <v>1436049</v>
      </c>
      <c r="AH229" s="14">
        <v>2</v>
      </c>
      <c r="AI229" s="14" t="s">
        <v>75</v>
      </c>
      <c r="AJ229" s="14">
        <v>36</v>
      </c>
      <c r="AK229" s="21">
        <f t="shared" si="38"/>
        <v>0.15500000000000003</v>
      </c>
      <c r="AL229" s="20">
        <f t="shared" si="39"/>
        <v>16989.143276532661</v>
      </c>
      <c r="AM229" s="22">
        <f t="shared" si="40"/>
        <v>0.48380124865789159</v>
      </c>
      <c r="AN229" s="20">
        <f t="shared" si="41"/>
        <v>21880.633276532659</v>
      </c>
      <c r="AO229" s="16">
        <f t="shared" si="42"/>
        <v>0.26103272688431212</v>
      </c>
      <c r="AP229" s="15">
        <v>0</v>
      </c>
      <c r="AQ229" s="18" t="str">
        <f t="shared" si="43"/>
        <v>N/A</v>
      </c>
      <c r="AR229" s="23">
        <v>45973</v>
      </c>
      <c r="AS229" s="14" t="s">
        <v>79</v>
      </c>
    </row>
    <row r="230" spans="1:45" x14ac:dyDescent="0.25">
      <c r="A230" s="14" t="s">
        <v>826</v>
      </c>
      <c r="B230" s="14" t="s">
        <v>827</v>
      </c>
      <c r="C230" s="14">
        <v>9859894230</v>
      </c>
      <c r="D230" s="15" t="s">
        <v>829</v>
      </c>
      <c r="E230" s="14">
        <v>50</v>
      </c>
      <c r="F230" s="14" t="s">
        <v>89</v>
      </c>
      <c r="G230" s="14" t="s">
        <v>127</v>
      </c>
      <c r="H230" s="14" t="s">
        <v>103</v>
      </c>
      <c r="I230" s="14" t="s">
        <v>74</v>
      </c>
      <c r="J230" s="15">
        <v>483907</v>
      </c>
      <c r="K230" s="14">
        <v>0</v>
      </c>
      <c r="L230" s="14" t="s">
        <v>75</v>
      </c>
      <c r="M230" s="14" t="s">
        <v>75</v>
      </c>
      <c r="N230" s="14" t="s">
        <v>75</v>
      </c>
      <c r="O230" s="14" t="s">
        <v>75</v>
      </c>
      <c r="P230" s="14">
        <v>882</v>
      </c>
      <c r="Q230" s="15">
        <v>6257.89</v>
      </c>
      <c r="R230" s="15">
        <v>417.19</v>
      </c>
      <c r="S230" s="14" t="s">
        <v>22</v>
      </c>
      <c r="T230" s="15">
        <v>977738</v>
      </c>
      <c r="U230" s="16">
        <f t="shared" si="33"/>
        <v>1.0345541602002037E-2</v>
      </c>
      <c r="V230" s="14">
        <v>3</v>
      </c>
      <c r="W230" s="17">
        <v>75.7</v>
      </c>
      <c r="X230" s="14">
        <v>8.3000000000000007</v>
      </c>
      <c r="Y230" s="18">
        <f t="shared" si="34"/>
        <v>21.1</v>
      </c>
      <c r="Z230" s="18" t="str">
        <f t="shared" si="35"/>
        <v>Low</v>
      </c>
      <c r="AA230" s="19" t="str">
        <f t="shared" si="36"/>
        <v>Review</v>
      </c>
      <c r="AB230" s="14" t="s">
        <v>77</v>
      </c>
      <c r="AC230" s="14">
        <v>0</v>
      </c>
      <c r="AD230" s="14" t="s">
        <v>78</v>
      </c>
      <c r="AE230" s="17">
        <v>7.2</v>
      </c>
      <c r="AF230" s="15">
        <v>0</v>
      </c>
      <c r="AG230" s="20">
        <f t="shared" si="37"/>
        <v>483907</v>
      </c>
      <c r="AH230" s="14">
        <v>0</v>
      </c>
      <c r="AI230" s="14" t="s">
        <v>75</v>
      </c>
      <c r="AJ230" s="14">
        <v>36</v>
      </c>
      <c r="AK230" s="21">
        <f t="shared" si="38"/>
        <v>0.09</v>
      </c>
      <c r="AL230" s="20">
        <f t="shared" si="39"/>
        <v>31091.807011465087</v>
      </c>
      <c r="AM230" s="22">
        <f t="shared" si="40"/>
        <v>2.0205080728321763</v>
      </c>
      <c r="AN230" s="20">
        <f t="shared" si="41"/>
        <v>31508.997011465086</v>
      </c>
      <c r="AO230" s="16">
        <f t="shared" si="42"/>
        <v>0.78136494024178416</v>
      </c>
      <c r="AP230" s="15">
        <v>1058488</v>
      </c>
      <c r="AQ230" s="18">
        <f t="shared" si="43"/>
        <v>0.92371193627136061</v>
      </c>
      <c r="AR230" s="23">
        <v>46101</v>
      </c>
      <c r="AS230" s="14" t="s">
        <v>79</v>
      </c>
    </row>
    <row r="231" spans="1:45" x14ac:dyDescent="0.25">
      <c r="A231" s="14" t="s">
        <v>830</v>
      </c>
      <c r="B231" s="14" t="s">
        <v>831</v>
      </c>
      <c r="C231" s="14"/>
      <c r="D231" s="15" t="s">
        <v>832</v>
      </c>
      <c r="E231" s="14">
        <v>52</v>
      </c>
      <c r="F231" s="14" t="s">
        <v>89</v>
      </c>
      <c r="G231" s="14" t="s">
        <v>143</v>
      </c>
      <c r="H231" s="14" t="s">
        <v>132</v>
      </c>
      <c r="I231" s="14" t="s">
        <v>92</v>
      </c>
      <c r="J231" s="15">
        <v>1805940</v>
      </c>
      <c r="K231" s="14">
        <v>0</v>
      </c>
      <c r="L231" s="14" t="s">
        <v>75</v>
      </c>
      <c r="M231" s="14" t="s">
        <v>75</v>
      </c>
      <c r="N231" s="14" t="s">
        <v>75</v>
      </c>
      <c r="O231" s="14" t="s">
        <v>75</v>
      </c>
      <c r="P231" s="14">
        <v>697</v>
      </c>
      <c r="Q231" s="15">
        <v>86042.15</v>
      </c>
      <c r="R231" s="15">
        <v>1792.54</v>
      </c>
      <c r="S231" s="14" t="s">
        <v>23</v>
      </c>
      <c r="T231" s="15">
        <v>2256839</v>
      </c>
      <c r="U231" s="16">
        <f t="shared" si="33"/>
        <v>1.1910960497026479E-2</v>
      </c>
      <c r="V231" s="14">
        <v>2</v>
      </c>
      <c r="W231" s="17">
        <v>82</v>
      </c>
      <c r="X231" s="14">
        <v>9.3000000000000007</v>
      </c>
      <c r="Y231" s="18">
        <f t="shared" si="34"/>
        <v>30.1</v>
      </c>
      <c r="Z231" s="18" t="str">
        <f t="shared" si="35"/>
        <v>Medium</v>
      </c>
      <c r="AA231" s="19" t="str">
        <f t="shared" si="36"/>
        <v>Eligible</v>
      </c>
      <c r="AB231" s="14" t="s">
        <v>85</v>
      </c>
      <c r="AC231" s="14">
        <v>1</v>
      </c>
      <c r="AD231" s="14" t="s">
        <v>78</v>
      </c>
      <c r="AE231" s="17">
        <v>10.4</v>
      </c>
      <c r="AF231" s="15">
        <v>0</v>
      </c>
      <c r="AG231" s="20">
        <f t="shared" si="37"/>
        <v>1805940</v>
      </c>
      <c r="AH231" s="14">
        <v>0</v>
      </c>
      <c r="AI231" s="14" t="s">
        <v>75</v>
      </c>
      <c r="AJ231" s="14">
        <v>180</v>
      </c>
      <c r="AK231" s="21">
        <f t="shared" si="38"/>
        <v>0.1</v>
      </c>
      <c r="AL231" s="20">
        <f t="shared" si="39"/>
        <v>24252.107392432674</v>
      </c>
      <c r="AM231" s="22">
        <f t="shared" si="40"/>
        <v>1.2496755152441388</v>
      </c>
      <c r="AN231" s="20">
        <f t="shared" si="41"/>
        <v>26044.647392432675</v>
      </c>
      <c r="AO231" s="16">
        <f t="shared" si="42"/>
        <v>0.17305988499573191</v>
      </c>
      <c r="AP231" s="15">
        <v>3120457</v>
      </c>
      <c r="AQ231" s="18">
        <f t="shared" si="43"/>
        <v>0.72323989723300142</v>
      </c>
      <c r="AR231" s="23">
        <v>46164</v>
      </c>
      <c r="AS231" s="14" t="s">
        <v>79</v>
      </c>
    </row>
    <row r="232" spans="1:45" x14ac:dyDescent="0.25">
      <c r="A232" s="14" t="s">
        <v>833</v>
      </c>
      <c r="B232" s="14" t="s">
        <v>834</v>
      </c>
      <c r="C232" s="14"/>
      <c r="D232" s="15" t="s">
        <v>835</v>
      </c>
      <c r="E232" s="14">
        <v>26</v>
      </c>
      <c r="F232" s="14" t="s">
        <v>89</v>
      </c>
      <c r="G232" s="14" t="s">
        <v>143</v>
      </c>
      <c r="H232" s="14" t="s">
        <v>132</v>
      </c>
      <c r="I232" s="14" t="s">
        <v>92</v>
      </c>
      <c r="J232" s="15">
        <v>835989</v>
      </c>
      <c r="K232" s="14">
        <v>1</v>
      </c>
      <c r="L232" s="14" t="s">
        <v>75</v>
      </c>
      <c r="M232" s="14" t="s">
        <v>75</v>
      </c>
      <c r="N232" s="14" t="s">
        <v>76</v>
      </c>
      <c r="O232" s="14" t="s">
        <v>75</v>
      </c>
      <c r="P232" s="14">
        <v>882</v>
      </c>
      <c r="Q232" s="15">
        <v>23940.19</v>
      </c>
      <c r="R232" s="15">
        <v>1496.26</v>
      </c>
      <c r="S232" s="14" t="s">
        <v>20</v>
      </c>
      <c r="T232" s="15">
        <v>289177</v>
      </c>
      <c r="U232" s="16">
        <f t="shared" si="33"/>
        <v>2.1477698869243493E-2</v>
      </c>
      <c r="V232" s="14">
        <v>0</v>
      </c>
      <c r="W232" s="17">
        <v>45.4</v>
      </c>
      <c r="X232" s="14">
        <v>1.6</v>
      </c>
      <c r="Y232" s="18">
        <f t="shared" si="34"/>
        <v>6.4</v>
      </c>
      <c r="Z232" s="18" t="str">
        <f t="shared" si="35"/>
        <v>Low</v>
      </c>
      <c r="AA232" s="19" t="str">
        <f t="shared" si="36"/>
        <v>Eligible</v>
      </c>
      <c r="AB232" s="14" t="s">
        <v>77</v>
      </c>
      <c r="AC232" s="14">
        <v>2</v>
      </c>
      <c r="AD232" s="14" t="s">
        <v>78</v>
      </c>
      <c r="AE232" s="17">
        <v>1.5</v>
      </c>
      <c r="AF232" s="15">
        <v>527583</v>
      </c>
      <c r="AG232" s="20">
        <f t="shared" si="37"/>
        <v>1363572</v>
      </c>
      <c r="AH232" s="14">
        <v>0</v>
      </c>
      <c r="AI232" s="14" t="s">
        <v>75</v>
      </c>
      <c r="AJ232" s="14">
        <v>18</v>
      </c>
      <c r="AK232" s="21">
        <f t="shared" si="38"/>
        <v>0.36</v>
      </c>
      <c r="AL232" s="20">
        <f t="shared" si="39"/>
        <v>21025.682553203471</v>
      </c>
      <c r="AM232" s="22">
        <f t="shared" si="40"/>
        <v>0.34591005384042134</v>
      </c>
      <c r="AN232" s="20">
        <f t="shared" si="41"/>
        <v>22521.942553203469</v>
      </c>
      <c r="AO232" s="16">
        <f t="shared" si="42"/>
        <v>0.3232857258151024</v>
      </c>
      <c r="AP232" s="15">
        <v>0</v>
      </c>
      <c r="AQ232" s="18" t="str">
        <f t="shared" si="43"/>
        <v>N/A</v>
      </c>
      <c r="AR232" s="23">
        <v>45988</v>
      </c>
      <c r="AS232" s="14" t="s">
        <v>79</v>
      </c>
    </row>
    <row r="233" spans="1:45" x14ac:dyDescent="0.25">
      <c r="A233" s="14" t="s">
        <v>836</v>
      </c>
      <c r="B233" s="14" t="s">
        <v>837</v>
      </c>
      <c r="C233" s="14">
        <v>9546946709</v>
      </c>
      <c r="D233" s="15" t="s">
        <v>838</v>
      </c>
      <c r="E233" s="14">
        <v>41</v>
      </c>
      <c r="F233" s="14" t="s">
        <v>89</v>
      </c>
      <c r="G233" s="14" t="s">
        <v>417</v>
      </c>
      <c r="H233" s="14" t="s">
        <v>84</v>
      </c>
      <c r="I233" s="14" t="s">
        <v>74</v>
      </c>
      <c r="J233" s="15">
        <v>1731660</v>
      </c>
      <c r="K233" s="14">
        <v>1</v>
      </c>
      <c r="L233" s="14" t="s">
        <v>75</v>
      </c>
      <c r="M233" s="14" t="s">
        <v>75</v>
      </c>
      <c r="N233" s="14" t="s">
        <v>76</v>
      </c>
      <c r="O233" s="14" t="s">
        <v>75</v>
      </c>
      <c r="P233" s="14">
        <v>565</v>
      </c>
      <c r="Q233" s="15"/>
      <c r="R233" s="15">
        <v>50311.41</v>
      </c>
      <c r="S233" s="14" t="s">
        <v>23</v>
      </c>
      <c r="T233" s="15"/>
      <c r="U233" s="16">
        <f t="shared" si="33"/>
        <v>0.3486463393506809</v>
      </c>
      <c r="V233" s="14">
        <v>0</v>
      </c>
      <c r="W233" s="17">
        <v>42.5</v>
      </c>
      <c r="X233" s="14">
        <v>0.4</v>
      </c>
      <c r="Y233" s="18">
        <f t="shared" si="34"/>
        <v>37</v>
      </c>
      <c r="Z233" s="18" t="str">
        <f t="shared" si="35"/>
        <v>Medium</v>
      </c>
      <c r="AA233" s="19" t="str">
        <f t="shared" si="36"/>
        <v>Review</v>
      </c>
      <c r="AB233" s="14" t="s">
        <v>77</v>
      </c>
      <c r="AC233" s="14">
        <v>1</v>
      </c>
      <c r="AD233" s="14" t="s">
        <v>78</v>
      </c>
      <c r="AE233" s="17">
        <v>13.3</v>
      </c>
      <c r="AF233" s="15">
        <v>0</v>
      </c>
      <c r="AG233" s="20">
        <f t="shared" si="37"/>
        <v>1731660</v>
      </c>
      <c r="AH233" s="14">
        <v>1</v>
      </c>
      <c r="AI233" s="14" t="s">
        <v>75</v>
      </c>
      <c r="AJ233" s="14">
        <v>360</v>
      </c>
      <c r="AK233" s="21">
        <f t="shared" si="38"/>
        <v>0.1</v>
      </c>
      <c r="AL233" s="20">
        <f t="shared" si="39"/>
        <v>0</v>
      </c>
      <c r="AM233" s="22">
        <f t="shared" si="40"/>
        <v>0</v>
      </c>
      <c r="AN233" s="20">
        <f t="shared" si="41"/>
        <v>50311.41</v>
      </c>
      <c r="AO233" s="16">
        <f t="shared" si="42"/>
        <v>0.3486463393506809</v>
      </c>
      <c r="AP233" s="15">
        <v>7419601</v>
      </c>
      <c r="AQ233" s="18">
        <f t="shared" si="43"/>
        <v>0</v>
      </c>
      <c r="AR233" s="23">
        <v>46239</v>
      </c>
      <c r="AS233" s="14" t="s">
        <v>94</v>
      </c>
    </row>
    <row r="234" spans="1:45" x14ac:dyDescent="0.25">
      <c r="A234" s="14" t="s">
        <v>839</v>
      </c>
      <c r="B234" s="14" t="s">
        <v>840</v>
      </c>
      <c r="C234" s="14">
        <v>9963976413</v>
      </c>
      <c r="D234" s="15" t="s">
        <v>841</v>
      </c>
      <c r="E234" s="14">
        <v>29</v>
      </c>
      <c r="F234" s="14" t="s">
        <v>71</v>
      </c>
      <c r="G234" s="14" t="s">
        <v>127</v>
      </c>
      <c r="H234" s="14" t="s">
        <v>91</v>
      </c>
      <c r="I234" s="14" t="s">
        <v>92</v>
      </c>
      <c r="J234" s="15">
        <v>769395</v>
      </c>
      <c r="K234" s="14">
        <v>2</v>
      </c>
      <c r="L234" s="14" t="s">
        <v>75</v>
      </c>
      <c r="M234" s="14" t="s">
        <v>75</v>
      </c>
      <c r="N234" s="14" t="s">
        <v>76</v>
      </c>
      <c r="O234" s="14" t="s">
        <v>76</v>
      </c>
      <c r="P234" s="14">
        <v>792</v>
      </c>
      <c r="Q234" s="15">
        <v>299428</v>
      </c>
      <c r="R234" s="15">
        <v>5649.59</v>
      </c>
      <c r="S234" s="14" t="s">
        <v>21</v>
      </c>
      <c r="T234" s="15">
        <v>506957</v>
      </c>
      <c r="U234" s="16">
        <f t="shared" si="33"/>
        <v>8.8114791492016453E-2</v>
      </c>
      <c r="V234" s="14">
        <v>3</v>
      </c>
      <c r="W234" s="17">
        <v>86.5</v>
      </c>
      <c r="X234" s="14">
        <v>8.1999999999999993</v>
      </c>
      <c r="Y234" s="18">
        <f t="shared" si="34"/>
        <v>30.5</v>
      </c>
      <c r="Z234" s="18" t="str">
        <f t="shared" si="35"/>
        <v>Medium</v>
      </c>
      <c r="AA234" s="19" t="str">
        <f t="shared" si="36"/>
        <v>Review</v>
      </c>
      <c r="AB234" s="14" t="s">
        <v>85</v>
      </c>
      <c r="AC234" s="14">
        <v>2</v>
      </c>
      <c r="AD234" s="14" t="s">
        <v>78</v>
      </c>
      <c r="AE234" s="17">
        <v>3.5</v>
      </c>
      <c r="AF234" s="15">
        <v>826812</v>
      </c>
      <c r="AG234" s="20">
        <f t="shared" si="37"/>
        <v>1596207</v>
      </c>
      <c r="AH234" s="14">
        <v>1</v>
      </c>
      <c r="AI234" s="14" t="s">
        <v>75</v>
      </c>
      <c r="AJ234" s="14">
        <v>48</v>
      </c>
      <c r="AK234" s="21">
        <f t="shared" si="38"/>
        <v>0.15500000000000003</v>
      </c>
      <c r="AL234" s="20">
        <f t="shared" si="39"/>
        <v>14237.815810859021</v>
      </c>
      <c r="AM234" s="22">
        <f t="shared" si="40"/>
        <v>0.65890342411895064</v>
      </c>
      <c r="AN234" s="20">
        <f t="shared" si="41"/>
        <v>19887.405810859022</v>
      </c>
      <c r="AO234" s="16">
        <f t="shared" si="42"/>
        <v>0.31017730779418667</v>
      </c>
      <c r="AP234" s="15">
        <v>0</v>
      </c>
      <c r="AQ234" s="18" t="str">
        <f t="shared" si="43"/>
        <v>N/A</v>
      </c>
      <c r="AR234" s="23">
        <v>46136</v>
      </c>
      <c r="AS234" s="14" t="s">
        <v>79</v>
      </c>
    </row>
    <row r="235" spans="1:45" x14ac:dyDescent="0.25">
      <c r="A235" s="14" t="s">
        <v>842</v>
      </c>
      <c r="B235" s="14" t="s">
        <v>843</v>
      </c>
      <c r="C235" s="14">
        <v>9360521605</v>
      </c>
      <c r="D235" s="15" t="s">
        <v>844</v>
      </c>
      <c r="E235" s="14">
        <v>57</v>
      </c>
      <c r="F235" s="14" t="s">
        <v>89</v>
      </c>
      <c r="G235" s="14" t="s">
        <v>90</v>
      </c>
      <c r="H235" s="14" t="s">
        <v>103</v>
      </c>
      <c r="I235" s="14" t="s">
        <v>74</v>
      </c>
      <c r="J235" s="15">
        <v>333027</v>
      </c>
      <c r="K235" s="14">
        <v>1</v>
      </c>
      <c r="L235" s="14" t="s">
        <v>76</v>
      </c>
      <c r="M235" s="14" t="s">
        <v>75</v>
      </c>
      <c r="N235" s="14" t="s">
        <v>75</v>
      </c>
      <c r="O235" s="14" t="s">
        <v>75</v>
      </c>
      <c r="P235" s="14">
        <v>807</v>
      </c>
      <c r="Q235" s="15">
        <v>147280</v>
      </c>
      <c r="R235" s="15">
        <v>2945.6</v>
      </c>
      <c r="S235" s="14" t="s">
        <v>22</v>
      </c>
      <c r="T235" s="15">
        <v>377630</v>
      </c>
      <c r="U235" s="16">
        <f t="shared" si="33"/>
        <v>0.10613914187137979</v>
      </c>
      <c r="V235" s="14">
        <v>1</v>
      </c>
      <c r="W235" s="17">
        <v>51.2</v>
      </c>
      <c r="X235" s="14">
        <v>8.9</v>
      </c>
      <c r="Y235" s="18">
        <f t="shared" si="34"/>
        <v>18.5</v>
      </c>
      <c r="Z235" s="18" t="str">
        <f t="shared" si="35"/>
        <v>Low</v>
      </c>
      <c r="AA235" s="19" t="str">
        <f t="shared" si="36"/>
        <v>Eligible</v>
      </c>
      <c r="AB235" s="14" t="s">
        <v>77</v>
      </c>
      <c r="AC235" s="14">
        <v>2</v>
      </c>
      <c r="AD235" s="14" t="s">
        <v>93</v>
      </c>
      <c r="AE235" s="17">
        <v>14.8</v>
      </c>
      <c r="AF235" s="15">
        <v>0</v>
      </c>
      <c r="AG235" s="20">
        <f t="shared" si="37"/>
        <v>333027</v>
      </c>
      <c r="AH235" s="14">
        <v>0</v>
      </c>
      <c r="AI235" s="14" t="s">
        <v>75</v>
      </c>
      <c r="AJ235" s="14">
        <v>48</v>
      </c>
      <c r="AK235" s="21">
        <f t="shared" si="38"/>
        <v>0.09</v>
      </c>
      <c r="AL235" s="20">
        <f t="shared" si="39"/>
        <v>9397.3385516687758</v>
      </c>
      <c r="AM235" s="22">
        <f t="shared" si="40"/>
        <v>1.1339320835848143</v>
      </c>
      <c r="AN235" s="20">
        <f t="shared" si="41"/>
        <v>12342.938551668776</v>
      </c>
      <c r="AO235" s="16">
        <f t="shared" si="42"/>
        <v>0.44475451726143922</v>
      </c>
      <c r="AP235" s="15">
        <v>438297</v>
      </c>
      <c r="AQ235" s="18">
        <f t="shared" si="43"/>
        <v>0.8615847245132866</v>
      </c>
      <c r="AR235" s="23">
        <v>46032</v>
      </c>
      <c r="AS235" s="14" t="s">
        <v>79</v>
      </c>
    </row>
    <row r="236" spans="1:45" x14ac:dyDescent="0.25">
      <c r="A236" s="14" t="s">
        <v>845</v>
      </c>
      <c r="B236" s="14" t="s">
        <v>846</v>
      </c>
      <c r="C236" s="14">
        <v>9608242781</v>
      </c>
      <c r="D236" s="15" t="s">
        <v>847</v>
      </c>
      <c r="E236" s="14">
        <v>60</v>
      </c>
      <c r="F236" s="14" t="s">
        <v>89</v>
      </c>
      <c r="G236" s="14" t="s">
        <v>417</v>
      </c>
      <c r="H236" s="14" t="s">
        <v>99</v>
      </c>
      <c r="I236" s="14" t="s">
        <v>74</v>
      </c>
      <c r="J236" s="15">
        <v>387270</v>
      </c>
      <c r="K236" s="14">
        <v>1</v>
      </c>
      <c r="L236" s="14" t="s">
        <v>76</v>
      </c>
      <c r="M236" s="14" t="s">
        <v>75</v>
      </c>
      <c r="N236" s="14" t="s">
        <v>75</v>
      </c>
      <c r="O236" s="14" t="s">
        <v>75</v>
      </c>
      <c r="P236" s="14">
        <v>819</v>
      </c>
      <c r="Q236" s="15"/>
      <c r="R236" s="15">
        <v>928.19</v>
      </c>
      <c r="S236" s="14" t="s">
        <v>22</v>
      </c>
      <c r="T236" s="15">
        <v>1282447</v>
      </c>
      <c r="U236" s="16">
        <f t="shared" si="33"/>
        <v>2.8761019443798903E-2</v>
      </c>
      <c r="V236" s="14">
        <v>0</v>
      </c>
      <c r="W236" s="17">
        <v>32.9</v>
      </c>
      <c r="X236" s="14">
        <v>10.7</v>
      </c>
      <c r="Y236" s="18">
        <f t="shared" si="34"/>
        <v>9.6</v>
      </c>
      <c r="Z236" s="18" t="str">
        <f t="shared" si="35"/>
        <v>Low</v>
      </c>
      <c r="AA236" s="19" t="str">
        <f t="shared" si="36"/>
        <v>Eligible</v>
      </c>
      <c r="AB236" s="14" t="s">
        <v>161</v>
      </c>
      <c r="AC236" s="14">
        <v>3</v>
      </c>
      <c r="AD236" s="14" t="s">
        <v>93</v>
      </c>
      <c r="AE236" s="17">
        <v>22.1</v>
      </c>
      <c r="AF236" s="15">
        <v>0</v>
      </c>
      <c r="AG236" s="20">
        <f t="shared" si="37"/>
        <v>387270</v>
      </c>
      <c r="AH236" s="14">
        <v>1</v>
      </c>
      <c r="AI236" s="14" t="s">
        <v>75</v>
      </c>
      <c r="AJ236" s="14">
        <v>72</v>
      </c>
      <c r="AK236" s="21">
        <f t="shared" si="38"/>
        <v>0.09</v>
      </c>
      <c r="AL236" s="20">
        <f t="shared" si="39"/>
        <v>23116.796064838709</v>
      </c>
      <c r="AM236" s="22">
        <f t="shared" si="40"/>
        <v>3.311506184315852</v>
      </c>
      <c r="AN236" s="20">
        <f t="shared" si="41"/>
        <v>24044.986064838708</v>
      </c>
      <c r="AO236" s="16">
        <f t="shared" si="42"/>
        <v>0.74506115314396792</v>
      </c>
      <c r="AP236" s="15">
        <v>1399716</v>
      </c>
      <c r="AQ236" s="18">
        <f t="shared" si="43"/>
        <v>0.9162194330849972</v>
      </c>
      <c r="AR236" s="23">
        <v>46248</v>
      </c>
      <c r="AS236" s="14" t="s">
        <v>79</v>
      </c>
    </row>
    <row r="237" spans="1:45" x14ac:dyDescent="0.25">
      <c r="A237" s="14" t="s">
        <v>848</v>
      </c>
      <c r="B237" s="14" t="s">
        <v>849</v>
      </c>
      <c r="C237" s="14">
        <v>9238616374</v>
      </c>
      <c r="D237" s="15" t="s">
        <v>851</v>
      </c>
      <c r="E237" s="14">
        <v>31</v>
      </c>
      <c r="F237" s="14" t="s">
        <v>89</v>
      </c>
      <c r="G237" s="14" t="s">
        <v>139</v>
      </c>
      <c r="H237" s="14" t="s">
        <v>99</v>
      </c>
      <c r="I237" s="14" t="s">
        <v>74</v>
      </c>
      <c r="J237" s="15">
        <v>2370833</v>
      </c>
      <c r="K237" s="14">
        <v>4</v>
      </c>
      <c r="L237" s="14" t="s">
        <v>76</v>
      </c>
      <c r="M237" s="14" t="s">
        <v>76</v>
      </c>
      <c r="N237" s="14" t="s">
        <v>76</v>
      </c>
      <c r="O237" s="14" t="s">
        <v>76</v>
      </c>
      <c r="P237" s="14">
        <v>567</v>
      </c>
      <c r="Q237" s="15">
        <v>507895</v>
      </c>
      <c r="R237" s="15">
        <v>23086.13</v>
      </c>
      <c r="S237" s="14" t="s">
        <v>21</v>
      </c>
      <c r="T237" s="15">
        <v>918167</v>
      </c>
      <c r="U237" s="16">
        <f t="shared" si="33"/>
        <v>0.11685072714948712</v>
      </c>
      <c r="V237" s="14">
        <v>4</v>
      </c>
      <c r="W237" s="17">
        <v>52.8</v>
      </c>
      <c r="X237" s="14">
        <v>12.1</v>
      </c>
      <c r="Y237" s="18">
        <f t="shared" si="34"/>
        <v>47</v>
      </c>
      <c r="Z237" s="18" t="str">
        <f t="shared" si="35"/>
        <v>Medium</v>
      </c>
      <c r="AA237" s="19" t="str">
        <f t="shared" si="36"/>
        <v>Review</v>
      </c>
      <c r="AB237" s="14" t="s">
        <v>85</v>
      </c>
      <c r="AC237" s="14">
        <v>0</v>
      </c>
      <c r="AD237" s="14" t="s">
        <v>78</v>
      </c>
      <c r="AE237" s="17">
        <v>5.8</v>
      </c>
      <c r="AF237" s="15">
        <v>0</v>
      </c>
      <c r="AG237" s="20">
        <f t="shared" si="37"/>
        <v>2370833</v>
      </c>
      <c r="AH237" s="14">
        <v>3</v>
      </c>
      <c r="AI237" s="14" t="s">
        <v>75</v>
      </c>
      <c r="AJ237" s="14">
        <v>12</v>
      </c>
      <c r="AK237" s="21">
        <f t="shared" si="38"/>
        <v>0.15500000000000003</v>
      </c>
      <c r="AL237" s="20">
        <f t="shared" si="39"/>
        <v>83088.986807904352</v>
      </c>
      <c r="AM237" s="22">
        <f t="shared" si="40"/>
        <v>0.38727611771896209</v>
      </c>
      <c r="AN237" s="20">
        <f t="shared" si="41"/>
        <v>106175.11680790436</v>
      </c>
      <c r="AO237" s="16">
        <f t="shared" si="42"/>
        <v>0.53740664217802447</v>
      </c>
      <c r="AP237" s="15">
        <v>0</v>
      </c>
      <c r="AQ237" s="18" t="str">
        <f t="shared" si="43"/>
        <v>N/A</v>
      </c>
      <c r="AR237" s="23">
        <v>46180</v>
      </c>
      <c r="AS237" s="14" t="s">
        <v>79</v>
      </c>
    </row>
    <row r="238" spans="1:45" x14ac:dyDescent="0.25">
      <c r="A238" s="14" t="s">
        <v>852</v>
      </c>
      <c r="B238" s="14" t="s">
        <v>853</v>
      </c>
      <c r="C238" s="14">
        <v>9841027438</v>
      </c>
      <c r="D238" s="15"/>
      <c r="E238" s="14">
        <v>59</v>
      </c>
      <c r="F238" s="14" t="s">
        <v>71</v>
      </c>
      <c r="G238" s="14" t="s">
        <v>90</v>
      </c>
      <c r="H238" s="14" t="s">
        <v>107</v>
      </c>
      <c r="I238" s="14" t="s">
        <v>92</v>
      </c>
      <c r="J238" s="15">
        <v>2217365</v>
      </c>
      <c r="K238" s="14">
        <v>0</v>
      </c>
      <c r="L238" s="14" t="s">
        <v>75</v>
      </c>
      <c r="M238" s="14" t="s">
        <v>75</v>
      </c>
      <c r="N238" s="14" t="s">
        <v>75</v>
      </c>
      <c r="O238" s="14" t="s">
        <v>75</v>
      </c>
      <c r="P238" s="14">
        <v>404</v>
      </c>
      <c r="Q238" s="15"/>
      <c r="R238" s="15">
        <v>13044.6</v>
      </c>
      <c r="S238" s="14" t="s">
        <v>20</v>
      </c>
      <c r="T238" s="15">
        <v>107580</v>
      </c>
      <c r="U238" s="16">
        <f t="shared" si="33"/>
        <v>7.0595143334543489E-2</v>
      </c>
      <c r="V238" s="14">
        <v>1</v>
      </c>
      <c r="W238" s="17">
        <v>87.7</v>
      </c>
      <c r="X238" s="14">
        <v>13.7</v>
      </c>
      <c r="Y238" s="18">
        <f t="shared" si="34"/>
        <v>48</v>
      </c>
      <c r="Z238" s="18" t="str">
        <f t="shared" si="35"/>
        <v>Medium</v>
      </c>
      <c r="AA238" s="19" t="str">
        <f t="shared" si="36"/>
        <v>Not Eligible</v>
      </c>
      <c r="AB238" s="14" t="s">
        <v>85</v>
      </c>
      <c r="AC238" s="14">
        <v>1</v>
      </c>
      <c r="AD238" s="14" t="s">
        <v>78</v>
      </c>
      <c r="AE238" s="17">
        <v>15.3</v>
      </c>
      <c r="AF238" s="15">
        <v>0</v>
      </c>
      <c r="AG238" s="20">
        <f t="shared" si="37"/>
        <v>2217365</v>
      </c>
      <c r="AH238" s="14">
        <v>0</v>
      </c>
      <c r="AI238" s="14" t="s">
        <v>75</v>
      </c>
      <c r="AJ238" s="14">
        <v>24</v>
      </c>
      <c r="AK238" s="21">
        <f t="shared" si="38"/>
        <v>0.375</v>
      </c>
      <c r="AL238" s="20">
        <f t="shared" si="39"/>
        <v>6438.1616310326217</v>
      </c>
      <c r="AM238" s="22">
        <f t="shared" si="40"/>
        <v>4.8517046133586483E-2</v>
      </c>
      <c r="AN238" s="20">
        <f t="shared" si="41"/>
        <v>19482.761631032623</v>
      </c>
      <c r="AO238" s="16">
        <f t="shared" si="42"/>
        <v>0.10543737254461555</v>
      </c>
      <c r="AP238" s="15">
        <v>0</v>
      </c>
      <c r="AQ238" s="18" t="str">
        <f t="shared" si="43"/>
        <v>N/A</v>
      </c>
      <c r="AR238" s="23">
        <v>45965</v>
      </c>
      <c r="AS238" s="14" t="s">
        <v>79</v>
      </c>
    </row>
    <row r="239" spans="1:45" x14ac:dyDescent="0.25">
      <c r="A239" s="14" t="s">
        <v>854</v>
      </c>
      <c r="B239" s="14" t="s">
        <v>855</v>
      </c>
      <c r="C239" s="14">
        <v>9546407987</v>
      </c>
      <c r="D239" s="15" t="s">
        <v>856</v>
      </c>
      <c r="E239" s="14">
        <v>36</v>
      </c>
      <c r="F239" s="14" t="s">
        <v>89</v>
      </c>
      <c r="G239" s="14" t="s">
        <v>226</v>
      </c>
      <c r="H239" s="14" t="s">
        <v>84</v>
      </c>
      <c r="I239" s="14" t="s">
        <v>74</v>
      </c>
      <c r="J239" s="15">
        <v>2418218</v>
      </c>
      <c r="K239" s="14">
        <v>2</v>
      </c>
      <c r="L239" s="14" t="s">
        <v>76</v>
      </c>
      <c r="M239" s="14" t="s">
        <v>76</v>
      </c>
      <c r="N239" s="14" t="s">
        <v>75</v>
      </c>
      <c r="O239" s="14" t="s">
        <v>75</v>
      </c>
      <c r="P239" s="14">
        <v>551</v>
      </c>
      <c r="Q239" s="15">
        <v>219977.38</v>
      </c>
      <c r="R239" s="15">
        <v>3666.29</v>
      </c>
      <c r="S239" s="14" t="s">
        <v>23</v>
      </c>
      <c r="T239" s="15">
        <v>3414129</v>
      </c>
      <c r="U239" s="16">
        <f t="shared" si="33"/>
        <v>1.8193347332622616E-2</v>
      </c>
      <c r="V239" s="14">
        <v>0</v>
      </c>
      <c r="W239" s="17">
        <v>45.7</v>
      </c>
      <c r="X239" s="14">
        <v>13.8</v>
      </c>
      <c r="Y239" s="18">
        <f t="shared" si="34"/>
        <v>28.4</v>
      </c>
      <c r="Z239" s="18" t="str">
        <f t="shared" si="35"/>
        <v>Low</v>
      </c>
      <c r="AA239" s="19" t="str">
        <f t="shared" si="36"/>
        <v>Review</v>
      </c>
      <c r="AB239" s="14" t="s">
        <v>77</v>
      </c>
      <c r="AC239" s="14">
        <v>4</v>
      </c>
      <c r="AD239" s="14" t="s">
        <v>93</v>
      </c>
      <c r="AE239" s="17">
        <v>10.3</v>
      </c>
      <c r="AF239" s="15">
        <v>0</v>
      </c>
      <c r="AG239" s="20">
        <f t="shared" si="37"/>
        <v>2418218</v>
      </c>
      <c r="AH239" s="14">
        <v>0</v>
      </c>
      <c r="AI239" s="14" t="s">
        <v>75</v>
      </c>
      <c r="AJ239" s="14">
        <v>360</v>
      </c>
      <c r="AK239" s="21">
        <f t="shared" si="38"/>
        <v>8.5000000000000006E-2</v>
      </c>
      <c r="AL239" s="20">
        <f t="shared" si="39"/>
        <v>26251.698227962974</v>
      </c>
      <c r="AM239" s="22">
        <f t="shared" si="40"/>
        <v>1.411836732668436</v>
      </c>
      <c r="AN239" s="20">
        <f t="shared" si="41"/>
        <v>29917.988227962975</v>
      </c>
      <c r="AO239" s="16">
        <f t="shared" si="42"/>
        <v>0.14846298337683189</v>
      </c>
      <c r="AP239" s="15">
        <v>4731678</v>
      </c>
      <c r="AQ239" s="18">
        <f t="shared" si="43"/>
        <v>0.72154719742129536</v>
      </c>
      <c r="AR239" s="23">
        <v>45938</v>
      </c>
      <c r="AS239" s="14" t="s">
        <v>79</v>
      </c>
    </row>
    <row r="240" spans="1:45" x14ac:dyDescent="0.25">
      <c r="A240" s="14" t="s">
        <v>857</v>
      </c>
      <c r="B240" s="14" t="s">
        <v>858</v>
      </c>
      <c r="C240" s="14">
        <v>9276442282</v>
      </c>
      <c r="D240" s="15" t="s">
        <v>859</v>
      </c>
      <c r="E240" s="14">
        <v>46</v>
      </c>
      <c r="F240" s="14" t="s">
        <v>71</v>
      </c>
      <c r="G240" s="14" t="s">
        <v>72</v>
      </c>
      <c r="H240" s="14" t="s">
        <v>166</v>
      </c>
      <c r="I240" s="14" t="s">
        <v>74</v>
      </c>
      <c r="J240" s="15">
        <v>2480108</v>
      </c>
      <c r="K240" s="14">
        <v>0</v>
      </c>
      <c r="L240" s="14" t="s">
        <v>75</v>
      </c>
      <c r="M240" s="14" t="s">
        <v>75</v>
      </c>
      <c r="N240" s="14" t="s">
        <v>75</v>
      </c>
      <c r="O240" s="14" t="s">
        <v>75</v>
      </c>
      <c r="P240" s="14">
        <v>611</v>
      </c>
      <c r="Q240" s="15"/>
      <c r="R240" s="15">
        <v>5592.26</v>
      </c>
      <c r="S240" s="14" t="s">
        <v>22</v>
      </c>
      <c r="T240" s="15"/>
      <c r="U240" s="16">
        <f t="shared" si="33"/>
        <v>2.7058144242105585E-2</v>
      </c>
      <c r="V240" s="14">
        <v>3</v>
      </c>
      <c r="W240" s="17">
        <v>90.5</v>
      </c>
      <c r="X240" s="14">
        <v>9.1999999999999993</v>
      </c>
      <c r="Y240" s="18">
        <f t="shared" si="34"/>
        <v>41.1</v>
      </c>
      <c r="Z240" s="18" t="str">
        <f t="shared" si="35"/>
        <v>Medium</v>
      </c>
      <c r="AA240" s="19" t="str">
        <f t="shared" si="36"/>
        <v>Review</v>
      </c>
      <c r="AB240" s="14" t="s">
        <v>85</v>
      </c>
      <c r="AC240" s="14">
        <v>1</v>
      </c>
      <c r="AD240" s="14" t="s">
        <v>93</v>
      </c>
      <c r="AE240" s="17">
        <v>22.2</v>
      </c>
      <c r="AF240" s="15">
        <v>0</v>
      </c>
      <c r="AG240" s="20">
        <f t="shared" si="37"/>
        <v>2480108</v>
      </c>
      <c r="AH240" s="14">
        <v>1</v>
      </c>
      <c r="AI240" s="14" t="s">
        <v>75</v>
      </c>
      <c r="AJ240" s="14">
        <v>48</v>
      </c>
      <c r="AK240" s="21">
        <f t="shared" si="38"/>
        <v>0.105</v>
      </c>
      <c r="AL240" s="20">
        <f t="shared" si="39"/>
        <v>0</v>
      </c>
      <c r="AM240" s="22">
        <f t="shared" si="40"/>
        <v>0</v>
      </c>
      <c r="AN240" s="20">
        <f t="shared" si="41"/>
        <v>5592.26</v>
      </c>
      <c r="AO240" s="16">
        <f t="shared" si="42"/>
        <v>2.7058144242105585E-2</v>
      </c>
      <c r="AP240" s="15">
        <v>388603</v>
      </c>
      <c r="AQ240" s="18">
        <f t="shared" si="43"/>
        <v>0</v>
      </c>
      <c r="AR240" s="23">
        <v>46227</v>
      </c>
      <c r="AS240" s="14" t="s">
        <v>79</v>
      </c>
    </row>
    <row r="241" spans="1:45" x14ac:dyDescent="0.25">
      <c r="A241" s="14" t="s">
        <v>860</v>
      </c>
      <c r="B241" s="14" t="s">
        <v>861</v>
      </c>
      <c r="C241" s="14"/>
      <c r="D241" s="15" t="s">
        <v>862</v>
      </c>
      <c r="E241" s="14">
        <v>55</v>
      </c>
      <c r="F241" s="14" t="s">
        <v>89</v>
      </c>
      <c r="G241" s="14" t="s">
        <v>153</v>
      </c>
      <c r="H241" s="14" t="s">
        <v>132</v>
      </c>
      <c r="I241" s="14" t="s">
        <v>92</v>
      </c>
      <c r="J241" s="15">
        <v>2483008</v>
      </c>
      <c r="K241" s="14">
        <v>2</v>
      </c>
      <c r="L241" s="14" t="s">
        <v>75</v>
      </c>
      <c r="M241" s="14" t="s">
        <v>76</v>
      </c>
      <c r="N241" s="14" t="s">
        <v>76</v>
      </c>
      <c r="O241" s="14" t="s">
        <v>75</v>
      </c>
      <c r="P241" s="14">
        <v>833</v>
      </c>
      <c r="Q241" s="15">
        <v>507589.72</v>
      </c>
      <c r="R241" s="15">
        <v>9761.34</v>
      </c>
      <c r="S241" s="14" t="s">
        <v>21</v>
      </c>
      <c r="T241" s="15">
        <v>74559</v>
      </c>
      <c r="U241" s="16">
        <f t="shared" si="33"/>
        <v>4.7175071526148929E-2</v>
      </c>
      <c r="V241" s="14">
        <v>0</v>
      </c>
      <c r="W241" s="17">
        <v>80.7</v>
      </c>
      <c r="X241" s="14">
        <v>9</v>
      </c>
      <c r="Y241" s="18">
        <f t="shared" si="34"/>
        <v>14</v>
      </c>
      <c r="Z241" s="18" t="str">
        <f t="shared" si="35"/>
        <v>Low</v>
      </c>
      <c r="AA241" s="19" t="str">
        <f t="shared" si="36"/>
        <v>Eligible</v>
      </c>
      <c r="AB241" s="14" t="s">
        <v>85</v>
      </c>
      <c r="AC241" s="14">
        <v>2</v>
      </c>
      <c r="AD241" s="14" t="s">
        <v>93</v>
      </c>
      <c r="AE241" s="17">
        <v>29.6</v>
      </c>
      <c r="AF241" s="15">
        <v>194959</v>
      </c>
      <c r="AG241" s="20">
        <f t="shared" si="37"/>
        <v>2677967</v>
      </c>
      <c r="AH241" s="14">
        <v>0</v>
      </c>
      <c r="AI241" s="14" t="s">
        <v>75</v>
      </c>
      <c r="AJ241" s="14">
        <v>36</v>
      </c>
      <c r="AK241" s="21">
        <f t="shared" si="38"/>
        <v>0.14000000000000001</v>
      </c>
      <c r="AL241" s="20">
        <f t="shared" si="39"/>
        <v>2548.2498971286323</v>
      </c>
      <c r="AM241" s="22">
        <f t="shared" si="40"/>
        <v>3.00276922184705E-2</v>
      </c>
      <c r="AN241" s="20">
        <f t="shared" si="41"/>
        <v>12309.589897128633</v>
      </c>
      <c r="AO241" s="16">
        <f t="shared" si="42"/>
        <v>5.9490375691718909E-2</v>
      </c>
      <c r="AP241" s="15">
        <v>0</v>
      </c>
      <c r="AQ241" s="18" t="str">
        <f t="shared" si="43"/>
        <v>N/A</v>
      </c>
      <c r="AR241" s="23">
        <v>45958</v>
      </c>
      <c r="AS241" s="14" t="s">
        <v>79</v>
      </c>
    </row>
    <row r="242" spans="1:45" x14ac:dyDescent="0.25">
      <c r="A242" s="14" t="s">
        <v>863</v>
      </c>
      <c r="B242" s="14" t="s">
        <v>864</v>
      </c>
      <c r="C242" s="14">
        <v>9581827565</v>
      </c>
      <c r="D242" s="15" t="s">
        <v>866</v>
      </c>
      <c r="E242" s="14">
        <v>21</v>
      </c>
      <c r="F242" s="14" t="s">
        <v>89</v>
      </c>
      <c r="G242" s="14" t="s">
        <v>226</v>
      </c>
      <c r="H242" s="14" t="s">
        <v>91</v>
      </c>
      <c r="I242" s="14" t="s">
        <v>92</v>
      </c>
      <c r="J242" s="15">
        <v>1280787</v>
      </c>
      <c r="K242" s="14">
        <v>2</v>
      </c>
      <c r="L242" s="14" t="s">
        <v>76</v>
      </c>
      <c r="M242" s="14" t="s">
        <v>76</v>
      </c>
      <c r="N242" s="14" t="s">
        <v>75</v>
      </c>
      <c r="O242" s="14" t="s">
        <v>75</v>
      </c>
      <c r="P242" s="14">
        <v>443</v>
      </c>
      <c r="Q242" s="15"/>
      <c r="R242" s="15">
        <v>12199.09</v>
      </c>
      <c r="S242" s="14" t="s">
        <v>21</v>
      </c>
      <c r="T242" s="15">
        <v>160338</v>
      </c>
      <c r="U242" s="16">
        <f t="shared" si="33"/>
        <v>0.11429619444919414</v>
      </c>
      <c r="V242" s="14">
        <v>0</v>
      </c>
      <c r="W242" s="17">
        <v>60.3</v>
      </c>
      <c r="X242" s="14">
        <v>12.4</v>
      </c>
      <c r="Y242" s="18">
        <f t="shared" si="34"/>
        <v>39.9</v>
      </c>
      <c r="Z242" s="18" t="str">
        <f t="shared" si="35"/>
        <v>Medium</v>
      </c>
      <c r="AA242" s="19" t="str">
        <f t="shared" si="36"/>
        <v>Not Eligible</v>
      </c>
      <c r="AB242" s="14" t="s">
        <v>85</v>
      </c>
      <c r="AC242" s="14">
        <v>0</v>
      </c>
      <c r="AD242" s="14" t="s">
        <v>93</v>
      </c>
      <c r="AE242" s="17">
        <v>0.3</v>
      </c>
      <c r="AF242" s="15">
        <v>0</v>
      </c>
      <c r="AG242" s="20">
        <f t="shared" si="37"/>
        <v>1280787</v>
      </c>
      <c r="AH242" s="14">
        <v>0</v>
      </c>
      <c r="AI242" s="14" t="s">
        <v>75</v>
      </c>
      <c r="AJ242" s="14">
        <v>24</v>
      </c>
      <c r="AK242" s="21">
        <f t="shared" si="38"/>
        <v>0.15500000000000003</v>
      </c>
      <c r="AL242" s="20">
        <f t="shared" si="39"/>
        <v>7812.3956919270458</v>
      </c>
      <c r="AM242" s="22">
        <f t="shared" si="40"/>
        <v>0.12518709199890379</v>
      </c>
      <c r="AN242" s="20">
        <f t="shared" si="41"/>
        <v>20011.485691927046</v>
      </c>
      <c r="AO242" s="16">
        <f t="shared" si="42"/>
        <v>0.18749239983160709</v>
      </c>
      <c r="AP242" s="15">
        <v>0</v>
      </c>
      <c r="AQ242" s="18" t="str">
        <f t="shared" si="43"/>
        <v>N/A</v>
      </c>
      <c r="AR242" s="23">
        <v>46138</v>
      </c>
      <c r="AS242" s="14" t="s">
        <v>79</v>
      </c>
    </row>
    <row r="243" spans="1:45" x14ac:dyDescent="0.25">
      <c r="A243" s="14" t="s">
        <v>867</v>
      </c>
      <c r="B243" s="14" t="s">
        <v>868</v>
      </c>
      <c r="C243" s="14">
        <v>9826732562</v>
      </c>
      <c r="D243" s="15" t="s">
        <v>870</v>
      </c>
      <c r="E243" s="14">
        <v>58</v>
      </c>
      <c r="F243" s="14" t="s">
        <v>89</v>
      </c>
      <c r="G243" s="14" t="s">
        <v>215</v>
      </c>
      <c r="H243" s="14" t="s">
        <v>107</v>
      </c>
      <c r="I243" s="14" t="s">
        <v>92</v>
      </c>
      <c r="J243" s="15">
        <v>2075961</v>
      </c>
      <c r="K243" s="14">
        <v>0</v>
      </c>
      <c r="L243" s="14" t="s">
        <v>75</v>
      </c>
      <c r="M243" s="14" t="s">
        <v>75</v>
      </c>
      <c r="N243" s="14" t="s">
        <v>75</v>
      </c>
      <c r="O243" s="14" t="s">
        <v>75</v>
      </c>
      <c r="P243" s="14">
        <v>726</v>
      </c>
      <c r="Q243" s="15">
        <v>171020</v>
      </c>
      <c r="R243" s="15">
        <v>8143.82</v>
      </c>
      <c r="S243" s="14" t="s">
        <v>21</v>
      </c>
      <c r="T243" s="15">
        <v>558312</v>
      </c>
      <c r="U243" s="16">
        <f t="shared" si="33"/>
        <v>4.7074988402961322E-2</v>
      </c>
      <c r="V243" s="14">
        <v>2</v>
      </c>
      <c r="W243" s="17">
        <v>17.3</v>
      </c>
      <c r="X243" s="14">
        <v>10.6</v>
      </c>
      <c r="Y243" s="18">
        <f t="shared" si="34"/>
        <v>22.7</v>
      </c>
      <c r="Z243" s="18" t="str">
        <f t="shared" si="35"/>
        <v>Low</v>
      </c>
      <c r="AA243" s="19" t="str">
        <f t="shared" si="36"/>
        <v>Eligible</v>
      </c>
      <c r="AB243" s="14" t="s">
        <v>77</v>
      </c>
      <c r="AC243" s="14">
        <v>0</v>
      </c>
      <c r="AD243" s="14" t="s">
        <v>78</v>
      </c>
      <c r="AE243" s="17">
        <v>14.4</v>
      </c>
      <c r="AF243" s="15">
        <v>0</v>
      </c>
      <c r="AG243" s="20">
        <f t="shared" si="37"/>
        <v>2075961</v>
      </c>
      <c r="AH243" s="14">
        <v>3</v>
      </c>
      <c r="AI243" s="14" t="s">
        <v>75</v>
      </c>
      <c r="AJ243" s="14">
        <v>12</v>
      </c>
      <c r="AK243" s="21">
        <f t="shared" si="38"/>
        <v>0.14000000000000001</v>
      </c>
      <c r="AL243" s="20">
        <f t="shared" si="39"/>
        <v>50129.225207863507</v>
      </c>
      <c r="AM243" s="22">
        <f t="shared" si="40"/>
        <v>0.26894146855360002</v>
      </c>
      <c r="AN243" s="20">
        <f t="shared" si="41"/>
        <v>58273.045207863506</v>
      </c>
      <c r="AO243" s="16">
        <f t="shared" si="42"/>
        <v>0.33684473961426159</v>
      </c>
      <c r="AP243" s="15">
        <v>0</v>
      </c>
      <c r="AQ243" s="18" t="str">
        <f t="shared" si="43"/>
        <v>N/A</v>
      </c>
      <c r="AR243" s="23">
        <v>46203</v>
      </c>
      <c r="AS243" s="14" t="s">
        <v>79</v>
      </c>
    </row>
    <row r="244" spans="1:45" x14ac:dyDescent="0.25">
      <c r="A244" s="14" t="s">
        <v>871</v>
      </c>
      <c r="B244" s="14" t="s">
        <v>872</v>
      </c>
      <c r="C244" s="14">
        <v>9496839906</v>
      </c>
      <c r="D244" s="15" t="s">
        <v>873</v>
      </c>
      <c r="E244" s="14">
        <v>23</v>
      </c>
      <c r="F244" s="14" t="s">
        <v>71</v>
      </c>
      <c r="G244" s="14" t="s">
        <v>139</v>
      </c>
      <c r="H244" s="14" t="s">
        <v>103</v>
      </c>
      <c r="I244" s="14" t="s">
        <v>74</v>
      </c>
      <c r="J244" s="15">
        <v>1578946</v>
      </c>
      <c r="K244" s="14">
        <v>0</v>
      </c>
      <c r="L244" s="14" t="s">
        <v>75</v>
      </c>
      <c r="M244" s="14" t="s">
        <v>75</v>
      </c>
      <c r="N244" s="14" t="s">
        <v>75</v>
      </c>
      <c r="O244" s="14" t="s">
        <v>75</v>
      </c>
      <c r="P244" s="14">
        <v>445</v>
      </c>
      <c r="Q244" s="15"/>
      <c r="R244" s="15">
        <v>3256.75</v>
      </c>
      <c r="S244" s="14" t="s">
        <v>20</v>
      </c>
      <c r="T244" s="15"/>
      <c r="U244" s="16">
        <f t="shared" si="33"/>
        <v>2.4751321451145256E-2</v>
      </c>
      <c r="V244" s="14">
        <v>0</v>
      </c>
      <c r="W244" s="17">
        <v>31.9</v>
      </c>
      <c r="X244" s="14">
        <v>2.9</v>
      </c>
      <c r="Y244" s="18">
        <f t="shared" si="34"/>
        <v>34.299999999999997</v>
      </c>
      <c r="Z244" s="18" t="str">
        <f t="shared" si="35"/>
        <v>Medium</v>
      </c>
      <c r="AA244" s="19" t="str">
        <f t="shared" si="36"/>
        <v>Not Eligible</v>
      </c>
      <c r="AB244" s="14" t="s">
        <v>77</v>
      </c>
      <c r="AC244" s="14">
        <v>0</v>
      </c>
      <c r="AD244" s="14" t="s">
        <v>93</v>
      </c>
      <c r="AE244" s="17">
        <v>0.4</v>
      </c>
      <c r="AF244" s="15">
        <v>510882</v>
      </c>
      <c r="AG244" s="20">
        <f t="shared" si="37"/>
        <v>2089828</v>
      </c>
      <c r="AH244" s="14">
        <v>0</v>
      </c>
      <c r="AI244" s="14" t="s">
        <v>75</v>
      </c>
      <c r="AJ244" s="14">
        <v>24</v>
      </c>
      <c r="AK244" s="21">
        <f t="shared" si="38"/>
        <v>0.375</v>
      </c>
      <c r="AL244" s="20">
        <f t="shared" si="39"/>
        <v>0</v>
      </c>
      <c r="AM244" s="22">
        <f t="shared" si="40"/>
        <v>0</v>
      </c>
      <c r="AN244" s="20">
        <f t="shared" si="41"/>
        <v>3256.75</v>
      </c>
      <c r="AO244" s="16">
        <f t="shared" si="42"/>
        <v>2.4751321451145256E-2</v>
      </c>
      <c r="AP244" s="15">
        <v>0</v>
      </c>
      <c r="AQ244" s="18" t="str">
        <f t="shared" si="43"/>
        <v>N/A</v>
      </c>
      <c r="AR244" s="23">
        <v>46088</v>
      </c>
      <c r="AS244" s="14" t="s">
        <v>79</v>
      </c>
    </row>
    <row r="245" spans="1:45" x14ac:dyDescent="0.25">
      <c r="A245" s="14" t="s">
        <v>874</v>
      </c>
      <c r="B245" s="14" t="s">
        <v>875</v>
      </c>
      <c r="C245" s="14">
        <v>9750375849</v>
      </c>
      <c r="D245" s="15" t="s">
        <v>876</v>
      </c>
      <c r="E245" s="14">
        <v>53</v>
      </c>
      <c r="F245" s="14" t="s">
        <v>89</v>
      </c>
      <c r="G245" s="14" t="s">
        <v>417</v>
      </c>
      <c r="H245" s="14" t="s">
        <v>107</v>
      </c>
      <c r="I245" s="14" t="s">
        <v>92</v>
      </c>
      <c r="J245" s="15">
        <v>924878</v>
      </c>
      <c r="K245" s="14">
        <v>0</v>
      </c>
      <c r="L245" s="14" t="s">
        <v>75</v>
      </c>
      <c r="M245" s="14" t="s">
        <v>75</v>
      </c>
      <c r="N245" s="14" t="s">
        <v>75</v>
      </c>
      <c r="O245" s="14" t="s">
        <v>75</v>
      </c>
      <c r="P245" s="14">
        <v>719</v>
      </c>
      <c r="Q245" s="15">
        <v>35814.519999999997</v>
      </c>
      <c r="R245" s="15">
        <v>967.96</v>
      </c>
      <c r="S245" s="14" t="s">
        <v>22</v>
      </c>
      <c r="T245" s="15">
        <v>1434547</v>
      </c>
      <c r="U245" s="16">
        <f t="shared" si="33"/>
        <v>1.2558975345937518E-2</v>
      </c>
      <c r="V245" s="14">
        <v>0</v>
      </c>
      <c r="W245" s="17">
        <v>68.7</v>
      </c>
      <c r="X245" s="14">
        <v>6.8</v>
      </c>
      <c r="Y245" s="18">
        <f t="shared" si="34"/>
        <v>19.3</v>
      </c>
      <c r="Z245" s="18" t="str">
        <f t="shared" si="35"/>
        <v>Low</v>
      </c>
      <c r="AA245" s="19" t="str">
        <f t="shared" si="36"/>
        <v>Eligible</v>
      </c>
      <c r="AB245" s="14" t="s">
        <v>85</v>
      </c>
      <c r="AC245" s="14">
        <v>0</v>
      </c>
      <c r="AD245" s="14" t="s">
        <v>78</v>
      </c>
      <c r="AE245" s="17">
        <v>1</v>
      </c>
      <c r="AF245" s="15">
        <v>0</v>
      </c>
      <c r="AG245" s="20">
        <f t="shared" si="37"/>
        <v>924878</v>
      </c>
      <c r="AH245" s="14">
        <v>1</v>
      </c>
      <c r="AI245" s="14" t="s">
        <v>75</v>
      </c>
      <c r="AJ245" s="14">
        <v>84</v>
      </c>
      <c r="AK245" s="21">
        <f t="shared" si="38"/>
        <v>0.09</v>
      </c>
      <c r="AL245" s="20">
        <f t="shared" si="39"/>
        <v>23080.538950703522</v>
      </c>
      <c r="AM245" s="22">
        <f t="shared" si="40"/>
        <v>1.551066194676487</v>
      </c>
      <c r="AN245" s="20">
        <f t="shared" si="41"/>
        <v>24048.498950703521</v>
      </c>
      <c r="AO245" s="16">
        <f t="shared" si="42"/>
        <v>0.31202168005773978</v>
      </c>
      <c r="AP245" s="15">
        <v>1541788</v>
      </c>
      <c r="AQ245" s="18">
        <f t="shared" si="43"/>
        <v>0.93044374453556522</v>
      </c>
      <c r="AR245" s="23">
        <v>46181</v>
      </c>
      <c r="AS245" s="14" t="s">
        <v>79</v>
      </c>
    </row>
    <row r="246" spans="1:45" x14ac:dyDescent="0.25">
      <c r="A246" s="14" t="s">
        <v>877</v>
      </c>
      <c r="B246" s="14" t="s">
        <v>878</v>
      </c>
      <c r="C246" s="14">
        <v>9719393966</v>
      </c>
      <c r="D246" s="15" t="s">
        <v>879</v>
      </c>
      <c r="E246" s="14">
        <v>57</v>
      </c>
      <c r="F246" s="14" t="s">
        <v>71</v>
      </c>
      <c r="G246" s="14" t="s">
        <v>115</v>
      </c>
      <c r="H246" s="14" t="s">
        <v>144</v>
      </c>
      <c r="I246" s="14" t="s">
        <v>92</v>
      </c>
      <c r="J246" s="15">
        <v>378282</v>
      </c>
      <c r="K246" s="14">
        <v>3</v>
      </c>
      <c r="L246" s="14" t="s">
        <v>76</v>
      </c>
      <c r="M246" s="14" t="s">
        <v>75</v>
      </c>
      <c r="N246" s="14" t="s">
        <v>76</v>
      </c>
      <c r="O246" s="14" t="s">
        <v>76</v>
      </c>
      <c r="P246" s="14">
        <v>510</v>
      </c>
      <c r="Q246" s="15">
        <v>55672.52</v>
      </c>
      <c r="R246" s="15">
        <v>976.71</v>
      </c>
      <c r="S246" s="14" t="s">
        <v>23</v>
      </c>
      <c r="T246" s="15">
        <v>2210078</v>
      </c>
      <c r="U246" s="16">
        <f t="shared" si="33"/>
        <v>3.098355195330468E-2</v>
      </c>
      <c r="V246" s="14">
        <v>3</v>
      </c>
      <c r="W246" s="17">
        <v>62.7</v>
      </c>
      <c r="X246" s="14">
        <v>6.1</v>
      </c>
      <c r="Y246" s="18">
        <f t="shared" si="34"/>
        <v>45.2</v>
      </c>
      <c r="Z246" s="18" t="str">
        <f t="shared" si="35"/>
        <v>Medium</v>
      </c>
      <c r="AA246" s="19" t="str">
        <f t="shared" si="36"/>
        <v>Not Eligible</v>
      </c>
      <c r="AB246" s="14" t="s">
        <v>85</v>
      </c>
      <c r="AC246" s="14">
        <v>3</v>
      </c>
      <c r="AD246" s="14" t="s">
        <v>78</v>
      </c>
      <c r="AE246" s="17">
        <v>13.3</v>
      </c>
      <c r="AF246" s="15">
        <v>0</v>
      </c>
      <c r="AG246" s="20">
        <f t="shared" si="37"/>
        <v>378282</v>
      </c>
      <c r="AH246" s="14">
        <v>2</v>
      </c>
      <c r="AI246" s="14" t="s">
        <v>75</v>
      </c>
      <c r="AJ246" s="14">
        <v>240</v>
      </c>
      <c r="AK246" s="21">
        <f t="shared" si="38"/>
        <v>0.1</v>
      </c>
      <c r="AL246" s="20">
        <f t="shared" si="39"/>
        <v>21327.731073018731</v>
      </c>
      <c r="AM246" s="22">
        <f t="shared" si="40"/>
        <v>5.8424085734980782</v>
      </c>
      <c r="AN246" s="20">
        <f t="shared" si="41"/>
        <v>22304.44107301873</v>
      </c>
      <c r="AO246" s="16">
        <f t="shared" si="42"/>
        <v>0.70754963988829689</v>
      </c>
      <c r="AP246" s="15">
        <v>2591883</v>
      </c>
      <c r="AQ246" s="18">
        <f t="shared" si="43"/>
        <v>0.85269203895391887</v>
      </c>
      <c r="AR246" s="23">
        <v>45945</v>
      </c>
      <c r="AS246" s="14" t="s">
        <v>79</v>
      </c>
    </row>
    <row r="247" spans="1:45" x14ac:dyDescent="0.25">
      <c r="A247" s="14" t="s">
        <v>880</v>
      </c>
      <c r="B247" s="14" t="s">
        <v>881</v>
      </c>
      <c r="C247" s="14"/>
      <c r="D247" s="15" t="s">
        <v>882</v>
      </c>
      <c r="E247" s="14">
        <v>30</v>
      </c>
      <c r="F247" s="14" t="s">
        <v>89</v>
      </c>
      <c r="G247" s="14" t="s">
        <v>174</v>
      </c>
      <c r="H247" s="14" t="s">
        <v>132</v>
      </c>
      <c r="I247" s="14" t="s">
        <v>92</v>
      </c>
      <c r="J247" s="15">
        <v>547102</v>
      </c>
      <c r="K247" s="14">
        <v>2</v>
      </c>
      <c r="L247" s="14" t="s">
        <v>75</v>
      </c>
      <c r="M247" s="14" t="s">
        <v>75</v>
      </c>
      <c r="N247" s="14" t="s">
        <v>76</v>
      </c>
      <c r="O247" s="14" t="s">
        <v>76</v>
      </c>
      <c r="P247" s="14">
        <v>699</v>
      </c>
      <c r="Q247" s="15">
        <v>32413.89</v>
      </c>
      <c r="R247" s="15">
        <v>1543.52</v>
      </c>
      <c r="S247" s="14" t="s">
        <v>23</v>
      </c>
      <c r="T247" s="15">
        <v>4219735</v>
      </c>
      <c r="U247" s="16">
        <f t="shared" si="33"/>
        <v>3.3855186053057741E-2</v>
      </c>
      <c r="V247" s="14">
        <v>0</v>
      </c>
      <c r="W247" s="17">
        <v>94.4</v>
      </c>
      <c r="X247" s="14">
        <v>13.5</v>
      </c>
      <c r="Y247" s="18">
        <f t="shared" si="34"/>
        <v>23.9</v>
      </c>
      <c r="Z247" s="18" t="str">
        <f t="shared" si="35"/>
        <v>Low</v>
      </c>
      <c r="AA247" s="19" t="str">
        <f t="shared" si="36"/>
        <v>Eligible</v>
      </c>
      <c r="AB247" s="14" t="s">
        <v>85</v>
      </c>
      <c r="AC247" s="14">
        <v>0</v>
      </c>
      <c r="AD247" s="14" t="s">
        <v>93</v>
      </c>
      <c r="AE247" s="17">
        <v>2.4</v>
      </c>
      <c r="AF247" s="15">
        <v>0</v>
      </c>
      <c r="AG247" s="20">
        <f t="shared" si="37"/>
        <v>547102</v>
      </c>
      <c r="AH247" s="14">
        <v>0</v>
      </c>
      <c r="AI247" s="14" t="s">
        <v>76</v>
      </c>
      <c r="AJ247" s="14">
        <v>240</v>
      </c>
      <c r="AK247" s="21">
        <f t="shared" si="38"/>
        <v>8.5000000000000006E-2</v>
      </c>
      <c r="AL247" s="20">
        <f t="shared" si="39"/>
        <v>36619.840716457111</v>
      </c>
      <c r="AM247" s="22">
        <f t="shared" si="40"/>
        <v>7.7128853486187223</v>
      </c>
      <c r="AN247" s="20">
        <f t="shared" si="41"/>
        <v>38163.360716457108</v>
      </c>
      <c r="AO247" s="16">
        <f t="shared" si="42"/>
        <v>0.83706571827097198</v>
      </c>
      <c r="AP247" s="15">
        <v>4916658</v>
      </c>
      <c r="AQ247" s="18">
        <f t="shared" si="43"/>
        <v>0.85825269929289372</v>
      </c>
      <c r="AR247" s="23">
        <v>46132</v>
      </c>
      <c r="AS247" s="14" t="s">
        <v>79</v>
      </c>
    </row>
    <row r="248" spans="1:45" x14ac:dyDescent="0.25">
      <c r="A248" s="14" t="s">
        <v>883</v>
      </c>
      <c r="B248" s="14" t="s">
        <v>884</v>
      </c>
      <c r="C248" s="14">
        <v>9131038055</v>
      </c>
      <c r="D248" s="15" t="s">
        <v>885</v>
      </c>
      <c r="E248" s="14">
        <v>22</v>
      </c>
      <c r="F248" s="14" t="s">
        <v>89</v>
      </c>
      <c r="G248" s="14" t="s">
        <v>83</v>
      </c>
      <c r="H248" s="14" t="s">
        <v>73</v>
      </c>
      <c r="I248" s="14" t="s">
        <v>74</v>
      </c>
      <c r="J248" s="15">
        <v>1333124</v>
      </c>
      <c r="K248" s="14">
        <v>1</v>
      </c>
      <c r="L248" s="14" t="s">
        <v>75</v>
      </c>
      <c r="M248" s="14" t="s">
        <v>75</v>
      </c>
      <c r="N248" s="14" t="s">
        <v>76</v>
      </c>
      <c r="O248" s="14" t="s">
        <v>75</v>
      </c>
      <c r="P248" s="14">
        <v>756</v>
      </c>
      <c r="Q248" s="15">
        <v>67116.149999999994</v>
      </c>
      <c r="R248" s="15">
        <v>1290.7</v>
      </c>
      <c r="S248" s="14" t="s">
        <v>21</v>
      </c>
      <c r="T248" s="15">
        <v>870910</v>
      </c>
      <c r="U248" s="16">
        <f t="shared" si="33"/>
        <v>1.1618124045475142E-2</v>
      </c>
      <c r="V248" s="14">
        <v>6</v>
      </c>
      <c r="W248" s="17">
        <v>40.5</v>
      </c>
      <c r="X248" s="14">
        <v>14.8</v>
      </c>
      <c r="Y248" s="18">
        <f t="shared" si="34"/>
        <v>34</v>
      </c>
      <c r="Z248" s="18" t="str">
        <f t="shared" si="35"/>
        <v>Medium</v>
      </c>
      <c r="AA248" s="19" t="str">
        <f t="shared" si="36"/>
        <v>Not Eligible</v>
      </c>
      <c r="AB248" s="14" t="s">
        <v>77</v>
      </c>
      <c r="AC248" s="14">
        <v>2</v>
      </c>
      <c r="AD248" s="14" t="s">
        <v>78</v>
      </c>
      <c r="AE248" s="17">
        <v>0.9</v>
      </c>
      <c r="AF248" s="15">
        <v>0</v>
      </c>
      <c r="AG248" s="20">
        <f t="shared" si="37"/>
        <v>1333124</v>
      </c>
      <c r="AH248" s="14">
        <v>0</v>
      </c>
      <c r="AI248" s="14" t="s">
        <v>75</v>
      </c>
      <c r="AJ248" s="14">
        <v>60</v>
      </c>
      <c r="AK248" s="21">
        <f t="shared" si="38"/>
        <v>0.15500000000000003</v>
      </c>
      <c r="AL248" s="20">
        <f t="shared" si="39"/>
        <v>20948.164643228538</v>
      </c>
      <c r="AM248" s="22">
        <f t="shared" si="40"/>
        <v>0.65328506575532364</v>
      </c>
      <c r="AN248" s="20">
        <f t="shared" si="41"/>
        <v>22238.864643228539</v>
      </c>
      <c r="AO248" s="16">
        <f t="shared" si="42"/>
        <v>0.20018121023906441</v>
      </c>
      <c r="AP248" s="15">
        <v>0</v>
      </c>
      <c r="AQ248" s="18" t="str">
        <f t="shared" si="43"/>
        <v>N/A</v>
      </c>
      <c r="AR248" s="23">
        <v>46043</v>
      </c>
      <c r="AS248" s="14" t="s">
        <v>79</v>
      </c>
    </row>
    <row r="249" spans="1:45" x14ac:dyDescent="0.25">
      <c r="A249" s="14" t="s">
        <v>886</v>
      </c>
      <c r="B249" s="14" t="s">
        <v>887</v>
      </c>
      <c r="C249" s="14">
        <v>9164612445</v>
      </c>
      <c r="D249" s="15" t="s">
        <v>888</v>
      </c>
      <c r="E249" s="14">
        <v>38</v>
      </c>
      <c r="F249" s="14" t="s">
        <v>89</v>
      </c>
      <c r="G249" s="14" t="s">
        <v>153</v>
      </c>
      <c r="H249" s="14" t="s">
        <v>103</v>
      </c>
      <c r="I249" s="14" t="s">
        <v>74</v>
      </c>
      <c r="J249" s="15">
        <v>1192355</v>
      </c>
      <c r="K249" s="14">
        <v>1</v>
      </c>
      <c r="L249" s="14" t="s">
        <v>75</v>
      </c>
      <c r="M249" s="14" t="s">
        <v>75</v>
      </c>
      <c r="N249" s="14" t="s">
        <v>76</v>
      </c>
      <c r="O249" s="14" t="s">
        <v>75</v>
      </c>
      <c r="P249" s="14">
        <v>876</v>
      </c>
      <c r="Q249" s="15">
        <v>50032.57</v>
      </c>
      <c r="R249" s="15">
        <v>2943.09</v>
      </c>
      <c r="S249" s="14" t="s">
        <v>23</v>
      </c>
      <c r="T249" s="15">
        <v>7358849</v>
      </c>
      <c r="U249" s="16">
        <f t="shared" si="33"/>
        <v>2.9619601544841931E-2</v>
      </c>
      <c r="V249" s="14">
        <v>0</v>
      </c>
      <c r="W249" s="17">
        <v>18.3</v>
      </c>
      <c r="X249" s="14">
        <v>8.4</v>
      </c>
      <c r="Y249" s="18">
        <f t="shared" si="34"/>
        <v>4.3</v>
      </c>
      <c r="Z249" s="18" t="str">
        <f t="shared" si="35"/>
        <v>Low</v>
      </c>
      <c r="AA249" s="19" t="str">
        <f t="shared" si="36"/>
        <v>Eligible</v>
      </c>
      <c r="AB249" s="14" t="s">
        <v>85</v>
      </c>
      <c r="AC249" s="14">
        <v>1</v>
      </c>
      <c r="AD249" s="14" t="s">
        <v>93</v>
      </c>
      <c r="AE249" s="17">
        <v>16.3</v>
      </c>
      <c r="AF249" s="15">
        <v>661576</v>
      </c>
      <c r="AG249" s="20">
        <f t="shared" si="37"/>
        <v>1853931</v>
      </c>
      <c r="AH249" s="14">
        <v>0</v>
      </c>
      <c r="AI249" s="14" t="s">
        <v>75</v>
      </c>
      <c r="AJ249" s="14">
        <v>300</v>
      </c>
      <c r="AK249" s="21">
        <f t="shared" si="38"/>
        <v>8.5000000000000006E-2</v>
      </c>
      <c r="AL249" s="20">
        <f t="shared" si="39"/>
        <v>59255.445179082206</v>
      </c>
      <c r="AM249" s="22">
        <f t="shared" si="40"/>
        <v>6.1716929941166851</v>
      </c>
      <c r="AN249" s="20">
        <f t="shared" si="41"/>
        <v>62198.535179082202</v>
      </c>
      <c r="AO249" s="16">
        <f t="shared" si="42"/>
        <v>0.62597332350599144</v>
      </c>
      <c r="AP249" s="15">
        <v>8964942</v>
      </c>
      <c r="AQ249" s="18">
        <f t="shared" si="43"/>
        <v>0.82084736298349725</v>
      </c>
      <c r="AR249" s="23">
        <v>46234</v>
      </c>
      <c r="AS249" s="14" t="s">
        <v>94</v>
      </c>
    </row>
    <row r="250" spans="1:45" x14ac:dyDescent="0.25">
      <c r="A250" s="14" t="s">
        <v>889</v>
      </c>
      <c r="B250" s="14" t="s">
        <v>890</v>
      </c>
      <c r="C250" s="14"/>
      <c r="D250" s="15" t="s">
        <v>891</v>
      </c>
      <c r="E250" s="14">
        <v>42</v>
      </c>
      <c r="F250" s="14" t="s">
        <v>71</v>
      </c>
      <c r="G250" s="14" t="s">
        <v>72</v>
      </c>
      <c r="H250" s="14" t="s">
        <v>166</v>
      </c>
      <c r="I250" s="14" t="s">
        <v>74</v>
      </c>
      <c r="J250" s="15">
        <v>2298707</v>
      </c>
      <c r="K250" s="14">
        <v>3</v>
      </c>
      <c r="L250" s="14" t="s">
        <v>76</v>
      </c>
      <c r="M250" s="14" t="s">
        <v>76</v>
      </c>
      <c r="N250" s="14" t="s">
        <v>76</v>
      </c>
      <c r="O250" s="14" t="s">
        <v>75</v>
      </c>
      <c r="P250" s="14">
        <v>800</v>
      </c>
      <c r="Q250" s="15"/>
      <c r="R250" s="15">
        <v>22861.1</v>
      </c>
      <c r="S250" s="14" t="s">
        <v>20</v>
      </c>
      <c r="T250" s="15"/>
      <c r="U250" s="16">
        <f t="shared" si="33"/>
        <v>0.11934239552931276</v>
      </c>
      <c r="V250" s="14">
        <v>4</v>
      </c>
      <c r="W250" s="17">
        <v>66.900000000000006</v>
      </c>
      <c r="X250" s="14">
        <v>8.1999999999999993</v>
      </c>
      <c r="Y250" s="18">
        <f t="shared" si="34"/>
        <v>32.9</v>
      </c>
      <c r="Z250" s="18" t="str">
        <f t="shared" si="35"/>
        <v>Medium</v>
      </c>
      <c r="AA250" s="19" t="str">
        <f t="shared" si="36"/>
        <v>Review</v>
      </c>
      <c r="AB250" s="14" t="s">
        <v>77</v>
      </c>
      <c r="AC250" s="14">
        <v>3</v>
      </c>
      <c r="AD250" s="14" t="s">
        <v>78</v>
      </c>
      <c r="AE250" s="17">
        <v>2.9</v>
      </c>
      <c r="AF250" s="15">
        <v>0</v>
      </c>
      <c r="AG250" s="20">
        <f t="shared" si="37"/>
        <v>2298707</v>
      </c>
      <c r="AH250" s="14">
        <v>0</v>
      </c>
      <c r="AI250" s="14" t="s">
        <v>75</v>
      </c>
      <c r="AJ250" s="14">
        <v>36</v>
      </c>
      <c r="AK250" s="21">
        <f t="shared" si="38"/>
        <v>0.375</v>
      </c>
      <c r="AL250" s="20">
        <f t="shared" si="39"/>
        <v>0</v>
      </c>
      <c r="AM250" s="22">
        <f t="shared" si="40"/>
        <v>0</v>
      </c>
      <c r="AN250" s="20">
        <f t="shared" si="41"/>
        <v>22861.1</v>
      </c>
      <c r="AO250" s="16">
        <f t="shared" si="42"/>
        <v>0.11934239552931276</v>
      </c>
      <c r="AP250" s="15">
        <v>0</v>
      </c>
      <c r="AQ250" s="18" t="str">
        <f t="shared" si="43"/>
        <v>N/A</v>
      </c>
      <c r="AR250" s="23">
        <v>45985</v>
      </c>
      <c r="AS250" s="14" t="s">
        <v>79</v>
      </c>
    </row>
    <row r="251" spans="1:45" x14ac:dyDescent="0.25">
      <c r="A251" s="14" t="s">
        <v>892</v>
      </c>
      <c r="B251" s="14" t="s">
        <v>146</v>
      </c>
      <c r="C251" s="14">
        <v>9109053121</v>
      </c>
      <c r="D251" s="15" t="s">
        <v>893</v>
      </c>
      <c r="E251" s="14">
        <v>44</v>
      </c>
      <c r="F251" s="14" t="s">
        <v>71</v>
      </c>
      <c r="G251" s="14" t="s">
        <v>417</v>
      </c>
      <c r="H251" s="14" t="s">
        <v>166</v>
      </c>
      <c r="I251" s="14" t="s">
        <v>74</v>
      </c>
      <c r="J251" s="15">
        <v>1229125</v>
      </c>
      <c r="K251" s="14">
        <v>0</v>
      </c>
      <c r="L251" s="14" t="s">
        <v>75</v>
      </c>
      <c r="M251" s="14" t="s">
        <v>75</v>
      </c>
      <c r="N251" s="14" t="s">
        <v>75</v>
      </c>
      <c r="O251" s="14" t="s">
        <v>75</v>
      </c>
      <c r="P251" s="14">
        <v>496</v>
      </c>
      <c r="Q251" s="15">
        <v>11058.01</v>
      </c>
      <c r="R251" s="15">
        <v>216.82</v>
      </c>
      <c r="S251" s="14" t="s">
        <v>22</v>
      </c>
      <c r="T251" s="15">
        <v>763780</v>
      </c>
      <c r="U251" s="16">
        <f t="shared" si="33"/>
        <v>2.1168229431506153E-3</v>
      </c>
      <c r="V251" s="14">
        <v>0</v>
      </c>
      <c r="W251" s="17">
        <v>51.9</v>
      </c>
      <c r="X251" s="14">
        <v>5.6</v>
      </c>
      <c r="Y251" s="18">
        <f t="shared" si="34"/>
        <v>32.200000000000003</v>
      </c>
      <c r="Z251" s="18" t="str">
        <f t="shared" si="35"/>
        <v>Medium</v>
      </c>
      <c r="AA251" s="19" t="str">
        <f t="shared" si="36"/>
        <v>Not Eligible</v>
      </c>
      <c r="AB251" s="14" t="s">
        <v>85</v>
      </c>
      <c r="AC251" s="14">
        <v>3</v>
      </c>
      <c r="AD251" s="14" t="s">
        <v>93</v>
      </c>
      <c r="AE251" s="17">
        <v>5</v>
      </c>
      <c r="AF251" s="15">
        <v>765843</v>
      </c>
      <c r="AG251" s="20">
        <f t="shared" si="37"/>
        <v>1994968</v>
      </c>
      <c r="AH251" s="14">
        <v>0</v>
      </c>
      <c r="AI251" s="14" t="s">
        <v>75</v>
      </c>
      <c r="AJ251" s="14">
        <v>72</v>
      </c>
      <c r="AK251" s="21">
        <f t="shared" si="38"/>
        <v>0.105</v>
      </c>
      <c r="AL251" s="20">
        <f t="shared" si="39"/>
        <v>14343.001683151535</v>
      </c>
      <c r="AM251" s="22">
        <f t="shared" si="40"/>
        <v>0.62140140343740469</v>
      </c>
      <c r="AN251" s="20">
        <f t="shared" si="41"/>
        <v>14559.821683151535</v>
      </c>
      <c r="AO251" s="16">
        <f t="shared" si="42"/>
        <v>0.14214816247152928</v>
      </c>
      <c r="AP251" s="15">
        <v>878397</v>
      </c>
      <c r="AQ251" s="18">
        <f t="shared" si="43"/>
        <v>0.86951572011288747</v>
      </c>
      <c r="AR251" s="23">
        <v>45982</v>
      </c>
      <c r="AS251" s="14" t="s">
        <v>79</v>
      </c>
    </row>
    <row r="252" spans="1:45" x14ac:dyDescent="0.25">
      <c r="A252" s="14" t="s">
        <v>894</v>
      </c>
      <c r="B252" s="14" t="s">
        <v>895</v>
      </c>
      <c r="C252" s="14">
        <v>9707423317</v>
      </c>
      <c r="D252" s="15" t="s">
        <v>897</v>
      </c>
      <c r="E252" s="14">
        <v>57</v>
      </c>
      <c r="F252" s="14" t="s">
        <v>71</v>
      </c>
      <c r="G252" s="14" t="s">
        <v>120</v>
      </c>
      <c r="H252" s="14" t="s">
        <v>132</v>
      </c>
      <c r="I252" s="14" t="s">
        <v>92</v>
      </c>
      <c r="J252" s="15">
        <v>572836</v>
      </c>
      <c r="K252" s="14">
        <v>1</v>
      </c>
      <c r="L252" s="14" t="s">
        <v>76</v>
      </c>
      <c r="M252" s="14" t="s">
        <v>75</v>
      </c>
      <c r="N252" s="14" t="s">
        <v>75</v>
      </c>
      <c r="O252" s="14" t="s">
        <v>75</v>
      </c>
      <c r="P252" s="14">
        <v>580</v>
      </c>
      <c r="Q252" s="15">
        <v>65939.679999999993</v>
      </c>
      <c r="R252" s="15">
        <v>1198.9000000000001</v>
      </c>
      <c r="S252" s="14" t="s">
        <v>20</v>
      </c>
      <c r="T252" s="15">
        <v>383324</v>
      </c>
      <c r="U252" s="16">
        <f t="shared" si="33"/>
        <v>2.5115041652410117E-2</v>
      </c>
      <c r="V252" s="14">
        <v>2</v>
      </c>
      <c r="W252" s="17">
        <v>63.4</v>
      </c>
      <c r="X252" s="14">
        <v>10.3</v>
      </c>
      <c r="Y252" s="18">
        <f t="shared" si="34"/>
        <v>36.4</v>
      </c>
      <c r="Z252" s="18" t="str">
        <f t="shared" si="35"/>
        <v>Medium</v>
      </c>
      <c r="AA252" s="19" t="str">
        <f t="shared" si="36"/>
        <v>Review</v>
      </c>
      <c r="AB252" s="14" t="s">
        <v>77</v>
      </c>
      <c r="AC252" s="14">
        <v>0</v>
      </c>
      <c r="AD252" s="14" t="s">
        <v>78</v>
      </c>
      <c r="AE252" s="17">
        <v>20.3</v>
      </c>
      <c r="AF252" s="15">
        <v>0</v>
      </c>
      <c r="AG252" s="20">
        <f t="shared" si="37"/>
        <v>572836</v>
      </c>
      <c r="AH252" s="14">
        <v>2</v>
      </c>
      <c r="AI252" s="14" t="s">
        <v>75</v>
      </c>
      <c r="AJ252" s="14">
        <v>36</v>
      </c>
      <c r="AK252" s="21">
        <f t="shared" si="38"/>
        <v>0.375</v>
      </c>
      <c r="AL252" s="20">
        <f t="shared" si="39"/>
        <v>17886.699687125594</v>
      </c>
      <c r="AM252" s="22">
        <f t="shared" si="40"/>
        <v>0.66916883715408948</v>
      </c>
      <c r="AN252" s="20">
        <f t="shared" si="41"/>
        <v>19085.599687125596</v>
      </c>
      <c r="AO252" s="16">
        <f t="shared" si="42"/>
        <v>0.3998128543693259</v>
      </c>
      <c r="AP252" s="15">
        <v>0</v>
      </c>
      <c r="AQ252" s="18" t="str">
        <f t="shared" si="43"/>
        <v>N/A</v>
      </c>
      <c r="AR252" s="23">
        <v>46035</v>
      </c>
      <c r="AS252" s="14" t="s">
        <v>79</v>
      </c>
    </row>
    <row r="253" spans="1:45" x14ac:dyDescent="0.25">
      <c r="A253" s="14" t="s">
        <v>898</v>
      </c>
      <c r="B253" s="14" t="s">
        <v>899</v>
      </c>
      <c r="C253" s="14">
        <v>9632119301</v>
      </c>
      <c r="D253" s="15" t="s">
        <v>901</v>
      </c>
      <c r="E253" s="14">
        <v>23</v>
      </c>
      <c r="F253" s="14" t="s">
        <v>71</v>
      </c>
      <c r="G253" s="14" t="s">
        <v>90</v>
      </c>
      <c r="H253" s="14" t="s">
        <v>84</v>
      </c>
      <c r="I253" s="14" t="s">
        <v>74</v>
      </c>
      <c r="J253" s="15">
        <v>2061868</v>
      </c>
      <c r="K253" s="14">
        <v>1</v>
      </c>
      <c r="L253" s="14" t="s">
        <v>76</v>
      </c>
      <c r="M253" s="14" t="s">
        <v>75</v>
      </c>
      <c r="N253" s="14" t="s">
        <v>75</v>
      </c>
      <c r="O253" s="14" t="s">
        <v>75</v>
      </c>
      <c r="P253" s="14">
        <v>885</v>
      </c>
      <c r="Q253" s="15">
        <v>999188.96</v>
      </c>
      <c r="R253" s="15">
        <v>16935.41</v>
      </c>
      <c r="S253" s="14" t="s">
        <v>21</v>
      </c>
      <c r="T253" s="15"/>
      <c r="U253" s="16">
        <f t="shared" si="33"/>
        <v>9.8563496790289182E-2</v>
      </c>
      <c r="V253" s="14">
        <v>0</v>
      </c>
      <c r="W253" s="17">
        <v>12.1</v>
      </c>
      <c r="X253" s="14">
        <v>3.9</v>
      </c>
      <c r="Y253" s="18">
        <f t="shared" si="34"/>
        <v>5.2</v>
      </c>
      <c r="Z253" s="18" t="str">
        <f t="shared" si="35"/>
        <v>Low</v>
      </c>
      <c r="AA253" s="19" t="str">
        <f t="shared" si="36"/>
        <v>Eligible</v>
      </c>
      <c r="AB253" s="14" t="s">
        <v>85</v>
      </c>
      <c r="AC253" s="14">
        <v>1</v>
      </c>
      <c r="AD253" s="14" t="s">
        <v>93</v>
      </c>
      <c r="AE253" s="17">
        <v>0.5</v>
      </c>
      <c r="AF253" s="15">
        <v>0</v>
      </c>
      <c r="AG253" s="20">
        <f t="shared" si="37"/>
        <v>2061868</v>
      </c>
      <c r="AH253" s="14">
        <v>2</v>
      </c>
      <c r="AI253" s="14" t="s">
        <v>75</v>
      </c>
      <c r="AJ253" s="14">
        <v>36</v>
      </c>
      <c r="AK253" s="21">
        <f t="shared" si="38"/>
        <v>0.14000000000000001</v>
      </c>
      <c r="AL253" s="20">
        <f t="shared" si="39"/>
        <v>0</v>
      </c>
      <c r="AM253" s="22">
        <f t="shared" si="40"/>
        <v>0</v>
      </c>
      <c r="AN253" s="20">
        <f t="shared" si="41"/>
        <v>16935.41</v>
      </c>
      <c r="AO253" s="16">
        <f t="shared" si="42"/>
        <v>9.8563496790289182E-2</v>
      </c>
      <c r="AP253" s="15">
        <v>0</v>
      </c>
      <c r="AQ253" s="18" t="str">
        <f t="shared" si="43"/>
        <v>N/A</v>
      </c>
      <c r="AR253" s="23">
        <v>46023</v>
      </c>
      <c r="AS253" s="14" t="s">
        <v>79</v>
      </c>
    </row>
    <row r="254" spans="1:45" x14ac:dyDescent="0.25">
      <c r="A254" s="14" t="s">
        <v>902</v>
      </c>
      <c r="B254" s="14" t="s">
        <v>903</v>
      </c>
      <c r="C254" s="14"/>
      <c r="D254" s="15" t="s">
        <v>904</v>
      </c>
      <c r="E254" s="14">
        <v>42</v>
      </c>
      <c r="F254" s="14" t="s">
        <v>71</v>
      </c>
      <c r="G254" s="14" t="s">
        <v>120</v>
      </c>
      <c r="H254" s="14" t="s">
        <v>107</v>
      </c>
      <c r="I254" s="14" t="s">
        <v>92</v>
      </c>
      <c r="J254" s="15">
        <v>701272</v>
      </c>
      <c r="K254" s="14">
        <v>2</v>
      </c>
      <c r="L254" s="14" t="s">
        <v>75</v>
      </c>
      <c r="M254" s="14" t="s">
        <v>75</v>
      </c>
      <c r="N254" s="14" t="s">
        <v>76</v>
      </c>
      <c r="O254" s="14" t="s">
        <v>76</v>
      </c>
      <c r="P254" s="14">
        <v>334</v>
      </c>
      <c r="Q254" s="15">
        <v>158794</v>
      </c>
      <c r="R254" s="15">
        <v>2835.61</v>
      </c>
      <c r="S254" s="14" t="s">
        <v>20</v>
      </c>
      <c r="T254" s="15"/>
      <c r="U254" s="16">
        <f t="shared" si="33"/>
        <v>4.8522285218859443E-2</v>
      </c>
      <c r="V254" s="14">
        <v>0</v>
      </c>
      <c r="W254" s="17">
        <v>92.3</v>
      </c>
      <c r="X254" s="14">
        <v>6.7</v>
      </c>
      <c r="Y254" s="18">
        <f t="shared" si="34"/>
        <v>48.4</v>
      </c>
      <c r="Z254" s="18" t="str">
        <f t="shared" si="35"/>
        <v>Medium</v>
      </c>
      <c r="AA254" s="19" t="str">
        <f t="shared" si="36"/>
        <v>Not Eligible</v>
      </c>
      <c r="AB254" s="14" t="s">
        <v>85</v>
      </c>
      <c r="AC254" s="14">
        <v>2</v>
      </c>
      <c r="AD254" s="14" t="s">
        <v>78</v>
      </c>
      <c r="AE254" s="17">
        <v>14.3</v>
      </c>
      <c r="AF254" s="15">
        <v>0</v>
      </c>
      <c r="AG254" s="20">
        <f t="shared" si="37"/>
        <v>701272</v>
      </c>
      <c r="AH254" s="14">
        <v>0</v>
      </c>
      <c r="AI254" s="14" t="s">
        <v>75</v>
      </c>
      <c r="AJ254" s="14">
        <v>12</v>
      </c>
      <c r="AK254" s="21">
        <f t="shared" si="38"/>
        <v>0.375</v>
      </c>
      <c r="AL254" s="20">
        <f t="shared" si="39"/>
        <v>0</v>
      </c>
      <c r="AM254" s="22">
        <f t="shared" si="40"/>
        <v>0</v>
      </c>
      <c r="AN254" s="20">
        <f t="shared" si="41"/>
        <v>2835.61</v>
      </c>
      <c r="AO254" s="16">
        <f t="shared" si="42"/>
        <v>4.8522285218859443E-2</v>
      </c>
      <c r="AP254" s="15">
        <v>0</v>
      </c>
      <c r="AQ254" s="18" t="str">
        <f t="shared" si="43"/>
        <v>N/A</v>
      </c>
      <c r="AR254" s="23">
        <v>46211</v>
      </c>
      <c r="AS254" s="14" t="s">
        <v>79</v>
      </c>
    </row>
    <row r="255" spans="1:45" x14ac:dyDescent="0.25">
      <c r="A255" s="14" t="s">
        <v>905</v>
      </c>
      <c r="B255" s="14" t="s">
        <v>906</v>
      </c>
      <c r="C255" s="14">
        <v>9743789670</v>
      </c>
      <c r="D255" s="15" t="s">
        <v>907</v>
      </c>
      <c r="E255" s="14">
        <v>21</v>
      </c>
      <c r="F255" s="14" t="s">
        <v>89</v>
      </c>
      <c r="G255" s="14" t="s">
        <v>153</v>
      </c>
      <c r="H255" s="14" t="s">
        <v>107</v>
      </c>
      <c r="I255" s="14" t="s">
        <v>92</v>
      </c>
      <c r="J255" s="15">
        <v>2095605</v>
      </c>
      <c r="K255" s="14">
        <v>0</v>
      </c>
      <c r="L255" s="14" t="s">
        <v>75</v>
      </c>
      <c r="M255" s="14" t="s">
        <v>75</v>
      </c>
      <c r="N255" s="14" t="s">
        <v>75</v>
      </c>
      <c r="O255" s="14" t="s">
        <v>75</v>
      </c>
      <c r="P255" s="14">
        <v>326</v>
      </c>
      <c r="Q255" s="15">
        <v>95157</v>
      </c>
      <c r="R255" s="15">
        <v>2883.53</v>
      </c>
      <c r="S255" s="14" t="s">
        <v>21</v>
      </c>
      <c r="T255" s="15"/>
      <c r="U255" s="16">
        <f t="shared" si="33"/>
        <v>1.6511871273450867E-2</v>
      </c>
      <c r="V255" s="14">
        <v>0</v>
      </c>
      <c r="W255" s="17">
        <v>61.5</v>
      </c>
      <c r="X255" s="14">
        <v>1.2</v>
      </c>
      <c r="Y255" s="18">
        <f t="shared" si="34"/>
        <v>44.9</v>
      </c>
      <c r="Z255" s="18" t="str">
        <f t="shared" si="35"/>
        <v>Medium</v>
      </c>
      <c r="AA255" s="19" t="str">
        <f t="shared" si="36"/>
        <v>Not Eligible</v>
      </c>
      <c r="AB255" s="14" t="s">
        <v>77</v>
      </c>
      <c r="AC255" s="14">
        <v>0</v>
      </c>
      <c r="AD255" s="14" t="s">
        <v>93</v>
      </c>
      <c r="AE255" s="17">
        <v>0.3</v>
      </c>
      <c r="AF255" s="15">
        <v>0</v>
      </c>
      <c r="AG255" s="20">
        <f t="shared" si="37"/>
        <v>2095605</v>
      </c>
      <c r="AH255" s="14">
        <v>0</v>
      </c>
      <c r="AI255" s="14" t="s">
        <v>75</v>
      </c>
      <c r="AJ255" s="14">
        <v>60</v>
      </c>
      <c r="AK255" s="21">
        <f t="shared" si="38"/>
        <v>0.15500000000000003</v>
      </c>
      <c r="AL255" s="20">
        <f t="shared" si="39"/>
        <v>0</v>
      </c>
      <c r="AM255" s="22">
        <f t="shared" si="40"/>
        <v>0</v>
      </c>
      <c r="AN255" s="20">
        <f t="shared" si="41"/>
        <v>2883.53</v>
      </c>
      <c r="AO255" s="16">
        <f t="shared" si="42"/>
        <v>1.6511871273450867E-2</v>
      </c>
      <c r="AP255" s="15">
        <v>0</v>
      </c>
      <c r="AQ255" s="18" t="str">
        <f t="shared" si="43"/>
        <v>N/A</v>
      </c>
      <c r="AR255" s="23">
        <v>46122</v>
      </c>
      <c r="AS255" s="14" t="s">
        <v>79</v>
      </c>
    </row>
    <row r="256" spans="1:45" x14ac:dyDescent="0.25">
      <c r="A256" s="14" t="s">
        <v>908</v>
      </c>
      <c r="B256" s="14" t="s">
        <v>909</v>
      </c>
      <c r="C256" s="14">
        <v>9147320653</v>
      </c>
      <c r="D256" s="15" t="s">
        <v>910</v>
      </c>
      <c r="E256" s="14">
        <v>40</v>
      </c>
      <c r="F256" s="14" t="s">
        <v>89</v>
      </c>
      <c r="G256" s="14" t="s">
        <v>314</v>
      </c>
      <c r="H256" s="14" t="s">
        <v>103</v>
      </c>
      <c r="I256" s="14" t="s">
        <v>74</v>
      </c>
      <c r="J256" s="15">
        <v>1605218</v>
      </c>
      <c r="K256" s="14">
        <v>1</v>
      </c>
      <c r="L256" s="14" t="s">
        <v>75</v>
      </c>
      <c r="M256" s="14" t="s">
        <v>75</v>
      </c>
      <c r="N256" s="14" t="s">
        <v>76</v>
      </c>
      <c r="O256" s="14" t="s">
        <v>75</v>
      </c>
      <c r="P256" s="14">
        <v>651</v>
      </c>
      <c r="Q256" s="15">
        <v>280332.65000000002</v>
      </c>
      <c r="R256" s="15">
        <v>23361.05</v>
      </c>
      <c r="S256" s="14" t="s">
        <v>21</v>
      </c>
      <c r="T256" s="15">
        <v>110101</v>
      </c>
      <c r="U256" s="16">
        <f t="shared" si="33"/>
        <v>0.17463833572760831</v>
      </c>
      <c r="V256" s="14">
        <v>0</v>
      </c>
      <c r="W256" s="17">
        <v>82.8</v>
      </c>
      <c r="X256" s="14">
        <v>8.5</v>
      </c>
      <c r="Y256" s="18">
        <f t="shared" si="34"/>
        <v>30.1</v>
      </c>
      <c r="Z256" s="18" t="str">
        <f t="shared" si="35"/>
        <v>Medium</v>
      </c>
      <c r="AA256" s="19" t="str">
        <f t="shared" si="36"/>
        <v>Eligible</v>
      </c>
      <c r="AB256" s="14" t="s">
        <v>85</v>
      </c>
      <c r="AC256" s="14">
        <v>1</v>
      </c>
      <c r="AD256" s="14" t="s">
        <v>194</v>
      </c>
      <c r="AE256" s="17">
        <v>12.3</v>
      </c>
      <c r="AF256" s="15">
        <v>201303</v>
      </c>
      <c r="AG256" s="20">
        <f t="shared" si="37"/>
        <v>1806521</v>
      </c>
      <c r="AH256" s="14">
        <v>0</v>
      </c>
      <c r="AI256" s="14" t="s">
        <v>75</v>
      </c>
      <c r="AJ256" s="14">
        <v>48</v>
      </c>
      <c r="AK256" s="21">
        <f t="shared" si="38"/>
        <v>0.15500000000000003</v>
      </c>
      <c r="AL256" s="20">
        <f t="shared" si="39"/>
        <v>3092.171049204152</v>
      </c>
      <c r="AM256" s="22">
        <f t="shared" si="40"/>
        <v>6.8589437696312899E-2</v>
      </c>
      <c r="AN256" s="20">
        <f t="shared" si="41"/>
        <v>26453.221049204152</v>
      </c>
      <c r="AO256" s="16">
        <f t="shared" si="42"/>
        <v>0.19775423188031149</v>
      </c>
      <c r="AP256" s="15">
        <v>0</v>
      </c>
      <c r="AQ256" s="18" t="str">
        <f t="shared" si="43"/>
        <v>N/A</v>
      </c>
      <c r="AR256" s="23">
        <v>46202</v>
      </c>
      <c r="AS256" s="14" t="s">
        <v>79</v>
      </c>
    </row>
    <row r="257" spans="1:45" x14ac:dyDescent="0.25">
      <c r="A257" s="14" t="s">
        <v>911</v>
      </c>
      <c r="B257" s="14" t="s">
        <v>912</v>
      </c>
      <c r="C257" s="14">
        <v>9707841924</v>
      </c>
      <c r="D257" s="15" t="s">
        <v>914</v>
      </c>
      <c r="E257" s="14">
        <v>60</v>
      </c>
      <c r="F257" s="14" t="s">
        <v>89</v>
      </c>
      <c r="G257" s="14" t="s">
        <v>174</v>
      </c>
      <c r="H257" s="14" t="s">
        <v>103</v>
      </c>
      <c r="I257" s="14" t="s">
        <v>74</v>
      </c>
      <c r="J257" s="15">
        <v>980651</v>
      </c>
      <c r="K257" s="14">
        <v>1</v>
      </c>
      <c r="L257" s="14" t="s">
        <v>76</v>
      </c>
      <c r="M257" s="14" t="s">
        <v>75</v>
      </c>
      <c r="N257" s="14" t="s">
        <v>75</v>
      </c>
      <c r="O257" s="14" t="s">
        <v>75</v>
      </c>
      <c r="P257" s="14">
        <v>303</v>
      </c>
      <c r="Q257" s="15">
        <v>375844.53</v>
      </c>
      <c r="R257" s="15">
        <v>6711.51</v>
      </c>
      <c r="S257" s="14" t="s">
        <v>21</v>
      </c>
      <c r="T257" s="15">
        <v>539199</v>
      </c>
      <c r="U257" s="16">
        <f t="shared" si="33"/>
        <v>8.2127199176873319E-2</v>
      </c>
      <c r="V257" s="14">
        <v>1</v>
      </c>
      <c r="W257" s="17">
        <v>27.7</v>
      </c>
      <c r="X257" s="14">
        <v>11.1</v>
      </c>
      <c r="Y257" s="18">
        <f t="shared" si="34"/>
        <v>49</v>
      </c>
      <c r="Z257" s="18" t="str">
        <f t="shared" si="35"/>
        <v>Medium</v>
      </c>
      <c r="AA257" s="19" t="str">
        <f t="shared" si="36"/>
        <v>Not Eligible</v>
      </c>
      <c r="AB257" s="14" t="s">
        <v>161</v>
      </c>
      <c r="AC257" s="14">
        <v>1</v>
      </c>
      <c r="AD257" s="14" t="s">
        <v>93</v>
      </c>
      <c r="AE257" s="17">
        <v>6.4</v>
      </c>
      <c r="AF257" s="15">
        <v>892409</v>
      </c>
      <c r="AG257" s="20">
        <f t="shared" si="37"/>
        <v>1873060</v>
      </c>
      <c r="AH257" s="14">
        <v>0</v>
      </c>
      <c r="AI257" s="14" t="s">
        <v>75</v>
      </c>
      <c r="AJ257" s="14">
        <v>12</v>
      </c>
      <c r="AK257" s="21">
        <f t="shared" si="38"/>
        <v>0.15500000000000003</v>
      </c>
      <c r="AL257" s="20">
        <f t="shared" si="39"/>
        <v>48794.498819751985</v>
      </c>
      <c r="AM257" s="22">
        <f t="shared" si="40"/>
        <v>0.54983781182092306</v>
      </c>
      <c r="AN257" s="20">
        <f t="shared" si="41"/>
        <v>55506.008819751987</v>
      </c>
      <c r="AO257" s="16">
        <f t="shared" si="42"/>
        <v>0.67921422181492075</v>
      </c>
      <c r="AP257" s="15">
        <v>0</v>
      </c>
      <c r="AQ257" s="18" t="str">
        <f t="shared" si="43"/>
        <v>N/A</v>
      </c>
      <c r="AR257" s="23">
        <v>46179</v>
      </c>
      <c r="AS257" s="14" t="s">
        <v>79</v>
      </c>
    </row>
    <row r="258" spans="1:45" x14ac:dyDescent="0.25">
      <c r="A258" s="14" t="s">
        <v>915</v>
      </c>
      <c r="B258" s="14" t="s">
        <v>916</v>
      </c>
      <c r="C258" s="14">
        <v>9308739111</v>
      </c>
      <c r="D258" s="15" t="s">
        <v>918</v>
      </c>
      <c r="E258" s="14">
        <v>44</v>
      </c>
      <c r="F258" s="14" t="s">
        <v>71</v>
      </c>
      <c r="G258" s="14" t="s">
        <v>127</v>
      </c>
      <c r="H258" s="14" t="s">
        <v>91</v>
      </c>
      <c r="I258" s="14" t="s">
        <v>92</v>
      </c>
      <c r="J258" s="15">
        <v>1129738</v>
      </c>
      <c r="K258" s="14">
        <v>3</v>
      </c>
      <c r="L258" s="14" t="s">
        <v>76</v>
      </c>
      <c r="M258" s="14" t="s">
        <v>76</v>
      </c>
      <c r="N258" s="14" t="s">
        <v>75</v>
      </c>
      <c r="O258" s="14" t="s">
        <v>76</v>
      </c>
      <c r="P258" s="14">
        <v>867</v>
      </c>
      <c r="Q258" s="15">
        <v>166725.1</v>
      </c>
      <c r="R258" s="15">
        <v>6946.88</v>
      </c>
      <c r="S258" s="14" t="s">
        <v>20</v>
      </c>
      <c r="T258" s="15">
        <v>112315</v>
      </c>
      <c r="U258" s="16">
        <f t="shared" ref="U258:U321" si="44">IFERROR((R258*12)/J258,0)</f>
        <v>7.3789285657382506E-2</v>
      </c>
      <c r="V258" s="14">
        <v>3</v>
      </c>
      <c r="W258" s="17">
        <v>91.5</v>
      </c>
      <c r="X258" s="14">
        <v>0.5</v>
      </c>
      <c r="Y258" s="18">
        <f t="shared" ref="Y258:Y321" si="45">ROUND(0.4*((900-P258)/600*100)+0.3*MIN(U258*100,100)+0.2*MIN(V258*20,100)+0.1*W258,1)</f>
        <v>25.6</v>
      </c>
      <c r="Z258" s="18" t="str">
        <f t="shared" ref="Z258:Z321" si="46">IF(Y258&lt;=30,"Low",IF(Y258&lt;=60,"Medium","High"))</f>
        <v>Low</v>
      </c>
      <c r="AA258" s="19" t="str">
        <f t="shared" ref="AA258:AA321" si="47">IF(AND(P258&gt;=650,U258&lt;=0.4,V258&lt;=2,Y258&lt;=50),"Eligible",IF(AND(P258&gt;=550,V258&lt;=4,Y258&lt;=75),"Review","Not Eligible"))</f>
        <v>Review</v>
      </c>
      <c r="AB258" s="14" t="s">
        <v>77</v>
      </c>
      <c r="AC258" s="14">
        <v>1</v>
      </c>
      <c r="AD258" s="14" t="s">
        <v>93</v>
      </c>
      <c r="AE258" s="17">
        <v>2.8</v>
      </c>
      <c r="AF258" s="15">
        <v>0</v>
      </c>
      <c r="AG258" s="20">
        <f t="shared" ref="AG258:AG321" si="48">J258+AF258</f>
        <v>1129738</v>
      </c>
      <c r="AH258" s="14">
        <v>0</v>
      </c>
      <c r="AI258" s="14" t="s">
        <v>75</v>
      </c>
      <c r="AJ258" s="14">
        <v>24</v>
      </c>
      <c r="AK258" s="21">
        <f t="shared" ref="AK258:AK321" si="49">(IF(S258="Credit Card",0.36,IF(S258="Personal Loan",0.14,IF(S258="Car Loan",0.09,0.085))))+IF(Z258="Low",0,IF(Z258="Medium",0.015,0.03))</f>
        <v>0.36</v>
      </c>
      <c r="AL258" s="20">
        <f t="shared" ref="AL258:AL321" si="50">-PMT(AK258/12,AJ258,T258)</f>
        <v>6631.9105223085517</v>
      </c>
      <c r="AM258" s="22">
        <f t="shared" ref="AM258:AM321" si="51">IFERROR(T258/J258,0)</f>
        <v>9.9416855943590454E-2</v>
      </c>
      <c r="AN258" s="20">
        <f t="shared" ref="AN258:AN321" si="52">R258+AL258</f>
        <v>13578.790522308551</v>
      </c>
      <c r="AO258" s="16">
        <f t="shared" ref="AO258:AO321" si="53">IFERROR((AN258*12)/J258,0)</f>
        <v>0.14423298700026255</v>
      </c>
      <c r="AP258" s="15">
        <v>0</v>
      </c>
      <c r="AQ258" s="18" t="str">
        <f t="shared" ref="AQ258:AQ321" si="54">IF(AP258&gt;0,T258/AP258,"N/A")</f>
        <v>N/A</v>
      </c>
      <c r="AR258" s="23">
        <v>46233</v>
      </c>
      <c r="AS258" s="14" t="s">
        <v>79</v>
      </c>
    </row>
    <row r="259" spans="1:45" x14ac:dyDescent="0.25">
      <c r="A259" s="14" t="s">
        <v>919</v>
      </c>
      <c r="B259" s="14" t="s">
        <v>920</v>
      </c>
      <c r="C259" s="14"/>
      <c r="D259" s="15" t="s">
        <v>921</v>
      </c>
      <c r="E259" s="14">
        <v>25</v>
      </c>
      <c r="F259" s="14" t="s">
        <v>71</v>
      </c>
      <c r="G259" s="14" t="s">
        <v>72</v>
      </c>
      <c r="H259" s="14" t="s">
        <v>132</v>
      </c>
      <c r="I259" s="14" t="s">
        <v>92</v>
      </c>
      <c r="J259" s="15">
        <v>1095412</v>
      </c>
      <c r="K259" s="14">
        <v>1</v>
      </c>
      <c r="L259" s="14" t="s">
        <v>76</v>
      </c>
      <c r="M259" s="14" t="s">
        <v>75</v>
      </c>
      <c r="N259" s="14" t="s">
        <v>75</v>
      </c>
      <c r="O259" s="14" t="s">
        <v>75</v>
      </c>
      <c r="P259" s="14">
        <v>550</v>
      </c>
      <c r="Q259" s="15">
        <v>605334</v>
      </c>
      <c r="R259" s="15">
        <v>10088.89</v>
      </c>
      <c r="S259" s="14" t="s">
        <v>21</v>
      </c>
      <c r="T259" s="15">
        <v>945940</v>
      </c>
      <c r="U259" s="16">
        <f t="shared" si="44"/>
        <v>0.11052159370173048</v>
      </c>
      <c r="V259" s="14">
        <v>1</v>
      </c>
      <c r="W259" s="17">
        <v>80</v>
      </c>
      <c r="X259" s="14">
        <v>5</v>
      </c>
      <c r="Y259" s="18">
        <f t="shared" si="45"/>
        <v>38.6</v>
      </c>
      <c r="Z259" s="18" t="str">
        <f t="shared" si="46"/>
        <v>Medium</v>
      </c>
      <c r="AA259" s="19" t="str">
        <f t="shared" si="47"/>
        <v>Review</v>
      </c>
      <c r="AB259" s="14" t="s">
        <v>85</v>
      </c>
      <c r="AC259" s="14">
        <v>2</v>
      </c>
      <c r="AD259" s="14" t="s">
        <v>93</v>
      </c>
      <c r="AE259" s="17">
        <v>3.5</v>
      </c>
      <c r="AF259" s="15">
        <v>0</v>
      </c>
      <c r="AG259" s="20">
        <f t="shared" si="48"/>
        <v>1095412</v>
      </c>
      <c r="AH259" s="14">
        <v>2</v>
      </c>
      <c r="AI259" s="14" t="s">
        <v>75</v>
      </c>
      <c r="AJ259" s="14">
        <v>12</v>
      </c>
      <c r="AK259" s="21">
        <f t="shared" si="49"/>
        <v>0.15500000000000003</v>
      </c>
      <c r="AL259" s="20">
        <f t="shared" si="50"/>
        <v>85602.288234132837</v>
      </c>
      <c r="AM259" s="22">
        <f t="shared" si="51"/>
        <v>0.86354723154393054</v>
      </c>
      <c r="AN259" s="20">
        <f t="shared" si="52"/>
        <v>95691.178234132836</v>
      </c>
      <c r="AO259" s="16">
        <f t="shared" si="53"/>
        <v>1.0482760265631508</v>
      </c>
      <c r="AP259" s="15">
        <v>0</v>
      </c>
      <c r="AQ259" s="18" t="str">
        <f t="shared" si="54"/>
        <v>N/A</v>
      </c>
      <c r="AR259" s="23">
        <v>46135</v>
      </c>
      <c r="AS259" s="14" t="s">
        <v>79</v>
      </c>
    </row>
    <row r="260" spans="1:45" x14ac:dyDescent="0.25">
      <c r="A260" s="14" t="s">
        <v>922</v>
      </c>
      <c r="B260" s="14" t="s">
        <v>923</v>
      </c>
      <c r="C260" s="14">
        <v>9279780397</v>
      </c>
      <c r="D260" s="15" t="s">
        <v>924</v>
      </c>
      <c r="E260" s="14">
        <v>62</v>
      </c>
      <c r="F260" s="14" t="s">
        <v>89</v>
      </c>
      <c r="G260" s="14" t="s">
        <v>115</v>
      </c>
      <c r="H260" s="14" t="s">
        <v>144</v>
      </c>
      <c r="I260" s="14" t="s">
        <v>92</v>
      </c>
      <c r="J260" s="15">
        <v>2247278</v>
      </c>
      <c r="K260" s="14">
        <v>1</v>
      </c>
      <c r="L260" s="14" t="s">
        <v>76</v>
      </c>
      <c r="M260" s="14" t="s">
        <v>75</v>
      </c>
      <c r="N260" s="14" t="s">
        <v>75</v>
      </c>
      <c r="O260" s="14" t="s">
        <v>75</v>
      </c>
      <c r="P260" s="14">
        <v>806</v>
      </c>
      <c r="Q260" s="15">
        <v>638799.77</v>
      </c>
      <c r="R260" s="15">
        <v>13036.73</v>
      </c>
      <c r="S260" s="14" t="s">
        <v>23</v>
      </c>
      <c r="T260" s="15">
        <v>6852817</v>
      </c>
      <c r="U260" s="16">
        <f t="shared" si="44"/>
        <v>6.9613443463603528E-2</v>
      </c>
      <c r="V260" s="14">
        <v>5</v>
      </c>
      <c r="W260" s="17">
        <v>60.5</v>
      </c>
      <c r="X260" s="14">
        <v>0.7</v>
      </c>
      <c r="Y260" s="18">
        <f t="shared" si="45"/>
        <v>34.4</v>
      </c>
      <c r="Z260" s="18" t="str">
        <f t="shared" si="46"/>
        <v>Medium</v>
      </c>
      <c r="AA260" s="19" t="str">
        <f t="shared" si="47"/>
        <v>Not Eligible</v>
      </c>
      <c r="AB260" s="14" t="s">
        <v>85</v>
      </c>
      <c r="AC260" s="14">
        <v>0</v>
      </c>
      <c r="AD260" s="14" t="s">
        <v>93</v>
      </c>
      <c r="AE260" s="17">
        <v>12.1</v>
      </c>
      <c r="AF260" s="15">
        <v>816532</v>
      </c>
      <c r="AG260" s="20">
        <f t="shared" si="48"/>
        <v>3063810</v>
      </c>
      <c r="AH260" s="14">
        <v>1</v>
      </c>
      <c r="AI260" s="14" t="s">
        <v>76</v>
      </c>
      <c r="AJ260" s="14">
        <v>240</v>
      </c>
      <c r="AK260" s="21">
        <f t="shared" si="49"/>
        <v>0.1</v>
      </c>
      <c r="AL260" s="20">
        <f t="shared" si="50"/>
        <v>66131.167347311275</v>
      </c>
      <c r="AM260" s="22">
        <f t="shared" si="51"/>
        <v>3.0493855232863938</v>
      </c>
      <c r="AN260" s="20">
        <f t="shared" si="52"/>
        <v>79167.897347311271</v>
      </c>
      <c r="AO260" s="16">
        <f t="shared" si="53"/>
        <v>0.4227402075612075</v>
      </c>
      <c r="AP260" s="15">
        <v>8316800</v>
      </c>
      <c r="AQ260" s="18">
        <f t="shared" si="54"/>
        <v>0.82397280203924583</v>
      </c>
      <c r="AR260" s="23">
        <v>45938</v>
      </c>
      <c r="AS260" s="14" t="s">
        <v>79</v>
      </c>
    </row>
    <row r="261" spans="1:45" x14ac:dyDescent="0.25">
      <c r="A261" s="14" t="s">
        <v>925</v>
      </c>
      <c r="B261" s="14" t="s">
        <v>525</v>
      </c>
      <c r="C261" s="14">
        <v>9577283948</v>
      </c>
      <c r="D261" s="15"/>
      <c r="E261" s="14">
        <v>35</v>
      </c>
      <c r="F261" s="14" t="s">
        <v>71</v>
      </c>
      <c r="G261" s="14" t="s">
        <v>417</v>
      </c>
      <c r="H261" s="14" t="s">
        <v>144</v>
      </c>
      <c r="I261" s="14" t="s">
        <v>92</v>
      </c>
      <c r="J261" s="15">
        <v>1710854</v>
      </c>
      <c r="K261" s="14">
        <v>1</v>
      </c>
      <c r="L261" s="14" t="s">
        <v>76</v>
      </c>
      <c r="M261" s="14" t="s">
        <v>75</v>
      </c>
      <c r="N261" s="14" t="s">
        <v>75</v>
      </c>
      <c r="O261" s="14" t="s">
        <v>75</v>
      </c>
      <c r="P261" s="14">
        <v>624</v>
      </c>
      <c r="Q261" s="15"/>
      <c r="R261" s="15">
        <v>21558.3</v>
      </c>
      <c r="S261" s="14" t="s">
        <v>21</v>
      </c>
      <c r="T261" s="15">
        <v>513143</v>
      </c>
      <c r="U261" s="16">
        <f t="shared" si="44"/>
        <v>0.15121079881743268</v>
      </c>
      <c r="V261" s="14">
        <v>0</v>
      </c>
      <c r="W261" s="17">
        <v>66.3</v>
      </c>
      <c r="X261" s="14">
        <v>5.5</v>
      </c>
      <c r="Y261" s="18">
        <f t="shared" si="45"/>
        <v>29.6</v>
      </c>
      <c r="Z261" s="18" t="str">
        <f t="shared" si="46"/>
        <v>Low</v>
      </c>
      <c r="AA261" s="19" t="str">
        <f t="shared" si="47"/>
        <v>Review</v>
      </c>
      <c r="AB261" s="14" t="s">
        <v>85</v>
      </c>
      <c r="AC261" s="14">
        <v>3</v>
      </c>
      <c r="AD261" s="14" t="s">
        <v>93</v>
      </c>
      <c r="AE261" s="17">
        <v>9.1</v>
      </c>
      <c r="AF261" s="15">
        <v>0</v>
      </c>
      <c r="AG261" s="20">
        <f t="shared" si="48"/>
        <v>1710854</v>
      </c>
      <c r="AH261" s="14">
        <v>2</v>
      </c>
      <c r="AI261" s="14" t="s">
        <v>75</v>
      </c>
      <c r="AJ261" s="14">
        <v>12</v>
      </c>
      <c r="AK261" s="21">
        <f t="shared" si="49"/>
        <v>0.14000000000000001</v>
      </c>
      <c r="AL261" s="20">
        <f t="shared" si="50"/>
        <v>46073.630892473571</v>
      </c>
      <c r="AM261" s="22">
        <f t="shared" si="51"/>
        <v>0.29993383421379033</v>
      </c>
      <c r="AN261" s="20">
        <f t="shared" si="52"/>
        <v>67631.930892473567</v>
      </c>
      <c r="AO261" s="16">
        <f t="shared" si="53"/>
        <v>0.47437313219578225</v>
      </c>
      <c r="AP261" s="15">
        <v>0</v>
      </c>
      <c r="AQ261" s="18" t="str">
        <f t="shared" si="54"/>
        <v>N/A</v>
      </c>
      <c r="AR261" s="23">
        <v>46079</v>
      </c>
      <c r="AS261" s="14" t="s">
        <v>79</v>
      </c>
    </row>
    <row r="262" spans="1:45" x14ac:dyDescent="0.25">
      <c r="A262" s="14" t="s">
        <v>926</v>
      </c>
      <c r="B262" s="14" t="s">
        <v>927</v>
      </c>
      <c r="C262" s="14">
        <v>9311147379</v>
      </c>
      <c r="D262" s="15" t="s">
        <v>928</v>
      </c>
      <c r="E262" s="14">
        <v>37</v>
      </c>
      <c r="F262" s="14" t="s">
        <v>89</v>
      </c>
      <c r="G262" s="14" t="s">
        <v>215</v>
      </c>
      <c r="H262" s="14" t="s">
        <v>91</v>
      </c>
      <c r="I262" s="14" t="s">
        <v>92</v>
      </c>
      <c r="J262" s="15">
        <v>878248</v>
      </c>
      <c r="K262" s="14">
        <v>0</v>
      </c>
      <c r="L262" s="14" t="s">
        <v>75</v>
      </c>
      <c r="M262" s="14" t="s">
        <v>75</v>
      </c>
      <c r="N262" s="14" t="s">
        <v>75</v>
      </c>
      <c r="O262" s="14" t="s">
        <v>75</v>
      </c>
      <c r="P262" s="14">
        <v>308</v>
      </c>
      <c r="Q262" s="15">
        <v>67631.78</v>
      </c>
      <c r="R262" s="15">
        <v>2254.39</v>
      </c>
      <c r="S262" s="14" t="s">
        <v>22</v>
      </c>
      <c r="T262" s="15">
        <v>1146853</v>
      </c>
      <c r="U262" s="16">
        <f t="shared" si="44"/>
        <v>3.0803007806451024E-2</v>
      </c>
      <c r="V262" s="14">
        <v>5</v>
      </c>
      <c r="W262" s="17">
        <v>83.1</v>
      </c>
      <c r="X262" s="14">
        <v>11.4</v>
      </c>
      <c r="Y262" s="18">
        <f t="shared" si="45"/>
        <v>68.7</v>
      </c>
      <c r="Z262" s="18" t="str">
        <f t="shared" si="46"/>
        <v>High</v>
      </c>
      <c r="AA262" s="19" t="str">
        <f t="shared" si="47"/>
        <v>Not Eligible</v>
      </c>
      <c r="AB262" s="14" t="s">
        <v>85</v>
      </c>
      <c r="AC262" s="14">
        <v>2</v>
      </c>
      <c r="AD262" s="14" t="s">
        <v>194</v>
      </c>
      <c r="AE262" s="17">
        <v>15.2</v>
      </c>
      <c r="AF262" s="15">
        <v>0</v>
      </c>
      <c r="AG262" s="20">
        <f t="shared" si="48"/>
        <v>878248</v>
      </c>
      <c r="AH262" s="14">
        <v>0</v>
      </c>
      <c r="AI262" s="14" t="s">
        <v>75</v>
      </c>
      <c r="AJ262" s="14">
        <v>36</v>
      </c>
      <c r="AK262" s="21">
        <f t="shared" si="49"/>
        <v>0.12</v>
      </c>
      <c r="AL262" s="20">
        <f t="shared" si="50"/>
        <v>38091.930851797828</v>
      </c>
      <c r="AM262" s="22">
        <f t="shared" si="51"/>
        <v>1.3058418578806896</v>
      </c>
      <c r="AN262" s="20">
        <f t="shared" si="52"/>
        <v>40346.320851797827</v>
      </c>
      <c r="AO262" s="16">
        <f t="shared" si="53"/>
        <v>0.5512746402173121</v>
      </c>
      <c r="AP262" s="15">
        <v>1313018</v>
      </c>
      <c r="AQ262" s="18">
        <f t="shared" si="54"/>
        <v>0.87344804107788321</v>
      </c>
      <c r="AR262" s="23">
        <v>46159</v>
      </c>
      <c r="AS262" s="14" t="s">
        <v>79</v>
      </c>
    </row>
    <row r="263" spans="1:45" x14ac:dyDescent="0.25">
      <c r="A263" s="14" t="s">
        <v>929</v>
      </c>
      <c r="B263" s="14" t="s">
        <v>930</v>
      </c>
      <c r="C263" s="14">
        <v>9603303948</v>
      </c>
      <c r="D263" s="15"/>
      <c r="E263" s="14">
        <v>42</v>
      </c>
      <c r="F263" s="14" t="s">
        <v>71</v>
      </c>
      <c r="G263" s="14" t="s">
        <v>226</v>
      </c>
      <c r="H263" s="14" t="s">
        <v>91</v>
      </c>
      <c r="I263" s="14" t="s">
        <v>92</v>
      </c>
      <c r="J263" s="15">
        <v>2098488</v>
      </c>
      <c r="K263" s="14">
        <v>1</v>
      </c>
      <c r="L263" s="14" t="s">
        <v>75</v>
      </c>
      <c r="M263" s="14" t="s">
        <v>75</v>
      </c>
      <c r="N263" s="14" t="s">
        <v>76</v>
      </c>
      <c r="O263" s="14" t="s">
        <v>75</v>
      </c>
      <c r="P263" s="14">
        <v>871</v>
      </c>
      <c r="Q263" s="15">
        <v>37903.82</v>
      </c>
      <c r="R263" s="15">
        <v>1895.19</v>
      </c>
      <c r="S263" s="14" t="s">
        <v>21</v>
      </c>
      <c r="T263" s="15">
        <v>370415</v>
      </c>
      <c r="U263" s="16">
        <f t="shared" si="44"/>
        <v>1.0837460114139323E-2</v>
      </c>
      <c r="V263" s="14">
        <v>5</v>
      </c>
      <c r="W263" s="17">
        <v>5.9</v>
      </c>
      <c r="X263" s="14">
        <v>12.2</v>
      </c>
      <c r="Y263" s="18">
        <f t="shared" si="45"/>
        <v>22.8</v>
      </c>
      <c r="Z263" s="18" t="str">
        <f t="shared" si="46"/>
        <v>Low</v>
      </c>
      <c r="AA263" s="19" t="str">
        <f t="shared" si="47"/>
        <v>Not Eligible</v>
      </c>
      <c r="AB263" s="14" t="s">
        <v>77</v>
      </c>
      <c r="AC263" s="14">
        <v>1</v>
      </c>
      <c r="AD263" s="14" t="s">
        <v>78</v>
      </c>
      <c r="AE263" s="17">
        <v>14.5</v>
      </c>
      <c r="AF263" s="15">
        <v>0</v>
      </c>
      <c r="AG263" s="20">
        <f t="shared" si="48"/>
        <v>2098488</v>
      </c>
      <c r="AH263" s="14">
        <v>1</v>
      </c>
      <c r="AI263" s="14" t="s">
        <v>75</v>
      </c>
      <c r="AJ263" s="14">
        <v>36</v>
      </c>
      <c r="AK263" s="21">
        <f t="shared" si="49"/>
        <v>0.14000000000000001</v>
      </c>
      <c r="AL263" s="20">
        <f t="shared" si="50"/>
        <v>12659.906726819059</v>
      </c>
      <c r="AM263" s="22">
        <f t="shared" si="51"/>
        <v>0.17651518617213918</v>
      </c>
      <c r="AN263" s="20">
        <f t="shared" si="52"/>
        <v>14555.09672681906</v>
      </c>
      <c r="AO263" s="16">
        <f t="shared" si="53"/>
        <v>8.3231908270063368E-2</v>
      </c>
      <c r="AP263" s="15">
        <v>0</v>
      </c>
      <c r="AQ263" s="18" t="str">
        <f t="shared" si="54"/>
        <v>N/A</v>
      </c>
      <c r="AR263" s="23">
        <v>46195</v>
      </c>
      <c r="AS263" s="14" t="s">
        <v>79</v>
      </c>
    </row>
    <row r="264" spans="1:45" x14ac:dyDescent="0.25">
      <c r="A264" s="14" t="s">
        <v>932</v>
      </c>
      <c r="B264" s="14" t="s">
        <v>933</v>
      </c>
      <c r="C264" s="14">
        <v>9249394788</v>
      </c>
      <c r="D264" s="15" t="s">
        <v>935</v>
      </c>
      <c r="E264" s="14">
        <v>57</v>
      </c>
      <c r="F264" s="14" t="s">
        <v>89</v>
      </c>
      <c r="G264" s="14" t="s">
        <v>153</v>
      </c>
      <c r="H264" s="14" t="s">
        <v>91</v>
      </c>
      <c r="I264" s="14" t="s">
        <v>92</v>
      </c>
      <c r="J264" s="15">
        <v>1938446</v>
      </c>
      <c r="K264" s="14">
        <v>1</v>
      </c>
      <c r="L264" s="14" t="s">
        <v>76</v>
      </c>
      <c r="M264" s="14" t="s">
        <v>75</v>
      </c>
      <c r="N264" s="14" t="s">
        <v>75</v>
      </c>
      <c r="O264" s="14" t="s">
        <v>75</v>
      </c>
      <c r="P264" s="14">
        <v>762</v>
      </c>
      <c r="Q264" s="15"/>
      <c r="R264" s="15">
        <v>23974.32</v>
      </c>
      <c r="S264" s="14" t="s">
        <v>20</v>
      </c>
      <c r="T264" s="15">
        <v>109875</v>
      </c>
      <c r="U264" s="16">
        <f t="shared" si="44"/>
        <v>0.14841364680780375</v>
      </c>
      <c r="V264" s="14">
        <v>0</v>
      </c>
      <c r="W264" s="17">
        <v>57.5</v>
      </c>
      <c r="X264" s="14">
        <v>0.7</v>
      </c>
      <c r="Y264" s="18">
        <f t="shared" si="45"/>
        <v>19.399999999999999</v>
      </c>
      <c r="Z264" s="18" t="str">
        <f t="shared" si="46"/>
        <v>Low</v>
      </c>
      <c r="AA264" s="19" t="str">
        <f t="shared" si="47"/>
        <v>Eligible</v>
      </c>
      <c r="AB264" s="14" t="s">
        <v>77</v>
      </c>
      <c r="AC264" s="14">
        <v>1</v>
      </c>
      <c r="AD264" s="14" t="s">
        <v>78</v>
      </c>
      <c r="AE264" s="17">
        <v>2.4</v>
      </c>
      <c r="AF264" s="15">
        <v>0</v>
      </c>
      <c r="AG264" s="20">
        <f t="shared" si="48"/>
        <v>1938446</v>
      </c>
      <c r="AH264" s="14">
        <v>0</v>
      </c>
      <c r="AI264" s="14" t="s">
        <v>75</v>
      </c>
      <c r="AJ264" s="14">
        <v>12</v>
      </c>
      <c r="AK264" s="21">
        <f t="shared" si="49"/>
        <v>0.36</v>
      </c>
      <c r="AL264" s="20">
        <f t="shared" si="50"/>
        <v>11038.271641341811</v>
      </c>
      <c r="AM264" s="22">
        <f t="shared" si="51"/>
        <v>5.6682001974777733E-2</v>
      </c>
      <c r="AN264" s="20">
        <f t="shared" si="52"/>
        <v>35012.591641341809</v>
      </c>
      <c r="AO264" s="16">
        <f t="shared" si="53"/>
        <v>0.21674635233382913</v>
      </c>
      <c r="AP264" s="15">
        <v>0</v>
      </c>
      <c r="AQ264" s="18" t="str">
        <f t="shared" si="54"/>
        <v>N/A</v>
      </c>
      <c r="AR264" s="23">
        <v>46127</v>
      </c>
      <c r="AS264" s="14" t="s">
        <v>79</v>
      </c>
    </row>
    <row r="265" spans="1:45" x14ac:dyDescent="0.25">
      <c r="A265" s="14" t="s">
        <v>936</v>
      </c>
      <c r="B265" s="14" t="s">
        <v>937</v>
      </c>
      <c r="C265" s="14">
        <v>9284496457</v>
      </c>
      <c r="D265" s="15" t="s">
        <v>938</v>
      </c>
      <c r="E265" s="14">
        <v>46</v>
      </c>
      <c r="F265" s="14" t="s">
        <v>71</v>
      </c>
      <c r="G265" s="14" t="s">
        <v>139</v>
      </c>
      <c r="H265" s="14" t="s">
        <v>132</v>
      </c>
      <c r="I265" s="14" t="s">
        <v>92</v>
      </c>
      <c r="J265" s="15">
        <v>2054952</v>
      </c>
      <c r="K265" s="14">
        <v>2</v>
      </c>
      <c r="L265" s="14" t="s">
        <v>76</v>
      </c>
      <c r="M265" s="14" t="s">
        <v>76</v>
      </c>
      <c r="N265" s="14" t="s">
        <v>75</v>
      </c>
      <c r="O265" s="14" t="s">
        <v>75</v>
      </c>
      <c r="P265" s="14">
        <v>433</v>
      </c>
      <c r="Q265" s="15">
        <v>1073239</v>
      </c>
      <c r="R265" s="15">
        <v>34620.6</v>
      </c>
      <c r="S265" s="14" t="s">
        <v>23</v>
      </c>
      <c r="T265" s="15"/>
      <c r="U265" s="16">
        <f t="shared" si="44"/>
        <v>0.20216880978241825</v>
      </c>
      <c r="V265" s="14">
        <v>2</v>
      </c>
      <c r="W265" s="17">
        <v>20.100000000000001</v>
      </c>
      <c r="X265" s="14">
        <v>8.6999999999999993</v>
      </c>
      <c r="Y265" s="18">
        <f t="shared" si="45"/>
        <v>47.2</v>
      </c>
      <c r="Z265" s="18" t="str">
        <f t="shared" si="46"/>
        <v>Medium</v>
      </c>
      <c r="AA265" s="19" t="str">
        <f t="shared" si="47"/>
        <v>Not Eligible</v>
      </c>
      <c r="AB265" s="14" t="s">
        <v>85</v>
      </c>
      <c r="AC265" s="14">
        <v>0</v>
      </c>
      <c r="AD265" s="14" t="s">
        <v>93</v>
      </c>
      <c r="AE265" s="17">
        <v>11.6</v>
      </c>
      <c r="AF265" s="15">
        <v>893314</v>
      </c>
      <c r="AG265" s="20">
        <f t="shared" si="48"/>
        <v>2948266</v>
      </c>
      <c r="AH265" s="14">
        <v>0</v>
      </c>
      <c r="AI265" s="14" t="s">
        <v>75</v>
      </c>
      <c r="AJ265" s="14">
        <v>360</v>
      </c>
      <c r="AK265" s="21">
        <f t="shared" si="49"/>
        <v>0.1</v>
      </c>
      <c r="AL265" s="20">
        <f t="shared" si="50"/>
        <v>0</v>
      </c>
      <c r="AM265" s="22">
        <f t="shared" si="51"/>
        <v>0</v>
      </c>
      <c r="AN265" s="20">
        <f t="shared" si="52"/>
        <v>34620.6</v>
      </c>
      <c r="AO265" s="16">
        <f t="shared" si="53"/>
        <v>0.20216880978241825</v>
      </c>
      <c r="AP265" s="15">
        <v>10075858</v>
      </c>
      <c r="AQ265" s="18">
        <f t="shared" si="54"/>
        <v>0</v>
      </c>
      <c r="AR265" s="23">
        <v>46164</v>
      </c>
      <c r="AS265" s="14" t="s">
        <v>79</v>
      </c>
    </row>
    <row r="266" spans="1:45" x14ac:dyDescent="0.25">
      <c r="A266" s="14" t="s">
        <v>939</v>
      </c>
      <c r="B266" s="14" t="s">
        <v>443</v>
      </c>
      <c r="C266" s="14">
        <v>9627162809</v>
      </c>
      <c r="D266" s="15" t="s">
        <v>941</v>
      </c>
      <c r="E266" s="14">
        <v>57</v>
      </c>
      <c r="F266" s="14" t="s">
        <v>71</v>
      </c>
      <c r="G266" s="14" t="s">
        <v>120</v>
      </c>
      <c r="H266" s="14" t="s">
        <v>84</v>
      </c>
      <c r="I266" s="14" t="s">
        <v>74</v>
      </c>
      <c r="J266" s="15">
        <v>2213888</v>
      </c>
      <c r="K266" s="14">
        <v>1</v>
      </c>
      <c r="L266" s="14" t="s">
        <v>76</v>
      </c>
      <c r="M266" s="14" t="s">
        <v>75</v>
      </c>
      <c r="N266" s="14" t="s">
        <v>75</v>
      </c>
      <c r="O266" s="14" t="s">
        <v>75</v>
      </c>
      <c r="P266" s="14">
        <v>479</v>
      </c>
      <c r="Q266" s="15">
        <v>551328.18999999994</v>
      </c>
      <c r="R266" s="15">
        <v>23970.79</v>
      </c>
      <c r="S266" s="14" t="s">
        <v>23</v>
      </c>
      <c r="T266" s="15">
        <v>5340540</v>
      </c>
      <c r="U266" s="16">
        <f t="shared" si="44"/>
        <v>0.12992955379856613</v>
      </c>
      <c r="V266" s="14">
        <v>0</v>
      </c>
      <c r="W266" s="17">
        <v>67.599999999999994</v>
      </c>
      <c r="X266" s="14">
        <v>10.5</v>
      </c>
      <c r="Y266" s="18">
        <f t="shared" si="45"/>
        <v>38.700000000000003</v>
      </c>
      <c r="Z266" s="18" t="str">
        <f t="shared" si="46"/>
        <v>Medium</v>
      </c>
      <c r="AA266" s="19" t="str">
        <f t="shared" si="47"/>
        <v>Not Eligible</v>
      </c>
      <c r="AB266" s="14" t="s">
        <v>85</v>
      </c>
      <c r="AC266" s="14">
        <v>2</v>
      </c>
      <c r="AD266" s="14" t="s">
        <v>78</v>
      </c>
      <c r="AE266" s="17">
        <v>26.6</v>
      </c>
      <c r="AF266" s="15">
        <v>811917</v>
      </c>
      <c r="AG266" s="20">
        <f t="shared" si="48"/>
        <v>3025805</v>
      </c>
      <c r="AH266" s="14">
        <v>0</v>
      </c>
      <c r="AI266" s="14" t="s">
        <v>75</v>
      </c>
      <c r="AJ266" s="14">
        <v>120</v>
      </c>
      <c r="AK266" s="21">
        <f t="shared" si="49"/>
        <v>0.1</v>
      </c>
      <c r="AL266" s="20">
        <f t="shared" si="50"/>
        <v>70575.62963465233</v>
      </c>
      <c r="AM266" s="22">
        <f t="shared" si="51"/>
        <v>2.4122900526133209</v>
      </c>
      <c r="AN266" s="20">
        <f t="shared" si="52"/>
        <v>94546.419634652324</v>
      </c>
      <c r="AO266" s="16">
        <f t="shared" si="53"/>
        <v>0.51247264342903887</v>
      </c>
      <c r="AP266" s="15">
        <v>7073604</v>
      </c>
      <c r="AQ266" s="18">
        <f t="shared" si="54"/>
        <v>0.75499561468241649</v>
      </c>
      <c r="AR266" s="23">
        <v>46006</v>
      </c>
      <c r="AS266" s="14" t="s">
        <v>79</v>
      </c>
    </row>
    <row r="267" spans="1:45" x14ac:dyDescent="0.25">
      <c r="A267" s="14" t="s">
        <v>942</v>
      </c>
      <c r="B267" s="14" t="s">
        <v>943</v>
      </c>
      <c r="C267" s="14">
        <v>9693590140</v>
      </c>
      <c r="D267" s="15" t="s">
        <v>945</v>
      </c>
      <c r="E267" s="14">
        <v>25</v>
      </c>
      <c r="F267" s="14" t="s">
        <v>71</v>
      </c>
      <c r="G267" s="14" t="s">
        <v>314</v>
      </c>
      <c r="H267" s="14" t="s">
        <v>103</v>
      </c>
      <c r="I267" s="14" t="s">
        <v>74</v>
      </c>
      <c r="J267" s="15">
        <v>2020067</v>
      </c>
      <c r="K267" s="14">
        <v>2</v>
      </c>
      <c r="L267" s="14" t="s">
        <v>76</v>
      </c>
      <c r="M267" s="14" t="s">
        <v>76</v>
      </c>
      <c r="N267" s="14" t="s">
        <v>75</v>
      </c>
      <c r="O267" s="14" t="s">
        <v>75</v>
      </c>
      <c r="P267" s="14">
        <v>374</v>
      </c>
      <c r="Q267" s="15">
        <v>774332.03</v>
      </c>
      <c r="R267" s="15">
        <v>14078.76</v>
      </c>
      <c r="S267" s="14" t="s">
        <v>23</v>
      </c>
      <c r="T267" s="15">
        <v>4697364</v>
      </c>
      <c r="U267" s="16">
        <f t="shared" si="44"/>
        <v>8.363342403989571E-2</v>
      </c>
      <c r="V267" s="14">
        <v>0</v>
      </c>
      <c r="W267" s="17">
        <v>42.9</v>
      </c>
      <c r="X267" s="14">
        <v>3.1</v>
      </c>
      <c r="Y267" s="18">
        <f t="shared" si="45"/>
        <v>41.9</v>
      </c>
      <c r="Z267" s="18" t="str">
        <f t="shared" si="46"/>
        <v>Medium</v>
      </c>
      <c r="AA267" s="19" t="str">
        <f t="shared" si="47"/>
        <v>Not Eligible</v>
      </c>
      <c r="AB267" s="14" t="s">
        <v>85</v>
      </c>
      <c r="AC267" s="14">
        <v>1</v>
      </c>
      <c r="AD267" s="14" t="s">
        <v>93</v>
      </c>
      <c r="AE267" s="17">
        <v>0.8</v>
      </c>
      <c r="AF267" s="15">
        <v>0</v>
      </c>
      <c r="AG267" s="20">
        <f t="shared" si="48"/>
        <v>2020067</v>
      </c>
      <c r="AH267" s="14">
        <v>0</v>
      </c>
      <c r="AI267" s="14" t="s">
        <v>75</v>
      </c>
      <c r="AJ267" s="14">
        <v>120</v>
      </c>
      <c r="AK267" s="21">
        <f t="shared" si="49"/>
        <v>0.1</v>
      </c>
      <c r="AL267" s="20">
        <f t="shared" si="50"/>
        <v>62076.01140018594</v>
      </c>
      <c r="AM267" s="22">
        <f t="shared" si="51"/>
        <v>2.3253505948070039</v>
      </c>
      <c r="AN267" s="20">
        <f t="shared" si="52"/>
        <v>76154.771400185942</v>
      </c>
      <c r="AO267" s="16">
        <f t="shared" si="53"/>
        <v>0.4523895775745217</v>
      </c>
      <c r="AP267" s="15">
        <v>6046011</v>
      </c>
      <c r="AQ267" s="18">
        <f t="shared" si="54"/>
        <v>0.77693606577956942</v>
      </c>
      <c r="AR267" s="23">
        <v>46019</v>
      </c>
      <c r="AS267" s="14" t="s">
        <v>79</v>
      </c>
    </row>
    <row r="268" spans="1:45" x14ac:dyDescent="0.25">
      <c r="A268" s="14" t="s">
        <v>946</v>
      </c>
      <c r="B268" s="14" t="s">
        <v>947</v>
      </c>
      <c r="C268" s="14">
        <v>9605504475</v>
      </c>
      <c r="D268" s="15" t="s">
        <v>948</v>
      </c>
      <c r="E268" s="14">
        <v>31</v>
      </c>
      <c r="F268" s="14" t="s">
        <v>71</v>
      </c>
      <c r="G268" s="14" t="s">
        <v>127</v>
      </c>
      <c r="H268" s="14" t="s">
        <v>73</v>
      </c>
      <c r="I268" s="14" t="s">
        <v>74</v>
      </c>
      <c r="J268" s="15">
        <v>1043384</v>
      </c>
      <c r="K268" s="14">
        <v>2</v>
      </c>
      <c r="L268" s="14" t="s">
        <v>76</v>
      </c>
      <c r="M268" s="14" t="s">
        <v>75</v>
      </c>
      <c r="N268" s="14" t="s">
        <v>75</v>
      </c>
      <c r="O268" s="14" t="s">
        <v>76</v>
      </c>
      <c r="P268" s="14">
        <v>311</v>
      </c>
      <c r="Q268" s="15">
        <v>424062</v>
      </c>
      <c r="R268" s="15">
        <v>20193.45</v>
      </c>
      <c r="S268" s="14" t="s">
        <v>23</v>
      </c>
      <c r="T268" s="15">
        <v>4503851</v>
      </c>
      <c r="U268" s="16">
        <f t="shared" si="44"/>
        <v>0.23224565452412538</v>
      </c>
      <c r="V268" s="14">
        <v>0</v>
      </c>
      <c r="W268" s="17">
        <v>72.900000000000006</v>
      </c>
      <c r="X268" s="14">
        <v>13.4</v>
      </c>
      <c r="Y268" s="18">
        <f t="shared" si="45"/>
        <v>53.5</v>
      </c>
      <c r="Z268" s="18" t="str">
        <f t="shared" si="46"/>
        <v>Medium</v>
      </c>
      <c r="AA268" s="19" t="str">
        <f t="shared" si="47"/>
        <v>Not Eligible</v>
      </c>
      <c r="AB268" s="14" t="s">
        <v>85</v>
      </c>
      <c r="AC268" s="14">
        <v>1</v>
      </c>
      <c r="AD268" s="14" t="s">
        <v>78</v>
      </c>
      <c r="AE268" s="17">
        <v>6.5</v>
      </c>
      <c r="AF268" s="15">
        <v>0</v>
      </c>
      <c r="AG268" s="20">
        <f t="shared" si="48"/>
        <v>1043384</v>
      </c>
      <c r="AH268" s="14">
        <v>1</v>
      </c>
      <c r="AI268" s="14" t="s">
        <v>75</v>
      </c>
      <c r="AJ268" s="14">
        <v>120</v>
      </c>
      <c r="AK268" s="21">
        <f t="shared" si="49"/>
        <v>0.1</v>
      </c>
      <c r="AL268" s="20">
        <f t="shared" si="50"/>
        <v>59518.722845565913</v>
      </c>
      <c r="AM268" s="22">
        <f t="shared" si="51"/>
        <v>4.3165804727693731</v>
      </c>
      <c r="AN268" s="20">
        <f t="shared" si="52"/>
        <v>79712.172845565918</v>
      </c>
      <c r="AO268" s="16">
        <f t="shared" si="53"/>
        <v>0.91677280286720042</v>
      </c>
      <c r="AP268" s="15">
        <v>5619250</v>
      </c>
      <c r="AQ268" s="18">
        <f t="shared" si="54"/>
        <v>0.80150393735818837</v>
      </c>
      <c r="AR268" s="23">
        <v>46052</v>
      </c>
      <c r="AS268" s="14" t="s">
        <v>79</v>
      </c>
    </row>
    <row r="269" spans="1:45" x14ac:dyDescent="0.25">
      <c r="A269" s="14" t="s">
        <v>949</v>
      </c>
      <c r="B269" s="14" t="s">
        <v>950</v>
      </c>
      <c r="C269" s="14">
        <v>9152253317</v>
      </c>
      <c r="D269" s="15" t="s">
        <v>951</v>
      </c>
      <c r="E269" s="14">
        <v>33</v>
      </c>
      <c r="F269" s="14" t="s">
        <v>71</v>
      </c>
      <c r="G269" s="14" t="s">
        <v>106</v>
      </c>
      <c r="H269" s="14" t="s">
        <v>91</v>
      </c>
      <c r="I269" s="14" t="s">
        <v>92</v>
      </c>
      <c r="J269" s="15">
        <v>1138800</v>
      </c>
      <c r="K269" s="14">
        <v>1</v>
      </c>
      <c r="L269" s="14" t="s">
        <v>76</v>
      </c>
      <c r="M269" s="14" t="s">
        <v>75</v>
      </c>
      <c r="N269" s="14" t="s">
        <v>75</v>
      </c>
      <c r="O269" s="14" t="s">
        <v>75</v>
      </c>
      <c r="P269" s="14">
        <v>496</v>
      </c>
      <c r="Q269" s="15">
        <v>464603</v>
      </c>
      <c r="R269" s="15">
        <v>29037.67</v>
      </c>
      <c r="S269" s="14" t="s">
        <v>21</v>
      </c>
      <c r="T269" s="15">
        <v>975143</v>
      </c>
      <c r="U269" s="16">
        <f t="shared" si="44"/>
        <v>0.30598177028451001</v>
      </c>
      <c r="V269" s="14">
        <v>0</v>
      </c>
      <c r="W269" s="17">
        <v>84.4</v>
      </c>
      <c r="X269" s="14">
        <v>10</v>
      </c>
      <c r="Y269" s="18">
        <f t="shared" si="45"/>
        <v>44.6</v>
      </c>
      <c r="Z269" s="18" t="str">
        <f t="shared" si="46"/>
        <v>Medium</v>
      </c>
      <c r="AA269" s="19" t="str">
        <f t="shared" si="47"/>
        <v>Not Eligible</v>
      </c>
      <c r="AB269" s="14" t="s">
        <v>77</v>
      </c>
      <c r="AC269" s="14">
        <v>0</v>
      </c>
      <c r="AD269" s="14" t="s">
        <v>93</v>
      </c>
      <c r="AE269" s="17">
        <v>9.8000000000000007</v>
      </c>
      <c r="AF269" s="15">
        <v>620090</v>
      </c>
      <c r="AG269" s="20">
        <f t="shared" si="48"/>
        <v>1758890</v>
      </c>
      <c r="AH269" s="14">
        <v>1</v>
      </c>
      <c r="AI269" s="14" t="s">
        <v>76</v>
      </c>
      <c r="AJ269" s="14">
        <v>48</v>
      </c>
      <c r="AK269" s="21">
        <f t="shared" si="49"/>
        <v>0.15500000000000003</v>
      </c>
      <c r="AL269" s="20">
        <f t="shared" si="50"/>
        <v>27386.75355749797</v>
      </c>
      <c r="AM269" s="22">
        <f t="shared" si="51"/>
        <v>0.85628995433789956</v>
      </c>
      <c r="AN269" s="20">
        <f t="shared" si="52"/>
        <v>56424.423557497968</v>
      </c>
      <c r="AO269" s="16">
        <f t="shared" si="53"/>
        <v>0.59456716077447802</v>
      </c>
      <c r="AP269" s="15">
        <v>0</v>
      </c>
      <c r="AQ269" s="18" t="str">
        <f t="shared" si="54"/>
        <v>N/A</v>
      </c>
      <c r="AR269" s="23">
        <v>46114</v>
      </c>
      <c r="AS269" s="14" t="s">
        <v>79</v>
      </c>
    </row>
    <row r="270" spans="1:45" x14ac:dyDescent="0.25">
      <c r="A270" s="14" t="s">
        <v>952</v>
      </c>
      <c r="B270" s="14" t="s">
        <v>953</v>
      </c>
      <c r="C270" s="14"/>
      <c r="D270" s="15" t="s">
        <v>954</v>
      </c>
      <c r="E270" s="14">
        <v>21</v>
      </c>
      <c r="F270" s="14" t="s">
        <v>89</v>
      </c>
      <c r="G270" s="14" t="s">
        <v>226</v>
      </c>
      <c r="H270" s="14" t="s">
        <v>166</v>
      </c>
      <c r="I270" s="14" t="s">
        <v>74</v>
      </c>
      <c r="J270" s="15">
        <v>1932367</v>
      </c>
      <c r="K270" s="14">
        <v>2</v>
      </c>
      <c r="L270" s="14" t="s">
        <v>76</v>
      </c>
      <c r="M270" s="14" t="s">
        <v>76</v>
      </c>
      <c r="N270" s="14" t="s">
        <v>75</v>
      </c>
      <c r="O270" s="14" t="s">
        <v>75</v>
      </c>
      <c r="P270" s="14">
        <v>677</v>
      </c>
      <c r="Q270" s="15">
        <v>50943.7</v>
      </c>
      <c r="R270" s="15">
        <v>2037.75</v>
      </c>
      <c r="S270" s="14" t="s">
        <v>23</v>
      </c>
      <c r="T270" s="15">
        <v>4029452</v>
      </c>
      <c r="U270" s="16">
        <f t="shared" si="44"/>
        <v>1.2654428480718207E-2</v>
      </c>
      <c r="V270" s="14">
        <v>2</v>
      </c>
      <c r="W270" s="17">
        <v>52.5</v>
      </c>
      <c r="X270" s="14">
        <v>14.9</v>
      </c>
      <c r="Y270" s="18">
        <f t="shared" si="45"/>
        <v>28.5</v>
      </c>
      <c r="Z270" s="18" t="str">
        <f t="shared" si="46"/>
        <v>Low</v>
      </c>
      <c r="AA270" s="19" t="str">
        <f t="shared" si="47"/>
        <v>Eligible</v>
      </c>
      <c r="AB270" s="14" t="s">
        <v>77</v>
      </c>
      <c r="AC270" s="14">
        <v>2</v>
      </c>
      <c r="AD270" s="14" t="s">
        <v>194</v>
      </c>
      <c r="AE270" s="17">
        <v>0.3</v>
      </c>
      <c r="AF270" s="15">
        <v>0</v>
      </c>
      <c r="AG270" s="20">
        <f t="shared" si="48"/>
        <v>1932367</v>
      </c>
      <c r="AH270" s="14">
        <v>0</v>
      </c>
      <c r="AI270" s="14" t="s">
        <v>75</v>
      </c>
      <c r="AJ270" s="14">
        <v>240</v>
      </c>
      <c r="AK270" s="21">
        <f t="shared" si="49"/>
        <v>8.5000000000000006E-2</v>
      </c>
      <c r="AL270" s="20">
        <f t="shared" si="50"/>
        <v>34968.520633312175</v>
      </c>
      <c r="AM270" s="22">
        <f t="shared" si="51"/>
        <v>2.0852415716062218</v>
      </c>
      <c r="AN270" s="20">
        <f t="shared" si="52"/>
        <v>37006.270633312175</v>
      </c>
      <c r="AO270" s="16">
        <f t="shared" si="53"/>
        <v>0.2298089584430629</v>
      </c>
      <c r="AP270" s="15">
        <v>5622512</v>
      </c>
      <c r="AQ270" s="18">
        <f t="shared" si="54"/>
        <v>0.71666401067707819</v>
      </c>
      <c r="AR270" s="23">
        <v>46251</v>
      </c>
      <c r="AS270" s="14" t="s">
        <v>79</v>
      </c>
    </row>
    <row r="271" spans="1:45" x14ac:dyDescent="0.25">
      <c r="A271" s="14" t="s">
        <v>955</v>
      </c>
      <c r="B271" s="14" t="s">
        <v>956</v>
      </c>
      <c r="C271" s="14">
        <v>9844876980</v>
      </c>
      <c r="D271" s="15"/>
      <c r="E271" s="14">
        <v>32</v>
      </c>
      <c r="F271" s="14" t="s">
        <v>89</v>
      </c>
      <c r="G271" s="14" t="s">
        <v>115</v>
      </c>
      <c r="H271" s="14" t="s">
        <v>73</v>
      </c>
      <c r="I271" s="14" t="s">
        <v>74</v>
      </c>
      <c r="J271" s="15">
        <v>1705533</v>
      </c>
      <c r="K271" s="14">
        <v>1</v>
      </c>
      <c r="L271" s="14" t="s">
        <v>76</v>
      </c>
      <c r="M271" s="14" t="s">
        <v>75</v>
      </c>
      <c r="N271" s="14" t="s">
        <v>75</v>
      </c>
      <c r="O271" s="14" t="s">
        <v>75</v>
      </c>
      <c r="P271" s="14">
        <v>538</v>
      </c>
      <c r="Q271" s="15">
        <v>515160</v>
      </c>
      <c r="R271" s="15">
        <v>9037.89</v>
      </c>
      <c r="S271" s="14" t="s">
        <v>20</v>
      </c>
      <c r="T271" s="15">
        <v>141952</v>
      </c>
      <c r="U271" s="16">
        <f t="shared" si="44"/>
        <v>6.3589904153129845E-2</v>
      </c>
      <c r="V271" s="14">
        <v>0</v>
      </c>
      <c r="W271" s="17">
        <v>77.099999999999994</v>
      </c>
      <c r="X271" s="14">
        <v>2</v>
      </c>
      <c r="Y271" s="18">
        <f t="shared" si="45"/>
        <v>33.799999999999997</v>
      </c>
      <c r="Z271" s="18" t="str">
        <f t="shared" si="46"/>
        <v>Medium</v>
      </c>
      <c r="AA271" s="19" t="str">
        <f t="shared" si="47"/>
        <v>Not Eligible</v>
      </c>
      <c r="AB271" s="14" t="s">
        <v>85</v>
      </c>
      <c r="AC271" s="14">
        <v>1</v>
      </c>
      <c r="AD271" s="14" t="s">
        <v>78</v>
      </c>
      <c r="AE271" s="17">
        <v>1.1000000000000001</v>
      </c>
      <c r="AF271" s="15">
        <v>524045</v>
      </c>
      <c r="AG271" s="20">
        <f t="shared" si="48"/>
        <v>2229578</v>
      </c>
      <c r="AH271" s="14">
        <v>0</v>
      </c>
      <c r="AI271" s="14" t="s">
        <v>75</v>
      </c>
      <c r="AJ271" s="14">
        <v>12</v>
      </c>
      <c r="AK271" s="21">
        <f t="shared" si="49"/>
        <v>0.375</v>
      </c>
      <c r="AL271" s="20">
        <f t="shared" si="50"/>
        <v>14367.412615316305</v>
      </c>
      <c r="AM271" s="22">
        <f t="shared" si="51"/>
        <v>8.3230286367956527E-2</v>
      </c>
      <c r="AN271" s="20">
        <f t="shared" si="52"/>
        <v>23405.302615316305</v>
      </c>
      <c r="AO271" s="16">
        <f t="shared" si="53"/>
        <v>0.16467792261058312</v>
      </c>
      <c r="AP271" s="15">
        <v>0</v>
      </c>
      <c r="AQ271" s="18" t="str">
        <f t="shared" si="54"/>
        <v>N/A</v>
      </c>
      <c r="AR271" s="23">
        <v>46016</v>
      </c>
      <c r="AS271" s="14" t="s">
        <v>94</v>
      </c>
    </row>
    <row r="272" spans="1:45" x14ac:dyDescent="0.25">
      <c r="A272" s="14" t="s">
        <v>958</v>
      </c>
      <c r="B272" s="14" t="s">
        <v>959</v>
      </c>
      <c r="C272" s="14">
        <v>9893769688</v>
      </c>
      <c r="D272" s="15" t="s">
        <v>961</v>
      </c>
      <c r="E272" s="14">
        <v>29</v>
      </c>
      <c r="F272" s="14" t="s">
        <v>89</v>
      </c>
      <c r="G272" s="14" t="s">
        <v>226</v>
      </c>
      <c r="H272" s="14" t="s">
        <v>166</v>
      </c>
      <c r="I272" s="14" t="s">
        <v>74</v>
      </c>
      <c r="J272" s="15">
        <v>2484699</v>
      </c>
      <c r="K272" s="14">
        <v>0</v>
      </c>
      <c r="L272" s="14" t="s">
        <v>75</v>
      </c>
      <c r="M272" s="14" t="s">
        <v>75</v>
      </c>
      <c r="N272" s="14" t="s">
        <v>75</v>
      </c>
      <c r="O272" s="14" t="s">
        <v>75</v>
      </c>
      <c r="P272" s="14">
        <v>534</v>
      </c>
      <c r="Q272" s="15">
        <v>210438</v>
      </c>
      <c r="R272" s="15">
        <v>6376.9</v>
      </c>
      <c r="S272" s="14" t="s">
        <v>22</v>
      </c>
      <c r="T272" s="15"/>
      <c r="U272" s="16">
        <f t="shared" si="44"/>
        <v>3.0797613714981166E-2</v>
      </c>
      <c r="V272" s="14">
        <v>0</v>
      </c>
      <c r="W272" s="17">
        <v>10.1</v>
      </c>
      <c r="X272" s="14">
        <v>13.8</v>
      </c>
      <c r="Y272" s="18">
        <f t="shared" si="45"/>
        <v>26.3</v>
      </c>
      <c r="Z272" s="18" t="str">
        <f t="shared" si="46"/>
        <v>Low</v>
      </c>
      <c r="AA272" s="19" t="str">
        <f t="shared" si="47"/>
        <v>Not Eligible</v>
      </c>
      <c r="AB272" s="14" t="s">
        <v>161</v>
      </c>
      <c r="AC272" s="14">
        <v>3</v>
      </c>
      <c r="AD272" s="14" t="s">
        <v>93</v>
      </c>
      <c r="AE272" s="17">
        <v>2</v>
      </c>
      <c r="AF272" s="15">
        <v>0</v>
      </c>
      <c r="AG272" s="20">
        <f t="shared" si="48"/>
        <v>2484699</v>
      </c>
      <c r="AH272" s="14">
        <v>0</v>
      </c>
      <c r="AI272" s="14" t="s">
        <v>75</v>
      </c>
      <c r="AJ272" s="14">
        <v>84</v>
      </c>
      <c r="AK272" s="21">
        <f t="shared" si="49"/>
        <v>0.09</v>
      </c>
      <c r="AL272" s="20">
        <f t="shared" si="50"/>
        <v>0</v>
      </c>
      <c r="AM272" s="22">
        <f t="shared" si="51"/>
        <v>0</v>
      </c>
      <c r="AN272" s="20">
        <f t="shared" si="52"/>
        <v>6376.9</v>
      </c>
      <c r="AO272" s="16">
        <f t="shared" si="53"/>
        <v>3.0797613714981166E-2</v>
      </c>
      <c r="AP272" s="15">
        <v>849410</v>
      </c>
      <c r="AQ272" s="18">
        <f t="shared" si="54"/>
        <v>0</v>
      </c>
      <c r="AR272" s="23">
        <v>46146</v>
      </c>
      <c r="AS272" s="14" t="s">
        <v>79</v>
      </c>
    </row>
    <row r="273" spans="1:45" x14ac:dyDescent="0.25">
      <c r="A273" s="14" t="s">
        <v>962</v>
      </c>
      <c r="B273" s="14" t="s">
        <v>963</v>
      </c>
      <c r="C273" s="14">
        <v>9781146329</v>
      </c>
      <c r="D273" s="15" t="s">
        <v>965</v>
      </c>
      <c r="E273" s="14">
        <v>29</v>
      </c>
      <c r="F273" s="14" t="s">
        <v>71</v>
      </c>
      <c r="G273" s="14" t="s">
        <v>98</v>
      </c>
      <c r="H273" s="14" t="s">
        <v>144</v>
      </c>
      <c r="I273" s="14" t="s">
        <v>92</v>
      </c>
      <c r="J273" s="15">
        <v>1157203</v>
      </c>
      <c r="K273" s="14">
        <v>2</v>
      </c>
      <c r="L273" s="14" t="s">
        <v>76</v>
      </c>
      <c r="M273" s="14" t="s">
        <v>76</v>
      </c>
      <c r="N273" s="14" t="s">
        <v>75</v>
      </c>
      <c r="O273" s="14" t="s">
        <v>75</v>
      </c>
      <c r="P273" s="14">
        <v>502</v>
      </c>
      <c r="Q273" s="15">
        <v>170056.74</v>
      </c>
      <c r="R273" s="15">
        <v>7393.77</v>
      </c>
      <c r="S273" s="14" t="s">
        <v>21</v>
      </c>
      <c r="T273" s="15">
        <v>367824</v>
      </c>
      <c r="U273" s="16">
        <f t="shared" si="44"/>
        <v>7.6672148274762514E-2</v>
      </c>
      <c r="V273" s="14">
        <v>0</v>
      </c>
      <c r="W273" s="17">
        <v>47.6</v>
      </c>
      <c r="X273" s="14">
        <v>9.6</v>
      </c>
      <c r="Y273" s="18">
        <f t="shared" si="45"/>
        <v>33.6</v>
      </c>
      <c r="Z273" s="18" t="str">
        <f t="shared" si="46"/>
        <v>Medium</v>
      </c>
      <c r="AA273" s="19" t="str">
        <f t="shared" si="47"/>
        <v>Not Eligible</v>
      </c>
      <c r="AB273" s="14" t="s">
        <v>85</v>
      </c>
      <c r="AC273" s="14">
        <v>2</v>
      </c>
      <c r="AD273" s="14" t="s">
        <v>78</v>
      </c>
      <c r="AE273" s="17">
        <v>7.8</v>
      </c>
      <c r="AF273" s="15">
        <v>0</v>
      </c>
      <c r="AG273" s="20">
        <f t="shared" si="48"/>
        <v>1157203</v>
      </c>
      <c r="AH273" s="14">
        <v>0</v>
      </c>
      <c r="AI273" s="14" t="s">
        <v>75</v>
      </c>
      <c r="AJ273" s="14">
        <v>60</v>
      </c>
      <c r="AK273" s="21">
        <f t="shared" si="49"/>
        <v>0.15500000000000003</v>
      </c>
      <c r="AL273" s="20">
        <f t="shared" si="50"/>
        <v>8847.3409557025334</v>
      </c>
      <c r="AM273" s="22">
        <f t="shared" si="51"/>
        <v>0.31785607192515053</v>
      </c>
      <c r="AN273" s="20">
        <f t="shared" si="52"/>
        <v>16241.110955702534</v>
      </c>
      <c r="AO273" s="16">
        <f t="shared" si="53"/>
        <v>0.16841758228109538</v>
      </c>
      <c r="AP273" s="15">
        <v>0</v>
      </c>
      <c r="AQ273" s="18" t="str">
        <f t="shared" si="54"/>
        <v>N/A</v>
      </c>
      <c r="AR273" s="23">
        <v>46207</v>
      </c>
      <c r="AS273" s="14" t="s">
        <v>79</v>
      </c>
    </row>
    <row r="274" spans="1:45" x14ac:dyDescent="0.25">
      <c r="A274" s="14" t="s">
        <v>966</v>
      </c>
      <c r="B274" s="14" t="s">
        <v>967</v>
      </c>
      <c r="C274" s="14">
        <v>9980042882</v>
      </c>
      <c r="D274" s="15" t="s">
        <v>968</v>
      </c>
      <c r="E274" s="14">
        <v>22</v>
      </c>
      <c r="F274" s="14" t="s">
        <v>89</v>
      </c>
      <c r="G274" s="14" t="s">
        <v>174</v>
      </c>
      <c r="H274" s="14" t="s">
        <v>73</v>
      </c>
      <c r="I274" s="14" t="s">
        <v>74</v>
      </c>
      <c r="J274" s="15">
        <v>1559262</v>
      </c>
      <c r="K274" s="14">
        <v>1</v>
      </c>
      <c r="L274" s="14" t="s">
        <v>75</v>
      </c>
      <c r="M274" s="14" t="s">
        <v>76</v>
      </c>
      <c r="N274" s="14" t="s">
        <v>75</v>
      </c>
      <c r="O274" s="14" t="s">
        <v>75</v>
      </c>
      <c r="P274" s="14">
        <v>774</v>
      </c>
      <c r="Q274" s="15">
        <v>286138</v>
      </c>
      <c r="R274" s="15">
        <v>9537.92</v>
      </c>
      <c r="S274" s="14" t="s">
        <v>23</v>
      </c>
      <c r="T274" s="15">
        <v>6215589</v>
      </c>
      <c r="U274" s="16">
        <f t="shared" si="44"/>
        <v>7.3403340811229928E-2</v>
      </c>
      <c r="V274" s="14">
        <v>1</v>
      </c>
      <c r="W274" s="17">
        <v>11.8</v>
      </c>
      <c r="X274" s="14">
        <v>2.2000000000000002</v>
      </c>
      <c r="Y274" s="18">
        <f t="shared" si="45"/>
        <v>15.8</v>
      </c>
      <c r="Z274" s="18" t="str">
        <f t="shared" si="46"/>
        <v>Low</v>
      </c>
      <c r="AA274" s="19" t="str">
        <f t="shared" si="47"/>
        <v>Eligible</v>
      </c>
      <c r="AB274" s="14" t="s">
        <v>85</v>
      </c>
      <c r="AC274" s="14">
        <v>0</v>
      </c>
      <c r="AD274" s="14" t="s">
        <v>78</v>
      </c>
      <c r="AE274" s="17">
        <v>0.3</v>
      </c>
      <c r="AF274" s="15">
        <v>0</v>
      </c>
      <c r="AG274" s="20">
        <f t="shared" si="48"/>
        <v>1559262</v>
      </c>
      <c r="AH274" s="14">
        <v>1</v>
      </c>
      <c r="AI274" s="14" t="s">
        <v>75</v>
      </c>
      <c r="AJ274" s="14">
        <v>300</v>
      </c>
      <c r="AK274" s="21">
        <f t="shared" si="49"/>
        <v>8.5000000000000006E-2</v>
      </c>
      <c r="AL274" s="20">
        <f t="shared" si="50"/>
        <v>50049.60602469305</v>
      </c>
      <c r="AM274" s="22">
        <f t="shared" si="51"/>
        <v>3.9862377201522259</v>
      </c>
      <c r="AN274" s="20">
        <f t="shared" si="52"/>
        <v>59587.526024693048</v>
      </c>
      <c r="AO274" s="16">
        <f t="shared" si="53"/>
        <v>0.45858252961741941</v>
      </c>
      <c r="AP274" s="15">
        <v>8609034</v>
      </c>
      <c r="AQ274" s="18">
        <f t="shared" si="54"/>
        <v>0.72198448745817478</v>
      </c>
      <c r="AR274" s="23">
        <v>46086</v>
      </c>
      <c r="AS274" s="14" t="s">
        <v>79</v>
      </c>
    </row>
    <row r="275" spans="1:45" x14ac:dyDescent="0.25">
      <c r="A275" s="14" t="s">
        <v>969</v>
      </c>
      <c r="B275" s="14" t="s">
        <v>970</v>
      </c>
      <c r="C275" s="14">
        <v>9731691986</v>
      </c>
      <c r="D275" s="15" t="s">
        <v>971</v>
      </c>
      <c r="E275" s="14">
        <v>23</v>
      </c>
      <c r="F275" s="14" t="s">
        <v>71</v>
      </c>
      <c r="G275" s="14" t="s">
        <v>153</v>
      </c>
      <c r="H275" s="14" t="s">
        <v>132</v>
      </c>
      <c r="I275" s="14" t="s">
        <v>92</v>
      </c>
      <c r="J275" s="15">
        <v>1114652</v>
      </c>
      <c r="K275" s="14">
        <v>0</v>
      </c>
      <c r="L275" s="14" t="s">
        <v>75</v>
      </c>
      <c r="M275" s="14" t="s">
        <v>75</v>
      </c>
      <c r="N275" s="14" t="s">
        <v>75</v>
      </c>
      <c r="O275" s="14" t="s">
        <v>75</v>
      </c>
      <c r="P275" s="14">
        <v>656</v>
      </c>
      <c r="Q275" s="15"/>
      <c r="R275" s="15">
        <v>1321.01</v>
      </c>
      <c r="S275" s="14" t="s">
        <v>22</v>
      </c>
      <c r="T275" s="15"/>
      <c r="U275" s="16">
        <f t="shared" si="44"/>
        <v>1.4221586647671201E-2</v>
      </c>
      <c r="V275" s="14">
        <v>2</v>
      </c>
      <c r="W275" s="17">
        <v>93</v>
      </c>
      <c r="X275" s="14">
        <v>11.1</v>
      </c>
      <c r="Y275" s="18">
        <f t="shared" si="45"/>
        <v>34</v>
      </c>
      <c r="Z275" s="18" t="str">
        <f t="shared" si="46"/>
        <v>Medium</v>
      </c>
      <c r="AA275" s="19" t="str">
        <f t="shared" si="47"/>
        <v>Eligible</v>
      </c>
      <c r="AB275" s="14" t="s">
        <v>85</v>
      </c>
      <c r="AC275" s="14">
        <v>0</v>
      </c>
      <c r="AD275" s="14" t="s">
        <v>93</v>
      </c>
      <c r="AE275" s="17">
        <v>1.4</v>
      </c>
      <c r="AF275" s="15">
        <v>0</v>
      </c>
      <c r="AG275" s="20">
        <f t="shared" si="48"/>
        <v>1114652</v>
      </c>
      <c r="AH275" s="14">
        <v>1</v>
      </c>
      <c r="AI275" s="14" t="s">
        <v>75</v>
      </c>
      <c r="AJ275" s="14">
        <v>48</v>
      </c>
      <c r="AK275" s="21">
        <f t="shared" si="49"/>
        <v>0.105</v>
      </c>
      <c r="AL275" s="20">
        <f t="shared" si="50"/>
        <v>0</v>
      </c>
      <c r="AM275" s="22">
        <f t="shared" si="51"/>
        <v>0</v>
      </c>
      <c r="AN275" s="20">
        <f t="shared" si="52"/>
        <v>1321.01</v>
      </c>
      <c r="AO275" s="16">
        <f t="shared" si="53"/>
        <v>1.4221586647671201E-2</v>
      </c>
      <c r="AP275" s="15">
        <v>493045</v>
      </c>
      <c r="AQ275" s="18">
        <f t="shared" si="54"/>
        <v>0</v>
      </c>
      <c r="AR275" s="23">
        <v>46243</v>
      </c>
      <c r="AS275" s="14" t="s">
        <v>79</v>
      </c>
    </row>
    <row r="276" spans="1:45" x14ac:dyDescent="0.25">
      <c r="A276" s="14" t="s">
        <v>972</v>
      </c>
      <c r="B276" s="14" t="s">
        <v>973</v>
      </c>
      <c r="C276" s="14">
        <v>9720989768</v>
      </c>
      <c r="D276" s="15" t="s">
        <v>975</v>
      </c>
      <c r="E276" s="14">
        <v>21</v>
      </c>
      <c r="F276" s="14" t="s">
        <v>71</v>
      </c>
      <c r="G276" s="14" t="s">
        <v>120</v>
      </c>
      <c r="H276" s="14" t="s">
        <v>99</v>
      </c>
      <c r="I276" s="14" t="s">
        <v>74</v>
      </c>
      <c r="J276" s="15">
        <v>1967935</v>
      </c>
      <c r="K276" s="14">
        <v>1</v>
      </c>
      <c r="L276" s="14" t="s">
        <v>75</v>
      </c>
      <c r="M276" s="14" t="s">
        <v>75</v>
      </c>
      <c r="N276" s="14" t="s">
        <v>76</v>
      </c>
      <c r="O276" s="14" t="s">
        <v>75</v>
      </c>
      <c r="P276" s="14">
        <v>733</v>
      </c>
      <c r="Q276" s="15">
        <v>195798.05</v>
      </c>
      <c r="R276" s="15">
        <v>5020.46</v>
      </c>
      <c r="S276" s="14" t="s">
        <v>22</v>
      </c>
      <c r="T276" s="15">
        <v>933800</v>
      </c>
      <c r="U276" s="16">
        <f t="shared" si="44"/>
        <v>3.0613572094606786E-2</v>
      </c>
      <c r="V276" s="14">
        <v>1</v>
      </c>
      <c r="W276" s="17">
        <v>55.7</v>
      </c>
      <c r="X276" s="14">
        <v>13.3</v>
      </c>
      <c r="Y276" s="18">
        <f t="shared" si="45"/>
        <v>21.6</v>
      </c>
      <c r="Z276" s="18" t="str">
        <f t="shared" si="46"/>
        <v>Low</v>
      </c>
      <c r="AA276" s="19" t="str">
        <f t="shared" si="47"/>
        <v>Eligible</v>
      </c>
      <c r="AB276" s="14" t="s">
        <v>85</v>
      </c>
      <c r="AC276" s="14">
        <v>2</v>
      </c>
      <c r="AD276" s="14" t="s">
        <v>93</v>
      </c>
      <c r="AE276" s="17">
        <v>0.3</v>
      </c>
      <c r="AF276" s="15">
        <v>0</v>
      </c>
      <c r="AG276" s="20">
        <f t="shared" si="48"/>
        <v>1967935</v>
      </c>
      <c r="AH276" s="14">
        <v>2</v>
      </c>
      <c r="AI276" s="14" t="s">
        <v>75</v>
      </c>
      <c r="AJ276" s="14">
        <v>72</v>
      </c>
      <c r="AK276" s="21">
        <f t="shared" si="49"/>
        <v>0.09</v>
      </c>
      <c r="AL276" s="20">
        <f t="shared" si="50"/>
        <v>16832.246607732235</v>
      </c>
      <c r="AM276" s="22">
        <f t="shared" si="51"/>
        <v>0.47450754216983793</v>
      </c>
      <c r="AN276" s="20">
        <f t="shared" si="52"/>
        <v>21852.706607732234</v>
      </c>
      <c r="AO276" s="16">
        <f t="shared" si="53"/>
        <v>0.1332526121506995</v>
      </c>
      <c r="AP276" s="15">
        <v>1125545</v>
      </c>
      <c r="AQ276" s="18">
        <f t="shared" si="54"/>
        <v>0.82964252873052613</v>
      </c>
      <c r="AR276" s="23">
        <v>46071</v>
      </c>
      <c r="AS276" s="14" t="s">
        <v>79</v>
      </c>
    </row>
    <row r="277" spans="1:45" x14ac:dyDescent="0.25">
      <c r="A277" s="14" t="s">
        <v>976</v>
      </c>
      <c r="B277" s="14" t="s">
        <v>977</v>
      </c>
      <c r="C277" s="14">
        <v>9324976345</v>
      </c>
      <c r="D277" s="15" t="s">
        <v>978</v>
      </c>
      <c r="E277" s="14">
        <v>65</v>
      </c>
      <c r="F277" s="14" t="s">
        <v>89</v>
      </c>
      <c r="G277" s="14" t="s">
        <v>127</v>
      </c>
      <c r="H277" s="14" t="s">
        <v>132</v>
      </c>
      <c r="I277" s="14" t="s">
        <v>92</v>
      </c>
      <c r="J277" s="15">
        <v>2362436</v>
      </c>
      <c r="K277" s="14">
        <v>2</v>
      </c>
      <c r="L277" s="14" t="s">
        <v>76</v>
      </c>
      <c r="M277" s="14" t="s">
        <v>76</v>
      </c>
      <c r="N277" s="14" t="s">
        <v>75</v>
      </c>
      <c r="O277" s="14" t="s">
        <v>75</v>
      </c>
      <c r="P277" s="14">
        <v>595</v>
      </c>
      <c r="Q277" s="15">
        <v>1039059</v>
      </c>
      <c r="R277" s="15">
        <v>47229.96</v>
      </c>
      <c r="S277" s="14" t="s">
        <v>21</v>
      </c>
      <c r="T277" s="15"/>
      <c r="U277" s="16">
        <f t="shared" si="44"/>
        <v>0.23990470852967022</v>
      </c>
      <c r="V277" s="14">
        <v>0</v>
      </c>
      <c r="W277" s="17">
        <v>17.8</v>
      </c>
      <c r="X277" s="14">
        <v>7.4</v>
      </c>
      <c r="Y277" s="18">
        <f t="shared" si="45"/>
        <v>29.3</v>
      </c>
      <c r="Z277" s="18" t="str">
        <f t="shared" si="46"/>
        <v>Low</v>
      </c>
      <c r="AA277" s="19" t="str">
        <f t="shared" si="47"/>
        <v>Review</v>
      </c>
      <c r="AB277" s="14" t="s">
        <v>85</v>
      </c>
      <c r="AC277" s="14">
        <v>0</v>
      </c>
      <c r="AD277" s="14" t="s">
        <v>93</v>
      </c>
      <c r="AE277" s="17">
        <v>6.6</v>
      </c>
      <c r="AF277" s="15">
        <v>712437</v>
      </c>
      <c r="AG277" s="20">
        <f t="shared" si="48"/>
        <v>3074873</v>
      </c>
      <c r="AH277" s="14">
        <v>2</v>
      </c>
      <c r="AI277" s="14" t="s">
        <v>75</v>
      </c>
      <c r="AJ277" s="14">
        <v>48</v>
      </c>
      <c r="AK277" s="21">
        <f t="shared" si="49"/>
        <v>0.14000000000000001</v>
      </c>
      <c r="AL277" s="20">
        <f t="shared" si="50"/>
        <v>0</v>
      </c>
      <c r="AM277" s="22">
        <f t="shared" si="51"/>
        <v>0</v>
      </c>
      <c r="AN277" s="20">
        <f t="shared" si="52"/>
        <v>47229.96</v>
      </c>
      <c r="AO277" s="16">
        <f t="shared" si="53"/>
        <v>0.23990470852967022</v>
      </c>
      <c r="AP277" s="15">
        <v>0</v>
      </c>
      <c r="AQ277" s="18" t="str">
        <f t="shared" si="54"/>
        <v>N/A</v>
      </c>
      <c r="AR277" s="23">
        <v>46120</v>
      </c>
      <c r="AS277" s="14" t="s">
        <v>79</v>
      </c>
    </row>
    <row r="278" spans="1:45" x14ac:dyDescent="0.25">
      <c r="A278" s="14" t="s">
        <v>979</v>
      </c>
      <c r="B278" s="14" t="s">
        <v>980</v>
      </c>
      <c r="C278" s="14">
        <v>9783365422</v>
      </c>
      <c r="D278" s="15" t="s">
        <v>981</v>
      </c>
      <c r="E278" s="14">
        <v>39</v>
      </c>
      <c r="F278" s="14" t="s">
        <v>71</v>
      </c>
      <c r="G278" s="14" t="s">
        <v>153</v>
      </c>
      <c r="H278" s="14" t="s">
        <v>73</v>
      </c>
      <c r="I278" s="14" t="s">
        <v>74</v>
      </c>
      <c r="J278" s="15">
        <v>1460824</v>
      </c>
      <c r="K278" s="14">
        <v>3</v>
      </c>
      <c r="L278" s="14" t="s">
        <v>76</v>
      </c>
      <c r="M278" s="14" t="s">
        <v>76</v>
      </c>
      <c r="N278" s="14" t="s">
        <v>76</v>
      </c>
      <c r="O278" s="14" t="s">
        <v>75</v>
      </c>
      <c r="P278" s="14">
        <v>403</v>
      </c>
      <c r="Q278" s="15">
        <v>8332</v>
      </c>
      <c r="R278" s="15">
        <v>287.33</v>
      </c>
      <c r="S278" s="14" t="s">
        <v>20</v>
      </c>
      <c r="T278" s="15"/>
      <c r="U278" s="16">
        <f t="shared" si="44"/>
        <v>2.3602843326779956E-3</v>
      </c>
      <c r="V278" s="14">
        <v>1</v>
      </c>
      <c r="W278" s="17">
        <v>98.8</v>
      </c>
      <c r="X278" s="14">
        <v>1.6</v>
      </c>
      <c r="Y278" s="18">
        <f t="shared" si="45"/>
        <v>47.1</v>
      </c>
      <c r="Z278" s="18" t="str">
        <f t="shared" si="46"/>
        <v>Medium</v>
      </c>
      <c r="AA278" s="19" t="str">
        <f t="shared" si="47"/>
        <v>Not Eligible</v>
      </c>
      <c r="AB278" s="14" t="s">
        <v>85</v>
      </c>
      <c r="AC278" s="14">
        <v>0</v>
      </c>
      <c r="AD278" s="14" t="s">
        <v>93</v>
      </c>
      <c r="AE278" s="17">
        <v>17.8</v>
      </c>
      <c r="AF278" s="15">
        <v>0</v>
      </c>
      <c r="AG278" s="20">
        <f t="shared" si="48"/>
        <v>1460824</v>
      </c>
      <c r="AH278" s="14">
        <v>3</v>
      </c>
      <c r="AI278" s="14" t="s">
        <v>75</v>
      </c>
      <c r="AJ278" s="14">
        <v>24</v>
      </c>
      <c r="AK278" s="21">
        <f t="shared" si="49"/>
        <v>0.375</v>
      </c>
      <c r="AL278" s="20">
        <f t="shared" si="50"/>
        <v>0</v>
      </c>
      <c r="AM278" s="22">
        <f t="shared" si="51"/>
        <v>0</v>
      </c>
      <c r="AN278" s="20">
        <f t="shared" si="52"/>
        <v>287.33</v>
      </c>
      <c r="AO278" s="16">
        <f t="shared" si="53"/>
        <v>2.3602843326779956E-3</v>
      </c>
      <c r="AP278" s="15">
        <v>0</v>
      </c>
      <c r="AQ278" s="18" t="str">
        <f t="shared" si="54"/>
        <v>N/A</v>
      </c>
      <c r="AR278" s="23">
        <v>46204</v>
      </c>
      <c r="AS278" s="14" t="s">
        <v>79</v>
      </c>
    </row>
    <row r="279" spans="1:45" x14ac:dyDescent="0.25">
      <c r="A279" s="14" t="s">
        <v>982</v>
      </c>
      <c r="B279" s="14" t="s">
        <v>983</v>
      </c>
      <c r="C279" s="14">
        <v>9468376600</v>
      </c>
      <c r="D279" s="15" t="s">
        <v>985</v>
      </c>
      <c r="E279" s="14">
        <v>44</v>
      </c>
      <c r="F279" s="14" t="s">
        <v>89</v>
      </c>
      <c r="G279" s="14" t="s">
        <v>153</v>
      </c>
      <c r="H279" s="14" t="s">
        <v>166</v>
      </c>
      <c r="I279" s="14" t="s">
        <v>74</v>
      </c>
      <c r="J279" s="15">
        <v>1793294</v>
      </c>
      <c r="K279" s="14">
        <v>1</v>
      </c>
      <c r="L279" s="14" t="s">
        <v>75</v>
      </c>
      <c r="M279" s="14" t="s">
        <v>75</v>
      </c>
      <c r="N279" s="14" t="s">
        <v>76</v>
      </c>
      <c r="O279" s="14" t="s">
        <v>75</v>
      </c>
      <c r="P279" s="14">
        <v>711</v>
      </c>
      <c r="Q279" s="15"/>
      <c r="R279" s="15">
        <v>39015.99</v>
      </c>
      <c r="S279" s="14" t="s">
        <v>20</v>
      </c>
      <c r="T279" s="15">
        <v>335573</v>
      </c>
      <c r="U279" s="16">
        <f t="shared" si="44"/>
        <v>0.26107926530730602</v>
      </c>
      <c r="V279" s="14">
        <v>0</v>
      </c>
      <c r="W279" s="17">
        <v>55.4</v>
      </c>
      <c r="X279" s="14">
        <v>14.3</v>
      </c>
      <c r="Y279" s="18">
        <f t="shared" si="45"/>
        <v>26</v>
      </c>
      <c r="Z279" s="18" t="str">
        <f t="shared" si="46"/>
        <v>Low</v>
      </c>
      <c r="AA279" s="19" t="str">
        <f t="shared" si="47"/>
        <v>Eligible</v>
      </c>
      <c r="AB279" s="14" t="s">
        <v>77</v>
      </c>
      <c r="AC279" s="14">
        <v>0</v>
      </c>
      <c r="AD279" s="14" t="s">
        <v>93</v>
      </c>
      <c r="AE279" s="17">
        <v>15.9</v>
      </c>
      <c r="AF279" s="15">
        <v>0</v>
      </c>
      <c r="AG279" s="20">
        <f t="shared" si="48"/>
        <v>1793294</v>
      </c>
      <c r="AH279" s="14">
        <v>0</v>
      </c>
      <c r="AI279" s="14" t="s">
        <v>75</v>
      </c>
      <c r="AJ279" s="14">
        <v>12</v>
      </c>
      <c r="AK279" s="21">
        <f t="shared" si="49"/>
        <v>0.36</v>
      </c>
      <c r="AL279" s="20">
        <f t="shared" si="50"/>
        <v>33712.36340841862</v>
      </c>
      <c r="AM279" s="22">
        <f t="shared" si="51"/>
        <v>0.18712659496992684</v>
      </c>
      <c r="AN279" s="20">
        <f t="shared" si="52"/>
        <v>72728.353408418625</v>
      </c>
      <c r="AO279" s="16">
        <f t="shared" si="53"/>
        <v>0.4866688010449059</v>
      </c>
      <c r="AP279" s="15">
        <v>0</v>
      </c>
      <c r="AQ279" s="18" t="str">
        <f t="shared" si="54"/>
        <v>N/A</v>
      </c>
      <c r="AR279" s="23">
        <v>46221</v>
      </c>
      <c r="AS279" s="14" t="s">
        <v>94</v>
      </c>
    </row>
    <row r="280" spans="1:45" x14ac:dyDescent="0.25">
      <c r="A280" s="14" t="s">
        <v>986</v>
      </c>
      <c r="B280" s="14" t="s">
        <v>987</v>
      </c>
      <c r="C280" s="14"/>
      <c r="D280" s="15" t="s">
        <v>988</v>
      </c>
      <c r="E280" s="14">
        <v>23</v>
      </c>
      <c r="F280" s="14" t="s">
        <v>89</v>
      </c>
      <c r="G280" s="14" t="s">
        <v>417</v>
      </c>
      <c r="H280" s="14" t="s">
        <v>91</v>
      </c>
      <c r="I280" s="14" t="s">
        <v>92</v>
      </c>
      <c r="J280" s="15">
        <v>2332291</v>
      </c>
      <c r="K280" s="14">
        <v>2</v>
      </c>
      <c r="L280" s="14" t="s">
        <v>76</v>
      </c>
      <c r="M280" s="14" t="s">
        <v>75</v>
      </c>
      <c r="N280" s="14" t="s">
        <v>76</v>
      </c>
      <c r="O280" s="14" t="s">
        <v>75</v>
      </c>
      <c r="P280" s="14">
        <v>787</v>
      </c>
      <c r="Q280" s="15"/>
      <c r="R280" s="15">
        <v>24660.77</v>
      </c>
      <c r="S280" s="14" t="s">
        <v>20</v>
      </c>
      <c r="T280" s="15">
        <v>404973</v>
      </c>
      <c r="U280" s="16">
        <f t="shared" si="44"/>
        <v>0.12688349781395203</v>
      </c>
      <c r="V280" s="14">
        <v>0</v>
      </c>
      <c r="W280" s="17">
        <v>62.7</v>
      </c>
      <c r="X280" s="14">
        <v>10.7</v>
      </c>
      <c r="Y280" s="18">
        <f t="shared" si="45"/>
        <v>17.600000000000001</v>
      </c>
      <c r="Z280" s="18" t="str">
        <f t="shared" si="46"/>
        <v>Low</v>
      </c>
      <c r="AA280" s="19" t="str">
        <f t="shared" si="47"/>
        <v>Eligible</v>
      </c>
      <c r="AB280" s="14" t="s">
        <v>77</v>
      </c>
      <c r="AC280" s="14">
        <v>3</v>
      </c>
      <c r="AD280" s="14" t="s">
        <v>93</v>
      </c>
      <c r="AE280" s="17">
        <v>1.5</v>
      </c>
      <c r="AF280" s="15">
        <v>523444</v>
      </c>
      <c r="AG280" s="20">
        <f t="shared" si="48"/>
        <v>2855735</v>
      </c>
      <c r="AH280" s="14">
        <v>0</v>
      </c>
      <c r="AI280" s="14" t="s">
        <v>75</v>
      </c>
      <c r="AJ280" s="14">
        <v>36</v>
      </c>
      <c r="AK280" s="21">
        <f t="shared" si="49"/>
        <v>0.36</v>
      </c>
      <c r="AL280" s="20">
        <f t="shared" si="50"/>
        <v>18549.299942140638</v>
      </c>
      <c r="AM280" s="22">
        <f t="shared" si="51"/>
        <v>0.17363742346045155</v>
      </c>
      <c r="AN280" s="20">
        <f t="shared" si="52"/>
        <v>43210.069942140639</v>
      </c>
      <c r="AO280" s="16">
        <f t="shared" si="53"/>
        <v>0.22232253149615022</v>
      </c>
      <c r="AP280" s="15">
        <v>0</v>
      </c>
      <c r="AQ280" s="18" t="str">
        <f t="shared" si="54"/>
        <v>N/A</v>
      </c>
      <c r="AR280" s="23">
        <v>45981</v>
      </c>
      <c r="AS280" s="14" t="s">
        <v>79</v>
      </c>
    </row>
    <row r="281" spans="1:45" x14ac:dyDescent="0.25">
      <c r="A281" s="14" t="s">
        <v>989</v>
      </c>
      <c r="B281" s="14" t="s">
        <v>990</v>
      </c>
      <c r="C281" s="14">
        <v>9811506547</v>
      </c>
      <c r="D281" s="15" t="s">
        <v>992</v>
      </c>
      <c r="E281" s="14">
        <v>36</v>
      </c>
      <c r="F281" s="14" t="s">
        <v>71</v>
      </c>
      <c r="G281" s="14" t="s">
        <v>98</v>
      </c>
      <c r="H281" s="14" t="s">
        <v>73</v>
      </c>
      <c r="I281" s="14" t="s">
        <v>74</v>
      </c>
      <c r="J281" s="15">
        <v>742371</v>
      </c>
      <c r="K281" s="14">
        <v>2</v>
      </c>
      <c r="L281" s="14" t="s">
        <v>76</v>
      </c>
      <c r="M281" s="14" t="s">
        <v>75</v>
      </c>
      <c r="N281" s="14" t="s">
        <v>76</v>
      </c>
      <c r="O281" s="14" t="s">
        <v>75</v>
      </c>
      <c r="P281" s="14">
        <v>692</v>
      </c>
      <c r="Q281" s="15">
        <v>341331</v>
      </c>
      <c r="R281" s="15">
        <v>13128.13</v>
      </c>
      <c r="S281" s="14" t="s">
        <v>22</v>
      </c>
      <c r="T281" s="15"/>
      <c r="U281" s="16">
        <f t="shared" si="44"/>
        <v>0.21220866655620976</v>
      </c>
      <c r="V281" s="14">
        <v>6</v>
      </c>
      <c r="W281" s="17">
        <v>68.7</v>
      </c>
      <c r="X281" s="14">
        <v>10</v>
      </c>
      <c r="Y281" s="18">
        <f t="shared" si="45"/>
        <v>47.1</v>
      </c>
      <c r="Z281" s="18" t="str">
        <f t="shared" si="46"/>
        <v>Medium</v>
      </c>
      <c r="AA281" s="19" t="str">
        <f t="shared" si="47"/>
        <v>Not Eligible</v>
      </c>
      <c r="AB281" s="14" t="s">
        <v>77</v>
      </c>
      <c r="AC281" s="14">
        <v>2</v>
      </c>
      <c r="AD281" s="14" t="s">
        <v>93</v>
      </c>
      <c r="AE281" s="17">
        <v>12</v>
      </c>
      <c r="AF281" s="15">
        <v>317855</v>
      </c>
      <c r="AG281" s="20">
        <f t="shared" si="48"/>
        <v>1060226</v>
      </c>
      <c r="AH281" s="14">
        <v>1</v>
      </c>
      <c r="AI281" s="14" t="s">
        <v>76</v>
      </c>
      <c r="AJ281" s="14">
        <v>24</v>
      </c>
      <c r="AK281" s="21">
        <f t="shared" si="49"/>
        <v>0.105</v>
      </c>
      <c r="AL281" s="20">
        <f t="shared" si="50"/>
        <v>0</v>
      </c>
      <c r="AM281" s="22">
        <f t="shared" si="51"/>
        <v>0</v>
      </c>
      <c r="AN281" s="20">
        <f t="shared" si="52"/>
        <v>13128.13</v>
      </c>
      <c r="AO281" s="16">
        <f t="shared" si="53"/>
        <v>0.21220866655620976</v>
      </c>
      <c r="AP281" s="15">
        <v>1531114</v>
      </c>
      <c r="AQ281" s="18">
        <f t="shared" si="54"/>
        <v>0</v>
      </c>
      <c r="AR281" s="23">
        <v>46088</v>
      </c>
      <c r="AS281" s="14" t="s">
        <v>79</v>
      </c>
    </row>
    <row r="282" spans="1:45" x14ac:dyDescent="0.25">
      <c r="A282" s="14" t="s">
        <v>993</v>
      </c>
      <c r="B282" s="14" t="s">
        <v>994</v>
      </c>
      <c r="C282" s="14">
        <v>9878492981</v>
      </c>
      <c r="D282" s="15" t="s">
        <v>996</v>
      </c>
      <c r="E282" s="14">
        <v>48</v>
      </c>
      <c r="F282" s="14" t="s">
        <v>71</v>
      </c>
      <c r="G282" s="14" t="s">
        <v>131</v>
      </c>
      <c r="H282" s="14" t="s">
        <v>84</v>
      </c>
      <c r="I282" s="14" t="s">
        <v>74</v>
      </c>
      <c r="J282" s="15">
        <v>785238</v>
      </c>
      <c r="K282" s="14">
        <v>2</v>
      </c>
      <c r="L282" s="14" t="s">
        <v>76</v>
      </c>
      <c r="M282" s="14" t="s">
        <v>76</v>
      </c>
      <c r="N282" s="14" t="s">
        <v>75</v>
      </c>
      <c r="O282" s="14" t="s">
        <v>75</v>
      </c>
      <c r="P282" s="14">
        <v>492</v>
      </c>
      <c r="Q282" s="15">
        <v>350821.29</v>
      </c>
      <c r="R282" s="15">
        <v>18464.28</v>
      </c>
      <c r="S282" s="14" t="s">
        <v>22</v>
      </c>
      <c r="T282" s="15">
        <v>567213</v>
      </c>
      <c r="U282" s="16">
        <f t="shared" si="44"/>
        <v>0.2821709596326209</v>
      </c>
      <c r="V282" s="14">
        <v>4</v>
      </c>
      <c r="W282" s="17">
        <v>95.6</v>
      </c>
      <c r="X282" s="14">
        <v>8.6999999999999993</v>
      </c>
      <c r="Y282" s="18">
        <f t="shared" si="45"/>
        <v>61.2</v>
      </c>
      <c r="Z282" s="18" t="str">
        <f t="shared" si="46"/>
        <v>High</v>
      </c>
      <c r="AA282" s="19" t="str">
        <f t="shared" si="47"/>
        <v>Not Eligible</v>
      </c>
      <c r="AB282" s="14" t="s">
        <v>85</v>
      </c>
      <c r="AC282" s="14">
        <v>0</v>
      </c>
      <c r="AD282" s="14" t="s">
        <v>93</v>
      </c>
      <c r="AE282" s="17">
        <v>22.9</v>
      </c>
      <c r="AF282" s="15">
        <v>0</v>
      </c>
      <c r="AG282" s="20">
        <f t="shared" si="48"/>
        <v>785238</v>
      </c>
      <c r="AH282" s="14">
        <v>0</v>
      </c>
      <c r="AI282" s="14" t="s">
        <v>75</v>
      </c>
      <c r="AJ282" s="14">
        <v>84</v>
      </c>
      <c r="AK282" s="21">
        <f t="shared" si="49"/>
        <v>0.12</v>
      </c>
      <c r="AL282" s="20">
        <f t="shared" si="50"/>
        <v>10012.859528026633</v>
      </c>
      <c r="AM282" s="22">
        <f t="shared" si="51"/>
        <v>0.72234532714922095</v>
      </c>
      <c r="AN282" s="20">
        <f t="shared" si="52"/>
        <v>28477.13952802663</v>
      </c>
      <c r="AO282" s="16">
        <f t="shared" si="53"/>
        <v>0.43518738820118175</v>
      </c>
      <c r="AP282" s="15">
        <v>701521</v>
      </c>
      <c r="AQ282" s="18">
        <f t="shared" si="54"/>
        <v>0.80854742766075427</v>
      </c>
      <c r="AR282" s="23">
        <v>45959</v>
      </c>
      <c r="AS282" s="14" t="s">
        <v>79</v>
      </c>
    </row>
    <row r="283" spans="1:45" x14ac:dyDescent="0.25">
      <c r="A283" s="14" t="s">
        <v>997</v>
      </c>
      <c r="B283" s="14" t="s">
        <v>998</v>
      </c>
      <c r="C283" s="14">
        <v>9338522684</v>
      </c>
      <c r="D283" s="15" t="s">
        <v>999</v>
      </c>
      <c r="E283" s="14">
        <v>21</v>
      </c>
      <c r="F283" s="14" t="s">
        <v>89</v>
      </c>
      <c r="G283" s="14" t="s">
        <v>226</v>
      </c>
      <c r="H283" s="14" t="s">
        <v>132</v>
      </c>
      <c r="I283" s="14" t="s">
        <v>92</v>
      </c>
      <c r="J283" s="15">
        <v>1544968</v>
      </c>
      <c r="K283" s="14">
        <v>0</v>
      </c>
      <c r="L283" s="14" t="s">
        <v>75</v>
      </c>
      <c r="M283" s="14" t="s">
        <v>75</v>
      </c>
      <c r="N283" s="14" t="s">
        <v>75</v>
      </c>
      <c r="O283" s="14" t="s">
        <v>75</v>
      </c>
      <c r="P283" s="14">
        <v>449</v>
      </c>
      <c r="Q283" s="15"/>
      <c r="R283" s="15">
        <v>2061.04</v>
      </c>
      <c r="S283" s="14" t="s">
        <v>20</v>
      </c>
      <c r="T283" s="15">
        <v>333985</v>
      </c>
      <c r="U283" s="16">
        <f t="shared" si="44"/>
        <v>1.6008409235660544E-2</v>
      </c>
      <c r="V283" s="14">
        <v>0</v>
      </c>
      <c r="W283" s="17">
        <v>52.7</v>
      </c>
      <c r="X283" s="14">
        <v>10.4</v>
      </c>
      <c r="Y283" s="18">
        <f t="shared" si="45"/>
        <v>35.799999999999997</v>
      </c>
      <c r="Z283" s="18" t="str">
        <f t="shared" si="46"/>
        <v>Medium</v>
      </c>
      <c r="AA283" s="19" t="str">
        <f t="shared" si="47"/>
        <v>Not Eligible</v>
      </c>
      <c r="AB283" s="14" t="s">
        <v>85</v>
      </c>
      <c r="AC283" s="14">
        <v>3</v>
      </c>
      <c r="AD283" s="14" t="s">
        <v>93</v>
      </c>
      <c r="AE283" s="17">
        <v>0.3</v>
      </c>
      <c r="AF283" s="15">
        <v>0</v>
      </c>
      <c r="AG283" s="20">
        <f t="shared" si="48"/>
        <v>1544968</v>
      </c>
      <c r="AH283" s="14">
        <v>0</v>
      </c>
      <c r="AI283" s="14" t="s">
        <v>75</v>
      </c>
      <c r="AJ283" s="14">
        <v>36</v>
      </c>
      <c r="AK283" s="21">
        <f t="shared" si="49"/>
        <v>0.375</v>
      </c>
      <c r="AL283" s="20">
        <f t="shared" si="50"/>
        <v>15584.438738520525</v>
      </c>
      <c r="AM283" s="22">
        <f t="shared" si="51"/>
        <v>0.21617599846728217</v>
      </c>
      <c r="AN283" s="20">
        <f t="shared" si="52"/>
        <v>17645.478738520524</v>
      </c>
      <c r="AO283" s="16">
        <f t="shared" si="53"/>
        <v>0.13705510072845928</v>
      </c>
      <c r="AP283" s="15">
        <v>0</v>
      </c>
      <c r="AQ283" s="18" t="str">
        <f t="shared" si="54"/>
        <v>N/A</v>
      </c>
      <c r="AR283" s="23">
        <v>45925</v>
      </c>
      <c r="AS283" s="14" t="s">
        <v>94</v>
      </c>
    </row>
    <row r="284" spans="1:45" x14ac:dyDescent="0.25">
      <c r="A284" s="14" t="s">
        <v>1000</v>
      </c>
      <c r="B284" s="14" t="s">
        <v>1001</v>
      </c>
      <c r="C284" s="14">
        <v>9988934422</v>
      </c>
      <c r="D284" s="15" t="s">
        <v>1003</v>
      </c>
      <c r="E284" s="14">
        <v>35</v>
      </c>
      <c r="F284" s="14" t="s">
        <v>71</v>
      </c>
      <c r="G284" s="14" t="s">
        <v>98</v>
      </c>
      <c r="H284" s="14" t="s">
        <v>107</v>
      </c>
      <c r="I284" s="14" t="s">
        <v>92</v>
      </c>
      <c r="J284" s="15">
        <v>1943361</v>
      </c>
      <c r="K284" s="14">
        <v>2</v>
      </c>
      <c r="L284" s="14" t="s">
        <v>76</v>
      </c>
      <c r="M284" s="14" t="s">
        <v>75</v>
      </c>
      <c r="N284" s="14" t="s">
        <v>75</v>
      </c>
      <c r="O284" s="14" t="s">
        <v>76</v>
      </c>
      <c r="P284" s="14">
        <v>322</v>
      </c>
      <c r="Q284" s="15">
        <v>638910.53</v>
      </c>
      <c r="R284" s="15">
        <v>19360.93</v>
      </c>
      <c r="S284" s="14" t="s">
        <v>23</v>
      </c>
      <c r="T284" s="15">
        <v>7186626</v>
      </c>
      <c r="U284" s="16">
        <f t="shared" si="44"/>
        <v>0.11955121050592248</v>
      </c>
      <c r="V284" s="14">
        <v>1</v>
      </c>
      <c r="W284" s="17">
        <v>38.1</v>
      </c>
      <c r="X284" s="14">
        <v>6</v>
      </c>
      <c r="Y284" s="18">
        <f t="shared" si="45"/>
        <v>49.9</v>
      </c>
      <c r="Z284" s="18" t="str">
        <f t="shared" si="46"/>
        <v>Medium</v>
      </c>
      <c r="AA284" s="19" t="str">
        <f t="shared" si="47"/>
        <v>Not Eligible</v>
      </c>
      <c r="AB284" s="14" t="s">
        <v>85</v>
      </c>
      <c r="AC284" s="14">
        <v>2</v>
      </c>
      <c r="AD284" s="14" t="s">
        <v>78</v>
      </c>
      <c r="AE284" s="17">
        <v>12.9</v>
      </c>
      <c r="AF284" s="15">
        <v>0</v>
      </c>
      <c r="AG284" s="20">
        <f t="shared" si="48"/>
        <v>1943361</v>
      </c>
      <c r="AH284" s="14">
        <v>0</v>
      </c>
      <c r="AI284" s="14" t="s">
        <v>75</v>
      </c>
      <c r="AJ284" s="14">
        <v>240</v>
      </c>
      <c r="AK284" s="21">
        <f t="shared" si="49"/>
        <v>0.1</v>
      </c>
      <c r="AL284" s="20">
        <f t="shared" si="50"/>
        <v>69352.496450516366</v>
      </c>
      <c r="AM284" s="22">
        <f t="shared" si="51"/>
        <v>3.698039633398015</v>
      </c>
      <c r="AN284" s="20">
        <f t="shared" si="52"/>
        <v>88713.426450516359</v>
      </c>
      <c r="AO284" s="16">
        <f t="shared" si="53"/>
        <v>0.54779380537439848</v>
      </c>
      <c r="AP284" s="15">
        <v>9616184</v>
      </c>
      <c r="AQ284" s="18">
        <f t="shared" si="54"/>
        <v>0.74734697256208904</v>
      </c>
      <c r="AR284" s="23">
        <v>46192</v>
      </c>
      <c r="AS284" s="14" t="s">
        <v>79</v>
      </c>
    </row>
    <row r="285" spans="1:45" x14ac:dyDescent="0.25">
      <c r="A285" s="14" t="s">
        <v>1004</v>
      </c>
      <c r="B285" s="14" t="s">
        <v>1005</v>
      </c>
      <c r="C285" s="14">
        <v>9861913813</v>
      </c>
      <c r="D285" s="15"/>
      <c r="E285" s="14">
        <v>62</v>
      </c>
      <c r="F285" s="14" t="s">
        <v>71</v>
      </c>
      <c r="G285" s="14" t="s">
        <v>72</v>
      </c>
      <c r="H285" s="14" t="s">
        <v>107</v>
      </c>
      <c r="I285" s="14" t="s">
        <v>92</v>
      </c>
      <c r="J285" s="15">
        <v>2323507</v>
      </c>
      <c r="K285" s="14">
        <v>3</v>
      </c>
      <c r="L285" s="14" t="s">
        <v>76</v>
      </c>
      <c r="M285" s="14" t="s">
        <v>76</v>
      </c>
      <c r="N285" s="14" t="s">
        <v>76</v>
      </c>
      <c r="O285" s="14" t="s">
        <v>75</v>
      </c>
      <c r="P285" s="14">
        <v>309</v>
      </c>
      <c r="Q285" s="15"/>
      <c r="R285" s="15">
        <v>10520.43</v>
      </c>
      <c r="S285" s="14" t="s">
        <v>20</v>
      </c>
      <c r="T285" s="15">
        <v>375633</v>
      </c>
      <c r="U285" s="16">
        <f t="shared" si="44"/>
        <v>5.4333884081261649E-2</v>
      </c>
      <c r="V285" s="14">
        <v>3</v>
      </c>
      <c r="W285" s="17">
        <v>86.6</v>
      </c>
      <c r="X285" s="14">
        <v>5.8</v>
      </c>
      <c r="Y285" s="18">
        <f t="shared" si="45"/>
        <v>61.7</v>
      </c>
      <c r="Z285" s="18" t="str">
        <f t="shared" si="46"/>
        <v>High</v>
      </c>
      <c r="AA285" s="19" t="str">
        <f t="shared" si="47"/>
        <v>Not Eligible</v>
      </c>
      <c r="AB285" s="14" t="s">
        <v>161</v>
      </c>
      <c r="AC285" s="14">
        <v>2</v>
      </c>
      <c r="AD285" s="14" t="s">
        <v>78</v>
      </c>
      <c r="AE285" s="17">
        <v>2</v>
      </c>
      <c r="AF285" s="15">
        <v>0</v>
      </c>
      <c r="AG285" s="20">
        <f t="shared" si="48"/>
        <v>2323507</v>
      </c>
      <c r="AH285" s="14">
        <v>0</v>
      </c>
      <c r="AI285" s="14" t="s">
        <v>76</v>
      </c>
      <c r="AJ285" s="14">
        <v>12</v>
      </c>
      <c r="AK285" s="21">
        <f t="shared" si="49"/>
        <v>0.39</v>
      </c>
      <c r="AL285" s="20">
        <f t="shared" si="50"/>
        <v>38302.240651378277</v>
      </c>
      <c r="AM285" s="22">
        <f t="shared" si="51"/>
        <v>0.16166639480750433</v>
      </c>
      <c r="AN285" s="20">
        <f t="shared" si="52"/>
        <v>48822.670651378277</v>
      </c>
      <c r="AO285" s="16">
        <f t="shared" si="53"/>
        <v>0.25214989574661895</v>
      </c>
      <c r="AP285" s="15">
        <v>0</v>
      </c>
      <c r="AQ285" s="18" t="str">
        <f t="shared" si="54"/>
        <v>N/A</v>
      </c>
      <c r="AR285" s="23">
        <v>46158</v>
      </c>
      <c r="AS285" s="14" t="s">
        <v>79</v>
      </c>
    </row>
    <row r="286" spans="1:45" x14ac:dyDescent="0.25">
      <c r="A286" s="14" t="s">
        <v>1007</v>
      </c>
      <c r="B286" s="14" t="s">
        <v>1008</v>
      </c>
      <c r="C286" s="14"/>
      <c r="D286" s="15" t="s">
        <v>1009</v>
      </c>
      <c r="E286" s="14">
        <v>36</v>
      </c>
      <c r="F286" s="14" t="s">
        <v>71</v>
      </c>
      <c r="G286" s="14" t="s">
        <v>139</v>
      </c>
      <c r="H286" s="14" t="s">
        <v>91</v>
      </c>
      <c r="I286" s="14" t="s">
        <v>92</v>
      </c>
      <c r="J286" s="15">
        <v>1963648</v>
      </c>
      <c r="K286" s="14">
        <v>1</v>
      </c>
      <c r="L286" s="14" t="s">
        <v>76</v>
      </c>
      <c r="M286" s="14" t="s">
        <v>75</v>
      </c>
      <c r="N286" s="14" t="s">
        <v>75</v>
      </c>
      <c r="O286" s="14" t="s">
        <v>75</v>
      </c>
      <c r="P286" s="14">
        <v>684</v>
      </c>
      <c r="Q286" s="15">
        <v>914097.56</v>
      </c>
      <c r="R286" s="15">
        <v>16927.73</v>
      </c>
      <c r="S286" s="14" t="s">
        <v>20</v>
      </c>
      <c r="T286" s="15"/>
      <c r="U286" s="16">
        <f t="shared" si="44"/>
        <v>0.10344662587184669</v>
      </c>
      <c r="V286" s="14">
        <v>1</v>
      </c>
      <c r="W286" s="17">
        <v>82.7</v>
      </c>
      <c r="X286" s="14">
        <v>5.9</v>
      </c>
      <c r="Y286" s="18">
        <f t="shared" si="45"/>
        <v>29.8</v>
      </c>
      <c r="Z286" s="18" t="str">
        <f t="shared" si="46"/>
        <v>Low</v>
      </c>
      <c r="AA286" s="19" t="str">
        <f t="shared" si="47"/>
        <v>Eligible</v>
      </c>
      <c r="AB286" s="14" t="s">
        <v>77</v>
      </c>
      <c r="AC286" s="14">
        <v>1</v>
      </c>
      <c r="AD286" s="14" t="s">
        <v>78</v>
      </c>
      <c r="AE286" s="17">
        <v>2</v>
      </c>
      <c r="AF286" s="15">
        <v>631057</v>
      </c>
      <c r="AG286" s="20">
        <f t="shared" si="48"/>
        <v>2594705</v>
      </c>
      <c r="AH286" s="14">
        <v>2</v>
      </c>
      <c r="AI286" s="14" t="s">
        <v>75</v>
      </c>
      <c r="AJ286" s="14">
        <v>36</v>
      </c>
      <c r="AK286" s="21">
        <f t="shared" si="49"/>
        <v>0.36</v>
      </c>
      <c r="AL286" s="20">
        <f t="shared" si="50"/>
        <v>0</v>
      </c>
      <c r="AM286" s="22">
        <f t="shared" si="51"/>
        <v>0</v>
      </c>
      <c r="AN286" s="20">
        <f t="shared" si="52"/>
        <v>16927.73</v>
      </c>
      <c r="AO286" s="16">
        <f t="shared" si="53"/>
        <v>0.10344662587184669</v>
      </c>
      <c r="AP286" s="15">
        <v>0</v>
      </c>
      <c r="AQ286" s="18" t="str">
        <f t="shared" si="54"/>
        <v>N/A</v>
      </c>
      <c r="AR286" s="23">
        <v>46035</v>
      </c>
      <c r="AS286" s="14" t="s">
        <v>79</v>
      </c>
    </row>
    <row r="287" spans="1:45" x14ac:dyDescent="0.25">
      <c r="A287" s="14" t="s">
        <v>1010</v>
      </c>
      <c r="B287" s="14" t="s">
        <v>1011</v>
      </c>
      <c r="C287" s="14">
        <v>9736598991</v>
      </c>
      <c r="D287" s="15" t="s">
        <v>1012</v>
      </c>
      <c r="E287" s="14">
        <v>51</v>
      </c>
      <c r="F287" s="14" t="s">
        <v>89</v>
      </c>
      <c r="G287" s="14" t="s">
        <v>143</v>
      </c>
      <c r="H287" s="14" t="s">
        <v>132</v>
      </c>
      <c r="I287" s="14" t="s">
        <v>92</v>
      </c>
      <c r="J287" s="15">
        <v>717086</v>
      </c>
      <c r="K287" s="14">
        <v>1</v>
      </c>
      <c r="L287" s="14" t="s">
        <v>76</v>
      </c>
      <c r="M287" s="14" t="s">
        <v>75</v>
      </c>
      <c r="N287" s="14" t="s">
        <v>75</v>
      </c>
      <c r="O287" s="14" t="s">
        <v>75</v>
      </c>
      <c r="P287" s="14">
        <v>715</v>
      </c>
      <c r="Q287" s="15">
        <v>349738</v>
      </c>
      <c r="R287" s="15">
        <v>26902.9</v>
      </c>
      <c r="S287" s="14" t="s">
        <v>23</v>
      </c>
      <c r="T287" s="15"/>
      <c r="U287" s="16">
        <f t="shared" si="44"/>
        <v>0.45020374125279261</v>
      </c>
      <c r="V287" s="14">
        <v>3</v>
      </c>
      <c r="W287" s="17">
        <v>79.400000000000006</v>
      </c>
      <c r="X287" s="14">
        <v>8</v>
      </c>
      <c r="Y287" s="18">
        <f t="shared" si="45"/>
        <v>45.8</v>
      </c>
      <c r="Z287" s="18" t="str">
        <f t="shared" si="46"/>
        <v>Medium</v>
      </c>
      <c r="AA287" s="19" t="str">
        <f t="shared" si="47"/>
        <v>Review</v>
      </c>
      <c r="AB287" s="14" t="s">
        <v>85</v>
      </c>
      <c r="AC287" s="14">
        <v>3</v>
      </c>
      <c r="AD287" s="14" t="s">
        <v>93</v>
      </c>
      <c r="AE287" s="17">
        <v>24.6</v>
      </c>
      <c r="AF287" s="15">
        <v>0</v>
      </c>
      <c r="AG287" s="20">
        <f t="shared" si="48"/>
        <v>717086</v>
      </c>
      <c r="AH287" s="14">
        <v>1</v>
      </c>
      <c r="AI287" s="14" t="s">
        <v>75</v>
      </c>
      <c r="AJ287" s="14">
        <v>120</v>
      </c>
      <c r="AK287" s="21">
        <f t="shared" si="49"/>
        <v>0.1</v>
      </c>
      <c r="AL287" s="20">
        <f t="shared" si="50"/>
        <v>0</v>
      </c>
      <c r="AM287" s="22">
        <f t="shared" si="51"/>
        <v>0</v>
      </c>
      <c r="AN287" s="20">
        <f t="shared" si="52"/>
        <v>26902.9</v>
      </c>
      <c r="AO287" s="16">
        <f t="shared" si="53"/>
        <v>0.45020374125279261</v>
      </c>
      <c r="AP287" s="15">
        <v>7367685</v>
      </c>
      <c r="AQ287" s="18">
        <f t="shared" si="54"/>
        <v>0</v>
      </c>
      <c r="AR287" s="23">
        <v>46201</v>
      </c>
      <c r="AS287" s="14" t="s">
        <v>79</v>
      </c>
    </row>
    <row r="288" spans="1:45" x14ac:dyDescent="0.25">
      <c r="A288" s="14" t="s">
        <v>1013</v>
      </c>
      <c r="B288" s="14" t="s">
        <v>303</v>
      </c>
      <c r="C288" s="14">
        <v>9580212641</v>
      </c>
      <c r="D288" s="15" t="s">
        <v>1014</v>
      </c>
      <c r="E288" s="14">
        <v>28</v>
      </c>
      <c r="F288" s="14" t="s">
        <v>71</v>
      </c>
      <c r="G288" s="14" t="s">
        <v>72</v>
      </c>
      <c r="H288" s="14" t="s">
        <v>91</v>
      </c>
      <c r="I288" s="14" t="s">
        <v>92</v>
      </c>
      <c r="J288" s="15">
        <v>976164</v>
      </c>
      <c r="K288" s="14">
        <v>3</v>
      </c>
      <c r="L288" s="14" t="s">
        <v>76</v>
      </c>
      <c r="M288" s="14" t="s">
        <v>76</v>
      </c>
      <c r="N288" s="14" t="s">
        <v>75</v>
      </c>
      <c r="O288" s="14" t="s">
        <v>76</v>
      </c>
      <c r="P288" s="14">
        <v>427</v>
      </c>
      <c r="Q288" s="15">
        <v>296450</v>
      </c>
      <c r="R288" s="15">
        <v>8470.01</v>
      </c>
      <c r="S288" s="14" t="s">
        <v>21</v>
      </c>
      <c r="T288" s="15">
        <v>493601</v>
      </c>
      <c r="U288" s="16">
        <f t="shared" si="44"/>
        <v>0.10412197130809986</v>
      </c>
      <c r="V288" s="14">
        <v>8</v>
      </c>
      <c r="W288" s="17">
        <v>67.5</v>
      </c>
      <c r="X288" s="14">
        <v>3.9</v>
      </c>
      <c r="Y288" s="18">
        <f t="shared" si="45"/>
        <v>61.4</v>
      </c>
      <c r="Z288" s="18" t="str">
        <f t="shared" si="46"/>
        <v>High</v>
      </c>
      <c r="AA288" s="19" t="str">
        <f t="shared" si="47"/>
        <v>Not Eligible</v>
      </c>
      <c r="AB288" s="14" t="s">
        <v>85</v>
      </c>
      <c r="AC288" s="14">
        <v>3</v>
      </c>
      <c r="AD288" s="14" t="s">
        <v>194</v>
      </c>
      <c r="AE288" s="17">
        <v>2.2999999999999998</v>
      </c>
      <c r="AF288" s="15">
        <v>0</v>
      </c>
      <c r="AG288" s="20">
        <f t="shared" si="48"/>
        <v>976164</v>
      </c>
      <c r="AH288" s="14">
        <v>0</v>
      </c>
      <c r="AI288" s="14" t="s">
        <v>75</v>
      </c>
      <c r="AJ288" s="14">
        <v>36</v>
      </c>
      <c r="AK288" s="21">
        <f t="shared" si="49"/>
        <v>0.17</v>
      </c>
      <c r="AL288" s="20">
        <f t="shared" si="50"/>
        <v>17598.221959928698</v>
      </c>
      <c r="AM288" s="22">
        <f t="shared" si="51"/>
        <v>0.50565376309718446</v>
      </c>
      <c r="AN288" s="20">
        <f t="shared" si="52"/>
        <v>26068.2319599287</v>
      </c>
      <c r="AO288" s="16">
        <f t="shared" si="53"/>
        <v>0.32045720137102413</v>
      </c>
      <c r="AP288" s="15">
        <v>0</v>
      </c>
      <c r="AQ288" s="18" t="str">
        <f t="shared" si="54"/>
        <v>N/A</v>
      </c>
      <c r="AR288" s="23">
        <v>46162</v>
      </c>
      <c r="AS288" s="14" t="s">
        <v>79</v>
      </c>
    </row>
    <row r="289" spans="1:45" x14ac:dyDescent="0.25">
      <c r="A289" s="14" t="s">
        <v>1015</v>
      </c>
      <c r="B289" s="14" t="s">
        <v>1016</v>
      </c>
      <c r="C289" s="14"/>
      <c r="D289" s="15" t="s">
        <v>1017</v>
      </c>
      <c r="E289" s="14">
        <v>65</v>
      </c>
      <c r="F289" s="14" t="s">
        <v>71</v>
      </c>
      <c r="G289" s="14" t="s">
        <v>90</v>
      </c>
      <c r="H289" s="14" t="s">
        <v>91</v>
      </c>
      <c r="I289" s="14" t="s">
        <v>92</v>
      </c>
      <c r="J289" s="15">
        <v>454073</v>
      </c>
      <c r="K289" s="14">
        <v>2</v>
      </c>
      <c r="L289" s="14" t="s">
        <v>76</v>
      </c>
      <c r="M289" s="14" t="s">
        <v>76</v>
      </c>
      <c r="N289" s="14" t="s">
        <v>75</v>
      </c>
      <c r="O289" s="14" t="s">
        <v>75</v>
      </c>
      <c r="P289" s="14">
        <v>865</v>
      </c>
      <c r="Q289" s="15">
        <v>58858.75</v>
      </c>
      <c r="R289" s="15">
        <v>1731.14</v>
      </c>
      <c r="S289" s="14" t="s">
        <v>22</v>
      </c>
      <c r="T289" s="15"/>
      <c r="U289" s="16">
        <f t="shared" si="44"/>
        <v>4.5749648184322783E-2</v>
      </c>
      <c r="V289" s="14">
        <v>2</v>
      </c>
      <c r="W289" s="17">
        <v>45.1</v>
      </c>
      <c r="X289" s="14">
        <v>8.3000000000000007</v>
      </c>
      <c r="Y289" s="18">
        <f t="shared" si="45"/>
        <v>16.2</v>
      </c>
      <c r="Z289" s="18" t="str">
        <f t="shared" si="46"/>
        <v>Low</v>
      </c>
      <c r="AA289" s="19" t="str">
        <f t="shared" si="47"/>
        <v>Eligible</v>
      </c>
      <c r="AB289" s="14" t="s">
        <v>85</v>
      </c>
      <c r="AC289" s="14">
        <v>2</v>
      </c>
      <c r="AD289" s="14" t="s">
        <v>78</v>
      </c>
      <c r="AE289" s="17">
        <v>13.8</v>
      </c>
      <c r="AF289" s="15">
        <v>0</v>
      </c>
      <c r="AG289" s="20">
        <f t="shared" si="48"/>
        <v>454073</v>
      </c>
      <c r="AH289" s="14">
        <v>1</v>
      </c>
      <c r="AI289" s="14" t="s">
        <v>76</v>
      </c>
      <c r="AJ289" s="14">
        <v>36</v>
      </c>
      <c r="AK289" s="21">
        <f t="shared" si="49"/>
        <v>0.09</v>
      </c>
      <c r="AL289" s="20">
        <f t="shared" si="50"/>
        <v>0</v>
      </c>
      <c r="AM289" s="22">
        <f t="shared" si="51"/>
        <v>0</v>
      </c>
      <c r="AN289" s="20">
        <f t="shared" si="52"/>
        <v>1731.14</v>
      </c>
      <c r="AO289" s="16">
        <f t="shared" si="53"/>
        <v>4.5749648184322783E-2</v>
      </c>
      <c r="AP289" s="15">
        <v>658976</v>
      </c>
      <c r="AQ289" s="18">
        <f t="shared" si="54"/>
        <v>0</v>
      </c>
      <c r="AR289" s="23">
        <v>45931</v>
      </c>
      <c r="AS289" s="14" t="s">
        <v>79</v>
      </c>
    </row>
    <row r="290" spans="1:45" x14ac:dyDescent="0.25">
      <c r="A290" s="14" t="s">
        <v>1018</v>
      </c>
      <c r="B290" s="14" t="s">
        <v>1019</v>
      </c>
      <c r="C290" s="14">
        <v>9848186455</v>
      </c>
      <c r="D290" s="15" t="s">
        <v>1020</v>
      </c>
      <c r="E290" s="14">
        <v>44</v>
      </c>
      <c r="F290" s="14" t="s">
        <v>71</v>
      </c>
      <c r="G290" s="14" t="s">
        <v>174</v>
      </c>
      <c r="H290" s="14" t="s">
        <v>132</v>
      </c>
      <c r="I290" s="14" t="s">
        <v>92</v>
      </c>
      <c r="J290" s="15">
        <v>1626911</v>
      </c>
      <c r="K290" s="14">
        <v>1</v>
      </c>
      <c r="L290" s="14" t="s">
        <v>75</v>
      </c>
      <c r="M290" s="14" t="s">
        <v>75</v>
      </c>
      <c r="N290" s="14" t="s">
        <v>76</v>
      </c>
      <c r="O290" s="14" t="s">
        <v>75</v>
      </c>
      <c r="P290" s="14">
        <v>379</v>
      </c>
      <c r="Q290" s="15"/>
      <c r="R290" s="15">
        <v>5732.21</v>
      </c>
      <c r="S290" s="14" t="s">
        <v>20</v>
      </c>
      <c r="T290" s="15">
        <v>378602</v>
      </c>
      <c r="U290" s="16">
        <f t="shared" si="44"/>
        <v>4.228044435128904E-2</v>
      </c>
      <c r="V290" s="14">
        <v>1</v>
      </c>
      <c r="W290" s="17">
        <v>11.3</v>
      </c>
      <c r="X290" s="14">
        <v>9.6999999999999993</v>
      </c>
      <c r="Y290" s="18">
        <f t="shared" si="45"/>
        <v>41.1</v>
      </c>
      <c r="Z290" s="18" t="str">
        <f t="shared" si="46"/>
        <v>Medium</v>
      </c>
      <c r="AA290" s="19" t="str">
        <f t="shared" si="47"/>
        <v>Not Eligible</v>
      </c>
      <c r="AB290" s="14" t="s">
        <v>85</v>
      </c>
      <c r="AC290" s="14">
        <v>1</v>
      </c>
      <c r="AD290" s="14" t="s">
        <v>78</v>
      </c>
      <c r="AE290" s="17">
        <v>20</v>
      </c>
      <c r="AF290" s="15">
        <v>157397</v>
      </c>
      <c r="AG290" s="20">
        <f t="shared" si="48"/>
        <v>1784308</v>
      </c>
      <c r="AH290" s="14">
        <v>0</v>
      </c>
      <c r="AI290" s="14" t="s">
        <v>76</v>
      </c>
      <c r="AJ290" s="14">
        <v>36</v>
      </c>
      <c r="AK290" s="21">
        <f t="shared" si="49"/>
        <v>0.375</v>
      </c>
      <c r="AL290" s="20">
        <f t="shared" si="50"/>
        <v>17666.361289523025</v>
      </c>
      <c r="AM290" s="22">
        <f t="shared" si="51"/>
        <v>0.23271217663412441</v>
      </c>
      <c r="AN290" s="20">
        <f t="shared" si="52"/>
        <v>23398.571289523024</v>
      </c>
      <c r="AO290" s="16">
        <f t="shared" si="53"/>
        <v>0.17258648781296351</v>
      </c>
      <c r="AP290" s="15">
        <v>0</v>
      </c>
      <c r="AQ290" s="18" t="str">
        <f t="shared" si="54"/>
        <v>N/A</v>
      </c>
      <c r="AR290" s="23">
        <v>45948</v>
      </c>
      <c r="AS290" s="14" t="s">
        <v>79</v>
      </c>
    </row>
    <row r="291" spans="1:45" x14ac:dyDescent="0.25">
      <c r="A291" s="14" t="s">
        <v>1021</v>
      </c>
      <c r="B291" s="14" t="s">
        <v>1022</v>
      </c>
      <c r="C291" s="14">
        <v>9878913009</v>
      </c>
      <c r="D291" s="15" t="s">
        <v>1027</v>
      </c>
      <c r="E291" s="14">
        <v>58</v>
      </c>
      <c r="F291" s="14" t="s">
        <v>89</v>
      </c>
      <c r="G291" s="14" t="s">
        <v>139</v>
      </c>
      <c r="H291" s="14" t="s">
        <v>144</v>
      </c>
      <c r="I291" s="14" t="s">
        <v>92</v>
      </c>
      <c r="J291" s="15">
        <v>1763393</v>
      </c>
      <c r="K291" s="14">
        <v>0</v>
      </c>
      <c r="L291" s="14" t="s">
        <v>75</v>
      </c>
      <c r="M291" s="14" t="s">
        <v>75</v>
      </c>
      <c r="N291" s="14" t="s">
        <v>75</v>
      </c>
      <c r="O291" s="14" t="s">
        <v>75</v>
      </c>
      <c r="P291" s="14">
        <v>349</v>
      </c>
      <c r="Q291" s="15">
        <v>111466</v>
      </c>
      <c r="R291" s="15">
        <v>501.82</v>
      </c>
      <c r="S291" s="14" t="s">
        <v>23</v>
      </c>
      <c r="T291" s="15">
        <v>370012</v>
      </c>
      <c r="U291" s="16">
        <f t="shared" si="44"/>
        <v>3.4149165841080237E-3</v>
      </c>
      <c r="V291" s="14">
        <v>0</v>
      </c>
      <c r="W291" s="17">
        <v>75.400000000000006</v>
      </c>
      <c r="X291" s="14">
        <v>14.5</v>
      </c>
      <c r="Y291" s="18">
        <f t="shared" si="45"/>
        <v>44.4</v>
      </c>
      <c r="Z291" s="18" t="str">
        <f t="shared" si="46"/>
        <v>Medium</v>
      </c>
      <c r="AA291" s="19" t="str">
        <f t="shared" si="47"/>
        <v>Not Eligible</v>
      </c>
      <c r="AB291" s="14" t="s">
        <v>85</v>
      </c>
      <c r="AC291" s="14">
        <v>2</v>
      </c>
      <c r="AD291" s="14" t="s">
        <v>93</v>
      </c>
      <c r="AE291" s="17">
        <v>14.5</v>
      </c>
      <c r="AF291" s="15">
        <v>157123</v>
      </c>
      <c r="AG291" s="20">
        <f t="shared" si="48"/>
        <v>1920516</v>
      </c>
      <c r="AH291" s="14">
        <v>0</v>
      </c>
      <c r="AI291" s="14" t="s">
        <v>75</v>
      </c>
      <c r="AJ291" s="14">
        <v>180</v>
      </c>
      <c r="AK291" s="21">
        <f t="shared" si="49"/>
        <v>0.1</v>
      </c>
      <c r="AL291" s="20">
        <f t="shared" si="50"/>
        <v>3976.1678881341545</v>
      </c>
      <c r="AM291" s="22">
        <f t="shared" si="51"/>
        <v>0.20982957287456624</v>
      </c>
      <c r="AN291" s="20">
        <f t="shared" si="52"/>
        <v>4477.9878881341547</v>
      </c>
      <c r="AO291" s="16">
        <f t="shared" si="53"/>
        <v>3.0472988527010064E-2</v>
      </c>
      <c r="AP291" s="15">
        <v>3575487</v>
      </c>
      <c r="AQ291" s="18">
        <f t="shared" si="54"/>
        <v>0.10348576291844999</v>
      </c>
      <c r="AR291" s="23">
        <v>46185</v>
      </c>
      <c r="AS291" s="14" t="s">
        <v>79</v>
      </c>
    </row>
    <row r="292" spans="1:45" x14ac:dyDescent="0.25">
      <c r="A292" s="14" t="s">
        <v>1025</v>
      </c>
      <c r="B292" s="14" t="s">
        <v>1026</v>
      </c>
      <c r="C292" s="14"/>
      <c r="D292" s="15" t="s">
        <v>1030</v>
      </c>
      <c r="E292" s="14">
        <v>36</v>
      </c>
      <c r="F292" s="14" t="s">
        <v>89</v>
      </c>
      <c r="G292" s="14" t="s">
        <v>417</v>
      </c>
      <c r="H292" s="14" t="s">
        <v>132</v>
      </c>
      <c r="I292" s="14" t="s">
        <v>92</v>
      </c>
      <c r="J292" s="15">
        <v>2141131</v>
      </c>
      <c r="K292" s="14">
        <v>0</v>
      </c>
      <c r="L292" s="14" t="s">
        <v>75</v>
      </c>
      <c r="M292" s="14" t="s">
        <v>75</v>
      </c>
      <c r="N292" s="14" t="s">
        <v>75</v>
      </c>
      <c r="O292" s="14" t="s">
        <v>75</v>
      </c>
      <c r="P292" s="14">
        <v>738</v>
      </c>
      <c r="Q292" s="15">
        <v>909681</v>
      </c>
      <c r="R292" s="15">
        <v>1955.55</v>
      </c>
      <c r="S292" s="14" t="s">
        <v>21</v>
      </c>
      <c r="T292" s="15"/>
      <c r="U292" s="16">
        <f t="shared" si="44"/>
        <v>1.0959908571684777E-2</v>
      </c>
      <c r="V292" s="14">
        <v>1</v>
      </c>
      <c r="W292" s="17">
        <v>13.3</v>
      </c>
      <c r="X292" s="14">
        <v>4.7</v>
      </c>
      <c r="Y292" s="18">
        <f t="shared" si="45"/>
        <v>16.5</v>
      </c>
      <c r="Z292" s="18" t="str">
        <f t="shared" si="46"/>
        <v>Low</v>
      </c>
      <c r="AA292" s="19" t="str">
        <f t="shared" si="47"/>
        <v>Eligible</v>
      </c>
      <c r="AB292" s="14" t="s">
        <v>77</v>
      </c>
      <c r="AC292" s="14">
        <v>3</v>
      </c>
      <c r="AD292" s="14" t="s">
        <v>93</v>
      </c>
      <c r="AE292" s="17">
        <v>1.4</v>
      </c>
      <c r="AF292" s="15">
        <v>220225</v>
      </c>
      <c r="AG292" s="20">
        <f t="shared" si="48"/>
        <v>2361356</v>
      </c>
      <c r="AH292" s="14">
        <v>1</v>
      </c>
      <c r="AI292" s="14" t="s">
        <v>75</v>
      </c>
      <c r="AJ292" s="14">
        <v>36</v>
      </c>
      <c r="AK292" s="21">
        <f t="shared" si="49"/>
        <v>0.14000000000000001</v>
      </c>
      <c r="AL292" s="20">
        <f t="shared" si="50"/>
        <v>0</v>
      </c>
      <c r="AM292" s="22">
        <f t="shared" si="51"/>
        <v>0</v>
      </c>
      <c r="AN292" s="20">
        <f t="shared" si="52"/>
        <v>1955.55</v>
      </c>
      <c r="AO292" s="16">
        <f t="shared" si="53"/>
        <v>1.0959908571684777E-2</v>
      </c>
      <c r="AP292" s="15">
        <v>0</v>
      </c>
      <c r="AQ292" s="18" t="str">
        <f t="shared" si="54"/>
        <v>N/A</v>
      </c>
      <c r="AR292" s="23">
        <v>46178</v>
      </c>
      <c r="AS292" s="14" t="s">
        <v>94</v>
      </c>
    </row>
    <row r="293" spans="1:45" x14ac:dyDescent="0.25">
      <c r="A293" s="14" t="s">
        <v>1028</v>
      </c>
      <c r="B293" s="14" t="s">
        <v>1029</v>
      </c>
      <c r="C293" s="14">
        <v>9662121467</v>
      </c>
      <c r="D293" s="15" t="s">
        <v>1033</v>
      </c>
      <c r="E293" s="14">
        <v>64</v>
      </c>
      <c r="F293" s="14" t="s">
        <v>71</v>
      </c>
      <c r="G293" s="14" t="s">
        <v>115</v>
      </c>
      <c r="H293" s="14" t="s">
        <v>107</v>
      </c>
      <c r="I293" s="14" t="s">
        <v>92</v>
      </c>
      <c r="J293" s="15">
        <v>2460114</v>
      </c>
      <c r="K293" s="14">
        <v>1</v>
      </c>
      <c r="L293" s="14" t="s">
        <v>75</v>
      </c>
      <c r="M293" s="14" t="s">
        <v>75</v>
      </c>
      <c r="N293" s="14" t="s">
        <v>75</v>
      </c>
      <c r="O293" s="14" t="s">
        <v>76</v>
      </c>
      <c r="P293" s="14">
        <v>314</v>
      </c>
      <c r="Q293" s="15">
        <v>497721.36</v>
      </c>
      <c r="R293" s="15">
        <v>15418.33</v>
      </c>
      <c r="S293" s="14" t="s">
        <v>20</v>
      </c>
      <c r="T293" s="15">
        <v>922128</v>
      </c>
      <c r="U293" s="16">
        <f t="shared" si="44"/>
        <v>7.5207880610410741E-2</v>
      </c>
      <c r="V293" s="14">
        <v>0</v>
      </c>
      <c r="W293" s="17">
        <v>55.8</v>
      </c>
      <c r="X293" s="14">
        <v>5.3</v>
      </c>
      <c r="Y293" s="18">
        <f t="shared" si="45"/>
        <v>46.9</v>
      </c>
      <c r="Z293" s="18" t="str">
        <f t="shared" si="46"/>
        <v>Medium</v>
      </c>
      <c r="AA293" s="19" t="str">
        <f t="shared" si="47"/>
        <v>Not Eligible</v>
      </c>
      <c r="AB293" s="14" t="s">
        <v>161</v>
      </c>
      <c r="AC293" s="14">
        <v>2</v>
      </c>
      <c r="AD293" s="14" t="s">
        <v>194</v>
      </c>
      <c r="AE293" s="17">
        <v>30</v>
      </c>
      <c r="AF293" s="15">
        <v>0</v>
      </c>
      <c r="AG293" s="20">
        <f t="shared" si="48"/>
        <v>2460114</v>
      </c>
      <c r="AH293" s="14">
        <v>1</v>
      </c>
      <c r="AI293" s="14" t="s">
        <v>75</v>
      </c>
      <c r="AJ293" s="14">
        <v>36</v>
      </c>
      <c r="AK293" s="21">
        <f t="shared" si="49"/>
        <v>0.375</v>
      </c>
      <c r="AL293" s="20">
        <f t="shared" si="50"/>
        <v>43028.421411364143</v>
      </c>
      <c r="AM293" s="22">
        <f t="shared" si="51"/>
        <v>0.37483141025172007</v>
      </c>
      <c r="AN293" s="20">
        <f t="shared" si="52"/>
        <v>58446.751411364145</v>
      </c>
      <c r="AO293" s="16">
        <f t="shared" si="53"/>
        <v>0.28509289282381617</v>
      </c>
      <c r="AP293" s="15">
        <v>0</v>
      </c>
      <c r="AQ293" s="18" t="str">
        <f t="shared" si="54"/>
        <v>N/A</v>
      </c>
      <c r="AR293" s="23">
        <v>45981</v>
      </c>
      <c r="AS293" s="14" t="s">
        <v>79</v>
      </c>
    </row>
    <row r="294" spans="1:45" x14ac:dyDescent="0.25">
      <c r="A294" s="14" t="s">
        <v>1031</v>
      </c>
      <c r="B294" s="14" t="s">
        <v>1032</v>
      </c>
      <c r="C294" s="14">
        <v>9624272120</v>
      </c>
      <c r="D294" s="15" t="s">
        <v>1036</v>
      </c>
      <c r="E294" s="14">
        <v>32</v>
      </c>
      <c r="F294" s="14" t="s">
        <v>71</v>
      </c>
      <c r="G294" s="14" t="s">
        <v>106</v>
      </c>
      <c r="H294" s="14" t="s">
        <v>132</v>
      </c>
      <c r="I294" s="14" t="s">
        <v>92</v>
      </c>
      <c r="J294" s="15">
        <v>2454548</v>
      </c>
      <c r="K294" s="14">
        <v>3</v>
      </c>
      <c r="L294" s="14" t="s">
        <v>76</v>
      </c>
      <c r="M294" s="14" t="s">
        <v>76</v>
      </c>
      <c r="N294" s="14" t="s">
        <v>75</v>
      </c>
      <c r="O294" s="14" t="s">
        <v>76</v>
      </c>
      <c r="P294" s="14">
        <v>415</v>
      </c>
      <c r="Q294" s="15">
        <v>108492.21</v>
      </c>
      <c r="R294" s="15">
        <v>9049.48</v>
      </c>
      <c r="S294" s="14" t="s">
        <v>21</v>
      </c>
      <c r="T294" s="15"/>
      <c r="U294" s="16">
        <f t="shared" si="44"/>
        <v>4.4241856341778608E-2</v>
      </c>
      <c r="V294" s="14">
        <v>1</v>
      </c>
      <c r="W294" s="17">
        <v>77.8</v>
      </c>
      <c r="X294" s="14">
        <v>1.9</v>
      </c>
      <c r="Y294" s="18">
        <f t="shared" si="45"/>
        <v>45.4</v>
      </c>
      <c r="Z294" s="18" t="str">
        <f t="shared" si="46"/>
        <v>Medium</v>
      </c>
      <c r="AA294" s="19" t="str">
        <f t="shared" si="47"/>
        <v>Not Eligible</v>
      </c>
      <c r="AB294" s="14" t="s">
        <v>85</v>
      </c>
      <c r="AC294" s="14">
        <v>1</v>
      </c>
      <c r="AD294" s="14" t="s">
        <v>78</v>
      </c>
      <c r="AE294" s="17">
        <v>8.1999999999999993</v>
      </c>
      <c r="AF294" s="15">
        <v>0</v>
      </c>
      <c r="AG294" s="20">
        <f t="shared" si="48"/>
        <v>2454548</v>
      </c>
      <c r="AH294" s="14">
        <v>0</v>
      </c>
      <c r="AI294" s="14" t="s">
        <v>75</v>
      </c>
      <c r="AJ294" s="14">
        <v>60</v>
      </c>
      <c r="AK294" s="21">
        <f t="shared" si="49"/>
        <v>0.15500000000000003</v>
      </c>
      <c r="AL294" s="20">
        <f t="shared" si="50"/>
        <v>0</v>
      </c>
      <c r="AM294" s="22">
        <f t="shared" si="51"/>
        <v>0</v>
      </c>
      <c r="AN294" s="20">
        <f t="shared" si="52"/>
        <v>9049.48</v>
      </c>
      <c r="AO294" s="16">
        <f t="shared" si="53"/>
        <v>4.4241856341778608E-2</v>
      </c>
      <c r="AP294" s="15">
        <v>0</v>
      </c>
      <c r="AQ294" s="18" t="str">
        <f t="shared" si="54"/>
        <v>N/A</v>
      </c>
      <c r="AR294" s="23">
        <v>45913</v>
      </c>
      <c r="AS294" s="14" t="s">
        <v>94</v>
      </c>
    </row>
    <row r="295" spans="1:45" x14ac:dyDescent="0.25">
      <c r="A295" s="14" t="s">
        <v>1034</v>
      </c>
      <c r="B295" s="14" t="s">
        <v>1035</v>
      </c>
      <c r="C295" s="14">
        <v>9804674903</v>
      </c>
      <c r="D295" s="15" t="s">
        <v>1040</v>
      </c>
      <c r="E295" s="14">
        <v>21</v>
      </c>
      <c r="F295" s="14" t="s">
        <v>89</v>
      </c>
      <c r="G295" s="14" t="s">
        <v>226</v>
      </c>
      <c r="H295" s="14" t="s">
        <v>84</v>
      </c>
      <c r="I295" s="14" t="s">
        <v>74</v>
      </c>
      <c r="J295" s="15">
        <v>1784333</v>
      </c>
      <c r="K295" s="14">
        <v>1</v>
      </c>
      <c r="L295" s="14" t="s">
        <v>76</v>
      </c>
      <c r="M295" s="14" t="s">
        <v>75</v>
      </c>
      <c r="N295" s="14" t="s">
        <v>75</v>
      </c>
      <c r="O295" s="14" t="s">
        <v>75</v>
      </c>
      <c r="P295" s="14">
        <v>309</v>
      </c>
      <c r="Q295" s="15">
        <v>26017</v>
      </c>
      <c r="R295" s="15">
        <v>2523.0700000000002</v>
      </c>
      <c r="S295" s="14" t="s">
        <v>21</v>
      </c>
      <c r="T295" s="15">
        <v>366283</v>
      </c>
      <c r="U295" s="16">
        <f t="shared" si="44"/>
        <v>1.6968155607725691E-2</v>
      </c>
      <c r="V295" s="14">
        <v>1</v>
      </c>
      <c r="W295" s="17">
        <v>90.4</v>
      </c>
      <c r="X295" s="14">
        <v>6.3</v>
      </c>
      <c r="Y295" s="18">
        <f t="shared" si="45"/>
        <v>52.9</v>
      </c>
      <c r="Z295" s="18" t="str">
        <f t="shared" si="46"/>
        <v>Medium</v>
      </c>
      <c r="AA295" s="19" t="str">
        <f t="shared" si="47"/>
        <v>Not Eligible</v>
      </c>
      <c r="AB295" s="14" t="s">
        <v>77</v>
      </c>
      <c r="AC295" s="14">
        <v>0</v>
      </c>
      <c r="AD295" s="14" t="s">
        <v>93</v>
      </c>
      <c r="AE295" s="17">
        <v>0.3</v>
      </c>
      <c r="AF295" s="15">
        <v>503024</v>
      </c>
      <c r="AG295" s="20">
        <f t="shared" si="48"/>
        <v>2287357</v>
      </c>
      <c r="AH295" s="14">
        <v>0</v>
      </c>
      <c r="AI295" s="14" t="s">
        <v>75</v>
      </c>
      <c r="AJ295" s="14">
        <v>24</v>
      </c>
      <c r="AK295" s="21">
        <f t="shared" si="49"/>
        <v>0.15500000000000003</v>
      </c>
      <c r="AL295" s="20">
        <f t="shared" si="50"/>
        <v>17846.97159267369</v>
      </c>
      <c r="AM295" s="22">
        <f t="shared" si="51"/>
        <v>0.20527726607085112</v>
      </c>
      <c r="AN295" s="20">
        <f t="shared" si="52"/>
        <v>20370.04159267369</v>
      </c>
      <c r="AO295" s="16">
        <f t="shared" si="53"/>
        <v>0.13699264605434314</v>
      </c>
      <c r="AP295" s="15">
        <v>0</v>
      </c>
      <c r="AQ295" s="18" t="str">
        <f t="shared" si="54"/>
        <v>N/A</v>
      </c>
      <c r="AR295" s="23">
        <v>46169</v>
      </c>
      <c r="AS295" s="14" t="s">
        <v>79</v>
      </c>
    </row>
    <row r="296" spans="1:45" x14ac:dyDescent="0.25">
      <c r="A296" s="14" t="s">
        <v>1037</v>
      </c>
      <c r="B296" s="14" t="s">
        <v>1038</v>
      </c>
      <c r="C296" s="14">
        <v>9122712010</v>
      </c>
      <c r="D296" s="15" t="s">
        <v>1042</v>
      </c>
      <c r="E296" s="14">
        <v>31</v>
      </c>
      <c r="F296" s="14" t="s">
        <v>71</v>
      </c>
      <c r="G296" s="14" t="s">
        <v>106</v>
      </c>
      <c r="H296" s="14" t="s">
        <v>99</v>
      </c>
      <c r="I296" s="14" t="s">
        <v>74</v>
      </c>
      <c r="J296" s="15">
        <v>324369</v>
      </c>
      <c r="K296" s="14">
        <v>2</v>
      </c>
      <c r="L296" s="14" t="s">
        <v>76</v>
      </c>
      <c r="M296" s="14" t="s">
        <v>75</v>
      </c>
      <c r="N296" s="14" t="s">
        <v>76</v>
      </c>
      <c r="O296" s="14" t="s">
        <v>75</v>
      </c>
      <c r="P296" s="14">
        <v>341</v>
      </c>
      <c r="Q296" s="15">
        <v>505865</v>
      </c>
      <c r="R296" s="15">
        <v>684.66</v>
      </c>
      <c r="S296" s="14" t="s">
        <v>22</v>
      </c>
      <c r="T296" s="15">
        <v>3578254</v>
      </c>
      <c r="U296" s="16">
        <f t="shared" si="44"/>
        <v>2.5328930939763048E-2</v>
      </c>
      <c r="V296" s="14">
        <v>0</v>
      </c>
      <c r="W296" s="17">
        <v>23.9</v>
      </c>
      <c r="X296" s="14">
        <v>7.3</v>
      </c>
      <c r="Y296" s="18">
        <f t="shared" si="45"/>
        <v>40.4</v>
      </c>
      <c r="Z296" s="18" t="str">
        <f t="shared" si="46"/>
        <v>Medium</v>
      </c>
      <c r="AA296" s="19" t="str">
        <f t="shared" si="47"/>
        <v>Not Eligible</v>
      </c>
      <c r="AB296" s="14" t="s">
        <v>77</v>
      </c>
      <c r="AC296" s="14">
        <v>1</v>
      </c>
      <c r="AD296" s="14" t="s">
        <v>78</v>
      </c>
      <c r="AE296" s="17">
        <v>5.6</v>
      </c>
      <c r="AF296" s="15">
        <v>0</v>
      </c>
      <c r="AG296" s="20">
        <f t="shared" si="48"/>
        <v>324369</v>
      </c>
      <c r="AH296" s="14">
        <v>1</v>
      </c>
      <c r="AI296" s="14" t="s">
        <v>75</v>
      </c>
      <c r="AJ296" s="14">
        <v>60</v>
      </c>
      <c r="AK296" s="21">
        <f t="shared" si="49"/>
        <v>0.105</v>
      </c>
      <c r="AL296" s="20">
        <f t="shared" si="50"/>
        <v>76910.635003600313</v>
      </c>
      <c r="AM296" s="22">
        <f t="shared" si="51"/>
        <v>11.03143025381587</v>
      </c>
      <c r="AN296" s="20">
        <f t="shared" si="52"/>
        <v>77595.295003600317</v>
      </c>
      <c r="AO296" s="16">
        <f t="shared" si="53"/>
        <v>2.8706304857837952</v>
      </c>
      <c r="AP296" s="15">
        <v>421362</v>
      </c>
      <c r="AQ296" s="18">
        <f t="shared" si="54"/>
        <v>8.4921136694813484</v>
      </c>
      <c r="AR296" s="23">
        <v>46094</v>
      </c>
      <c r="AS296" s="14" t="s">
        <v>79</v>
      </c>
    </row>
    <row r="297" spans="1:45" x14ac:dyDescent="0.25">
      <c r="A297" s="14" t="s">
        <v>1041</v>
      </c>
      <c r="B297" s="14" t="s">
        <v>1011</v>
      </c>
      <c r="C297" s="14"/>
      <c r="D297" s="15" t="s">
        <v>1045</v>
      </c>
      <c r="E297" s="14">
        <v>43</v>
      </c>
      <c r="F297" s="14" t="s">
        <v>71</v>
      </c>
      <c r="G297" s="14" t="s">
        <v>131</v>
      </c>
      <c r="H297" s="14" t="s">
        <v>166</v>
      </c>
      <c r="I297" s="14" t="s">
        <v>74</v>
      </c>
      <c r="J297" s="15">
        <v>1735043</v>
      </c>
      <c r="K297" s="14">
        <v>2</v>
      </c>
      <c r="L297" s="14" t="s">
        <v>76</v>
      </c>
      <c r="M297" s="14" t="s">
        <v>75</v>
      </c>
      <c r="N297" s="14" t="s">
        <v>76</v>
      </c>
      <c r="O297" s="14" t="s">
        <v>75</v>
      </c>
      <c r="P297" s="14">
        <v>588</v>
      </c>
      <c r="Q297" s="15">
        <v>25148.38</v>
      </c>
      <c r="R297" s="15">
        <v>8431.08</v>
      </c>
      <c r="S297" s="14" t="s">
        <v>23</v>
      </c>
      <c r="T297" s="15"/>
      <c r="U297" s="16">
        <f t="shared" si="44"/>
        <v>5.8311500060805405E-2</v>
      </c>
      <c r="V297" s="14">
        <v>1</v>
      </c>
      <c r="W297" s="17">
        <v>74.3</v>
      </c>
      <c r="X297" s="14">
        <v>3</v>
      </c>
      <c r="Y297" s="18">
        <f t="shared" si="45"/>
        <v>34</v>
      </c>
      <c r="Z297" s="18" t="str">
        <f t="shared" si="46"/>
        <v>Medium</v>
      </c>
      <c r="AA297" s="19" t="str">
        <f t="shared" si="47"/>
        <v>Review</v>
      </c>
      <c r="AB297" s="14" t="s">
        <v>85</v>
      </c>
      <c r="AC297" s="14">
        <v>0</v>
      </c>
      <c r="AD297" s="14" t="s">
        <v>78</v>
      </c>
      <c r="AE297" s="17">
        <v>15.5</v>
      </c>
      <c r="AF297" s="15">
        <v>0</v>
      </c>
      <c r="AG297" s="20">
        <f t="shared" si="48"/>
        <v>1735043</v>
      </c>
      <c r="AH297" s="14">
        <v>0</v>
      </c>
      <c r="AI297" s="14" t="s">
        <v>75</v>
      </c>
      <c r="AJ297" s="14">
        <v>120</v>
      </c>
      <c r="AK297" s="21">
        <f t="shared" si="49"/>
        <v>0.1</v>
      </c>
      <c r="AL297" s="20">
        <f t="shared" si="50"/>
        <v>0</v>
      </c>
      <c r="AM297" s="22">
        <f t="shared" si="51"/>
        <v>0</v>
      </c>
      <c r="AN297" s="20">
        <f t="shared" si="52"/>
        <v>8431.08</v>
      </c>
      <c r="AO297" s="16">
        <f t="shared" si="53"/>
        <v>5.8311500060805405E-2</v>
      </c>
      <c r="AP297" s="15">
        <v>4742211</v>
      </c>
      <c r="AQ297" s="18">
        <f t="shared" si="54"/>
        <v>0</v>
      </c>
      <c r="AR297" s="23">
        <v>46152</v>
      </c>
      <c r="AS297" s="14" t="s">
        <v>79</v>
      </c>
    </row>
    <row r="298" spans="1:45" x14ac:dyDescent="0.25">
      <c r="A298" s="14" t="s">
        <v>1043</v>
      </c>
      <c r="B298" s="14" t="s">
        <v>1044</v>
      </c>
      <c r="C298" s="14">
        <v>9809132123</v>
      </c>
      <c r="D298" s="15" t="s">
        <v>1049</v>
      </c>
      <c r="E298" s="14">
        <v>35</v>
      </c>
      <c r="F298" s="14" t="s">
        <v>71</v>
      </c>
      <c r="G298" s="14" t="s">
        <v>72</v>
      </c>
      <c r="H298" s="14" t="s">
        <v>99</v>
      </c>
      <c r="I298" s="14" t="s">
        <v>74</v>
      </c>
      <c r="J298" s="15">
        <v>460920</v>
      </c>
      <c r="K298" s="14">
        <v>4</v>
      </c>
      <c r="L298" s="14" t="s">
        <v>76</v>
      </c>
      <c r="M298" s="14" t="s">
        <v>76</v>
      </c>
      <c r="N298" s="14" t="s">
        <v>76</v>
      </c>
      <c r="O298" s="14" t="s">
        <v>76</v>
      </c>
      <c r="P298" s="14">
        <v>504</v>
      </c>
      <c r="Q298" s="15">
        <v>42008</v>
      </c>
      <c r="R298" s="15">
        <v>1676.56</v>
      </c>
      <c r="S298" s="14" t="s">
        <v>23</v>
      </c>
      <c r="T298" s="15">
        <v>397300</v>
      </c>
      <c r="U298" s="16">
        <f t="shared" si="44"/>
        <v>4.3649049726633693E-2</v>
      </c>
      <c r="V298" s="14">
        <v>1</v>
      </c>
      <c r="W298" s="17">
        <v>71.5</v>
      </c>
      <c r="X298" s="14">
        <v>14.7</v>
      </c>
      <c r="Y298" s="18">
        <f t="shared" si="45"/>
        <v>38.9</v>
      </c>
      <c r="Z298" s="18" t="str">
        <f t="shared" si="46"/>
        <v>Medium</v>
      </c>
      <c r="AA298" s="19" t="str">
        <f t="shared" si="47"/>
        <v>Not Eligible</v>
      </c>
      <c r="AB298" s="14" t="s">
        <v>85</v>
      </c>
      <c r="AC298" s="14">
        <v>1</v>
      </c>
      <c r="AD298" s="14" t="s">
        <v>78</v>
      </c>
      <c r="AE298" s="17">
        <v>6.2</v>
      </c>
      <c r="AF298" s="15">
        <v>232541</v>
      </c>
      <c r="AG298" s="20">
        <f t="shared" si="48"/>
        <v>693461</v>
      </c>
      <c r="AH298" s="14">
        <v>0</v>
      </c>
      <c r="AI298" s="14" t="s">
        <v>76</v>
      </c>
      <c r="AJ298" s="14">
        <v>300</v>
      </c>
      <c r="AK298" s="21">
        <f t="shared" si="49"/>
        <v>0.1</v>
      </c>
      <c r="AL298" s="20">
        <f t="shared" si="50"/>
        <v>3610.2680620306601</v>
      </c>
      <c r="AM298" s="22">
        <f t="shared" si="51"/>
        <v>0.86197170875640028</v>
      </c>
      <c r="AN298" s="20">
        <f t="shared" si="52"/>
        <v>5286.8280620306596</v>
      </c>
      <c r="AO298" s="16">
        <f t="shared" si="53"/>
        <v>0.13764196985239938</v>
      </c>
      <c r="AP298" s="15">
        <v>5957719</v>
      </c>
      <c r="AQ298" s="18">
        <f t="shared" si="54"/>
        <v>6.6686595994205164E-2</v>
      </c>
      <c r="AR298" s="23">
        <v>45919</v>
      </c>
      <c r="AS298" s="14" t="s">
        <v>79</v>
      </c>
    </row>
    <row r="299" spans="1:45" x14ac:dyDescent="0.25">
      <c r="A299" s="14" t="s">
        <v>1046</v>
      </c>
      <c r="B299" s="14" t="s">
        <v>1047</v>
      </c>
      <c r="C299" s="14">
        <v>9802608498</v>
      </c>
      <c r="D299" s="15" t="s">
        <v>1052</v>
      </c>
      <c r="E299" s="14">
        <v>34</v>
      </c>
      <c r="F299" s="14" t="s">
        <v>89</v>
      </c>
      <c r="G299" s="14" t="s">
        <v>115</v>
      </c>
      <c r="H299" s="14" t="s">
        <v>84</v>
      </c>
      <c r="I299" s="14" t="s">
        <v>74</v>
      </c>
      <c r="J299" s="15">
        <v>722625</v>
      </c>
      <c r="K299" s="14">
        <v>2</v>
      </c>
      <c r="L299" s="14" t="s">
        <v>76</v>
      </c>
      <c r="M299" s="14" t="s">
        <v>76</v>
      </c>
      <c r="N299" s="14" t="s">
        <v>75</v>
      </c>
      <c r="O299" s="14" t="s">
        <v>75</v>
      </c>
      <c r="P299" s="14">
        <v>414</v>
      </c>
      <c r="Q299" s="15">
        <v>45691.95</v>
      </c>
      <c r="R299" s="15">
        <v>3500.66</v>
      </c>
      <c r="S299" s="14" t="s">
        <v>21</v>
      </c>
      <c r="T299" s="15">
        <v>6117892</v>
      </c>
      <c r="U299" s="16">
        <f t="shared" si="44"/>
        <v>5.8132392319667874E-2</v>
      </c>
      <c r="V299" s="14">
        <v>0</v>
      </c>
      <c r="W299" s="17">
        <v>82</v>
      </c>
      <c r="X299" s="14">
        <v>11.2</v>
      </c>
      <c r="Y299" s="18">
        <f t="shared" si="45"/>
        <v>42.3</v>
      </c>
      <c r="Z299" s="18" t="str">
        <f t="shared" si="46"/>
        <v>Medium</v>
      </c>
      <c r="AA299" s="19" t="str">
        <f t="shared" si="47"/>
        <v>Not Eligible</v>
      </c>
      <c r="AB299" s="14" t="s">
        <v>85</v>
      </c>
      <c r="AC299" s="14">
        <v>2</v>
      </c>
      <c r="AD299" s="14" t="s">
        <v>78</v>
      </c>
      <c r="AE299" s="17">
        <v>3.8</v>
      </c>
      <c r="AF299" s="15">
        <v>0</v>
      </c>
      <c r="AG299" s="20">
        <f t="shared" si="48"/>
        <v>722625</v>
      </c>
      <c r="AH299" s="14">
        <v>0</v>
      </c>
      <c r="AI299" s="14" t="s">
        <v>75</v>
      </c>
      <c r="AJ299" s="14">
        <v>60</v>
      </c>
      <c r="AK299" s="21">
        <f t="shared" si="49"/>
        <v>0.15500000000000003</v>
      </c>
      <c r="AL299" s="20">
        <f t="shared" si="50"/>
        <v>147154.82528101723</v>
      </c>
      <c r="AM299" s="22">
        <f t="shared" si="51"/>
        <v>8.4662058467393191</v>
      </c>
      <c r="AN299" s="20">
        <f t="shared" si="52"/>
        <v>150655.48528101723</v>
      </c>
      <c r="AO299" s="16">
        <f t="shared" si="53"/>
        <v>2.5018035957408151</v>
      </c>
      <c r="AP299" s="15">
        <v>0</v>
      </c>
      <c r="AQ299" s="18" t="str">
        <f t="shared" si="54"/>
        <v>N/A</v>
      </c>
      <c r="AR299" s="23">
        <v>45956</v>
      </c>
      <c r="AS299" s="14" t="s">
        <v>79</v>
      </c>
    </row>
    <row r="300" spans="1:45" x14ac:dyDescent="0.25">
      <c r="A300" s="14" t="s">
        <v>1050</v>
      </c>
      <c r="B300" s="14" t="s">
        <v>334</v>
      </c>
      <c r="C300" s="14">
        <v>9394364860</v>
      </c>
      <c r="D300" s="15" t="s">
        <v>1055</v>
      </c>
      <c r="E300" s="14">
        <v>33</v>
      </c>
      <c r="F300" s="14" t="s">
        <v>89</v>
      </c>
      <c r="G300" s="14" t="s">
        <v>139</v>
      </c>
      <c r="H300" s="14" t="s">
        <v>73</v>
      </c>
      <c r="I300" s="14" t="s">
        <v>74</v>
      </c>
      <c r="J300" s="15">
        <v>1738218</v>
      </c>
      <c r="K300" s="14">
        <v>1</v>
      </c>
      <c r="L300" s="14" t="s">
        <v>76</v>
      </c>
      <c r="M300" s="14" t="s">
        <v>75</v>
      </c>
      <c r="N300" s="14" t="s">
        <v>75</v>
      </c>
      <c r="O300" s="14" t="s">
        <v>75</v>
      </c>
      <c r="P300" s="14">
        <v>457</v>
      </c>
      <c r="Q300" s="15">
        <v>886103.08</v>
      </c>
      <c r="R300" s="15">
        <v>1903.83</v>
      </c>
      <c r="S300" s="14" t="s">
        <v>23</v>
      </c>
      <c r="T300" s="15">
        <v>4862564</v>
      </c>
      <c r="U300" s="16">
        <f t="shared" si="44"/>
        <v>1.3143322644225292E-2</v>
      </c>
      <c r="V300" s="14">
        <v>2</v>
      </c>
      <c r="W300" s="17">
        <v>89.7</v>
      </c>
      <c r="X300" s="14">
        <v>11.4</v>
      </c>
      <c r="Y300" s="18">
        <f t="shared" si="45"/>
        <v>46.9</v>
      </c>
      <c r="Z300" s="18" t="str">
        <f t="shared" si="46"/>
        <v>Medium</v>
      </c>
      <c r="AA300" s="19" t="str">
        <f t="shared" si="47"/>
        <v>Not Eligible</v>
      </c>
      <c r="AB300" s="14" t="s">
        <v>77</v>
      </c>
      <c r="AC300" s="14">
        <v>2</v>
      </c>
      <c r="AD300" s="14" t="s">
        <v>78</v>
      </c>
      <c r="AE300" s="17">
        <v>4.5999999999999996</v>
      </c>
      <c r="AF300" s="15">
        <v>0</v>
      </c>
      <c r="AG300" s="20">
        <f t="shared" si="48"/>
        <v>1738218</v>
      </c>
      <c r="AH300" s="14">
        <v>0</v>
      </c>
      <c r="AI300" s="14" t="s">
        <v>75</v>
      </c>
      <c r="AJ300" s="14">
        <v>300</v>
      </c>
      <c r="AK300" s="21">
        <f t="shared" si="49"/>
        <v>0.1</v>
      </c>
      <c r="AL300" s="20">
        <f t="shared" si="50"/>
        <v>44186.155320362588</v>
      </c>
      <c r="AM300" s="22">
        <f t="shared" si="51"/>
        <v>2.797441977933723</v>
      </c>
      <c r="AN300" s="20">
        <f t="shared" si="52"/>
        <v>46089.98532036259</v>
      </c>
      <c r="AO300" s="16">
        <f t="shared" si="53"/>
        <v>0.31818783595863759</v>
      </c>
      <c r="AP300" s="15">
        <v>7676431</v>
      </c>
      <c r="AQ300" s="18">
        <f t="shared" si="54"/>
        <v>0.63344072264832452</v>
      </c>
      <c r="AR300" s="23">
        <v>46152</v>
      </c>
      <c r="AS300" s="14" t="s">
        <v>79</v>
      </c>
    </row>
    <row r="301" spans="1:45" x14ac:dyDescent="0.25">
      <c r="A301" s="14" t="s">
        <v>1053</v>
      </c>
      <c r="B301" s="14" t="s">
        <v>1054</v>
      </c>
      <c r="C301" s="14">
        <v>9227886302</v>
      </c>
      <c r="D301" s="15" t="s">
        <v>1059</v>
      </c>
      <c r="E301" s="14">
        <v>39</v>
      </c>
      <c r="F301" s="14" t="s">
        <v>71</v>
      </c>
      <c r="G301" s="14" t="s">
        <v>90</v>
      </c>
      <c r="H301" s="14" t="s">
        <v>91</v>
      </c>
      <c r="I301" s="14" t="s">
        <v>92</v>
      </c>
      <c r="J301" s="15">
        <v>1967209</v>
      </c>
      <c r="K301" s="14">
        <v>2</v>
      </c>
      <c r="L301" s="14" t="s">
        <v>76</v>
      </c>
      <c r="M301" s="14" t="s">
        <v>75</v>
      </c>
      <c r="N301" s="14" t="s">
        <v>75</v>
      </c>
      <c r="O301" s="14" t="s">
        <v>76</v>
      </c>
      <c r="P301" s="14">
        <v>748</v>
      </c>
      <c r="Q301" s="15">
        <v>355129</v>
      </c>
      <c r="R301" s="15">
        <v>24613.97</v>
      </c>
      <c r="S301" s="14" t="s">
        <v>23</v>
      </c>
      <c r="T301" s="15">
        <v>610563</v>
      </c>
      <c r="U301" s="16">
        <f t="shared" si="44"/>
        <v>0.15014553105440245</v>
      </c>
      <c r="V301" s="14">
        <v>1</v>
      </c>
      <c r="W301" s="17">
        <v>24.7</v>
      </c>
      <c r="X301" s="14">
        <v>0.3</v>
      </c>
      <c r="Y301" s="18">
        <f t="shared" si="45"/>
        <v>21.1</v>
      </c>
      <c r="Z301" s="18" t="str">
        <f t="shared" si="46"/>
        <v>Low</v>
      </c>
      <c r="AA301" s="19" t="str">
        <f t="shared" si="47"/>
        <v>Eligible</v>
      </c>
      <c r="AB301" s="14" t="s">
        <v>85</v>
      </c>
      <c r="AC301" s="14">
        <v>2</v>
      </c>
      <c r="AD301" s="14" t="s">
        <v>78</v>
      </c>
      <c r="AE301" s="17">
        <v>16.7</v>
      </c>
      <c r="AF301" s="15">
        <v>0</v>
      </c>
      <c r="AG301" s="20">
        <f t="shared" si="48"/>
        <v>1967209</v>
      </c>
      <c r="AH301" s="14">
        <v>0</v>
      </c>
      <c r="AI301" s="14" t="s">
        <v>75</v>
      </c>
      <c r="AJ301" s="14">
        <v>240</v>
      </c>
      <c r="AK301" s="21">
        <f t="shared" si="49"/>
        <v>8.5000000000000006E-2</v>
      </c>
      <c r="AL301" s="20">
        <f t="shared" si="50"/>
        <v>5298.6075683336048</v>
      </c>
      <c r="AM301" s="22">
        <f t="shared" si="51"/>
        <v>0.3103701741909477</v>
      </c>
      <c r="AN301" s="20">
        <f t="shared" si="52"/>
        <v>29912.577568333607</v>
      </c>
      <c r="AO301" s="16">
        <f t="shared" si="53"/>
        <v>0.18246710482719591</v>
      </c>
      <c r="AP301" s="15">
        <v>5960786</v>
      </c>
      <c r="AQ301" s="18">
        <f t="shared" si="54"/>
        <v>0.10242994799679103</v>
      </c>
      <c r="AR301" s="23">
        <v>46007</v>
      </c>
      <c r="AS301" s="14" t="s">
        <v>79</v>
      </c>
    </row>
    <row r="302" spans="1:45" x14ac:dyDescent="0.25">
      <c r="A302" s="14" t="s">
        <v>1056</v>
      </c>
      <c r="B302" s="14" t="s">
        <v>1057</v>
      </c>
      <c r="C302" s="14">
        <v>9335449670</v>
      </c>
      <c r="D302" s="15" t="s">
        <v>1063</v>
      </c>
      <c r="E302" s="14">
        <v>23</v>
      </c>
      <c r="F302" s="14" t="s">
        <v>71</v>
      </c>
      <c r="G302" s="14" t="s">
        <v>143</v>
      </c>
      <c r="H302" s="14" t="s">
        <v>166</v>
      </c>
      <c r="I302" s="14" t="s">
        <v>74</v>
      </c>
      <c r="J302" s="15">
        <v>921341</v>
      </c>
      <c r="K302" s="14">
        <v>2</v>
      </c>
      <c r="L302" s="14" t="s">
        <v>75</v>
      </c>
      <c r="M302" s="14" t="s">
        <v>76</v>
      </c>
      <c r="N302" s="14" t="s">
        <v>76</v>
      </c>
      <c r="O302" s="14" t="s">
        <v>75</v>
      </c>
      <c r="P302" s="14">
        <v>352</v>
      </c>
      <c r="Q302" s="15">
        <v>15388.8</v>
      </c>
      <c r="R302" s="15">
        <v>13152.92</v>
      </c>
      <c r="S302" s="14" t="s">
        <v>21</v>
      </c>
      <c r="T302" s="15">
        <v>390014</v>
      </c>
      <c r="U302" s="16">
        <f t="shared" si="44"/>
        <v>0.17131012296207376</v>
      </c>
      <c r="V302" s="14">
        <v>0</v>
      </c>
      <c r="W302" s="17">
        <v>66.599999999999994</v>
      </c>
      <c r="X302" s="14">
        <v>9.6</v>
      </c>
      <c r="Y302" s="18">
        <f t="shared" si="45"/>
        <v>48.3</v>
      </c>
      <c r="Z302" s="18" t="str">
        <f t="shared" si="46"/>
        <v>Medium</v>
      </c>
      <c r="AA302" s="19" t="str">
        <f t="shared" si="47"/>
        <v>Not Eligible</v>
      </c>
      <c r="AB302" s="14" t="s">
        <v>161</v>
      </c>
      <c r="AC302" s="14">
        <v>1</v>
      </c>
      <c r="AD302" s="14" t="s">
        <v>194</v>
      </c>
      <c r="AE302" s="17">
        <v>1.8</v>
      </c>
      <c r="AF302" s="15">
        <v>250209</v>
      </c>
      <c r="AG302" s="20">
        <f t="shared" si="48"/>
        <v>1171550</v>
      </c>
      <c r="AH302" s="14">
        <v>2</v>
      </c>
      <c r="AI302" s="14" t="s">
        <v>75</v>
      </c>
      <c r="AJ302" s="14">
        <v>12</v>
      </c>
      <c r="AK302" s="21">
        <f t="shared" si="49"/>
        <v>0.15500000000000003</v>
      </c>
      <c r="AL302" s="20">
        <f t="shared" si="50"/>
        <v>35294.089311528303</v>
      </c>
      <c r="AM302" s="22">
        <f t="shared" si="51"/>
        <v>0.42331123872702942</v>
      </c>
      <c r="AN302" s="20">
        <f t="shared" si="52"/>
        <v>48447.009311528302</v>
      </c>
      <c r="AO302" s="16">
        <f t="shared" si="53"/>
        <v>0.63099776492996584</v>
      </c>
      <c r="AP302" s="15">
        <v>0</v>
      </c>
      <c r="AQ302" s="18" t="str">
        <f t="shared" si="54"/>
        <v>N/A</v>
      </c>
      <c r="AR302" s="23">
        <v>46215</v>
      </c>
      <c r="AS302" s="14" t="s">
        <v>79</v>
      </c>
    </row>
    <row r="303" spans="1:45" x14ac:dyDescent="0.25">
      <c r="A303" s="14" t="s">
        <v>1060</v>
      </c>
      <c r="B303" s="14" t="s">
        <v>1061</v>
      </c>
      <c r="C303" s="14"/>
      <c r="D303" s="15" t="s">
        <v>1069</v>
      </c>
      <c r="E303" s="14">
        <v>32</v>
      </c>
      <c r="F303" s="14" t="s">
        <v>89</v>
      </c>
      <c r="G303" s="14" t="s">
        <v>127</v>
      </c>
      <c r="H303" s="14" t="s">
        <v>144</v>
      </c>
      <c r="I303" s="14" t="s">
        <v>92</v>
      </c>
      <c r="J303" s="15">
        <v>746453</v>
      </c>
      <c r="K303" s="14">
        <v>0</v>
      </c>
      <c r="L303" s="14" t="s">
        <v>75</v>
      </c>
      <c r="M303" s="14" t="s">
        <v>75</v>
      </c>
      <c r="N303" s="14" t="s">
        <v>75</v>
      </c>
      <c r="O303" s="14" t="s">
        <v>75</v>
      </c>
      <c r="P303" s="14">
        <v>864</v>
      </c>
      <c r="Q303" s="15">
        <v>254005.25</v>
      </c>
      <c r="R303" s="15">
        <v>384.72</v>
      </c>
      <c r="S303" s="14" t="s">
        <v>21</v>
      </c>
      <c r="T303" s="15">
        <v>304964</v>
      </c>
      <c r="U303" s="16">
        <f t="shared" si="44"/>
        <v>6.1847698381545793E-3</v>
      </c>
      <c r="V303" s="14">
        <v>0</v>
      </c>
      <c r="W303" s="17">
        <v>60.3</v>
      </c>
      <c r="X303" s="14">
        <v>12.2</v>
      </c>
      <c r="Y303" s="18">
        <f t="shared" si="45"/>
        <v>8.6</v>
      </c>
      <c r="Z303" s="18" t="str">
        <f t="shared" si="46"/>
        <v>Low</v>
      </c>
      <c r="AA303" s="19" t="str">
        <f t="shared" si="47"/>
        <v>Eligible</v>
      </c>
      <c r="AB303" s="14" t="s">
        <v>77</v>
      </c>
      <c r="AC303" s="14">
        <v>0</v>
      </c>
      <c r="AD303" s="14" t="s">
        <v>78</v>
      </c>
      <c r="AE303" s="17">
        <v>8.1</v>
      </c>
      <c r="AF303" s="15">
        <v>0</v>
      </c>
      <c r="AG303" s="20">
        <f t="shared" si="48"/>
        <v>746453</v>
      </c>
      <c r="AH303" s="14">
        <v>2</v>
      </c>
      <c r="AI303" s="14" t="s">
        <v>75</v>
      </c>
      <c r="AJ303" s="14">
        <v>24</v>
      </c>
      <c r="AK303" s="21">
        <f t="shared" si="49"/>
        <v>0.14000000000000001</v>
      </c>
      <c r="AL303" s="20">
        <f t="shared" si="50"/>
        <v>14642.200933060714</v>
      </c>
      <c r="AM303" s="22">
        <f t="shared" si="51"/>
        <v>0.40855083977155965</v>
      </c>
      <c r="AN303" s="20">
        <f t="shared" si="52"/>
        <v>15026.920933060714</v>
      </c>
      <c r="AO303" s="16">
        <f t="shared" si="53"/>
        <v>0.24157321518800054</v>
      </c>
      <c r="AP303" s="15">
        <v>0</v>
      </c>
      <c r="AQ303" s="18" t="str">
        <f t="shared" si="54"/>
        <v>N/A</v>
      </c>
      <c r="AR303" s="23">
        <v>46130</v>
      </c>
      <c r="AS303" s="14" t="s">
        <v>79</v>
      </c>
    </row>
    <row r="304" spans="1:45" x14ac:dyDescent="0.25">
      <c r="A304" s="14" t="s">
        <v>1064</v>
      </c>
      <c r="B304" s="14" t="s">
        <v>1065</v>
      </c>
      <c r="C304" s="14">
        <v>9803692376</v>
      </c>
      <c r="D304" s="15" t="s">
        <v>1072</v>
      </c>
      <c r="E304" s="14">
        <v>32</v>
      </c>
      <c r="F304" s="14" t="s">
        <v>89</v>
      </c>
      <c r="G304" s="14" t="s">
        <v>127</v>
      </c>
      <c r="H304" s="14" t="s">
        <v>84</v>
      </c>
      <c r="I304" s="14" t="s">
        <v>74</v>
      </c>
      <c r="J304" s="15">
        <v>983330</v>
      </c>
      <c r="K304" s="14">
        <v>0</v>
      </c>
      <c r="L304" s="14" t="s">
        <v>75</v>
      </c>
      <c r="M304" s="14" t="s">
        <v>75</v>
      </c>
      <c r="N304" s="14" t="s">
        <v>75</v>
      </c>
      <c r="O304" s="14" t="s">
        <v>75</v>
      </c>
      <c r="P304" s="14">
        <v>446</v>
      </c>
      <c r="Q304" s="15">
        <v>373549</v>
      </c>
      <c r="R304" s="15">
        <v>262.39999999999998</v>
      </c>
      <c r="S304" s="14" t="s">
        <v>23</v>
      </c>
      <c r="T304" s="15"/>
      <c r="U304" s="16">
        <f t="shared" si="44"/>
        <v>3.2021803463740551E-3</v>
      </c>
      <c r="V304" s="14">
        <v>8</v>
      </c>
      <c r="W304" s="17">
        <v>14.5</v>
      </c>
      <c r="X304" s="14">
        <v>8</v>
      </c>
      <c r="Y304" s="18">
        <f t="shared" si="45"/>
        <v>51.8</v>
      </c>
      <c r="Z304" s="18" t="str">
        <f t="shared" si="46"/>
        <v>Medium</v>
      </c>
      <c r="AA304" s="19" t="str">
        <f t="shared" si="47"/>
        <v>Not Eligible</v>
      </c>
      <c r="AB304" s="14" t="s">
        <v>77</v>
      </c>
      <c r="AC304" s="14">
        <v>3</v>
      </c>
      <c r="AD304" s="14" t="s">
        <v>93</v>
      </c>
      <c r="AE304" s="17">
        <v>4.3</v>
      </c>
      <c r="AF304" s="15">
        <v>769922</v>
      </c>
      <c r="AG304" s="20">
        <f t="shared" si="48"/>
        <v>1753252</v>
      </c>
      <c r="AH304" s="14">
        <v>1</v>
      </c>
      <c r="AI304" s="14" t="s">
        <v>75</v>
      </c>
      <c r="AJ304" s="14">
        <v>120</v>
      </c>
      <c r="AK304" s="21">
        <f t="shared" si="49"/>
        <v>0.1</v>
      </c>
      <c r="AL304" s="20">
        <f t="shared" si="50"/>
        <v>0</v>
      </c>
      <c r="AM304" s="22">
        <f t="shared" si="51"/>
        <v>0</v>
      </c>
      <c r="AN304" s="20">
        <f t="shared" si="52"/>
        <v>262.39999999999998</v>
      </c>
      <c r="AO304" s="16">
        <f t="shared" si="53"/>
        <v>3.2021803463740551E-3</v>
      </c>
      <c r="AP304" s="15">
        <v>8176789</v>
      </c>
      <c r="AQ304" s="18">
        <f t="shared" si="54"/>
        <v>0</v>
      </c>
      <c r="AR304" s="23">
        <v>45937</v>
      </c>
      <c r="AS304" s="14" t="s">
        <v>79</v>
      </c>
    </row>
    <row r="305" spans="1:45" x14ac:dyDescent="0.25">
      <c r="A305" s="14" t="s">
        <v>1067</v>
      </c>
      <c r="B305" s="14" t="s">
        <v>1068</v>
      </c>
      <c r="C305" s="14"/>
      <c r="D305" s="15" t="s">
        <v>1075</v>
      </c>
      <c r="E305" s="14">
        <v>27</v>
      </c>
      <c r="F305" s="14" t="s">
        <v>89</v>
      </c>
      <c r="G305" s="14" t="s">
        <v>120</v>
      </c>
      <c r="H305" s="14" t="s">
        <v>91</v>
      </c>
      <c r="I305" s="14" t="s">
        <v>92</v>
      </c>
      <c r="J305" s="15">
        <v>883973</v>
      </c>
      <c r="K305" s="14">
        <v>2</v>
      </c>
      <c r="L305" s="14" t="s">
        <v>76</v>
      </c>
      <c r="M305" s="14" t="s">
        <v>75</v>
      </c>
      <c r="N305" s="14" t="s">
        <v>75</v>
      </c>
      <c r="O305" s="14" t="s">
        <v>76</v>
      </c>
      <c r="P305" s="14">
        <v>639</v>
      </c>
      <c r="Q305" s="15">
        <v>62455.34</v>
      </c>
      <c r="R305" s="15">
        <v>9407.6</v>
      </c>
      <c r="S305" s="14" t="s">
        <v>20</v>
      </c>
      <c r="T305" s="15">
        <v>603390</v>
      </c>
      <c r="U305" s="16">
        <f t="shared" si="44"/>
        <v>0.12770887798609235</v>
      </c>
      <c r="V305" s="14">
        <v>2</v>
      </c>
      <c r="W305" s="17">
        <v>64.599999999999994</v>
      </c>
      <c r="X305" s="14">
        <v>2</v>
      </c>
      <c r="Y305" s="18">
        <f t="shared" si="45"/>
        <v>35.700000000000003</v>
      </c>
      <c r="Z305" s="18" t="str">
        <f t="shared" si="46"/>
        <v>Medium</v>
      </c>
      <c r="AA305" s="19" t="str">
        <f t="shared" si="47"/>
        <v>Review</v>
      </c>
      <c r="AB305" s="14" t="s">
        <v>77</v>
      </c>
      <c r="AC305" s="14">
        <v>0</v>
      </c>
      <c r="AD305" s="14" t="s">
        <v>78</v>
      </c>
      <c r="AE305" s="17">
        <v>3.2</v>
      </c>
      <c r="AF305" s="15">
        <v>0</v>
      </c>
      <c r="AG305" s="20">
        <f t="shared" si="48"/>
        <v>883973</v>
      </c>
      <c r="AH305" s="14">
        <v>0</v>
      </c>
      <c r="AI305" s="14" t="s">
        <v>76</v>
      </c>
      <c r="AJ305" s="14">
        <v>12</v>
      </c>
      <c r="AK305" s="21">
        <f t="shared" si="49"/>
        <v>0.375</v>
      </c>
      <c r="AL305" s="20">
        <f t="shared" si="50"/>
        <v>61071.017653542782</v>
      </c>
      <c r="AM305" s="22">
        <f t="shared" si="51"/>
        <v>0.68258872160122541</v>
      </c>
      <c r="AN305" s="20">
        <f t="shared" si="52"/>
        <v>70478.61765354278</v>
      </c>
      <c r="AO305" s="16">
        <f t="shared" si="53"/>
        <v>0.95675253864372933</v>
      </c>
      <c r="AP305" s="15">
        <v>0</v>
      </c>
      <c r="AQ305" s="18" t="str">
        <f t="shared" si="54"/>
        <v>N/A</v>
      </c>
      <c r="AR305" s="23">
        <v>46011</v>
      </c>
      <c r="AS305" s="14" t="s">
        <v>79</v>
      </c>
    </row>
    <row r="306" spans="1:45" x14ac:dyDescent="0.25">
      <c r="A306" s="14" t="s">
        <v>1070</v>
      </c>
      <c r="B306" s="14" t="s">
        <v>1071</v>
      </c>
      <c r="C306" s="14"/>
      <c r="D306" s="15" t="s">
        <v>1078</v>
      </c>
      <c r="E306" s="14">
        <v>64</v>
      </c>
      <c r="F306" s="14" t="s">
        <v>89</v>
      </c>
      <c r="G306" s="14" t="s">
        <v>139</v>
      </c>
      <c r="H306" s="14" t="s">
        <v>107</v>
      </c>
      <c r="I306" s="14" t="s">
        <v>92</v>
      </c>
      <c r="J306" s="15">
        <v>1011182</v>
      </c>
      <c r="K306" s="14">
        <v>1</v>
      </c>
      <c r="L306" s="14" t="s">
        <v>75</v>
      </c>
      <c r="M306" s="14" t="s">
        <v>76</v>
      </c>
      <c r="N306" s="14" t="s">
        <v>75</v>
      </c>
      <c r="O306" s="14" t="s">
        <v>75</v>
      </c>
      <c r="P306" s="14">
        <v>378</v>
      </c>
      <c r="Q306" s="15"/>
      <c r="R306" s="15">
        <v>19660.47</v>
      </c>
      <c r="S306" s="14" t="s">
        <v>22</v>
      </c>
      <c r="T306" s="15">
        <v>306010</v>
      </c>
      <c r="U306" s="16">
        <f t="shared" si="44"/>
        <v>0.23331669274176164</v>
      </c>
      <c r="V306" s="14">
        <v>4</v>
      </c>
      <c r="W306" s="17">
        <v>62.4</v>
      </c>
      <c r="X306" s="14">
        <v>2.8</v>
      </c>
      <c r="Y306" s="18">
        <f t="shared" si="45"/>
        <v>64</v>
      </c>
      <c r="Z306" s="18" t="str">
        <f t="shared" si="46"/>
        <v>High</v>
      </c>
      <c r="AA306" s="19" t="str">
        <f t="shared" si="47"/>
        <v>Not Eligible</v>
      </c>
      <c r="AB306" s="14" t="s">
        <v>85</v>
      </c>
      <c r="AC306" s="14">
        <v>2</v>
      </c>
      <c r="AD306" s="14" t="s">
        <v>93</v>
      </c>
      <c r="AE306" s="17">
        <v>4.8</v>
      </c>
      <c r="AF306" s="15">
        <v>0</v>
      </c>
      <c r="AG306" s="20">
        <f t="shared" si="48"/>
        <v>1011182</v>
      </c>
      <c r="AH306" s="14">
        <v>0</v>
      </c>
      <c r="AI306" s="14" t="s">
        <v>75</v>
      </c>
      <c r="AJ306" s="14">
        <v>48</v>
      </c>
      <c r="AK306" s="21">
        <f t="shared" si="49"/>
        <v>0.12</v>
      </c>
      <c r="AL306" s="20">
        <f t="shared" si="50"/>
        <v>8058.4169805242154</v>
      </c>
      <c r="AM306" s="22">
        <f t="shared" si="51"/>
        <v>0.30262603566914759</v>
      </c>
      <c r="AN306" s="20">
        <f t="shared" si="52"/>
        <v>27718.886980524218</v>
      </c>
      <c r="AO306" s="16">
        <f t="shared" si="53"/>
        <v>0.32894834339049805</v>
      </c>
      <c r="AP306" s="15">
        <v>585401</v>
      </c>
      <c r="AQ306" s="18">
        <f t="shared" si="54"/>
        <v>0.52273569741083459</v>
      </c>
      <c r="AR306" s="23">
        <v>46033</v>
      </c>
      <c r="AS306" s="14" t="s">
        <v>79</v>
      </c>
    </row>
    <row r="307" spans="1:45" x14ac:dyDescent="0.25">
      <c r="A307" s="14" t="s">
        <v>1073</v>
      </c>
      <c r="B307" s="14" t="s">
        <v>1074</v>
      </c>
      <c r="C307" s="14">
        <v>9552127953</v>
      </c>
      <c r="D307" s="15" t="s">
        <v>1081</v>
      </c>
      <c r="E307" s="14">
        <v>21</v>
      </c>
      <c r="F307" s="14" t="s">
        <v>71</v>
      </c>
      <c r="G307" s="14" t="s">
        <v>72</v>
      </c>
      <c r="H307" s="14" t="s">
        <v>103</v>
      </c>
      <c r="I307" s="14" t="s">
        <v>74</v>
      </c>
      <c r="J307" s="15">
        <v>919835</v>
      </c>
      <c r="K307" s="14">
        <v>1</v>
      </c>
      <c r="L307" s="14" t="s">
        <v>76</v>
      </c>
      <c r="M307" s="14" t="s">
        <v>75</v>
      </c>
      <c r="N307" s="14" t="s">
        <v>75</v>
      </c>
      <c r="O307" s="14" t="s">
        <v>75</v>
      </c>
      <c r="P307" s="14">
        <v>368</v>
      </c>
      <c r="Q307" s="15">
        <v>357925.7</v>
      </c>
      <c r="R307" s="15">
        <v>1601.42</v>
      </c>
      <c r="S307" s="14" t="s">
        <v>22</v>
      </c>
      <c r="T307" s="15"/>
      <c r="U307" s="16">
        <f t="shared" si="44"/>
        <v>2.089183386150777E-2</v>
      </c>
      <c r="V307" s="14">
        <v>0</v>
      </c>
      <c r="W307" s="17">
        <v>99.5</v>
      </c>
      <c r="X307" s="14">
        <v>2.9</v>
      </c>
      <c r="Y307" s="18">
        <f t="shared" si="45"/>
        <v>46</v>
      </c>
      <c r="Z307" s="18" t="str">
        <f t="shared" si="46"/>
        <v>Medium</v>
      </c>
      <c r="AA307" s="19" t="str">
        <f t="shared" si="47"/>
        <v>Not Eligible</v>
      </c>
      <c r="AB307" s="14" t="s">
        <v>85</v>
      </c>
      <c r="AC307" s="14">
        <v>1</v>
      </c>
      <c r="AD307" s="14" t="s">
        <v>78</v>
      </c>
      <c r="AE307" s="17">
        <v>0.3</v>
      </c>
      <c r="AF307" s="15">
        <v>0</v>
      </c>
      <c r="AG307" s="20">
        <f t="shared" si="48"/>
        <v>919835</v>
      </c>
      <c r="AH307" s="14">
        <v>0</v>
      </c>
      <c r="AI307" s="14" t="s">
        <v>75</v>
      </c>
      <c r="AJ307" s="14">
        <v>48</v>
      </c>
      <c r="AK307" s="21">
        <f t="shared" si="49"/>
        <v>0.105</v>
      </c>
      <c r="AL307" s="20">
        <f t="shared" si="50"/>
        <v>0</v>
      </c>
      <c r="AM307" s="22">
        <f t="shared" si="51"/>
        <v>0</v>
      </c>
      <c r="AN307" s="20">
        <f t="shared" si="52"/>
        <v>1601.42</v>
      </c>
      <c r="AO307" s="16">
        <f t="shared" si="53"/>
        <v>2.089183386150777E-2</v>
      </c>
      <c r="AP307" s="15">
        <v>650240</v>
      </c>
      <c r="AQ307" s="18">
        <f t="shared" si="54"/>
        <v>0</v>
      </c>
      <c r="AR307" s="23">
        <v>46229</v>
      </c>
      <c r="AS307" s="14" t="s">
        <v>94</v>
      </c>
    </row>
    <row r="308" spans="1:45" x14ac:dyDescent="0.25">
      <c r="A308" s="14" t="s">
        <v>1076</v>
      </c>
      <c r="B308" s="14" t="s">
        <v>1077</v>
      </c>
      <c r="C308" s="14">
        <v>9114183509</v>
      </c>
      <c r="D308" s="15" t="s">
        <v>1085</v>
      </c>
      <c r="E308" s="14">
        <v>55</v>
      </c>
      <c r="F308" s="14" t="s">
        <v>89</v>
      </c>
      <c r="G308" s="14" t="s">
        <v>83</v>
      </c>
      <c r="H308" s="14" t="s">
        <v>144</v>
      </c>
      <c r="I308" s="14" t="s">
        <v>92</v>
      </c>
      <c r="J308" s="15">
        <v>1265170</v>
      </c>
      <c r="K308" s="14">
        <v>1</v>
      </c>
      <c r="L308" s="14" t="s">
        <v>76</v>
      </c>
      <c r="M308" s="14" t="s">
        <v>75</v>
      </c>
      <c r="N308" s="14" t="s">
        <v>75</v>
      </c>
      <c r="O308" s="14" t="s">
        <v>75</v>
      </c>
      <c r="P308" s="14">
        <v>524</v>
      </c>
      <c r="Q308" s="15"/>
      <c r="R308" s="15">
        <v>19767.39</v>
      </c>
      <c r="S308" s="14" t="s">
        <v>22</v>
      </c>
      <c r="T308" s="15">
        <v>776713</v>
      </c>
      <c r="U308" s="16">
        <f t="shared" si="44"/>
        <v>0.18749154659057676</v>
      </c>
      <c r="V308" s="14">
        <v>0</v>
      </c>
      <c r="W308" s="17">
        <v>85.8</v>
      </c>
      <c r="X308" s="14">
        <v>5.6</v>
      </c>
      <c r="Y308" s="18">
        <f t="shared" si="45"/>
        <v>39.299999999999997</v>
      </c>
      <c r="Z308" s="18" t="str">
        <f t="shared" si="46"/>
        <v>Medium</v>
      </c>
      <c r="AA308" s="19" t="str">
        <f t="shared" si="47"/>
        <v>Not Eligible</v>
      </c>
      <c r="AB308" s="14" t="s">
        <v>85</v>
      </c>
      <c r="AC308" s="14">
        <v>0</v>
      </c>
      <c r="AD308" s="14" t="s">
        <v>78</v>
      </c>
      <c r="AE308" s="17">
        <v>27.4</v>
      </c>
      <c r="AF308" s="15">
        <v>0</v>
      </c>
      <c r="AG308" s="20">
        <f t="shared" si="48"/>
        <v>1265170</v>
      </c>
      <c r="AH308" s="14">
        <v>2</v>
      </c>
      <c r="AI308" s="14" t="s">
        <v>75</v>
      </c>
      <c r="AJ308" s="14">
        <v>36</v>
      </c>
      <c r="AK308" s="21">
        <f t="shared" si="49"/>
        <v>0.105</v>
      </c>
      <c r="AL308" s="20">
        <f t="shared" si="50"/>
        <v>25245.070401855897</v>
      </c>
      <c r="AM308" s="22">
        <f t="shared" si="51"/>
        <v>0.61391986847617319</v>
      </c>
      <c r="AN308" s="20">
        <f t="shared" si="52"/>
        <v>45012.460401855897</v>
      </c>
      <c r="AO308" s="16">
        <f t="shared" si="53"/>
        <v>0.42693829668919647</v>
      </c>
      <c r="AP308" s="15">
        <v>339347</v>
      </c>
      <c r="AQ308" s="18">
        <f t="shared" si="54"/>
        <v>2.2888459305666471</v>
      </c>
      <c r="AR308" s="23">
        <v>45968</v>
      </c>
      <c r="AS308" s="14" t="s">
        <v>79</v>
      </c>
    </row>
    <row r="309" spans="1:45" x14ac:dyDescent="0.25">
      <c r="A309" s="14" t="s">
        <v>1079</v>
      </c>
      <c r="B309" s="14" t="s">
        <v>1080</v>
      </c>
      <c r="C309" s="14">
        <v>9602979426</v>
      </c>
      <c r="D309" s="15" t="s">
        <v>1089</v>
      </c>
      <c r="E309" s="14">
        <v>35</v>
      </c>
      <c r="F309" s="14" t="s">
        <v>71</v>
      </c>
      <c r="G309" s="14" t="s">
        <v>72</v>
      </c>
      <c r="H309" s="14" t="s">
        <v>73</v>
      </c>
      <c r="I309" s="14" t="s">
        <v>74</v>
      </c>
      <c r="J309" s="15">
        <v>900106</v>
      </c>
      <c r="K309" s="14">
        <v>2</v>
      </c>
      <c r="L309" s="14" t="s">
        <v>76</v>
      </c>
      <c r="M309" s="14" t="s">
        <v>76</v>
      </c>
      <c r="N309" s="14" t="s">
        <v>75</v>
      </c>
      <c r="O309" s="14" t="s">
        <v>75</v>
      </c>
      <c r="P309" s="14">
        <v>408</v>
      </c>
      <c r="Q309" s="15">
        <v>115189</v>
      </c>
      <c r="R309" s="15">
        <v>22370.36</v>
      </c>
      <c r="S309" s="14" t="s">
        <v>23</v>
      </c>
      <c r="T309" s="15"/>
      <c r="U309" s="16">
        <f t="shared" si="44"/>
        <v>0.29823634105316488</v>
      </c>
      <c r="V309" s="14">
        <v>4</v>
      </c>
      <c r="W309" s="17">
        <v>7.9</v>
      </c>
      <c r="X309" s="14">
        <v>5.6</v>
      </c>
      <c r="Y309" s="18">
        <f t="shared" si="45"/>
        <v>58.5</v>
      </c>
      <c r="Z309" s="18" t="str">
        <f t="shared" si="46"/>
        <v>Medium</v>
      </c>
      <c r="AA309" s="19" t="str">
        <f t="shared" si="47"/>
        <v>Not Eligible</v>
      </c>
      <c r="AB309" s="14" t="s">
        <v>85</v>
      </c>
      <c r="AC309" s="14">
        <v>0</v>
      </c>
      <c r="AD309" s="14" t="s">
        <v>93</v>
      </c>
      <c r="AE309" s="17">
        <v>11.4</v>
      </c>
      <c r="AF309" s="15">
        <v>286818</v>
      </c>
      <c r="AG309" s="20">
        <f t="shared" si="48"/>
        <v>1186924</v>
      </c>
      <c r="AH309" s="14">
        <v>1</v>
      </c>
      <c r="AI309" s="14" t="s">
        <v>75</v>
      </c>
      <c r="AJ309" s="14">
        <v>240</v>
      </c>
      <c r="AK309" s="21">
        <f t="shared" si="49"/>
        <v>0.1</v>
      </c>
      <c r="AL309" s="20">
        <f t="shared" si="50"/>
        <v>0</v>
      </c>
      <c r="AM309" s="22">
        <f t="shared" si="51"/>
        <v>0</v>
      </c>
      <c r="AN309" s="20">
        <f t="shared" si="52"/>
        <v>22370.36</v>
      </c>
      <c r="AO309" s="16">
        <f t="shared" si="53"/>
        <v>0.29823634105316488</v>
      </c>
      <c r="AP309" s="15">
        <v>8216499</v>
      </c>
      <c r="AQ309" s="18">
        <f t="shared" si="54"/>
        <v>0</v>
      </c>
      <c r="AR309" s="23">
        <v>46067</v>
      </c>
      <c r="AS309" s="14" t="s">
        <v>79</v>
      </c>
    </row>
    <row r="310" spans="1:45" x14ac:dyDescent="0.25">
      <c r="A310" s="14" t="s">
        <v>1082</v>
      </c>
      <c r="B310" s="14" t="s">
        <v>1083</v>
      </c>
      <c r="C310" s="14">
        <v>9151592119</v>
      </c>
      <c r="D310" s="15" t="s">
        <v>1092</v>
      </c>
      <c r="E310" s="14">
        <v>30</v>
      </c>
      <c r="F310" s="14" t="s">
        <v>71</v>
      </c>
      <c r="G310" s="14" t="s">
        <v>90</v>
      </c>
      <c r="H310" s="14" t="s">
        <v>132</v>
      </c>
      <c r="I310" s="14" t="s">
        <v>92</v>
      </c>
      <c r="J310" s="15">
        <v>2410974</v>
      </c>
      <c r="K310" s="14">
        <v>1</v>
      </c>
      <c r="L310" s="14" t="s">
        <v>76</v>
      </c>
      <c r="M310" s="14" t="s">
        <v>75</v>
      </c>
      <c r="N310" s="14" t="s">
        <v>75</v>
      </c>
      <c r="O310" s="14" t="s">
        <v>75</v>
      </c>
      <c r="P310" s="14">
        <v>765</v>
      </c>
      <c r="Q310" s="15">
        <v>830500</v>
      </c>
      <c r="R310" s="15">
        <v>28629.759999999998</v>
      </c>
      <c r="S310" s="14" t="s">
        <v>22</v>
      </c>
      <c r="T310" s="15"/>
      <c r="U310" s="16">
        <f t="shared" si="44"/>
        <v>0.14249723140938061</v>
      </c>
      <c r="V310" s="14">
        <v>0</v>
      </c>
      <c r="W310" s="17">
        <v>19.899999999999999</v>
      </c>
      <c r="X310" s="14">
        <v>14.6</v>
      </c>
      <c r="Y310" s="18">
        <f t="shared" si="45"/>
        <v>15.3</v>
      </c>
      <c r="Z310" s="18" t="str">
        <f t="shared" si="46"/>
        <v>Low</v>
      </c>
      <c r="AA310" s="19" t="str">
        <f t="shared" si="47"/>
        <v>Eligible</v>
      </c>
      <c r="AB310" s="14" t="s">
        <v>85</v>
      </c>
      <c r="AC310" s="14">
        <v>4</v>
      </c>
      <c r="AD310" s="14" t="s">
        <v>78</v>
      </c>
      <c r="AE310" s="17">
        <v>2.1</v>
      </c>
      <c r="AF310" s="15">
        <v>0</v>
      </c>
      <c r="AG310" s="20">
        <f t="shared" si="48"/>
        <v>2410974</v>
      </c>
      <c r="AH310" s="14">
        <v>0</v>
      </c>
      <c r="AI310" s="14" t="s">
        <v>75</v>
      </c>
      <c r="AJ310" s="14">
        <v>84</v>
      </c>
      <c r="AK310" s="21">
        <f t="shared" si="49"/>
        <v>0.09</v>
      </c>
      <c r="AL310" s="20">
        <f t="shared" si="50"/>
        <v>0</v>
      </c>
      <c r="AM310" s="22">
        <f t="shared" si="51"/>
        <v>0</v>
      </c>
      <c r="AN310" s="20">
        <f t="shared" si="52"/>
        <v>28629.759999999998</v>
      </c>
      <c r="AO310" s="16">
        <f t="shared" si="53"/>
        <v>0.14249723140938061</v>
      </c>
      <c r="AP310" s="15">
        <v>967161</v>
      </c>
      <c r="AQ310" s="18">
        <f t="shared" si="54"/>
        <v>0</v>
      </c>
      <c r="AR310" s="23">
        <v>46204</v>
      </c>
      <c r="AS310" s="14" t="s">
        <v>79</v>
      </c>
    </row>
    <row r="311" spans="1:45" x14ac:dyDescent="0.25">
      <c r="A311" s="14" t="s">
        <v>1086</v>
      </c>
      <c r="B311" s="14" t="s">
        <v>1087</v>
      </c>
      <c r="C311" s="14">
        <v>9331549411</v>
      </c>
      <c r="D311" s="15" t="s">
        <v>1095</v>
      </c>
      <c r="E311" s="14">
        <v>62</v>
      </c>
      <c r="F311" s="14" t="s">
        <v>89</v>
      </c>
      <c r="G311" s="14" t="s">
        <v>153</v>
      </c>
      <c r="H311" s="14" t="s">
        <v>132</v>
      </c>
      <c r="I311" s="14" t="s">
        <v>92</v>
      </c>
      <c r="J311" s="15">
        <v>529309</v>
      </c>
      <c r="K311" s="14">
        <v>2</v>
      </c>
      <c r="L311" s="14" t="s">
        <v>75</v>
      </c>
      <c r="M311" s="14" t="s">
        <v>75</v>
      </c>
      <c r="N311" s="14" t="s">
        <v>76</v>
      </c>
      <c r="O311" s="14" t="s">
        <v>76</v>
      </c>
      <c r="P311" s="14">
        <v>379</v>
      </c>
      <c r="Q311" s="15">
        <v>247042.64</v>
      </c>
      <c r="R311" s="15">
        <v>3490.57</v>
      </c>
      <c r="S311" s="14" t="s">
        <v>20</v>
      </c>
      <c r="T311" s="15">
        <v>99902</v>
      </c>
      <c r="U311" s="16">
        <f t="shared" si="44"/>
        <v>7.9134947639280653E-2</v>
      </c>
      <c r="V311" s="14">
        <v>0</v>
      </c>
      <c r="W311" s="17">
        <v>56.4</v>
      </c>
      <c r="X311" s="14">
        <v>1.2</v>
      </c>
      <c r="Y311" s="18">
        <f t="shared" si="45"/>
        <v>42.7</v>
      </c>
      <c r="Z311" s="18" t="str">
        <f t="shared" si="46"/>
        <v>Medium</v>
      </c>
      <c r="AA311" s="19" t="str">
        <f t="shared" si="47"/>
        <v>Not Eligible</v>
      </c>
      <c r="AB311" s="14" t="s">
        <v>85</v>
      </c>
      <c r="AC311" s="14">
        <v>2</v>
      </c>
      <c r="AD311" s="14" t="s">
        <v>78</v>
      </c>
      <c r="AE311" s="17">
        <v>16.7</v>
      </c>
      <c r="AF311" s="15">
        <v>0</v>
      </c>
      <c r="AG311" s="20">
        <f t="shared" si="48"/>
        <v>529309</v>
      </c>
      <c r="AH311" s="14">
        <v>0</v>
      </c>
      <c r="AI311" s="14" t="s">
        <v>75</v>
      </c>
      <c r="AJ311" s="14">
        <v>12</v>
      </c>
      <c r="AK311" s="21">
        <f t="shared" si="49"/>
        <v>0.375</v>
      </c>
      <c r="AL311" s="20">
        <f t="shared" si="50"/>
        <v>10111.398607242796</v>
      </c>
      <c r="AM311" s="22">
        <f t="shared" si="51"/>
        <v>0.18874041438932646</v>
      </c>
      <c r="AN311" s="20">
        <f t="shared" si="52"/>
        <v>13601.968607242796</v>
      </c>
      <c r="AO311" s="16">
        <f t="shared" si="53"/>
        <v>0.30837114669675664</v>
      </c>
      <c r="AP311" s="15">
        <v>0</v>
      </c>
      <c r="AQ311" s="18" t="str">
        <f t="shared" si="54"/>
        <v>N/A</v>
      </c>
      <c r="AR311" s="23">
        <v>46183</v>
      </c>
      <c r="AS311" s="14" t="s">
        <v>94</v>
      </c>
    </row>
    <row r="312" spans="1:45" x14ac:dyDescent="0.25">
      <c r="A312" s="14" t="s">
        <v>1090</v>
      </c>
      <c r="B312" s="14" t="s">
        <v>1091</v>
      </c>
      <c r="C312" s="14">
        <v>9173188220</v>
      </c>
      <c r="D312" s="15"/>
      <c r="E312" s="14">
        <v>40</v>
      </c>
      <c r="F312" s="14" t="s">
        <v>71</v>
      </c>
      <c r="G312" s="14" t="s">
        <v>106</v>
      </c>
      <c r="H312" s="14" t="s">
        <v>84</v>
      </c>
      <c r="I312" s="14" t="s">
        <v>74</v>
      </c>
      <c r="J312" s="15">
        <v>1969905</v>
      </c>
      <c r="K312" s="14">
        <v>1</v>
      </c>
      <c r="L312" s="14" t="s">
        <v>76</v>
      </c>
      <c r="M312" s="14" t="s">
        <v>75</v>
      </c>
      <c r="N312" s="14" t="s">
        <v>75</v>
      </c>
      <c r="O312" s="14" t="s">
        <v>75</v>
      </c>
      <c r="P312" s="14">
        <v>432</v>
      </c>
      <c r="Q312" s="15">
        <v>68382</v>
      </c>
      <c r="R312" s="15">
        <v>46138.91</v>
      </c>
      <c r="S312" s="14" t="s">
        <v>22</v>
      </c>
      <c r="T312" s="15">
        <v>318180</v>
      </c>
      <c r="U312" s="16">
        <f t="shared" si="44"/>
        <v>0.28106275175706447</v>
      </c>
      <c r="V312" s="14">
        <v>4</v>
      </c>
      <c r="W312" s="17">
        <v>52.8</v>
      </c>
      <c r="X312" s="14">
        <v>7.6</v>
      </c>
      <c r="Y312" s="18">
        <f t="shared" si="45"/>
        <v>60.9</v>
      </c>
      <c r="Z312" s="18" t="str">
        <f t="shared" si="46"/>
        <v>High</v>
      </c>
      <c r="AA312" s="19" t="str">
        <f t="shared" si="47"/>
        <v>Not Eligible</v>
      </c>
      <c r="AB312" s="14" t="s">
        <v>77</v>
      </c>
      <c r="AC312" s="14">
        <v>0</v>
      </c>
      <c r="AD312" s="14" t="s">
        <v>93</v>
      </c>
      <c r="AE312" s="17">
        <v>9.1999999999999993</v>
      </c>
      <c r="AF312" s="15">
        <v>0</v>
      </c>
      <c r="AG312" s="20">
        <f t="shared" si="48"/>
        <v>1969905</v>
      </c>
      <c r="AH312" s="14">
        <v>0</v>
      </c>
      <c r="AI312" s="14" t="s">
        <v>75</v>
      </c>
      <c r="AJ312" s="14">
        <v>84</v>
      </c>
      <c r="AK312" s="21">
        <f t="shared" si="49"/>
        <v>0.12</v>
      </c>
      <c r="AL312" s="20">
        <f t="shared" si="50"/>
        <v>5616.7465213729474</v>
      </c>
      <c r="AM312" s="22">
        <f t="shared" si="51"/>
        <v>0.1615204794139819</v>
      </c>
      <c r="AN312" s="20">
        <f t="shared" si="52"/>
        <v>51755.656521372948</v>
      </c>
      <c r="AO312" s="16">
        <f t="shared" si="53"/>
        <v>0.31527808612926783</v>
      </c>
      <c r="AP312" s="15">
        <v>1318746</v>
      </c>
      <c r="AQ312" s="18">
        <f t="shared" si="54"/>
        <v>0.24127466547765833</v>
      </c>
      <c r="AR312" s="23">
        <v>46215</v>
      </c>
      <c r="AS312" s="14" t="s">
        <v>79</v>
      </c>
    </row>
    <row r="313" spans="1:45" x14ac:dyDescent="0.25">
      <c r="A313" s="14" t="s">
        <v>1093</v>
      </c>
      <c r="B313" s="14" t="s">
        <v>412</v>
      </c>
      <c r="C313" s="14">
        <v>9832888487</v>
      </c>
      <c r="D313" s="15" t="s">
        <v>1101</v>
      </c>
      <c r="E313" s="14">
        <v>31</v>
      </c>
      <c r="F313" s="14" t="s">
        <v>89</v>
      </c>
      <c r="G313" s="14" t="s">
        <v>417</v>
      </c>
      <c r="H313" s="14" t="s">
        <v>132</v>
      </c>
      <c r="I313" s="14" t="s">
        <v>92</v>
      </c>
      <c r="J313" s="15">
        <v>1721955</v>
      </c>
      <c r="K313" s="14">
        <v>2</v>
      </c>
      <c r="L313" s="14" t="s">
        <v>76</v>
      </c>
      <c r="M313" s="14" t="s">
        <v>75</v>
      </c>
      <c r="N313" s="14" t="s">
        <v>75</v>
      </c>
      <c r="O313" s="14" t="s">
        <v>76</v>
      </c>
      <c r="P313" s="14">
        <v>696</v>
      </c>
      <c r="Q313" s="15">
        <v>44607.8</v>
      </c>
      <c r="R313" s="15">
        <v>4843.97</v>
      </c>
      <c r="S313" s="14" t="s">
        <v>20</v>
      </c>
      <c r="T313" s="15">
        <v>202943</v>
      </c>
      <c r="U313" s="16">
        <f t="shared" si="44"/>
        <v>3.3756770647316567E-2</v>
      </c>
      <c r="V313" s="14">
        <v>1</v>
      </c>
      <c r="W313" s="17">
        <v>99.5</v>
      </c>
      <c r="X313" s="14">
        <v>1.6</v>
      </c>
      <c r="Y313" s="18">
        <f t="shared" si="45"/>
        <v>28.6</v>
      </c>
      <c r="Z313" s="18" t="str">
        <f t="shared" si="46"/>
        <v>Low</v>
      </c>
      <c r="AA313" s="19" t="str">
        <f t="shared" si="47"/>
        <v>Eligible</v>
      </c>
      <c r="AB313" s="14" t="s">
        <v>85</v>
      </c>
      <c r="AC313" s="14">
        <v>2</v>
      </c>
      <c r="AD313" s="14" t="s">
        <v>78</v>
      </c>
      <c r="AE313" s="17">
        <v>8.6999999999999993</v>
      </c>
      <c r="AF313" s="15">
        <v>0</v>
      </c>
      <c r="AG313" s="20">
        <f t="shared" si="48"/>
        <v>1721955</v>
      </c>
      <c r="AH313" s="14">
        <v>2</v>
      </c>
      <c r="AI313" s="14" t="s">
        <v>75</v>
      </c>
      <c r="AJ313" s="14">
        <v>36</v>
      </c>
      <c r="AK313" s="21">
        <f t="shared" si="49"/>
        <v>0.36</v>
      </c>
      <c r="AL313" s="20">
        <f t="shared" si="50"/>
        <v>9295.5594031153869</v>
      </c>
      <c r="AM313" s="22">
        <f t="shared" si="51"/>
        <v>0.11785615768124022</v>
      </c>
      <c r="AN313" s="20">
        <f t="shared" si="52"/>
        <v>14139.529403115386</v>
      </c>
      <c r="AO313" s="16">
        <f t="shared" si="53"/>
        <v>9.8535880924521618E-2</v>
      </c>
      <c r="AP313" s="15">
        <v>0</v>
      </c>
      <c r="AQ313" s="18" t="str">
        <f t="shared" si="54"/>
        <v>N/A</v>
      </c>
      <c r="AR313" s="23">
        <v>46055</v>
      </c>
      <c r="AS313" s="14" t="s">
        <v>79</v>
      </c>
    </row>
    <row r="314" spans="1:45" x14ac:dyDescent="0.25">
      <c r="A314" s="14" t="s">
        <v>1096</v>
      </c>
      <c r="B314" s="14" t="s">
        <v>1097</v>
      </c>
      <c r="C314" s="14">
        <v>9328315290</v>
      </c>
      <c r="D314" s="15" t="s">
        <v>1103</v>
      </c>
      <c r="E314" s="14">
        <v>44</v>
      </c>
      <c r="F314" s="14" t="s">
        <v>89</v>
      </c>
      <c r="G314" s="14" t="s">
        <v>120</v>
      </c>
      <c r="H314" s="14" t="s">
        <v>73</v>
      </c>
      <c r="I314" s="14" t="s">
        <v>74</v>
      </c>
      <c r="J314" s="15">
        <v>1051561</v>
      </c>
      <c r="K314" s="14">
        <v>0</v>
      </c>
      <c r="L314" s="14" t="s">
        <v>75</v>
      </c>
      <c r="M314" s="14" t="s">
        <v>75</v>
      </c>
      <c r="N314" s="14" t="s">
        <v>75</v>
      </c>
      <c r="O314" s="14" t="s">
        <v>75</v>
      </c>
      <c r="P314" s="14">
        <v>752</v>
      </c>
      <c r="Q314" s="15">
        <v>35689</v>
      </c>
      <c r="R314" s="15">
        <v>3419.11</v>
      </c>
      <c r="S314" s="14" t="s">
        <v>20</v>
      </c>
      <c r="T314" s="15">
        <v>5471247</v>
      </c>
      <c r="U314" s="16">
        <f t="shared" si="44"/>
        <v>3.9017536785787989E-2</v>
      </c>
      <c r="V314" s="14">
        <v>1</v>
      </c>
      <c r="W314" s="17">
        <v>39.5</v>
      </c>
      <c r="X314" s="14">
        <v>4.4000000000000004</v>
      </c>
      <c r="Y314" s="18">
        <f t="shared" si="45"/>
        <v>19</v>
      </c>
      <c r="Z314" s="18" t="str">
        <f t="shared" si="46"/>
        <v>Low</v>
      </c>
      <c r="AA314" s="19" t="str">
        <f t="shared" si="47"/>
        <v>Eligible</v>
      </c>
      <c r="AB314" s="14" t="s">
        <v>85</v>
      </c>
      <c r="AC314" s="14">
        <v>2</v>
      </c>
      <c r="AD314" s="14" t="s">
        <v>93</v>
      </c>
      <c r="AE314" s="17">
        <v>10.3</v>
      </c>
      <c r="AF314" s="15">
        <v>0</v>
      </c>
      <c r="AG314" s="20">
        <f t="shared" si="48"/>
        <v>1051561</v>
      </c>
      <c r="AH314" s="14">
        <v>1</v>
      </c>
      <c r="AI314" s="14" t="s">
        <v>75</v>
      </c>
      <c r="AJ314" s="14">
        <v>12</v>
      </c>
      <c r="AK314" s="21">
        <f t="shared" si="49"/>
        <v>0.36</v>
      </c>
      <c r="AL314" s="20">
        <f t="shared" si="50"/>
        <v>549652.88375769253</v>
      </c>
      <c r="AM314" s="22">
        <f t="shared" si="51"/>
        <v>5.2029763370836308</v>
      </c>
      <c r="AN314" s="20">
        <f t="shared" si="52"/>
        <v>553071.99375769251</v>
      </c>
      <c r="AO314" s="16">
        <f t="shared" si="53"/>
        <v>6.3114397786645853</v>
      </c>
      <c r="AP314" s="15">
        <v>0</v>
      </c>
      <c r="AQ314" s="18" t="str">
        <f t="shared" si="54"/>
        <v>N/A</v>
      </c>
      <c r="AR314" s="23">
        <v>46244</v>
      </c>
      <c r="AS314" s="14" t="s">
        <v>79</v>
      </c>
    </row>
    <row r="315" spans="1:45" x14ac:dyDescent="0.25">
      <c r="A315" s="14" t="s">
        <v>1098</v>
      </c>
      <c r="B315" s="14" t="s">
        <v>1099</v>
      </c>
      <c r="C315" s="14">
        <v>9297652556</v>
      </c>
      <c r="D315" s="15" t="s">
        <v>1106</v>
      </c>
      <c r="E315" s="14">
        <v>62</v>
      </c>
      <c r="F315" s="14" t="s">
        <v>71</v>
      </c>
      <c r="G315" s="14" t="s">
        <v>131</v>
      </c>
      <c r="H315" s="14" t="s">
        <v>144</v>
      </c>
      <c r="I315" s="14" t="s">
        <v>92</v>
      </c>
      <c r="J315" s="15">
        <v>333315</v>
      </c>
      <c r="K315" s="14">
        <v>2</v>
      </c>
      <c r="L315" s="14" t="s">
        <v>76</v>
      </c>
      <c r="M315" s="14" t="s">
        <v>76</v>
      </c>
      <c r="N315" s="14" t="s">
        <v>75</v>
      </c>
      <c r="O315" s="14" t="s">
        <v>75</v>
      </c>
      <c r="P315" s="14">
        <v>374</v>
      </c>
      <c r="Q315" s="15">
        <v>573619</v>
      </c>
      <c r="R315" s="15">
        <v>1088</v>
      </c>
      <c r="S315" s="14" t="s">
        <v>20</v>
      </c>
      <c r="T315" s="15"/>
      <c r="U315" s="16">
        <f t="shared" si="44"/>
        <v>3.9170154358489716E-2</v>
      </c>
      <c r="V315" s="14">
        <v>1</v>
      </c>
      <c r="W315" s="17">
        <v>66</v>
      </c>
      <c r="X315" s="14">
        <v>13.5</v>
      </c>
      <c r="Y315" s="18">
        <f t="shared" si="45"/>
        <v>46.8</v>
      </c>
      <c r="Z315" s="18" t="str">
        <f t="shared" si="46"/>
        <v>Medium</v>
      </c>
      <c r="AA315" s="19" t="str">
        <f t="shared" si="47"/>
        <v>Not Eligible</v>
      </c>
      <c r="AB315" s="14" t="s">
        <v>85</v>
      </c>
      <c r="AC315" s="14">
        <v>0</v>
      </c>
      <c r="AD315" s="14" t="s">
        <v>93</v>
      </c>
      <c r="AE315" s="17">
        <v>27.5</v>
      </c>
      <c r="AF315" s="15">
        <v>0</v>
      </c>
      <c r="AG315" s="20">
        <f t="shared" si="48"/>
        <v>333315</v>
      </c>
      <c r="AH315" s="14">
        <v>1</v>
      </c>
      <c r="AI315" s="14" t="s">
        <v>75</v>
      </c>
      <c r="AJ315" s="14">
        <v>24</v>
      </c>
      <c r="AK315" s="21">
        <f t="shared" si="49"/>
        <v>0.375</v>
      </c>
      <c r="AL315" s="20">
        <f t="shared" si="50"/>
        <v>0</v>
      </c>
      <c r="AM315" s="22">
        <f t="shared" si="51"/>
        <v>0</v>
      </c>
      <c r="AN315" s="20">
        <f t="shared" si="52"/>
        <v>1088</v>
      </c>
      <c r="AO315" s="16">
        <f t="shared" si="53"/>
        <v>3.9170154358489716E-2</v>
      </c>
      <c r="AP315" s="15">
        <v>0</v>
      </c>
      <c r="AQ315" s="18" t="str">
        <f t="shared" si="54"/>
        <v>N/A</v>
      </c>
      <c r="AR315" s="23">
        <v>45928</v>
      </c>
      <c r="AS315" s="14" t="s">
        <v>79</v>
      </c>
    </row>
    <row r="316" spans="1:45" x14ac:dyDescent="0.25">
      <c r="A316" s="14" t="s">
        <v>1102</v>
      </c>
      <c r="B316" s="14" t="s">
        <v>634</v>
      </c>
      <c r="C316" s="14">
        <v>9258362512</v>
      </c>
      <c r="D316" s="15" t="s">
        <v>1109</v>
      </c>
      <c r="E316" s="14">
        <v>28</v>
      </c>
      <c r="F316" s="14" t="s">
        <v>89</v>
      </c>
      <c r="G316" s="14" t="s">
        <v>417</v>
      </c>
      <c r="H316" s="14" t="s">
        <v>166</v>
      </c>
      <c r="I316" s="14" t="s">
        <v>74</v>
      </c>
      <c r="J316" s="15">
        <v>953225</v>
      </c>
      <c r="K316" s="14">
        <v>2</v>
      </c>
      <c r="L316" s="14" t="s">
        <v>75</v>
      </c>
      <c r="M316" s="14" t="s">
        <v>76</v>
      </c>
      <c r="N316" s="14" t="s">
        <v>76</v>
      </c>
      <c r="O316" s="14" t="s">
        <v>75</v>
      </c>
      <c r="P316" s="14">
        <v>689</v>
      </c>
      <c r="Q316" s="15"/>
      <c r="R316" s="15">
        <v>1019.68</v>
      </c>
      <c r="S316" s="14" t="s">
        <v>23</v>
      </c>
      <c r="T316" s="15">
        <v>490586</v>
      </c>
      <c r="U316" s="16">
        <f t="shared" si="44"/>
        <v>1.283659157072045E-2</v>
      </c>
      <c r="V316" s="14">
        <v>0</v>
      </c>
      <c r="W316" s="17">
        <v>25.1</v>
      </c>
      <c r="X316" s="14">
        <v>0.5</v>
      </c>
      <c r="Y316" s="18">
        <f t="shared" si="45"/>
        <v>17</v>
      </c>
      <c r="Z316" s="18" t="str">
        <f t="shared" si="46"/>
        <v>Low</v>
      </c>
      <c r="AA316" s="19" t="str">
        <f t="shared" si="47"/>
        <v>Eligible</v>
      </c>
      <c r="AB316" s="14" t="s">
        <v>77</v>
      </c>
      <c r="AC316" s="14">
        <v>1</v>
      </c>
      <c r="AD316" s="14" t="s">
        <v>78</v>
      </c>
      <c r="AE316" s="17">
        <v>1.5</v>
      </c>
      <c r="AF316" s="15">
        <v>355429</v>
      </c>
      <c r="AG316" s="20">
        <f t="shared" si="48"/>
        <v>1308654</v>
      </c>
      <c r="AH316" s="14">
        <v>0</v>
      </c>
      <c r="AI316" s="14" t="s">
        <v>75</v>
      </c>
      <c r="AJ316" s="14">
        <v>300</v>
      </c>
      <c r="AK316" s="21">
        <f t="shared" si="49"/>
        <v>8.5000000000000006E-2</v>
      </c>
      <c r="AL316" s="20">
        <f t="shared" si="50"/>
        <v>3950.3313396735311</v>
      </c>
      <c r="AM316" s="22">
        <f t="shared" si="51"/>
        <v>0.51465918329880145</v>
      </c>
      <c r="AN316" s="20">
        <f t="shared" si="52"/>
        <v>4970.0113396735314</v>
      </c>
      <c r="AO316" s="16">
        <f t="shared" si="53"/>
        <v>6.2566693148083996E-2</v>
      </c>
      <c r="AP316" s="15">
        <v>7483694</v>
      </c>
      <c r="AQ316" s="18">
        <f t="shared" si="54"/>
        <v>6.5553989780982494E-2</v>
      </c>
      <c r="AR316" s="23">
        <v>46163</v>
      </c>
      <c r="AS316" s="14" t="s">
        <v>79</v>
      </c>
    </row>
    <row r="317" spans="1:45" x14ac:dyDescent="0.25">
      <c r="A317" s="14" t="s">
        <v>1104</v>
      </c>
      <c r="B317" s="14" t="s">
        <v>1105</v>
      </c>
      <c r="C317" s="14">
        <v>9850886071</v>
      </c>
      <c r="D317" s="15" t="s">
        <v>1112</v>
      </c>
      <c r="E317" s="14">
        <v>26</v>
      </c>
      <c r="F317" s="14" t="s">
        <v>89</v>
      </c>
      <c r="G317" s="14" t="s">
        <v>226</v>
      </c>
      <c r="H317" s="14" t="s">
        <v>84</v>
      </c>
      <c r="I317" s="14" t="s">
        <v>74</v>
      </c>
      <c r="J317" s="15">
        <v>990102</v>
      </c>
      <c r="K317" s="14">
        <v>1</v>
      </c>
      <c r="L317" s="14" t="s">
        <v>76</v>
      </c>
      <c r="M317" s="14" t="s">
        <v>75</v>
      </c>
      <c r="N317" s="14" t="s">
        <v>75</v>
      </c>
      <c r="O317" s="14" t="s">
        <v>75</v>
      </c>
      <c r="P317" s="14">
        <v>464</v>
      </c>
      <c r="Q317" s="15">
        <v>467030.19</v>
      </c>
      <c r="R317" s="15">
        <v>14708.19</v>
      </c>
      <c r="S317" s="14" t="s">
        <v>22</v>
      </c>
      <c r="T317" s="15">
        <v>619128</v>
      </c>
      <c r="U317" s="16">
        <f t="shared" si="44"/>
        <v>0.17826272444657218</v>
      </c>
      <c r="V317" s="14">
        <v>0</v>
      </c>
      <c r="W317" s="17">
        <v>5.9</v>
      </c>
      <c r="X317" s="14">
        <v>11.8</v>
      </c>
      <c r="Y317" s="18">
        <f t="shared" si="45"/>
        <v>35</v>
      </c>
      <c r="Z317" s="18" t="str">
        <f t="shared" si="46"/>
        <v>Medium</v>
      </c>
      <c r="AA317" s="19" t="str">
        <f t="shared" si="47"/>
        <v>Not Eligible</v>
      </c>
      <c r="AB317" s="14" t="s">
        <v>85</v>
      </c>
      <c r="AC317" s="14">
        <v>0</v>
      </c>
      <c r="AD317" s="14" t="s">
        <v>93</v>
      </c>
      <c r="AE317" s="17">
        <v>3.2</v>
      </c>
      <c r="AF317" s="15">
        <v>889776</v>
      </c>
      <c r="AG317" s="20">
        <f t="shared" si="48"/>
        <v>1879878</v>
      </c>
      <c r="AH317" s="14">
        <v>3</v>
      </c>
      <c r="AI317" s="14" t="s">
        <v>75</v>
      </c>
      <c r="AJ317" s="14">
        <v>84</v>
      </c>
      <c r="AK317" s="21">
        <f t="shared" si="49"/>
        <v>0.105</v>
      </c>
      <c r="AL317" s="20">
        <f t="shared" si="50"/>
        <v>10438.914845219871</v>
      </c>
      <c r="AM317" s="22">
        <f t="shared" si="51"/>
        <v>0.62531739154147759</v>
      </c>
      <c r="AN317" s="20">
        <f t="shared" si="52"/>
        <v>25147.104845219874</v>
      </c>
      <c r="AO317" s="16">
        <f t="shared" si="53"/>
        <v>0.30478199028245423</v>
      </c>
      <c r="AP317" s="15">
        <v>1790201</v>
      </c>
      <c r="AQ317" s="18">
        <f t="shared" si="54"/>
        <v>0.34584272939183924</v>
      </c>
      <c r="AR317" s="23">
        <v>45902</v>
      </c>
      <c r="AS317" s="14" t="s">
        <v>79</v>
      </c>
    </row>
    <row r="318" spans="1:45" x14ac:dyDescent="0.25">
      <c r="A318" s="14" t="s">
        <v>1107</v>
      </c>
      <c r="B318" s="14" t="s">
        <v>1108</v>
      </c>
      <c r="C318" s="14">
        <v>9541608179</v>
      </c>
      <c r="D318" s="15" t="s">
        <v>1115</v>
      </c>
      <c r="E318" s="14">
        <v>28</v>
      </c>
      <c r="F318" s="14" t="s">
        <v>89</v>
      </c>
      <c r="G318" s="14" t="s">
        <v>215</v>
      </c>
      <c r="H318" s="14" t="s">
        <v>144</v>
      </c>
      <c r="I318" s="14" t="s">
        <v>92</v>
      </c>
      <c r="J318" s="15">
        <v>315421</v>
      </c>
      <c r="K318" s="14">
        <v>0</v>
      </c>
      <c r="L318" s="14" t="s">
        <v>75</v>
      </c>
      <c r="M318" s="14" t="s">
        <v>75</v>
      </c>
      <c r="N318" s="14" t="s">
        <v>75</v>
      </c>
      <c r="O318" s="14" t="s">
        <v>75</v>
      </c>
      <c r="P318" s="14">
        <v>892</v>
      </c>
      <c r="Q318" s="15">
        <v>99892.38</v>
      </c>
      <c r="R318" s="15">
        <v>122.95</v>
      </c>
      <c r="S318" s="14" t="s">
        <v>21</v>
      </c>
      <c r="T318" s="15">
        <v>2543883</v>
      </c>
      <c r="U318" s="16">
        <f t="shared" si="44"/>
        <v>4.677557930511919E-3</v>
      </c>
      <c r="V318" s="14">
        <v>2</v>
      </c>
      <c r="W318" s="17">
        <v>78.599999999999994</v>
      </c>
      <c r="X318" s="14">
        <v>9.1</v>
      </c>
      <c r="Y318" s="18">
        <f t="shared" si="45"/>
        <v>16.5</v>
      </c>
      <c r="Z318" s="18" t="str">
        <f t="shared" si="46"/>
        <v>Low</v>
      </c>
      <c r="AA318" s="19" t="str">
        <f t="shared" si="47"/>
        <v>Eligible</v>
      </c>
      <c r="AB318" s="14" t="s">
        <v>85</v>
      </c>
      <c r="AC318" s="14">
        <v>0</v>
      </c>
      <c r="AD318" s="14" t="s">
        <v>78</v>
      </c>
      <c r="AE318" s="17">
        <v>4.9000000000000004</v>
      </c>
      <c r="AF318" s="15">
        <v>0</v>
      </c>
      <c r="AG318" s="20">
        <f t="shared" si="48"/>
        <v>315421</v>
      </c>
      <c r="AH318" s="14">
        <v>0</v>
      </c>
      <c r="AI318" s="14" t="s">
        <v>75</v>
      </c>
      <c r="AJ318" s="14">
        <v>36</v>
      </c>
      <c r="AK318" s="21">
        <f t="shared" si="49"/>
        <v>0.14000000000000001</v>
      </c>
      <c r="AL318" s="20">
        <f t="shared" si="50"/>
        <v>86943.891321735486</v>
      </c>
      <c r="AM318" s="22">
        <f t="shared" si="51"/>
        <v>8.0650400575738459</v>
      </c>
      <c r="AN318" s="20">
        <f t="shared" si="52"/>
        <v>87066.841321735483</v>
      </c>
      <c r="AO318" s="16">
        <f t="shared" si="53"/>
        <v>3.3124049947873662</v>
      </c>
      <c r="AP318" s="15">
        <v>0</v>
      </c>
      <c r="AQ318" s="18" t="str">
        <f t="shared" si="54"/>
        <v>N/A</v>
      </c>
      <c r="AR318" s="23">
        <v>46052</v>
      </c>
      <c r="AS318" s="14" t="s">
        <v>79</v>
      </c>
    </row>
    <row r="319" spans="1:45" x14ac:dyDescent="0.25">
      <c r="A319" s="14" t="s">
        <v>1110</v>
      </c>
      <c r="B319" s="14" t="s">
        <v>1111</v>
      </c>
      <c r="C319" s="14">
        <v>9545298475</v>
      </c>
      <c r="D319" s="15" t="s">
        <v>1119</v>
      </c>
      <c r="E319" s="14">
        <v>47</v>
      </c>
      <c r="F319" s="14" t="s">
        <v>89</v>
      </c>
      <c r="G319" s="14" t="s">
        <v>106</v>
      </c>
      <c r="H319" s="14" t="s">
        <v>103</v>
      </c>
      <c r="I319" s="14" t="s">
        <v>74</v>
      </c>
      <c r="J319" s="15">
        <v>2086140</v>
      </c>
      <c r="K319" s="14">
        <v>3</v>
      </c>
      <c r="L319" s="14" t="s">
        <v>76</v>
      </c>
      <c r="M319" s="14" t="s">
        <v>75</v>
      </c>
      <c r="N319" s="14" t="s">
        <v>76</v>
      </c>
      <c r="O319" s="14" t="s">
        <v>76</v>
      </c>
      <c r="P319" s="14">
        <v>738</v>
      </c>
      <c r="Q319" s="15">
        <v>82449.62</v>
      </c>
      <c r="R319" s="15">
        <v>9936.81</v>
      </c>
      <c r="S319" s="14" t="s">
        <v>21</v>
      </c>
      <c r="T319" s="15">
        <v>3528626</v>
      </c>
      <c r="U319" s="16">
        <f t="shared" si="44"/>
        <v>5.7159020966953321E-2</v>
      </c>
      <c r="V319" s="14">
        <v>0</v>
      </c>
      <c r="W319" s="17">
        <v>32.1</v>
      </c>
      <c r="X319" s="14">
        <v>10</v>
      </c>
      <c r="Y319" s="18">
        <f t="shared" si="45"/>
        <v>15.7</v>
      </c>
      <c r="Z319" s="18" t="str">
        <f t="shared" si="46"/>
        <v>Low</v>
      </c>
      <c r="AA319" s="19" t="str">
        <f t="shared" si="47"/>
        <v>Eligible</v>
      </c>
      <c r="AB319" s="14" t="s">
        <v>77</v>
      </c>
      <c r="AC319" s="14">
        <v>2</v>
      </c>
      <c r="AD319" s="14" t="s">
        <v>93</v>
      </c>
      <c r="AE319" s="17">
        <v>24.4</v>
      </c>
      <c r="AF319" s="15">
        <v>0</v>
      </c>
      <c r="AG319" s="20">
        <f t="shared" si="48"/>
        <v>2086140</v>
      </c>
      <c r="AH319" s="14">
        <v>0</v>
      </c>
      <c r="AI319" s="14" t="s">
        <v>75</v>
      </c>
      <c r="AJ319" s="14">
        <v>12</v>
      </c>
      <c r="AK319" s="21">
        <f t="shared" si="49"/>
        <v>0.14000000000000001</v>
      </c>
      <c r="AL319" s="20">
        <f t="shared" si="50"/>
        <v>316825.15766869165</v>
      </c>
      <c r="AM319" s="22">
        <f t="shared" si="51"/>
        <v>1.6914617427401804</v>
      </c>
      <c r="AN319" s="20">
        <f t="shared" si="52"/>
        <v>326761.96766869165</v>
      </c>
      <c r="AO319" s="16">
        <f t="shared" si="53"/>
        <v>1.879616714134382</v>
      </c>
      <c r="AP319" s="15">
        <v>0</v>
      </c>
      <c r="AQ319" s="18" t="str">
        <f t="shared" si="54"/>
        <v>N/A</v>
      </c>
      <c r="AR319" s="23">
        <v>45940</v>
      </c>
      <c r="AS319" s="14" t="s">
        <v>79</v>
      </c>
    </row>
    <row r="320" spans="1:45" x14ac:dyDescent="0.25">
      <c r="A320" s="14" t="s">
        <v>1113</v>
      </c>
      <c r="B320" s="14" t="s">
        <v>1114</v>
      </c>
      <c r="C320" s="14">
        <v>9206920983</v>
      </c>
      <c r="D320" s="15" t="s">
        <v>1122</v>
      </c>
      <c r="E320" s="14">
        <v>60</v>
      </c>
      <c r="F320" s="14" t="s">
        <v>71</v>
      </c>
      <c r="G320" s="14" t="s">
        <v>417</v>
      </c>
      <c r="H320" s="14" t="s">
        <v>144</v>
      </c>
      <c r="I320" s="14" t="s">
        <v>92</v>
      </c>
      <c r="J320" s="15">
        <v>436883</v>
      </c>
      <c r="K320" s="14">
        <v>1</v>
      </c>
      <c r="L320" s="14" t="s">
        <v>75</v>
      </c>
      <c r="M320" s="14" t="s">
        <v>75</v>
      </c>
      <c r="N320" s="14" t="s">
        <v>76</v>
      </c>
      <c r="O320" s="14" t="s">
        <v>75</v>
      </c>
      <c r="P320" s="14">
        <v>864</v>
      </c>
      <c r="Q320" s="15"/>
      <c r="R320" s="15">
        <v>4162.18</v>
      </c>
      <c r="S320" s="14" t="s">
        <v>23</v>
      </c>
      <c r="T320" s="15">
        <v>319784</v>
      </c>
      <c r="U320" s="16">
        <f t="shared" si="44"/>
        <v>0.1143238807644152</v>
      </c>
      <c r="V320" s="14">
        <v>0</v>
      </c>
      <c r="W320" s="17">
        <v>80.400000000000006</v>
      </c>
      <c r="X320" s="14">
        <v>7.1</v>
      </c>
      <c r="Y320" s="18">
        <f t="shared" si="45"/>
        <v>13.9</v>
      </c>
      <c r="Z320" s="18" t="str">
        <f t="shared" si="46"/>
        <v>Low</v>
      </c>
      <c r="AA320" s="19" t="str">
        <f t="shared" si="47"/>
        <v>Eligible</v>
      </c>
      <c r="AB320" s="14" t="s">
        <v>77</v>
      </c>
      <c r="AC320" s="14">
        <v>2</v>
      </c>
      <c r="AD320" s="14" t="s">
        <v>93</v>
      </c>
      <c r="AE320" s="17">
        <v>12.1</v>
      </c>
      <c r="AF320" s="15">
        <v>0</v>
      </c>
      <c r="AG320" s="20">
        <f t="shared" si="48"/>
        <v>436883</v>
      </c>
      <c r="AH320" s="14">
        <v>1</v>
      </c>
      <c r="AI320" s="14" t="s">
        <v>75</v>
      </c>
      <c r="AJ320" s="14">
        <v>240</v>
      </c>
      <c r="AK320" s="21">
        <f t="shared" si="49"/>
        <v>8.5000000000000006E-2</v>
      </c>
      <c r="AL320" s="20">
        <f t="shared" si="50"/>
        <v>2775.1598485856393</v>
      </c>
      <c r="AM320" s="22">
        <f t="shared" si="51"/>
        <v>0.73196713994364626</v>
      </c>
      <c r="AN320" s="20">
        <f t="shared" si="52"/>
        <v>6937.3398485856396</v>
      </c>
      <c r="AO320" s="16">
        <f t="shared" si="53"/>
        <v>0.1905500515768013</v>
      </c>
      <c r="AP320" s="15">
        <v>3484870</v>
      </c>
      <c r="AQ320" s="18">
        <f t="shared" si="54"/>
        <v>9.1763537807723103E-2</v>
      </c>
      <c r="AR320" s="23">
        <v>46030</v>
      </c>
      <c r="AS320" s="14" t="s">
        <v>79</v>
      </c>
    </row>
    <row r="321" spans="1:45" x14ac:dyDescent="0.25">
      <c r="A321" s="14" t="s">
        <v>1116</v>
      </c>
      <c r="B321" s="14" t="s">
        <v>1117</v>
      </c>
      <c r="C321" s="14">
        <v>9395241238</v>
      </c>
      <c r="D321" s="15" t="s">
        <v>1126</v>
      </c>
      <c r="E321" s="14">
        <v>21</v>
      </c>
      <c r="F321" s="14" t="s">
        <v>89</v>
      </c>
      <c r="G321" s="14" t="s">
        <v>90</v>
      </c>
      <c r="H321" s="14" t="s">
        <v>166</v>
      </c>
      <c r="I321" s="14" t="s">
        <v>74</v>
      </c>
      <c r="J321" s="15">
        <v>410087</v>
      </c>
      <c r="K321" s="14">
        <v>1</v>
      </c>
      <c r="L321" s="14" t="s">
        <v>76</v>
      </c>
      <c r="M321" s="14" t="s">
        <v>75</v>
      </c>
      <c r="N321" s="14" t="s">
        <v>75</v>
      </c>
      <c r="O321" s="14" t="s">
        <v>75</v>
      </c>
      <c r="P321" s="14">
        <v>625</v>
      </c>
      <c r="Q321" s="15"/>
      <c r="R321" s="15">
        <v>1717.7</v>
      </c>
      <c r="S321" s="14" t="s">
        <v>23</v>
      </c>
      <c r="T321" s="15"/>
      <c r="U321" s="16">
        <f t="shared" si="44"/>
        <v>5.0263480676051672E-2</v>
      </c>
      <c r="V321" s="14">
        <v>1</v>
      </c>
      <c r="W321" s="17">
        <v>42.2</v>
      </c>
      <c r="X321" s="14">
        <v>9.3000000000000007</v>
      </c>
      <c r="Y321" s="18">
        <f t="shared" si="45"/>
        <v>28.1</v>
      </c>
      <c r="Z321" s="18" t="str">
        <f t="shared" si="46"/>
        <v>Low</v>
      </c>
      <c r="AA321" s="19" t="str">
        <f t="shared" si="47"/>
        <v>Review</v>
      </c>
      <c r="AB321" s="14" t="s">
        <v>85</v>
      </c>
      <c r="AC321" s="14">
        <v>0</v>
      </c>
      <c r="AD321" s="14" t="s">
        <v>194</v>
      </c>
      <c r="AE321" s="17">
        <v>0.3</v>
      </c>
      <c r="AF321" s="15">
        <v>0</v>
      </c>
      <c r="AG321" s="20">
        <f t="shared" si="48"/>
        <v>410087</v>
      </c>
      <c r="AH321" s="14">
        <v>3</v>
      </c>
      <c r="AI321" s="14" t="s">
        <v>75</v>
      </c>
      <c r="AJ321" s="14">
        <v>180</v>
      </c>
      <c r="AK321" s="21">
        <f t="shared" si="49"/>
        <v>8.5000000000000006E-2</v>
      </c>
      <c r="AL321" s="20">
        <f t="shared" si="50"/>
        <v>0</v>
      </c>
      <c r="AM321" s="22">
        <f t="shared" si="51"/>
        <v>0</v>
      </c>
      <c r="AN321" s="20">
        <f t="shared" si="52"/>
        <v>1717.7</v>
      </c>
      <c r="AO321" s="16">
        <f t="shared" si="53"/>
        <v>5.0263480676051672E-2</v>
      </c>
      <c r="AP321" s="15">
        <v>4413534</v>
      </c>
      <c r="AQ321" s="18">
        <f t="shared" si="54"/>
        <v>0</v>
      </c>
      <c r="AR321" s="23">
        <v>46057</v>
      </c>
      <c r="AS321" s="14" t="s">
        <v>79</v>
      </c>
    </row>
    <row r="322" spans="1:45" x14ac:dyDescent="0.25">
      <c r="A322" s="14" t="s">
        <v>1120</v>
      </c>
      <c r="B322" s="14" t="s">
        <v>1121</v>
      </c>
      <c r="C322" s="14">
        <v>9777760231</v>
      </c>
      <c r="D322" s="15" t="s">
        <v>1130</v>
      </c>
      <c r="E322" s="14">
        <v>53</v>
      </c>
      <c r="F322" s="14" t="s">
        <v>71</v>
      </c>
      <c r="G322" s="14" t="s">
        <v>153</v>
      </c>
      <c r="H322" s="14" t="s">
        <v>84</v>
      </c>
      <c r="I322" s="14" t="s">
        <v>74</v>
      </c>
      <c r="J322" s="15">
        <v>967117</v>
      </c>
      <c r="K322" s="14">
        <v>2</v>
      </c>
      <c r="L322" s="14" t="s">
        <v>75</v>
      </c>
      <c r="M322" s="14" t="s">
        <v>76</v>
      </c>
      <c r="N322" s="14" t="s">
        <v>76</v>
      </c>
      <c r="O322" s="14" t="s">
        <v>75</v>
      </c>
      <c r="P322" s="14">
        <v>456</v>
      </c>
      <c r="Q322" s="15"/>
      <c r="R322" s="15">
        <v>283.2</v>
      </c>
      <c r="S322" s="14" t="s">
        <v>20</v>
      </c>
      <c r="T322" s="15"/>
      <c r="U322" s="16">
        <f t="shared" ref="U322:U385" si="55">IFERROR((R322*12)/J322,0)</f>
        <v>3.5139491912560732E-3</v>
      </c>
      <c r="V322" s="14">
        <v>0</v>
      </c>
      <c r="W322" s="17">
        <v>75.5</v>
      </c>
      <c r="X322" s="14">
        <v>2.1</v>
      </c>
      <c r="Y322" s="18">
        <f t="shared" ref="Y322:Y385" si="56">ROUND(0.4*((900-P322)/600*100)+0.3*MIN(U322*100,100)+0.2*MIN(V322*20,100)+0.1*W322,1)</f>
        <v>37.299999999999997</v>
      </c>
      <c r="Z322" s="18" t="str">
        <f t="shared" ref="Z322:Z385" si="57">IF(Y322&lt;=30,"Low",IF(Y322&lt;=60,"Medium","High"))</f>
        <v>Medium</v>
      </c>
      <c r="AA322" s="19" t="str">
        <f t="shared" ref="AA322:AA385" si="58">IF(AND(P322&gt;=650,U322&lt;=0.4,V322&lt;=2,Y322&lt;=50),"Eligible",IF(AND(P322&gt;=550,V322&lt;=4,Y322&lt;=75),"Review","Not Eligible"))</f>
        <v>Not Eligible</v>
      </c>
      <c r="AB322" s="14" t="s">
        <v>85</v>
      </c>
      <c r="AC322" s="14">
        <v>2</v>
      </c>
      <c r="AD322" s="14" t="s">
        <v>78</v>
      </c>
      <c r="AE322" s="17">
        <v>7.4</v>
      </c>
      <c r="AF322" s="15">
        <v>0</v>
      </c>
      <c r="AG322" s="20">
        <f t="shared" ref="AG322:AG385" si="59">J322+AF322</f>
        <v>967117</v>
      </c>
      <c r="AH322" s="14">
        <v>0</v>
      </c>
      <c r="AI322" s="14" t="s">
        <v>75</v>
      </c>
      <c r="AJ322" s="14">
        <v>18</v>
      </c>
      <c r="AK322" s="21">
        <f t="shared" ref="AK322:AK385" si="60">(IF(S322="Credit Card",0.36,IF(S322="Personal Loan",0.14,IF(S322="Car Loan",0.09,0.085))))+IF(Z322="Low",0,IF(Z322="Medium",0.015,0.03))</f>
        <v>0.375</v>
      </c>
      <c r="AL322" s="20">
        <f t="shared" ref="AL322:AL385" si="61">-PMT(AK322/12,AJ322,T322)</f>
        <v>0</v>
      </c>
      <c r="AM322" s="22">
        <f t="shared" ref="AM322:AM385" si="62">IFERROR(T322/J322,0)</f>
        <v>0</v>
      </c>
      <c r="AN322" s="20">
        <f t="shared" ref="AN322:AN385" si="63">R322+AL322</f>
        <v>283.2</v>
      </c>
      <c r="AO322" s="16">
        <f t="shared" ref="AO322:AO385" si="64">IFERROR((AN322*12)/J322,0)</f>
        <v>3.5139491912560732E-3</v>
      </c>
      <c r="AP322" s="15">
        <v>0</v>
      </c>
      <c r="AQ322" s="18" t="str">
        <f t="shared" ref="AQ322:AQ385" si="65">IF(AP322&gt;0,T322/AP322,"N/A")</f>
        <v>N/A</v>
      </c>
      <c r="AR322" s="23">
        <v>46088</v>
      </c>
      <c r="AS322" s="14" t="s">
        <v>79</v>
      </c>
    </row>
    <row r="323" spans="1:45" x14ac:dyDescent="0.25">
      <c r="A323" s="14" t="s">
        <v>1123</v>
      </c>
      <c r="B323" s="14" t="s">
        <v>1124</v>
      </c>
      <c r="C323" s="14">
        <v>9632363028</v>
      </c>
      <c r="D323" s="15" t="s">
        <v>1133</v>
      </c>
      <c r="E323" s="14">
        <v>61</v>
      </c>
      <c r="F323" s="14" t="s">
        <v>71</v>
      </c>
      <c r="G323" s="14" t="s">
        <v>139</v>
      </c>
      <c r="H323" s="14" t="s">
        <v>73</v>
      </c>
      <c r="I323" s="14" t="s">
        <v>74</v>
      </c>
      <c r="J323" s="15">
        <v>2225721</v>
      </c>
      <c r="K323" s="14">
        <v>2</v>
      </c>
      <c r="L323" s="14" t="s">
        <v>75</v>
      </c>
      <c r="M323" s="14" t="s">
        <v>76</v>
      </c>
      <c r="N323" s="14" t="s">
        <v>76</v>
      </c>
      <c r="O323" s="14" t="s">
        <v>75</v>
      </c>
      <c r="P323" s="14">
        <v>484</v>
      </c>
      <c r="Q323" s="15">
        <v>89622.59</v>
      </c>
      <c r="R323" s="15">
        <v>2881.34</v>
      </c>
      <c r="S323" s="14" t="s">
        <v>22</v>
      </c>
      <c r="T323" s="15"/>
      <c r="U323" s="16">
        <f t="shared" si="55"/>
        <v>1.5534777269927363E-2</v>
      </c>
      <c r="V323" s="14">
        <v>0</v>
      </c>
      <c r="W323" s="17">
        <v>51.6</v>
      </c>
      <c r="X323" s="14">
        <v>0.5</v>
      </c>
      <c r="Y323" s="18">
        <f t="shared" si="56"/>
        <v>33.4</v>
      </c>
      <c r="Z323" s="18" t="str">
        <f t="shared" si="57"/>
        <v>Medium</v>
      </c>
      <c r="AA323" s="19" t="str">
        <f t="shared" si="58"/>
        <v>Not Eligible</v>
      </c>
      <c r="AB323" s="14" t="s">
        <v>85</v>
      </c>
      <c r="AC323" s="14">
        <v>4</v>
      </c>
      <c r="AD323" s="14" t="s">
        <v>78</v>
      </c>
      <c r="AE323" s="17">
        <v>20.7</v>
      </c>
      <c r="AF323" s="15">
        <v>0</v>
      </c>
      <c r="AG323" s="20">
        <f t="shared" si="59"/>
        <v>2225721</v>
      </c>
      <c r="AH323" s="14">
        <v>0</v>
      </c>
      <c r="AI323" s="14" t="s">
        <v>76</v>
      </c>
      <c r="AJ323" s="14">
        <v>36</v>
      </c>
      <c r="AK323" s="21">
        <f t="shared" si="60"/>
        <v>0.105</v>
      </c>
      <c r="AL323" s="20">
        <f t="shared" si="61"/>
        <v>0</v>
      </c>
      <c r="AM323" s="22">
        <f t="shared" si="62"/>
        <v>0</v>
      </c>
      <c r="AN323" s="20">
        <f t="shared" si="63"/>
        <v>2881.34</v>
      </c>
      <c r="AO323" s="16">
        <f t="shared" si="64"/>
        <v>1.5534777269927363E-2</v>
      </c>
      <c r="AP323" s="15">
        <v>799429</v>
      </c>
      <c r="AQ323" s="18">
        <f t="shared" si="65"/>
        <v>0</v>
      </c>
      <c r="AR323" s="23">
        <v>45900</v>
      </c>
      <c r="AS323" s="14" t="s">
        <v>79</v>
      </c>
    </row>
    <row r="324" spans="1:45" x14ac:dyDescent="0.25">
      <c r="A324" s="14" t="s">
        <v>1127</v>
      </c>
      <c r="B324" s="14" t="s">
        <v>1128</v>
      </c>
      <c r="C324" s="14"/>
      <c r="D324" s="15" t="s">
        <v>1136</v>
      </c>
      <c r="E324" s="14">
        <v>28</v>
      </c>
      <c r="F324" s="14" t="s">
        <v>89</v>
      </c>
      <c r="G324" s="14" t="s">
        <v>106</v>
      </c>
      <c r="H324" s="14" t="s">
        <v>107</v>
      </c>
      <c r="I324" s="14" t="s">
        <v>92</v>
      </c>
      <c r="J324" s="15">
        <v>321032</v>
      </c>
      <c r="K324" s="14">
        <v>1</v>
      </c>
      <c r="L324" s="14" t="s">
        <v>76</v>
      </c>
      <c r="M324" s="14" t="s">
        <v>75</v>
      </c>
      <c r="N324" s="14" t="s">
        <v>75</v>
      </c>
      <c r="O324" s="14" t="s">
        <v>75</v>
      </c>
      <c r="P324" s="14">
        <v>330</v>
      </c>
      <c r="Q324" s="15">
        <v>381525</v>
      </c>
      <c r="R324" s="15">
        <v>2294.11</v>
      </c>
      <c r="S324" s="14" t="s">
        <v>21</v>
      </c>
      <c r="T324" s="15">
        <v>738866</v>
      </c>
      <c r="U324" s="16">
        <f t="shared" si="55"/>
        <v>8.5752572952229059E-2</v>
      </c>
      <c r="V324" s="14">
        <v>4</v>
      </c>
      <c r="W324" s="17">
        <v>15.9</v>
      </c>
      <c r="X324" s="14">
        <v>3.4</v>
      </c>
      <c r="Y324" s="18">
        <f t="shared" si="56"/>
        <v>58.2</v>
      </c>
      <c r="Z324" s="18" t="str">
        <f t="shared" si="57"/>
        <v>Medium</v>
      </c>
      <c r="AA324" s="19" t="str">
        <f t="shared" si="58"/>
        <v>Not Eligible</v>
      </c>
      <c r="AB324" s="14" t="s">
        <v>85</v>
      </c>
      <c r="AC324" s="14">
        <v>0</v>
      </c>
      <c r="AD324" s="14" t="s">
        <v>93</v>
      </c>
      <c r="AE324" s="17">
        <v>6.6</v>
      </c>
      <c r="AF324" s="15">
        <v>511181</v>
      </c>
      <c r="AG324" s="20">
        <f t="shared" si="59"/>
        <v>832213</v>
      </c>
      <c r="AH324" s="14">
        <v>3</v>
      </c>
      <c r="AI324" s="14" t="s">
        <v>75</v>
      </c>
      <c r="AJ324" s="14">
        <v>60</v>
      </c>
      <c r="AK324" s="21">
        <f t="shared" si="60"/>
        <v>0.15500000000000003</v>
      </c>
      <c r="AL324" s="20">
        <f t="shared" si="61"/>
        <v>17772.08508029957</v>
      </c>
      <c r="AM324" s="22">
        <f t="shared" si="62"/>
        <v>2.3015338034837649</v>
      </c>
      <c r="AN324" s="20">
        <f t="shared" si="63"/>
        <v>20066.195080299571</v>
      </c>
      <c r="AO324" s="16">
        <f t="shared" si="64"/>
        <v>0.750063361171456</v>
      </c>
      <c r="AP324" s="15">
        <v>0</v>
      </c>
      <c r="AQ324" s="18" t="str">
        <f t="shared" si="65"/>
        <v>N/A</v>
      </c>
      <c r="AR324" s="23">
        <v>46228</v>
      </c>
      <c r="AS324" s="14" t="s">
        <v>79</v>
      </c>
    </row>
    <row r="325" spans="1:45" x14ac:dyDescent="0.25">
      <c r="A325" s="14" t="s">
        <v>1131</v>
      </c>
      <c r="B325" s="14" t="s">
        <v>1132</v>
      </c>
      <c r="C325" s="14">
        <v>9333499573</v>
      </c>
      <c r="D325" s="15" t="s">
        <v>1140</v>
      </c>
      <c r="E325" s="14">
        <v>46</v>
      </c>
      <c r="F325" s="14" t="s">
        <v>71</v>
      </c>
      <c r="G325" s="14" t="s">
        <v>215</v>
      </c>
      <c r="H325" s="14" t="s">
        <v>132</v>
      </c>
      <c r="I325" s="14" t="s">
        <v>92</v>
      </c>
      <c r="J325" s="15">
        <v>1129953</v>
      </c>
      <c r="K325" s="14">
        <v>0</v>
      </c>
      <c r="L325" s="14" t="s">
        <v>75</v>
      </c>
      <c r="M325" s="14" t="s">
        <v>75</v>
      </c>
      <c r="N325" s="14" t="s">
        <v>75</v>
      </c>
      <c r="O325" s="14" t="s">
        <v>75</v>
      </c>
      <c r="P325" s="14">
        <v>897</v>
      </c>
      <c r="Q325" s="15">
        <v>970185</v>
      </c>
      <c r="R325" s="15">
        <v>1829.03</v>
      </c>
      <c r="S325" s="14" t="s">
        <v>22</v>
      </c>
      <c r="T325" s="15"/>
      <c r="U325" s="16">
        <f t="shared" si="55"/>
        <v>1.9424135340142465E-2</v>
      </c>
      <c r="V325" s="14">
        <v>3</v>
      </c>
      <c r="W325" s="17">
        <v>95.6</v>
      </c>
      <c r="X325" s="14">
        <v>7.4</v>
      </c>
      <c r="Y325" s="18">
        <f t="shared" si="56"/>
        <v>22.3</v>
      </c>
      <c r="Z325" s="18" t="str">
        <f t="shared" si="57"/>
        <v>Low</v>
      </c>
      <c r="AA325" s="19" t="str">
        <f t="shared" si="58"/>
        <v>Review</v>
      </c>
      <c r="AB325" s="14" t="s">
        <v>77</v>
      </c>
      <c r="AC325" s="14">
        <v>1</v>
      </c>
      <c r="AD325" s="14" t="s">
        <v>93</v>
      </c>
      <c r="AE325" s="17">
        <v>20.5</v>
      </c>
      <c r="AF325" s="15">
        <v>0</v>
      </c>
      <c r="AG325" s="20">
        <f t="shared" si="59"/>
        <v>1129953</v>
      </c>
      <c r="AH325" s="14">
        <v>1</v>
      </c>
      <c r="AI325" s="14" t="s">
        <v>75</v>
      </c>
      <c r="AJ325" s="14">
        <v>72</v>
      </c>
      <c r="AK325" s="21">
        <f t="shared" si="60"/>
        <v>0.09</v>
      </c>
      <c r="AL325" s="20">
        <f t="shared" si="61"/>
        <v>0</v>
      </c>
      <c r="AM325" s="22">
        <f t="shared" si="62"/>
        <v>0</v>
      </c>
      <c r="AN325" s="20">
        <f t="shared" si="63"/>
        <v>1829.03</v>
      </c>
      <c r="AO325" s="16">
        <f t="shared" si="64"/>
        <v>1.9424135340142465E-2</v>
      </c>
      <c r="AP325" s="15">
        <v>725464</v>
      </c>
      <c r="AQ325" s="18">
        <f t="shared" si="65"/>
        <v>0</v>
      </c>
      <c r="AR325" s="23">
        <v>46218</v>
      </c>
      <c r="AS325" s="14" t="s">
        <v>79</v>
      </c>
    </row>
    <row r="326" spans="1:45" x14ac:dyDescent="0.25">
      <c r="A326" s="14" t="s">
        <v>1134</v>
      </c>
      <c r="B326" s="14" t="s">
        <v>1135</v>
      </c>
      <c r="C326" s="14">
        <v>9666413507</v>
      </c>
      <c r="D326" s="15"/>
      <c r="E326" s="14">
        <v>37</v>
      </c>
      <c r="F326" s="14" t="s">
        <v>89</v>
      </c>
      <c r="G326" s="14" t="s">
        <v>143</v>
      </c>
      <c r="H326" s="14" t="s">
        <v>144</v>
      </c>
      <c r="I326" s="14" t="s">
        <v>92</v>
      </c>
      <c r="J326" s="15">
        <v>1777457</v>
      </c>
      <c r="K326" s="14">
        <v>2</v>
      </c>
      <c r="L326" s="14" t="s">
        <v>76</v>
      </c>
      <c r="M326" s="14" t="s">
        <v>76</v>
      </c>
      <c r="N326" s="14" t="s">
        <v>75</v>
      </c>
      <c r="O326" s="14" t="s">
        <v>75</v>
      </c>
      <c r="P326" s="14">
        <v>490</v>
      </c>
      <c r="Q326" s="15">
        <v>27983</v>
      </c>
      <c r="R326" s="15">
        <v>23845.33</v>
      </c>
      <c r="S326" s="14" t="s">
        <v>21</v>
      </c>
      <c r="T326" s="15"/>
      <c r="U326" s="16">
        <f t="shared" si="55"/>
        <v>0.16098502523549094</v>
      </c>
      <c r="V326" s="14">
        <v>0</v>
      </c>
      <c r="W326" s="17">
        <v>18.8</v>
      </c>
      <c r="X326" s="14">
        <v>4.9000000000000004</v>
      </c>
      <c r="Y326" s="18">
        <f t="shared" si="56"/>
        <v>34</v>
      </c>
      <c r="Z326" s="18" t="str">
        <f t="shared" si="57"/>
        <v>Medium</v>
      </c>
      <c r="AA326" s="19" t="str">
        <f t="shared" si="58"/>
        <v>Not Eligible</v>
      </c>
      <c r="AB326" s="14" t="s">
        <v>85</v>
      </c>
      <c r="AC326" s="14">
        <v>2</v>
      </c>
      <c r="AD326" s="14" t="s">
        <v>93</v>
      </c>
      <c r="AE326" s="17">
        <v>3.7</v>
      </c>
      <c r="AF326" s="15">
        <v>0</v>
      </c>
      <c r="AG326" s="20">
        <f t="shared" si="59"/>
        <v>1777457</v>
      </c>
      <c r="AH326" s="14">
        <v>0</v>
      </c>
      <c r="AI326" s="14" t="s">
        <v>75</v>
      </c>
      <c r="AJ326" s="14">
        <v>12</v>
      </c>
      <c r="AK326" s="21">
        <f t="shared" si="60"/>
        <v>0.15500000000000003</v>
      </c>
      <c r="AL326" s="20">
        <f t="shared" si="61"/>
        <v>0</v>
      </c>
      <c r="AM326" s="22">
        <f t="shared" si="62"/>
        <v>0</v>
      </c>
      <c r="AN326" s="20">
        <f t="shared" si="63"/>
        <v>23845.33</v>
      </c>
      <c r="AO326" s="16">
        <f t="shared" si="64"/>
        <v>0.16098502523549094</v>
      </c>
      <c r="AP326" s="15">
        <v>0</v>
      </c>
      <c r="AQ326" s="18" t="str">
        <f t="shared" si="65"/>
        <v>N/A</v>
      </c>
      <c r="AR326" s="23">
        <v>46092</v>
      </c>
      <c r="AS326" s="14" t="s">
        <v>79</v>
      </c>
    </row>
    <row r="327" spans="1:45" x14ac:dyDescent="0.25">
      <c r="A327" s="14" t="s">
        <v>1137</v>
      </c>
      <c r="B327" s="14" t="s">
        <v>1138</v>
      </c>
      <c r="C327" s="14">
        <v>9838303704</v>
      </c>
      <c r="D327" s="15" t="s">
        <v>1146</v>
      </c>
      <c r="E327" s="14">
        <v>38</v>
      </c>
      <c r="F327" s="14" t="s">
        <v>71</v>
      </c>
      <c r="G327" s="14" t="s">
        <v>174</v>
      </c>
      <c r="H327" s="14" t="s">
        <v>99</v>
      </c>
      <c r="I327" s="14" t="s">
        <v>74</v>
      </c>
      <c r="J327" s="15">
        <v>1632879</v>
      </c>
      <c r="K327" s="14">
        <v>2</v>
      </c>
      <c r="L327" s="14" t="s">
        <v>75</v>
      </c>
      <c r="M327" s="14" t="s">
        <v>76</v>
      </c>
      <c r="N327" s="14" t="s">
        <v>76</v>
      </c>
      <c r="O327" s="14" t="s">
        <v>75</v>
      </c>
      <c r="P327" s="14">
        <v>347</v>
      </c>
      <c r="Q327" s="15">
        <v>287816</v>
      </c>
      <c r="R327" s="15">
        <v>25531.17</v>
      </c>
      <c r="S327" s="14" t="s">
        <v>20</v>
      </c>
      <c r="T327" s="15"/>
      <c r="U327" s="16">
        <f t="shared" si="55"/>
        <v>0.18762813411159063</v>
      </c>
      <c r="V327" s="14">
        <v>1</v>
      </c>
      <c r="W327" s="17">
        <v>62.1</v>
      </c>
      <c r="X327" s="14">
        <v>8.9</v>
      </c>
      <c r="Y327" s="18">
        <f t="shared" si="56"/>
        <v>52.7</v>
      </c>
      <c r="Z327" s="18" t="str">
        <f t="shared" si="57"/>
        <v>Medium</v>
      </c>
      <c r="AA327" s="19" t="str">
        <f t="shared" si="58"/>
        <v>Not Eligible</v>
      </c>
      <c r="AB327" s="14" t="s">
        <v>85</v>
      </c>
      <c r="AC327" s="14">
        <v>0</v>
      </c>
      <c r="AD327" s="14" t="s">
        <v>78</v>
      </c>
      <c r="AE327" s="17">
        <v>13.4</v>
      </c>
      <c r="AF327" s="15">
        <v>0</v>
      </c>
      <c r="AG327" s="20">
        <f t="shared" si="59"/>
        <v>1632879</v>
      </c>
      <c r="AH327" s="14">
        <v>0</v>
      </c>
      <c r="AI327" s="14" t="s">
        <v>75</v>
      </c>
      <c r="AJ327" s="14">
        <v>18</v>
      </c>
      <c r="AK327" s="21">
        <f t="shared" si="60"/>
        <v>0.375</v>
      </c>
      <c r="AL327" s="20">
        <f t="shared" si="61"/>
        <v>0</v>
      </c>
      <c r="AM327" s="22">
        <f t="shared" si="62"/>
        <v>0</v>
      </c>
      <c r="AN327" s="20">
        <f t="shared" si="63"/>
        <v>25531.17</v>
      </c>
      <c r="AO327" s="16">
        <f t="shared" si="64"/>
        <v>0.18762813411159063</v>
      </c>
      <c r="AP327" s="15">
        <v>0</v>
      </c>
      <c r="AQ327" s="18" t="str">
        <f t="shared" si="65"/>
        <v>N/A</v>
      </c>
      <c r="AR327" s="23">
        <v>46101</v>
      </c>
      <c r="AS327" s="14" t="s">
        <v>79</v>
      </c>
    </row>
    <row r="328" spans="1:45" x14ac:dyDescent="0.25">
      <c r="A328" s="14" t="s">
        <v>1141</v>
      </c>
      <c r="B328" s="14" t="s">
        <v>1142</v>
      </c>
      <c r="C328" s="14">
        <v>9666494300</v>
      </c>
      <c r="D328" s="15" t="s">
        <v>1150</v>
      </c>
      <c r="E328" s="14">
        <v>62</v>
      </c>
      <c r="F328" s="14" t="s">
        <v>71</v>
      </c>
      <c r="G328" s="14" t="s">
        <v>120</v>
      </c>
      <c r="H328" s="14" t="s">
        <v>107</v>
      </c>
      <c r="I328" s="14" t="s">
        <v>92</v>
      </c>
      <c r="J328" s="15">
        <v>698961</v>
      </c>
      <c r="K328" s="14">
        <v>0</v>
      </c>
      <c r="L328" s="14" t="s">
        <v>75</v>
      </c>
      <c r="M328" s="14" t="s">
        <v>75</v>
      </c>
      <c r="N328" s="14" t="s">
        <v>75</v>
      </c>
      <c r="O328" s="14" t="s">
        <v>75</v>
      </c>
      <c r="P328" s="14">
        <v>654</v>
      </c>
      <c r="Q328" s="15">
        <v>1165389.22</v>
      </c>
      <c r="R328" s="15">
        <v>595.37</v>
      </c>
      <c r="S328" s="14" t="s">
        <v>22</v>
      </c>
      <c r="T328" s="15">
        <v>778723</v>
      </c>
      <c r="U328" s="16">
        <f t="shared" si="55"/>
        <v>1.0221514505101144E-2</v>
      </c>
      <c r="V328" s="14">
        <v>1</v>
      </c>
      <c r="W328" s="17">
        <v>42.4</v>
      </c>
      <c r="X328" s="14">
        <v>10.5</v>
      </c>
      <c r="Y328" s="18">
        <f t="shared" si="56"/>
        <v>24.9</v>
      </c>
      <c r="Z328" s="18" t="str">
        <f t="shared" si="57"/>
        <v>Low</v>
      </c>
      <c r="AA328" s="19" t="str">
        <f t="shared" si="58"/>
        <v>Eligible</v>
      </c>
      <c r="AB328" s="14" t="s">
        <v>85</v>
      </c>
      <c r="AC328" s="14">
        <v>3</v>
      </c>
      <c r="AD328" s="14" t="s">
        <v>194</v>
      </c>
      <c r="AE328" s="17">
        <v>3.9</v>
      </c>
      <c r="AF328" s="15">
        <v>0</v>
      </c>
      <c r="AG328" s="20">
        <f t="shared" si="59"/>
        <v>698961</v>
      </c>
      <c r="AH328" s="14">
        <v>1</v>
      </c>
      <c r="AI328" s="14" t="s">
        <v>75</v>
      </c>
      <c r="AJ328" s="14">
        <v>24</v>
      </c>
      <c r="AK328" s="21">
        <f t="shared" si="60"/>
        <v>0.09</v>
      </c>
      <c r="AL328" s="20">
        <f t="shared" si="61"/>
        <v>35575.759561864514</v>
      </c>
      <c r="AM328" s="22">
        <f t="shared" si="62"/>
        <v>1.1141150936890614</v>
      </c>
      <c r="AN328" s="20">
        <f t="shared" si="63"/>
        <v>36171.129561864516</v>
      </c>
      <c r="AO328" s="16">
        <f t="shared" si="64"/>
        <v>0.6209982455993599</v>
      </c>
      <c r="AP328" s="15">
        <v>1622891</v>
      </c>
      <c r="AQ328" s="18">
        <f t="shared" si="65"/>
        <v>0.47983690833210613</v>
      </c>
      <c r="AR328" s="23">
        <v>45966</v>
      </c>
      <c r="AS328" s="14" t="s">
        <v>79</v>
      </c>
    </row>
    <row r="329" spans="1:45" x14ac:dyDescent="0.25">
      <c r="A329" s="14" t="s">
        <v>1143</v>
      </c>
      <c r="B329" s="14" t="s">
        <v>1144</v>
      </c>
      <c r="C329" s="14">
        <v>9641715005</v>
      </c>
      <c r="D329" s="15" t="s">
        <v>1154</v>
      </c>
      <c r="E329" s="14">
        <v>35</v>
      </c>
      <c r="F329" s="14" t="s">
        <v>71</v>
      </c>
      <c r="G329" s="14" t="s">
        <v>120</v>
      </c>
      <c r="H329" s="14" t="s">
        <v>91</v>
      </c>
      <c r="I329" s="14" t="s">
        <v>92</v>
      </c>
      <c r="J329" s="15">
        <v>1847192</v>
      </c>
      <c r="K329" s="14">
        <v>1</v>
      </c>
      <c r="L329" s="14" t="s">
        <v>75</v>
      </c>
      <c r="M329" s="14" t="s">
        <v>75</v>
      </c>
      <c r="N329" s="14" t="s">
        <v>76</v>
      </c>
      <c r="O329" s="14" t="s">
        <v>75</v>
      </c>
      <c r="P329" s="14">
        <v>353</v>
      </c>
      <c r="Q329" s="15">
        <v>1400765.99</v>
      </c>
      <c r="R329" s="15">
        <v>20558.27</v>
      </c>
      <c r="S329" s="14" t="s">
        <v>20</v>
      </c>
      <c r="T329" s="15"/>
      <c r="U329" s="16">
        <f t="shared" si="55"/>
        <v>0.13355365332894467</v>
      </c>
      <c r="V329" s="14">
        <v>5</v>
      </c>
      <c r="W329" s="17">
        <v>12.1</v>
      </c>
      <c r="X329" s="14">
        <v>5.0999999999999996</v>
      </c>
      <c r="Y329" s="18">
        <f t="shared" si="56"/>
        <v>61.7</v>
      </c>
      <c r="Z329" s="18" t="str">
        <f t="shared" si="57"/>
        <v>High</v>
      </c>
      <c r="AA329" s="19" t="str">
        <f t="shared" si="58"/>
        <v>Not Eligible</v>
      </c>
      <c r="AB329" s="14" t="s">
        <v>77</v>
      </c>
      <c r="AC329" s="14">
        <v>3</v>
      </c>
      <c r="AD329" s="14" t="s">
        <v>78</v>
      </c>
      <c r="AE329" s="17">
        <v>2.6</v>
      </c>
      <c r="AF329" s="15">
        <v>495520</v>
      </c>
      <c r="AG329" s="20">
        <f t="shared" si="59"/>
        <v>2342712</v>
      </c>
      <c r="AH329" s="14">
        <v>0</v>
      </c>
      <c r="AI329" s="14" t="s">
        <v>75</v>
      </c>
      <c r="AJ329" s="14">
        <v>36</v>
      </c>
      <c r="AK329" s="21">
        <f t="shared" si="60"/>
        <v>0.39</v>
      </c>
      <c r="AL329" s="20">
        <f t="shared" si="61"/>
        <v>0</v>
      </c>
      <c r="AM329" s="22">
        <f t="shared" si="62"/>
        <v>0</v>
      </c>
      <c r="AN329" s="20">
        <f t="shared" si="63"/>
        <v>20558.27</v>
      </c>
      <c r="AO329" s="16">
        <f t="shared" si="64"/>
        <v>0.13355365332894467</v>
      </c>
      <c r="AP329" s="15">
        <v>0</v>
      </c>
      <c r="AQ329" s="18" t="str">
        <f t="shared" si="65"/>
        <v>N/A</v>
      </c>
      <c r="AR329" s="23">
        <v>46221</v>
      </c>
      <c r="AS329" s="14" t="s">
        <v>79</v>
      </c>
    </row>
    <row r="330" spans="1:45" x14ac:dyDescent="0.25">
      <c r="A330" s="14" t="s">
        <v>1147</v>
      </c>
      <c r="B330" s="14" t="s">
        <v>1148</v>
      </c>
      <c r="C330" s="14">
        <v>9639222830</v>
      </c>
      <c r="D330" s="15" t="s">
        <v>1157</v>
      </c>
      <c r="E330" s="14">
        <v>51</v>
      </c>
      <c r="F330" s="14" t="s">
        <v>89</v>
      </c>
      <c r="G330" s="14" t="s">
        <v>215</v>
      </c>
      <c r="H330" s="14" t="s">
        <v>103</v>
      </c>
      <c r="I330" s="14" t="s">
        <v>74</v>
      </c>
      <c r="J330" s="15">
        <v>2324617</v>
      </c>
      <c r="K330" s="14">
        <v>3</v>
      </c>
      <c r="L330" s="14" t="s">
        <v>76</v>
      </c>
      <c r="M330" s="14" t="s">
        <v>76</v>
      </c>
      <c r="N330" s="14" t="s">
        <v>75</v>
      </c>
      <c r="O330" s="14" t="s">
        <v>76</v>
      </c>
      <c r="P330" s="14">
        <v>871</v>
      </c>
      <c r="Q330" s="15"/>
      <c r="R330" s="15">
        <v>43162.559999999998</v>
      </c>
      <c r="S330" s="14" t="s">
        <v>21</v>
      </c>
      <c r="T330" s="15">
        <v>1410573</v>
      </c>
      <c r="U330" s="16">
        <f t="shared" si="55"/>
        <v>0.22281120717950526</v>
      </c>
      <c r="V330" s="14">
        <v>0</v>
      </c>
      <c r="W330" s="17">
        <v>97.3</v>
      </c>
      <c r="X330" s="14">
        <v>1.1000000000000001</v>
      </c>
      <c r="Y330" s="18">
        <f t="shared" si="56"/>
        <v>18.3</v>
      </c>
      <c r="Z330" s="18" t="str">
        <f t="shared" si="57"/>
        <v>Low</v>
      </c>
      <c r="AA330" s="19" t="str">
        <f t="shared" si="58"/>
        <v>Eligible</v>
      </c>
      <c r="AB330" s="14" t="s">
        <v>85</v>
      </c>
      <c r="AC330" s="14">
        <v>0</v>
      </c>
      <c r="AD330" s="14" t="s">
        <v>93</v>
      </c>
      <c r="AE330" s="17">
        <v>5.9</v>
      </c>
      <c r="AF330" s="15">
        <v>306496</v>
      </c>
      <c r="AG330" s="20">
        <f t="shared" si="59"/>
        <v>2631113</v>
      </c>
      <c r="AH330" s="14">
        <v>1</v>
      </c>
      <c r="AI330" s="14" t="s">
        <v>75</v>
      </c>
      <c r="AJ330" s="14">
        <v>36</v>
      </c>
      <c r="AK330" s="21">
        <f t="shared" si="60"/>
        <v>0.14000000000000001</v>
      </c>
      <c r="AL330" s="20">
        <f t="shared" si="61"/>
        <v>48210.041740667468</v>
      </c>
      <c r="AM330" s="22">
        <f t="shared" si="62"/>
        <v>0.60679802307218778</v>
      </c>
      <c r="AN330" s="20">
        <f t="shared" si="63"/>
        <v>91372.601740667465</v>
      </c>
      <c r="AO330" s="16">
        <f t="shared" si="64"/>
        <v>0.4716782252250627</v>
      </c>
      <c r="AP330" s="15">
        <v>0</v>
      </c>
      <c r="AQ330" s="18" t="str">
        <f t="shared" si="65"/>
        <v>N/A</v>
      </c>
      <c r="AR330" s="23">
        <v>46054</v>
      </c>
      <c r="AS330" s="14" t="s">
        <v>79</v>
      </c>
    </row>
    <row r="331" spans="1:45" x14ac:dyDescent="0.25">
      <c r="A331" s="14" t="s">
        <v>1151</v>
      </c>
      <c r="B331" s="14" t="s">
        <v>1152</v>
      </c>
      <c r="C331" s="14">
        <v>9534392347</v>
      </c>
      <c r="D331" s="15" t="s">
        <v>1160</v>
      </c>
      <c r="E331" s="14">
        <v>35</v>
      </c>
      <c r="F331" s="14" t="s">
        <v>89</v>
      </c>
      <c r="G331" s="14" t="s">
        <v>153</v>
      </c>
      <c r="H331" s="14" t="s">
        <v>107</v>
      </c>
      <c r="I331" s="14" t="s">
        <v>92</v>
      </c>
      <c r="J331" s="15">
        <v>2453624</v>
      </c>
      <c r="K331" s="14">
        <v>2</v>
      </c>
      <c r="L331" s="14" t="s">
        <v>76</v>
      </c>
      <c r="M331" s="14" t="s">
        <v>75</v>
      </c>
      <c r="N331" s="14" t="s">
        <v>76</v>
      </c>
      <c r="O331" s="14" t="s">
        <v>75</v>
      </c>
      <c r="P331" s="14">
        <v>614</v>
      </c>
      <c r="Q331" s="15"/>
      <c r="R331" s="15">
        <v>29182.62</v>
      </c>
      <c r="S331" s="14" t="s">
        <v>20</v>
      </c>
      <c r="T331" s="15">
        <v>577685</v>
      </c>
      <c r="U331" s="16">
        <f t="shared" si="55"/>
        <v>0.14272416637594024</v>
      </c>
      <c r="V331" s="14">
        <v>1</v>
      </c>
      <c r="W331" s="17">
        <v>15.2</v>
      </c>
      <c r="X331" s="14">
        <v>1.8</v>
      </c>
      <c r="Y331" s="18">
        <f t="shared" si="56"/>
        <v>28.9</v>
      </c>
      <c r="Z331" s="18" t="str">
        <f t="shared" si="57"/>
        <v>Low</v>
      </c>
      <c r="AA331" s="19" t="str">
        <f t="shared" si="58"/>
        <v>Review</v>
      </c>
      <c r="AB331" s="14" t="s">
        <v>85</v>
      </c>
      <c r="AC331" s="14">
        <v>1</v>
      </c>
      <c r="AD331" s="14" t="s">
        <v>78</v>
      </c>
      <c r="AE331" s="17">
        <v>6.8</v>
      </c>
      <c r="AF331" s="15">
        <v>0</v>
      </c>
      <c r="AG331" s="20">
        <f t="shared" si="59"/>
        <v>2453624</v>
      </c>
      <c r="AH331" s="14">
        <v>0</v>
      </c>
      <c r="AI331" s="14" t="s">
        <v>75</v>
      </c>
      <c r="AJ331" s="14">
        <v>12</v>
      </c>
      <c r="AK331" s="21">
        <f t="shared" si="60"/>
        <v>0.36</v>
      </c>
      <c r="AL331" s="20">
        <f t="shared" si="61"/>
        <v>58035.439846448637</v>
      </c>
      <c r="AM331" s="22">
        <f t="shared" si="62"/>
        <v>0.23544153464426498</v>
      </c>
      <c r="AN331" s="20">
        <f t="shared" si="63"/>
        <v>87218.059846448639</v>
      </c>
      <c r="AO331" s="16">
        <f t="shared" si="64"/>
        <v>0.42655953730375301</v>
      </c>
      <c r="AP331" s="15">
        <v>0</v>
      </c>
      <c r="AQ331" s="18" t="str">
        <f t="shared" si="65"/>
        <v>N/A</v>
      </c>
      <c r="AR331" s="23">
        <v>46076</v>
      </c>
      <c r="AS331" s="14" t="s">
        <v>79</v>
      </c>
    </row>
    <row r="332" spans="1:45" x14ac:dyDescent="0.25">
      <c r="A332" s="14" t="s">
        <v>1155</v>
      </c>
      <c r="B332" s="14" t="s">
        <v>1156</v>
      </c>
      <c r="C332" s="14">
        <v>9182653501</v>
      </c>
      <c r="D332" s="15" t="s">
        <v>1163</v>
      </c>
      <c r="E332" s="14">
        <v>42</v>
      </c>
      <c r="F332" s="14" t="s">
        <v>71</v>
      </c>
      <c r="G332" s="14" t="s">
        <v>417</v>
      </c>
      <c r="H332" s="14" t="s">
        <v>84</v>
      </c>
      <c r="I332" s="14" t="s">
        <v>74</v>
      </c>
      <c r="J332" s="15">
        <v>1850972</v>
      </c>
      <c r="K332" s="14">
        <v>1</v>
      </c>
      <c r="L332" s="14" t="s">
        <v>76</v>
      </c>
      <c r="M332" s="14" t="s">
        <v>75</v>
      </c>
      <c r="N332" s="14" t="s">
        <v>75</v>
      </c>
      <c r="O332" s="14" t="s">
        <v>75</v>
      </c>
      <c r="P332" s="14">
        <v>601</v>
      </c>
      <c r="Q332" s="15">
        <v>1176908.44</v>
      </c>
      <c r="R332" s="15">
        <v>9147.81</v>
      </c>
      <c r="S332" s="14" t="s">
        <v>22</v>
      </c>
      <c r="T332" s="15">
        <v>841666</v>
      </c>
      <c r="U332" s="16">
        <f t="shared" si="55"/>
        <v>5.9305986260191942E-2</v>
      </c>
      <c r="V332" s="14">
        <v>1</v>
      </c>
      <c r="W332" s="17">
        <v>54.3</v>
      </c>
      <c r="X332" s="14">
        <v>1.8</v>
      </c>
      <c r="Y332" s="18">
        <f t="shared" si="56"/>
        <v>31.1</v>
      </c>
      <c r="Z332" s="18" t="str">
        <f t="shared" si="57"/>
        <v>Medium</v>
      </c>
      <c r="AA332" s="19" t="str">
        <f t="shared" si="58"/>
        <v>Review</v>
      </c>
      <c r="AB332" s="14" t="s">
        <v>85</v>
      </c>
      <c r="AC332" s="14">
        <v>0</v>
      </c>
      <c r="AD332" s="14" t="s">
        <v>78</v>
      </c>
      <c r="AE332" s="17">
        <v>2.7</v>
      </c>
      <c r="AF332" s="15">
        <v>0</v>
      </c>
      <c r="AG332" s="20">
        <f t="shared" si="59"/>
        <v>1850972</v>
      </c>
      <c r="AH332" s="14">
        <v>1</v>
      </c>
      <c r="AI332" s="14" t="s">
        <v>75</v>
      </c>
      <c r="AJ332" s="14">
        <v>72</v>
      </c>
      <c r="AK332" s="21">
        <f t="shared" si="60"/>
        <v>0.105</v>
      </c>
      <c r="AL332" s="20">
        <f t="shared" si="61"/>
        <v>15805.620538180392</v>
      </c>
      <c r="AM332" s="22">
        <f t="shared" si="62"/>
        <v>0.45471568451602723</v>
      </c>
      <c r="AN332" s="20">
        <f t="shared" si="63"/>
        <v>24953.430538180393</v>
      </c>
      <c r="AO332" s="16">
        <f t="shared" si="64"/>
        <v>0.16177509246934296</v>
      </c>
      <c r="AP332" s="15">
        <v>1509604</v>
      </c>
      <c r="AQ332" s="18">
        <f t="shared" si="65"/>
        <v>0.55754091801558558</v>
      </c>
      <c r="AR332" s="23">
        <v>46010</v>
      </c>
      <c r="AS332" s="14" t="s">
        <v>79</v>
      </c>
    </row>
    <row r="333" spans="1:45" x14ac:dyDescent="0.25">
      <c r="A333" s="14" t="s">
        <v>1158</v>
      </c>
      <c r="B333" s="14" t="s">
        <v>1159</v>
      </c>
      <c r="C333" s="14">
        <v>9931641272</v>
      </c>
      <c r="D333" s="15"/>
      <c r="E333" s="14">
        <v>27</v>
      </c>
      <c r="F333" s="14" t="s">
        <v>71</v>
      </c>
      <c r="G333" s="14" t="s">
        <v>215</v>
      </c>
      <c r="H333" s="14" t="s">
        <v>107</v>
      </c>
      <c r="I333" s="14" t="s">
        <v>92</v>
      </c>
      <c r="J333" s="15">
        <v>1162790</v>
      </c>
      <c r="K333" s="14">
        <v>2</v>
      </c>
      <c r="L333" s="14" t="s">
        <v>76</v>
      </c>
      <c r="M333" s="14" t="s">
        <v>76</v>
      </c>
      <c r="N333" s="14" t="s">
        <v>75</v>
      </c>
      <c r="O333" s="14" t="s">
        <v>75</v>
      </c>
      <c r="P333" s="14">
        <v>594</v>
      </c>
      <c r="Q333" s="15"/>
      <c r="R333" s="15">
        <v>28445.03</v>
      </c>
      <c r="S333" s="14" t="s">
        <v>21</v>
      </c>
      <c r="T333" s="15">
        <v>4515032</v>
      </c>
      <c r="U333" s="16">
        <f t="shared" si="55"/>
        <v>0.29355288573173144</v>
      </c>
      <c r="V333" s="14">
        <v>4</v>
      </c>
      <c r="W333" s="17">
        <v>64.099999999999994</v>
      </c>
      <c r="X333" s="14">
        <v>11.1</v>
      </c>
      <c r="Y333" s="18">
        <f t="shared" si="56"/>
        <v>51.6</v>
      </c>
      <c r="Z333" s="18" t="str">
        <f t="shared" si="57"/>
        <v>Medium</v>
      </c>
      <c r="AA333" s="19" t="str">
        <f t="shared" si="58"/>
        <v>Review</v>
      </c>
      <c r="AB333" s="14" t="s">
        <v>77</v>
      </c>
      <c r="AC333" s="14">
        <v>2</v>
      </c>
      <c r="AD333" s="14" t="s">
        <v>78</v>
      </c>
      <c r="AE333" s="17">
        <v>4.2</v>
      </c>
      <c r="AF333" s="15">
        <v>399116</v>
      </c>
      <c r="AG333" s="20">
        <f t="shared" si="59"/>
        <v>1561906</v>
      </c>
      <c r="AH333" s="14">
        <v>0</v>
      </c>
      <c r="AI333" s="14" t="s">
        <v>76</v>
      </c>
      <c r="AJ333" s="14">
        <v>48</v>
      </c>
      <c r="AK333" s="21">
        <f t="shared" si="60"/>
        <v>0.15500000000000003</v>
      </c>
      <c r="AL333" s="20">
        <f t="shared" si="61"/>
        <v>126804.03662664571</v>
      </c>
      <c r="AM333" s="22">
        <f t="shared" si="62"/>
        <v>3.8829298497579097</v>
      </c>
      <c r="AN333" s="20">
        <f t="shared" si="63"/>
        <v>155249.06662664571</v>
      </c>
      <c r="AO333" s="16">
        <f t="shared" si="64"/>
        <v>1.602171328889781</v>
      </c>
      <c r="AP333" s="15">
        <v>0</v>
      </c>
      <c r="AQ333" s="18" t="str">
        <f t="shared" si="65"/>
        <v>N/A</v>
      </c>
      <c r="AR333" s="23">
        <v>46114</v>
      </c>
      <c r="AS333" s="14" t="s">
        <v>79</v>
      </c>
    </row>
    <row r="334" spans="1:45" x14ac:dyDescent="0.25">
      <c r="A334" s="14" t="s">
        <v>1161</v>
      </c>
      <c r="B334" s="14" t="s">
        <v>1162</v>
      </c>
      <c r="C334" s="14">
        <v>9732592673</v>
      </c>
      <c r="D334" s="15"/>
      <c r="E334" s="14">
        <v>59</v>
      </c>
      <c r="F334" s="14" t="s">
        <v>89</v>
      </c>
      <c r="G334" s="14" t="s">
        <v>115</v>
      </c>
      <c r="H334" s="14" t="s">
        <v>166</v>
      </c>
      <c r="I334" s="14" t="s">
        <v>74</v>
      </c>
      <c r="J334" s="15">
        <v>2348109</v>
      </c>
      <c r="K334" s="14">
        <v>2</v>
      </c>
      <c r="L334" s="14" t="s">
        <v>75</v>
      </c>
      <c r="M334" s="14" t="s">
        <v>75</v>
      </c>
      <c r="N334" s="14" t="s">
        <v>76</v>
      </c>
      <c r="O334" s="14" t="s">
        <v>76</v>
      </c>
      <c r="P334" s="14">
        <v>597</v>
      </c>
      <c r="Q334" s="15"/>
      <c r="R334" s="15">
        <v>26153.52</v>
      </c>
      <c r="S334" s="14" t="s">
        <v>21</v>
      </c>
      <c r="T334" s="15"/>
      <c r="U334" s="16">
        <f t="shared" si="55"/>
        <v>0.13365744094503279</v>
      </c>
      <c r="V334" s="14">
        <v>0</v>
      </c>
      <c r="W334" s="17">
        <v>13.9</v>
      </c>
      <c r="X334" s="14">
        <v>4.7</v>
      </c>
      <c r="Y334" s="18">
        <f t="shared" si="56"/>
        <v>25.6</v>
      </c>
      <c r="Z334" s="18" t="str">
        <f t="shared" si="57"/>
        <v>Low</v>
      </c>
      <c r="AA334" s="19" t="str">
        <f t="shared" si="58"/>
        <v>Review</v>
      </c>
      <c r="AB334" s="14" t="s">
        <v>77</v>
      </c>
      <c r="AC334" s="14">
        <v>1</v>
      </c>
      <c r="AD334" s="14" t="s">
        <v>93</v>
      </c>
      <c r="AE334" s="17">
        <v>29.7</v>
      </c>
      <c r="AF334" s="15">
        <v>514870</v>
      </c>
      <c r="AG334" s="20">
        <f t="shared" si="59"/>
        <v>2862979</v>
      </c>
      <c r="AH334" s="14">
        <v>0</v>
      </c>
      <c r="AI334" s="14" t="s">
        <v>75</v>
      </c>
      <c r="AJ334" s="14">
        <v>36</v>
      </c>
      <c r="AK334" s="21">
        <f t="shared" si="60"/>
        <v>0.14000000000000001</v>
      </c>
      <c r="AL334" s="20">
        <f t="shared" si="61"/>
        <v>0</v>
      </c>
      <c r="AM334" s="22">
        <f t="shared" si="62"/>
        <v>0</v>
      </c>
      <c r="AN334" s="20">
        <f t="shared" si="63"/>
        <v>26153.52</v>
      </c>
      <c r="AO334" s="16">
        <f t="shared" si="64"/>
        <v>0.13365744094503279</v>
      </c>
      <c r="AP334" s="15">
        <v>0</v>
      </c>
      <c r="AQ334" s="18" t="str">
        <f t="shared" si="65"/>
        <v>N/A</v>
      </c>
      <c r="AR334" s="23">
        <v>46049</v>
      </c>
      <c r="AS334" s="14" t="s">
        <v>79</v>
      </c>
    </row>
    <row r="335" spans="1:45" x14ac:dyDescent="0.25">
      <c r="A335" s="14" t="s">
        <v>1164</v>
      </c>
      <c r="B335" s="14" t="s">
        <v>1165</v>
      </c>
      <c r="C335" s="14"/>
      <c r="D335" s="15" t="s">
        <v>1171</v>
      </c>
      <c r="E335" s="14">
        <v>51</v>
      </c>
      <c r="F335" s="14" t="s">
        <v>71</v>
      </c>
      <c r="G335" s="14" t="s">
        <v>215</v>
      </c>
      <c r="H335" s="14" t="s">
        <v>144</v>
      </c>
      <c r="I335" s="14" t="s">
        <v>92</v>
      </c>
      <c r="J335" s="15">
        <v>386936</v>
      </c>
      <c r="K335" s="14">
        <v>2</v>
      </c>
      <c r="L335" s="14" t="s">
        <v>76</v>
      </c>
      <c r="M335" s="14" t="s">
        <v>75</v>
      </c>
      <c r="N335" s="14" t="s">
        <v>76</v>
      </c>
      <c r="O335" s="14" t="s">
        <v>75</v>
      </c>
      <c r="P335" s="14">
        <v>665</v>
      </c>
      <c r="Q335" s="15">
        <v>106131</v>
      </c>
      <c r="R335" s="15">
        <v>4280.6499999999996</v>
      </c>
      <c r="S335" s="14" t="s">
        <v>23</v>
      </c>
      <c r="T335" s="15"/>
      <c r="U335" s="16">
        <f t="shared" si="55"/>
        <v>0.13275528769615647</v>
      </c>
      <c r="V335" s="14">
        <v>0</v>
      </c>
      <c r="W335" s="17">
        <v>13.5</v>
      </c>
      <c r="X335" s="14">
        <v>13.8</v>
      </c>
      <c r="Y335" s="18">
        <f t="shared" si="56"/>
        <v>21</v>
      </c>
      <c r="Z335" s="18" t="str">
        <f t="shared" si="57"/>
        <v>Low</v>
      </c>
      <c r="AA335" s="19" t="str">
        <f t="shared" si="58"/>
        <v>Eligible</v>
      </c>
      <c r="AB335" s="14" t="s">
        <v>85</v>
      </c>
      <c r="AC335" s="14">
        <v>0</v>
      </c>
      <c r="AD335" s="14" t="s">
        <v>78</v>
      </c>
      <c r="AE335" s="17">
        <v>18.899999999999999</v>
      </c>
      <c r="AF335" s="15">
        <v>0</v>
      </c>
      <c r="AG335" s="20">
        <f t="shared" si="59"/>
        <v>386936</v>
      </c>
      <c r="AH335" s="14">
        <v>2</v>
      </c>
      <c r="AI335" s="14" t="s">
        <v>76</v>
      </c>
      <c r="AJ335" s="14">
        <v>360</v>
      </c>
      <c r="AK335" s="21">
        <f t="shared" si="60"/>
        <v>8.5000000000000006E-2</v>
      </c>
      <c r="AL335" s="20">
        <f t="shared" si="61"/>
        <v>0</v>
      </c>
      <c r="AM335" s="22">
        <f t="shared" si="62"/>
        <v>0</v>
      </c>
      <c r="AN335" s="20">
        <f t="shared" si="63"/>
        <v>4280.6499999999996</v>
      </c>
      <c r="AO335" s="16">
        <f t="shared" si="64"/>
        <v>0.13275528769615647</v>
      </c>
      <c r="AP335" s="15">
        <v>5389766</v>
      </c>
      <c r="AQ335" s="18">
        <f t="shared" si="65"/>
        <v>0</v>
      </c>
      <c r="AR335" s="23">
        <v>46242</v>
      </c>
      <c r="AS335" s="14" t="s">
        <v>79</v>
      </c>
    </row>
    <row r="336" spans="1:45" x14ac:dyDescent="0.25">
      <c r="A336" s="14" t="s">
        <v>1167</v>
      </c>
      <c r="B336" s="14" t="s">
        <v>1168</v>
      </c>
      <c r="C336" s="14">
        <v>9567954159</v>
      </c>
      <c r="D336" s="15" t="s">
        <v>1175</v>
      </c>
      <c r="E336" s="14">
        <v>40</v>
      </c>
      <c r="F336" s="14" t="s">
        <v>71</v>
      </c>
      <c r="G336" s="14" t="s">
        <v>90</v>
      </c>
      <c r="H336" s="14" t="s">
        <v>144</v>
      </c>
      <c r="I336" s="14" t="s">
        <v>92</v>
      </c>
      <c r="J336" s="15">
        <v>1739797</v>
      </c>
      <c r="K336" s="14">
        <v>1</v>
      </c>
      <c r="L336" s="14" t="s">
        <v>75</v>
      </c>
      <c r="M336" s="14" t="s">
        <v>76</v>
      </c>
      <c r="N336" s="14" t="s">
        <v>75</v>
      </c>
      <c r="O336" s="14" t="s">
        <v>75</v>
      </c>
      <c r="P336" s="14">
        <v>655</v>
      </c>
      <c r="Q336" s="15">
        <v>284638</v>
      </c>
      <c r="R336" s="15">
        <v>25088.62</v>
      </c>
      <c r="S336" s="14" t="s">
        <v>23</v>
      </c>
      <c r="T336" s="15"/>
      <c r="U336" s="16">
        <f t="shared" si="55"/>
        <v>0.1730451541185552</v>
      </c>
      <c r="V336" s="14">
        <v>0</v>
      </c>
      <c r="W336" s="17">
        <v>69.7</v>
      </c>
      <c r="X336" s="14">
        <v>7.9</v>
      </c>
      <c r="Y336" s="18">
        <f t="shared" si="56"/>
        <v>28.5</v>
      </c>
      <c r="Z336" s="18" t="str">
        <f t="shared" si="57"/>
        <v>Low</v>
      </c>
      <c r="AA336" s="19" t="str">
        <f t="shared" si="58"/>
        <v>Eligible</v>
      </c>
      <c r="AB336" s="14" t="s">
        <v>85</v>
      </c>
      <c r="AC336" s="14">
        <v>2</v>
      </c>
      <c r="AD336" s="14" t="s">
        <v>78</v>
      </c>
      <c r="AE336" s="17">
        <v>9.4</v>
      </c>
      <c r="AF336" s="15">
        <v>371045</v>
      </c>
      <c r="AG336" s="20">
        <f t="shared" si="59"/>
        <v>2110842</v>
      </c>
      <c r="AH336" s="14">
        <v>0</v>
      </c>
      <c r="AI336" s="14" t="s">
        <v>75</v>
      </c>
      <c r="AJ336" s="14">
        <v>360</v>
      </c>
      <c r="AK336" s="21">
        <f t="shared" si="60"/>
        <v>8.5000000000000006E-2</v>
      </c>
      <c r="AL336" s="20">
        <f t="shared" si="61"/>
        <v>0</v>
      </c>
      <c r="AM336" s="22">
        <f t="shared" si="62"/>
        <v>0</v>
      </c>
      <c r="AN336" s="20">
        <f t="shared" si="63"/>
        <v>25088.62</v>
      </c>
      <c r="AO336" s="16">
        <f t="shared" si="64"/>
        <v>0.1730451541185552</v>
      </c>
      <c r="AP336" s="15">
        <v>8561952</v>
      </c>
      <c r="AQ336" s="18">
        <f t="shared" si="65"/>
        <v>0</v>
      </c>
      <c r="AR336" s="23">
        <v>46145</v>
      </c>
      <c r="AS336" s="14" t="s">
        <v>79</v>
      </c>
    </row>
    <row r="337" spans="1:45" x14ac:dyDescent="0.25">
      <c r="A337" s="14" t="s">
        <v>1169</v>
      </c>
      <c r="B337" s="14" t="s">
        <v>1170</v>
      </c>
      <c r="C337" s="14">
        <v>9424688774</v>
      </c>
      <c r="D337" s="15"/>
      <c r="E337" s="14">
        <v>24</v>
      </c>
      <c r="F337" s="14" t="s">
        <v>89</v>
      </c>
      <c r="G337" s="14" t="s">
        <v>72</v>
      </c>
      <c r="H337" s="14" t="s">
        <v>103</v>
      </c>
      <c r="I337" s="14" t="s">
        <v>74</v>
      </c>
      <c r="J337" s="15">
        <v>1488101</v>
      </c>
      <c r="K337" s="14">
        <v>0</v>
      </c>
      <c r="L337" s="14" t="s">
        <v>75</v>
      </c>
      <c r="M337" s="14" t="s">
        <v>75</v>
      </c>
      <c r="N337" s="14" t="s">
        <v>75</v>
      </c>
      <c r="O337" s="14" t="s">
        <v>75</v>
      </c>
      <c r="P337" s="14">
        <v>388</v>
      </c>
      <c r="Q337" s="15">
        <v>741446.84</v>
      </c>
      <c r="R337" s="15">
        <v>5053.8500000000004</v>
      </c>
      <c r="S337" s="14" t="s">
        <v>21</v>
      </c>
      <c r="T337" s="15">
        <v>1955889</v>
      </c>
      <c r="U337" s="16">
        <f t="shared" si="55"/>
        <v>4.0754088600168943E-2</v>
      </c>
      <c r="V337" s="14">
        <v>1</v>
      </c>
      <c r="W337" s="17">
        <v>12.7</v>
      </c>
      <c r="X337" s="14">
        <v>3.4</v>
      </c>
      <c r="Y337" s="18">
        <f t="shared" si="56"/>
        <v>40.6</v>
      </c>
      <c r="Z337" s="18" t="str">
        <f t="shared" si="57"/>
        <v>Medium</v>
      </c>
      <c r="AA337" s="19" t="str">
        <f t="shared" si="58"/>
        <v>Not Eligible</v>
      </c>
      <c r="AB337" s="14" t="s">
        <v>85</v>
      </c>
      <c r="AC337" s="14">
        <v>1</v>
      </c>
      <c r="AD337" s="14" t="s">
        <v>93</v>
      </c>
      <c r="AE337" s="17">
        <v>2</v>
      </c>
      <c r="AF337" s="15">
        <v>0</v>
      </c>
      <c r="AG337" s="20">
        <f t="shared" si="59"/>
        <v>1488101</v>
      </c>
      <c r="AH337" s="14">
        <v>3</v>
      </c>
      <c r="AI337" s="14" t="s">
        <v>75</v>
      </c>
      <c r="AJ337" s="14">
        <v>36</v>
      </c>
      <c r="AK337" s="21">
        <f t="shared" si="60"/>
        <v>0.15500000000000003</v>
      </c>
      <c r="AL337" s="20">
        <f t="shared" si="61"/>
        <v>68281.416993038438</v>
      </c>
      <c r="AM337" s="22">
        <f t="shared" si="62"/>
        <v>1.3143523188278214</v>
      </c>
      <c r="AN337" s="20">
        <f t="shared" si="63"/>
        <v>73335.266993038444</v>
      </c>
      <c r="AO337" s="16">
        <f t="shared" si="64"/>
        <v>0.59137330323443194</v>
      </c>
      <c r="AP337" s="15">
        <v>0</v>
      </c>
      <c r="AQ337" s="18" t="str">
        <f t="shared" si="65"/>
        <v>N/A</v>
      </c>
      <c r="AR337" s="23">
        <v>46049</v>
      </c>
      <c r="AS337" s="14" t="s">
        <v>79</v>
      </c>
    </row>
    <row r="338" spans="1:45" x14ac:dyDescent="0.25">
      <c r="A338" s="14" t="s">
        <v>1172</v>
      </c>
      <c r="B338" s="14" t="s">
        <v>1173</v>
      </c>
      <c r="C338" s="14">
        <v>9703495788</v>
      </c>
      <c r="D338" s="15" t="s">
        <v>1181</v>
      </c>
      <c r="E338" s="14">
        <v>58</v>
      </c>
      <c r="F338" s="14" t="s">
        <v>71</v>
      </c>
      <c r="G338" s="14" t="s">
        <v>388</v>
      </c>
      <c r="H338" s="14" t="s">
        <v>84</v>
      </c>
      <c r="I338" s="14" t="s">
        <v>74</v>
      </c>
      <c r="J338" s="15">
        <v>869128</v>
      </c>
      <c r="K338" s="14">
        <v>2</v>
      </c>
      <c r="L338" s="14" t="s">
        <v>76</v>
      </c>
      <c r="M338" s="14" t="s">
        <v>76</v>
      </c>
      <c r="N338" s="14" t="s">
        <v>75</v>
      </c>
      <c r="O338" s="14" t="s">
        <v>75</v>
      </c>
      <c r="P338" s="14">
        <v>772</v>
      </c>
      <c r="Q338" s="15">
        <v>18399</v>
      </c>
      <c r="R338" s="15">
        <v>7906.61</v>
      </c>
      <c r="S338" s="14" t="s">
        <v>23</v>
      </c>
      <c r="T338" s="15">
        <v>683120</v>
      </c>
      <c r="U338" s="16">
        <f t="shared" si="55"/>
        <v>0.10916610671845803</v>
      </c>
      <c r="V338" s="14">
        <v>0</v>
      </c>
      <c r="W338" s="17">
        <v>47</v>
      </c>
      <c r="X338" s="14">
        <v>4.8</v>
      </c>
      <c r="Y338" s="18">
        <f t="shared" si="56"/>
        <v>16.5</v>
      </c>
      <c r="Z338" s="18" t="str">
        <f t="shared" si="57"/>
        <v>Low</v>
      </c>
      <c r="AA338" s="19" t="str">
        <f t="shared" si="58"/>
        <v>Eligible</v>
      </c>
      <c r="AB338" s="14" t="s">
        <v>77</v>
      </c>
      <c r="AC338" s="14">
        <v>2</v>
      </c>
      <c r="AD338" s="14" t="s">
        <v>93</v>
      </c>
      <c r="AE338" s="17">
        <v>13</v>
      </c>
      <c r="AF338" s="15">
        <v>0</v>
      </c>
      <c r="AG338" s="20">
        <f t="shared" si="59"/>
        <v>869128</v>
      </c>
      <c r="AH338" s="14">
        <v>0</v>
      </c>
      <c r="AI338" s="14" t="s">
        <v>75</v>
      </c>
      <c r="AJ338" s="14">
        <v>360</v>
      </c>
      <c r="AK338" s="21">
        <f t="shared" si="60"/>
        <v>8.5000000000000006E-2</v>
      </c>
      <c r="AL338" s="20">
        <f t="shared" si="61"/>
        <v>5252.6017890613002</v>
      </c>
      <c r="AM338" s="22">
        <f t="shared" si="62"/>
        <v>0.78598319234911318</v>
      </c>
      <c r="AN338" s="20">
        <f t="shared" si="63"/>
        <v>13159.211789061301</v>
      </c>
      <c r="AO338" s="16">
        <f t="shared" si="64"/>
        <v>0.18168847565460508</v>
      </c>
      <c r="AP338" s="15">
        <v>2666740</v>
      </c>
      <c r="AQ338" s="18">
        <f t="shared" si="65"/>
        <v>0.25616295551872326</v>
      </c>
      <c r="AR338" s="23">
        <v>46110</v>
      </c>
      <c r="AS338" s="14" t="s">
        <v>79</v>
      </c>
    </row>
    <row r="339" spans="1:45" x14ac:dyDescent="0.25">
      <c r="A339" s="14" t="s">
        <v>1176</v>
      </c>
      <c r="B339" s="14" t="s">
        <v>1177</v>
      </c>
      <c r="C339" s="14">
        <v>9982279119</v>
      </c>
      <c r="D339" s="15" t="s">
        <v>1184</v>
      </c>
      <c r="E339" s="14">
        <v>58</v>
      </c>
      <c r="F339" s="14" t="s">
        <v>89</v>
      </c>
      <c r="G339" s="14" t="s">
        <v>72</v>
      </c>
      <c r="H339" s="14" t="s">
        <v>144</v>
      </c>
      <c r="I339" s="14" t="s">
        <v>92</v>
      </c>
      <c r="J339" s="15">
        <v>1530370</v>
      </c>
      <c r="K339" s="14">
        <v>2</v>
      </c>
      <c r="L339" s="14" t="s">
        <v>76</v>
      </c>
      <c r="M339" s="14" t="s">
        <v>75</v>
      </c>
      <c r="N339" s="14" t="s">
        <v>76</v>
      </c>
      <c r="O339" s="14" t="s">
        <v>75</v>
      </c>
      <c r="P339" s="14">
        <v>773</v>
      </c>
      <c r="Q339" s="15">
        <v>46983</v>
      </c>
      <c r="R339" s="15">
        <v>16476.599999999999</v>
      </c>
      <c r="S339" s="14" t="s">
        <v>23</v>
      </c>
      <c r="T339" s="15">
        <v>907018</v>
      </c>
      <c r="U339" s="16">
        <f t="shared" si="55"/>
        <v>0.12919699157720027</v>
      </c>
      <c r="V339" s="14">
        <v>0</v>
      </c>
      <c r="W339" s="17">
        <v>30.7</v>
      </c>
      <c r="X339" s="14">
        <v>14.8</v>
      </c>
      <c r="Y339" s="18">
        <f t="shared" si="56"/>
        <v>15.4</v>
      </c>
      <c r="Z339" s="18" t="str">
        <f t="shared" si="57"/>
        <v>Low</v>
      </c>
      <c r="AA339" s="19" t="str">
        <f t="shared" si="58"/>
        <v>Eligible</v>
      </c>
      <c r="AB339" s="14" t="s">
        <v>85</v>
      </c>
      <c r="AC339" s="14">
        <v>2</v>
      </c>
      <c r="AD339" s="14" t="s">
        <v>93</v>
      </c>
      <c r="AE339" s="17">
        <v>17.100000000000001</v>
      </c>
      <c r="AF339" s="15">
        <v>0</v>
      </c>
      <c r="AG339" s="20">
        <f t="shared" si="59"/>
        <v>1530370</v>
      </c>
      <c r="AH339" s="14">
        <v>2</v>
      </c>
      <c r="AI339" s="14" t="s">
        <v>75</v>
      </c>
      <c r="AJ339" s="14">
        <v>360</v>
      </c>
      <c r="AK339" s="21">
        <f t="shared" si="60"/>
        <v>8.5000000000000006E-2</v>
      </c>
      <c r="AL339" s="20">
        <f t="shared" si="61"/>
        <v>6974.1837005369507</v>
      </c>
      <c r="AM339" s="22">
        <f t="shared" si="62"/>
        <v>0.59267889464639267</v>
      </c>
      <c r="AN339" s="20">
        <f t="shared" si="63"/>
        <v>23450.783700536951</v>
      </c>
      <c r="AO339" s="16">
        <f t="shared" si="64"/>
        <v>0.1838832468007367</v>
      </c>
      <c r="AP339" s="15">
        <v>2579042</v>
      </c>
      <c r="AQ339" s="18">
        <f t="shared" si="65"/>
        <v>0.3516879523481975</v>
      </c>
      <c r="AR339" s="23">
        <v>45922</v>
      </c>
      <c r="AS339" s="14" t="s">
        <v>79</v>
      </c>
    </row>
    <row r="340" spans="1:45" x14ac:dyDescent="0.25">
      <c r="A340" s="14" t="s">
        <v>1178</v>
      </c>
      <c r="B340" s="14" t="s">
        <v>1179</v>
      </c>
      <c r="C340" s="14">
        <v>9792680500</v>
      </c>
      <c r="D340" s="15"/>
      <c r="E340" s="14">
        <v>29</v>
      </c>
      <c r="F340" s="14" t="s">
        <v>71</v>
      </c>
      <c r="G340" s="14" t="s">
        <v>72</v>
      </c>
      <c r="H340" s="14" t="s">
        <v>84</v>
      </c>
      <c r="I340" s="14" t="s">
        <v>74</v>
      </c>
      <c r="J340" s="15">
        <v>1603970</v>
      </c>
      <c r="K340" s="14">
        <v>0</v>
      </c>
      <c r="L340" s="14" t="s">
        <v>75</v>
      </c>
      <c r="M340" s="14" t="s">
        <v>75</v>
      </c>
      <c r="N340" s="14" t="s">
        <v>75</v>
      </c>
      <c r="O340" s="14" t="s">
        <v>75</v>
      </c>
      <c r="P340" s="14">
        <v>505</v>
      </c>
      <c r="Q340" s="15">
        <v>1161824.81</v>
      </c>
      <c r="R340" s="15">
        <v>1533.25</v>
      </c>
      <c r="S340" s="14" t="s">
        <v>21</v>
      </c>
      <c r="T340" s="15">
        <v>415779</v>
      </c>
      <c r="U340" s="16">
        <f t="shared" si="55"/>
        <v>1.1470912797620903E-2</v>
      </c>
      <c r="V340" s="14">
        <v>4</v>
      </c>
      <c r="W340" s="17">
        <v>54.4</v>
      </c>
      <c r="X340" s="14">
        <v>3.9</v>
      </c>
      <c r="Y340" s="18">
        <f t="shared" si="56"/>
        <v>48.1</v>
      </c>
      <c r="Z340" s="18" t="str">
        <f t="shared" si="57"/>
        <v>Medium</v>
      </c>
      <c r="AA340" s="19" t="str">
        <f t="shared" si="58"/>
        <v>Not Eligible</v>
      </c>
      <c r="AB340" s="14" t="s">
        <v>85</v>
      </c>
      <c r="AC340" s="14">
        <v>0</v>
      </c>
      <c r="AD340" s="14" t="s">
        <v>93</v>
      </c>
      <c r="AE340" s="17">
        <v>3.3</v>
      </c>
      <c r="AF340" s="15">
        <v>0</v>
      </c>
      <c r="AG340" s="20">
        <f t="shared" si="59"/>
        <v>1603970</v>
      </c>
      <c r="AH340" s="14">
        <v>0</v>
      </c>
      <c r="AI340" s="14" t="s">
        <v>75</v>
      </c>
      <c r="AJ340" s="14">
        <v>24</v>
      </c>
      <c r="AK340" s="21">
        <f t="shared" si="60"/>
        <v>0.15500000000000003</v>
      </c>
      <c r="AL340" s="20">
        <f t="shared" si="61"/>
        <v>20258.641547192401</v>
      </c>
      <c r="AM340" s="22">
        <f t="shared" si="62"/>
        <v>0.25921868862883968</v>
      </c>
      <c r="AN340" s="20">
        <f t="shared" si="63"/>
        <v>21791.891547192401</v>
      </c>
      <c r="AO340" s="16">
        <f t="shared" si="64"/>
        <v>0.16303465686160515</v>
      </c>
      <c r="AP340" s="15">
        <v>0</v>
      </c>
      <c r="AQ340" s="18" t="str">
        <f t="shared" si="65"/>
        <v>N/A</v>
      </c>
      <c r="AR340" s="23">
        <v>46015</v>
      </c>
      <c r="AS340" s="14" t="s">
        <v>79</v>
      </c>
    </row>
    <row r="341" spans="1:45" x14ac:dyDescent="0.25">
      <c r="A341" s="14" t="s">
        <v>1182</v>
      </c>
      <c r="B341" s="14" t="s">
        <v>217</v>
      </c>
      <c r="C341" s="14"/>
      <c r="D341" s="15" t="s">
        <v>1189</v>
      </c>
      <c r="E341" s="14">
        <v>63</v>
      </c>
      <c r="F341" s="14" t="s">
        <v>71</v>
      </c>
      <c r="G341" s="14" t="s">
        <v>174</v>
      </c>
      <c r="H341" s="14" t="s">
        <v>132</v>
      </c>
      <c r="I341" s="14" t="s">
        <v>92</v>
      </c>
      <c r="J341" s="15">
        <v>390839</v>
      </c>
      <c r="K341" s="14">
        <v>2</v>
      </c>
      <c r="L341" s="14" t="s">
        <v>76</v>
      </c>
      <c r="M341" s="14" t="s">
        <v>75</v>
      </c>
      <c r="N341" s="14" t="s">
        <v>75</v>
      </c>
      <c r="O341" s="14" t="s">
        <v>76</v>
      </c>
      <c r="P341" s="14">
        <v>859</v>
      </c>
      <c r="Q341" s="15"/>
      <c r="R341" s="15">
        <v>1118.6400000000001</v>
      </c>
      <c r="S341" s="14" t="s">
        <v>22</v>
      </c>
      <c r="T341" s="15">
        <v>292959</v>
      </c>
      <c r="U341" s="16">
        <f t="shared" si="55"/>
        <v>3.4345804794301493E-2</v>
      </c>
      <c r="V341" s="14">
        <v>2</v>
      </c>
      <c r="W341" s="17">
        <v>96.1</v>
      </c>
      <c r="X341" s="14">
        <v>7.5</v>
      </c>
      <c r="Y341" s="18">
        <f t="shared" si="56"/>
        <v>21.4</v>
      </c>
      <c r="Z341" s="18" t="str">
        <f t="shared" si="57"/>
        <v>Low</v>
      </c>
      <c r="AA341" s="19" t="str">
        <f t="shared" si="58"/>
        <v>Eligible</v>
      </c>
      <c r="AB341" s="14" t="s">
        <v>77</v>
      </c>
      <c r="AC341" s="14">
        <v>1</v>
      </c>
      <c r="AD341" s="14" t="s">
        <v>93</v>
      </c>
      <c r="AE341" s="17">
        <v>3.5</v>
      </c>
      <c r="AF341" s="15">
        <v>0</v>
      </c>
      <c r="AG341" s="20">
        <f t="shared" si="59"/>
        <v>390839</v>
      </c>
      <c r="AH341" s="14">
        <v>0</v>
      </c>
      <c r="AI341" s="14" t="s">
        <v>75</v>
      </c>
      <c r="AJ341" s="14">
        <v>60</v>
      </c>
      <c r="AK341" s="21">
        <f t="shared" si="60"/>
        <v>0.09</v>
      </c>
      <c r="AL341" s="20">
        <f t="shared" si="61"/>
        <v>6081.3469887574438</v>
      </c>
      <c r="AM341" s="22">
        <f t="shared" si="62"/>
        <v>0.74956439863984914</v>
      </c>
      <c r="AN341" s="20">
        <f t="shared" si="63"/>
        <v>7199.9869887574441</v>
      </c>
      <c r="AO341" s="16">
        <f t="shared" si="64"/>
        <v>0.22106249341823442</v>
      </c>
      <c r="AP341" s="15">
        <v>974160</v>
      </c>
      <c r="AQ341" s="18">
        <f t="shared" si="65"/>
        <v>0.30072985957132298</v>
      </c>
      <c r="AR341" s="23">
        <v>46094</v>
      </c>
      <c r="AS341" s="14" t="s">
        <v>79</v>
      </c>
    </row>
    <row r="342" spans="1:45" x14ac:dyDescent="0.25">
      <c r="A342" s="14" t="s">
        <v>1185</v>
      </c>
      <c r="B342" s="14" t="s">
        <v>1186</v>
      </c>
      <c r="C342" s="14">
        <v>9169116659</v>
      </c>
      <c r="D342" s="15" t="s">
        <v>1192</v>
      </c>
      <c r="E342" s="14">
        <v>49</v>
      </c>
      <c r="F342" s="14" t="s">
        <v>71</v>
      </c>
      <c r="G342" s="14" t="s">
        <v>106</v>
      </c>
      <c r="H342" s="14" t="s">
        <v>132</v>
      </c>
      <c r="I342" s="14" t="s">
        <v>92</v>
      </c>
      <c r="J342" s="15">
        <v>2262544</v>
      </c>
      <c r="K342" s="14">
        <v>2</v>
      </c>
      <c r="L342" s="14" t="s">
        <v>75</v>
      </c>
      <c r="M342" s="14" t="s">
        <v>75</v>
      </c>
      <c r="N342" s="14" t="s">
        <v>76</v>
      </c>
      <c r="O342" s="14" t="s">
        <v>76</v>
      </c>
      <c r="P342" s="14">
        <v>812</v>
      </c>
      <c r="Q342" s="15"/>
      <c r="R342" s="15">
        <v>26405.11</v>
      </c>
      <c r="S342" s="14" t="s">
        <v>21</v>
      </c>
      <c r="T342" s="15"/>
      <c r="U342" s="16">
        <f t="shared" si="55"/>
        <v>0.14004647865411679</v>
      </c>
      <c r="V342" s="14">
        <v>4</v>
      </c>
      <c r="W342" s="17">
        <v>54.9</v>
      </c>
      <c r="X342" s="14">
        <v>7.8</v>
      </c>
      <c r="Y342" s="18">
        <f t="shared" si="56"/>
        <v>31.6</v>
      </c>
      <c r="Z342" s="18" t="str">
        <f t="shared" si="57"/>
        <v>Medium</v>
      </c>
      <c r="AA342" s="19" t="str">
        <f t="shared" si="58"/>
        <v>Review</v>
      </c>
      <c r="AB342" s="14" t="s">
        <v>85</v>
      </c>
      <c r="AC342" s="14">
        <v>0</v>
      </c>
      <c r="AD342" s="14" t="s">
        <v>93</v>
      </c>
      <c r="AE342" s="17">
        <v>15.9</v>
      </c>
      <c r="AF342" s="15">
        <v>0</v>
      </c>
      <c r="AG342" s="20">
        <f t="shared" si="59"/>
        <v>2262544</v>
      </c>
      <c r="AH342" s="14">
        <v>2</v>
      </c>
      <c r="AI342" s="14" t="s">
        <v>75</v>
      </c>
      <c r="AJ342" s="14">
        <v>36</v>
      </c>
      <c r="AK342" s="21">
        <f t="shared" si="60"/>
        <v>0.15500000000000003</v>
      </c>
      <c r="AL342" s="20">
        <f t="shared" si="61"/>
        <v>0</v>
      </c>
      <c r="AM342" s="22">
        <f t="shared" si="62"/>
        <v>0</v>
      </c>
      <c r="AN342" s="20">
        <f t="shared" si="63"/>
        <v>26405.11</v>
      </c>
      <c r="AO342" s="16">
        <f t="shared" si="64"/>
        <v>0.14004647865411679</v>
      </c>
      <c r="AP342" s="15">
        <v>0</v>
      </c>
      <c r="AQ342" s="18" t="str">
        <f t="shared" si="65"/>
        <v>N/A</v>
      </c>
      <c r="AR342" s="23">
        <v>46096</v>
      </c>
      <c r="AS342" s="14" t="s">
        <v>79</v>
      </c>
    </row>
    <row r="343" spans="1:45" x14ac:dyDescent="0.25">
      <c r="A343" s="14" t="s">
        <v>1187</v>
      </c>
      <c r="B343" s="14" t="s">
        <v>1188</v>
      </c>
      <c r="C343" s="14">
        <v>9250927932</v>
      </c>
      <c r="D343" s="15" t="s">
        <v>1195</v>
      </c>
      <c r="E343" s="14">
        <v>59</v>
      </c>
      <c r="F343" s="14" t="s">
        <v>71</v>
      </c>
      <c r="G343" s="14" t="s">
        <v>314</v>
      </c>
      <c r="H343" s="14" t="s">
        <v>144</v>
      </c>
      <c r="I343" s="14" t="s">
        <v>92</v>
      </c>
      <c r="J343" s="15">
        <v>1387272</v>
      </c>
      <c r="K343" s="14">
        <v>1</v>
      </c>
      <c r="L343" s="14" t="s">
        <v>76</v>
      </c>
      <c r="M343" s="14" t="s">
        <v>75</v>
      </c>
      <c r="N343" s="14" t="s">
        <v>75</v>
      </c>
      <c r="O343" s="14" t="s">
        <v>75</v>
      </c>
      <c r="P343" s="14">
        <v>713</v>
      </c>
      <c r="Q343" s="15">
        <v>197253.27</v>
      </c>
      <c r="R343" s="15">
        <v>4326.37</v>
      </c>
      <c r="S343" s="14" t="s">
        <v>21</v>
      </c>
      <c r="T343" s="15">
        <v>5701436</v>
      </c>
      <c r="U343" s="16">
        <f t="shared" si="55"/>
        <v>3.7423403629569404E-2</v>
      </c>
      <c r="V343" s="14">
        <v>0</v>
      </c>
      <c r="W343" s="17">
        <v>15.1</v>
      </c>
      <c r="X343" s="14">
        <v>14</v>
      </c>
      <c r="Y343" s="18">
        <f t="shared" si="56"/>
        <v>15.1</v>
      </c>
      <c r="Z343" s="18" t="str">
        <f t="shared" si="57"/>
        <v>Low</v>
      </c>
      <c r="AA343" s="19" t="str">
        <f t="shared" si="58"/>
        <v>Eligible</v>
      </c>
      <c r="AB343" s="14" t="s">
        <v>85</v>
      </c>
      <c r="AC343" s="14">
        <v>2</v>
      </c>
      <c r="AD343" s="14" t="s">
        <v>194</v>
      </c>
      <c r="AE343" s="17">
        <v>24.3</v>
      </c>
      <c r="AF343" s="15">
        <v>0</v>
      </c>
      <c r="AG343" s="20">
        <f t="shared" si="59"/>
        <v>1387272</v>
      </c>
      <c r="AH343" s="14">
        <v>0</v>
      </c>
      <c r="AI343" s="14" t="s">
        <v>76</v>
      </c>
      <c r="AJ343" s="14">
        <v>24</v>
      </c>
      <c r="AK343" s="21">
        <f t="shared" si="60"/>
        <v>0.14000000000000001</v>
      </c>
      <c r="AL343" s="20">
        <f t="shared" si="61"/>
        <v>273742.38113018568</v>
      </c>
      <c r="AM343" s="22">
        <f t="shared" si="62"/>
        <v>4.1098184061957568</v>
      </c>
      <c r="AN343" s="20">
        <f t="shared" si="63"/>
        <v>278068.75113018567</v>
      </c>
      <c r="AO343" s="16">
        <f t="shared" si="64"/>
        <v>2.4053141803209668</v>
      </c>
      <c r="AP343" s="15">
        <v>0</v>
      </c>
      <c r="AQ343" s="18" t="str">
        <f t="shared" si="65"/>
        <v>N/A</v>
      </c>
      <c r="AR343" s="23">
        <v>46091</v>
      </c>
      <c r="AS343" s="14" t="s">
        <v>79</v>
      </c>
    </row>
    <row r="344" spans="1:45" x14ac:dyDescent="0.25">
      <c r="A344" s="14" t="s">
        <v>1190</v>
      </c>
      <c r="B344" s="14" t="s">
        <v>1191</v>
      </c>
      <c r="C344" s="14"/>
      <c r="D344" s="15" t="s">
        <v>1198</v>
      </c>
      <c r="E344" s="14">
        <v>37</v>
      </c>
      <c r="F344" s="14" t="s">
        <v>71</v>
      </c>
      <c r="G344" s="14" t="s">
        <v>90</v>
      </c>
      <c r="H344" s="14" t="s">
        <v>73</v>
      </c>
      <c r="I344" s="14" t="s">
        <v>74</v>
      </c>
      <c r="J344" s="15">
        <v>2151904</v>
      </c>
      <c r="K344" s="14">
        <v>0</v>
      </c>
      <c r="L344" s="14" t="s">
        <v>75</v>
      </c>
      <c r="M344" s="14" t="s">
        <v>75</v>
      </c>
      <c r="N344" s="14" t="s">
        <v>75</v>
      </c>
      <c r="O344" s="14" t="s">
        <v>75</v>
      </c>
      <c r="P344" s="14">
        <v>628</v>
      </c>
      <c r="Q344" s="15">
        <v>180247.95</v>
      </c>
      <c r="R344" s="15">
        <v>579.19000000000005</v>
      </c>
      <c r="S344" s="14" t="s">
        <v>23</v>
      </c>
      <c r="T344" s="15"/>
      <c r="U344" s="16">
        <f t="shared" si="55"/>
        <v>3.2298280964206585E-3</v>
      </c>
      <c r="V344" s="14">
        <v>8</v>
      </c>
      <c r="W344" s="17">
        <v>59.5</v>
      </c>
      <c r="X344" s="14">
        <v>3.2</v>
      </c>
      <c r="Y344" s="18">
        <f t="shared" si="56"/>
        <v>44.2</v>
      </c>
      <c r="Z344" s="18" t="str">
        <f t="shared" si="57"/>
        <v>Medium</v>
      </c>
      <c r="AA344" s="19" t="str">
        <f t="shared" si="58"/>
        <v>Not Eligible</v>
      </c>
      <c r="AB344" s="14" t="s">
        <v>85</v>
      </c>
      <c r="AC344" s="14">
        <v>1</v>
      </c>
      <c r="AD344" s="14" t="s">
        <v>78</v>
      </c>
      <c r="AE344" s="17">
        <v>3.5</v>
      </c>
      <c r="AF344" s="15">
        <v>760378</v>
      </c>
      <c r="AG344" s="20">
        <f t="shared" si="59"/>
        <v>2912282</v>
      </c>
      <c r="AH344" s="14">
        <v>2</v>
      </c>
      <c r="AI344" s="14" t="s">
        <v>75</v>
      </c>
      <c r="AJ344" s="14">
        <v>360</v>
      </c>
      <c r="AK344" s="21">
        <f t="shared" si="60"/>
        <v>0.1</v>
      </c>
      <c r="AL344" s="20">
        <f t="shared" si="61"/>
        <v>0</v>
      </c>
      <c r="AM344" s="22">
        <f t="shared" si="62"/>
        <v>0</v>
      </c>
      <c r="AN344" s="20">
        <f t="shared" si="63"/>
        <v>579.19000000000005</v>
      </c>
      <c r="AO344" s="16">
        <f t="shared" si="64"/>
        <v>3.2298280964206585E-3</v>
      </c>
      <c r="AP344" s="15">
        <v>3025991</v>
      </c>
      <c r="AQ344" s="18">
        <f t="shared" si="65"/>
        <v>0</v>
      </c>
      <c r="AR344" s="23">
        <v>46237</v>
      </c>
      <c r="AS344" s="14" t="s">
        <v>79</v>
      </c>
    </row>
    <row r="345" spans="1:45" x14ac:dyDescent="0.25">
      <c r="A345" s="14" t="s">
        <v>1193</v>
      </c>
      <c r="B345" s="14" t="s">
        <v>1194</v>
      </c>
      <c r="C345" s="14">
        <v>9629950772</v>
      </c>
      <c r="D345" s="15"/>
      <c r="E345" s="14">
        <v>44</v>
      </c>
      <c r="F345" s="14" t="s">
        <v>89</v>
      </c>
      <c r="G345" s="14" t="s">
        <v>83</v>
      </c>
      <c r="H345" s="14" t="s">
        <v>73</v>
      </c>
      <c r="I345" s="14" t="s">
        <v>74</v>
      </c>
      <c r="J345" s="15">
        <v>1729046</v>
      </c>
      <c r="K345" s="14">
        <v>1</v>
      </c>
      <c r="L345" s="14" t="s">
        <v>76</v>
      </c>
      <c r="M345" s="14" t="s">
        <v>75</v>
      </c>
      <c r="N345" s="14" t="s">
        <v>75</v>
      </c>
      <c r="O345" s="14" t="s">
        <v>75</v>
      </c>
      <c r="P345" s="14">
        <v>808</v>
      </c>
      <c r="Q345" s="15"/>
      <c r="R345" s="15">
        <v>7890.13</v>
      </c>
      <c r="S345" s="14" t="s">
        <v>23</v>
      </c>
      <c r="T345" s="15">
        <v>38664</v>
      </c>
      <c r="U345" s="16">
        <f t="shared" si="55"/>
        <v>5.4759422247875417E-2</v>
      </c>
      <c r="V345" s="14">
        <v>0</v>
      </c>
      <c r="W345" s="17">
        <v>63.8</v>
      </c>
      <c r="X345" s="14">
        <v>8.5</v>
      </c>
      <c r="Y345" s="18">
        <f t="shared" si="56"/>
        <v>14.2</v>
      </c>
      <c r="Z345" s="18" t="str">
        <f t="shared" si="57"/>
        <v>Low</v>
      </c>
      <c r="AA345" s="19" t="str">
        <f t="shared" si="58"/>
        <v>Eligible</v>
      </c>
      <c r="AB345" s="14" t="s">
        <v>85</v>
      </c>
      <c r="AC345" s="14">
        <v>0</v>
      </c>
      <c r="AD345" s="14" t="s">
        <v>78</v>
      </c>
      <c r="AE345" s="17">
        <v>8.8000000000000007</v>
      </c>
      <c r="AF345" s="15">
        <v>208608</v>
      </c>
      <c r="AG345" s="20">
        <f t="shared" si="59"/>
        <v>1937654</v>
      </c>
      <c r="AH345" s="14">
        <v>1</v>
      </c>
      <c r="AI345" s="14" t="s">
        <v>75</v>
      </c>
      <c r="AJ345" s="14">
        <v>120</v>
      </c>
      <c r="AK345" s="21">
        <f t="shared" si="60"/>
        <v>8.5000000000000006E-2</v>
      </c>
      <c r="AL345" s="20">
        <f t="shared" si="61"/>
        <v>479.37826746440987</v>
      </c>
      <c r="AM345" s="22">
        <f t="shared" si="62"/>
        <v>2.2361464067468417E-2</v>
      </c>
      <c r="AN345" s="20">
        <f t="shared" si="63"/>
        <v>8369.5082674644109</v>
      </c>
      <c r="AO345" s="16">
        <f t="shared" si="64"/>
        <v>5.8086424079852664E-2</v>
      </c>
      <c r="AP345" s="15">
        <v>7267495</v>
      </c>
      <c r="AQ345" s="18">
        <f t="shared" si="65"/>
        <v>5.320127499227726E-3</v>
      </c>
      <c r="AR345" s="23">
        <v>45921</v>
      </c>
      <c r="AS345" s="14" t="s">
        <v>79</v>
      </c>
    </row>
    <row r="346" spans="1:45" x14ac:dyDescent="0.25">
      <c r="A346" s="14" t="s">
        <v>1196</v>
      </c>
      <c r="B346" s="14" t="s">
        <v>1197</v>
      </c>
      <c r="C346" s="14"/>
      <c r="D346" s="15" t="s">
        <v>1203</v>
      </c>
      <c r="E346" s="14">
        <v>37</v>
      </c>
      <c r="F346" s="14" t="s">
        <v>89</v>
      </c>
      <c r="G346" s="14" t="s">
        <v>106</v>
      </c>
      <c r="H346" s="14" t="s">
        <v>73</v>
      </c>
      <c r="I346" s="14" t="s">
        <v>74</v>
      </c>
      <c r="J346" s="15">
        <v>962125</v>
      </c>
      <c r="K346" s="14">
        <v>1</v>
      </c>
      <c r="L346" s="14" t="s">
        <v>75</v>
      </c>
      <c r="M346" s="14" t="s">
        <v>76</v>
      </c>
      <c r="N346" s="14" t="s">
        <v>75</v>
      </c>
      <c r="O346" s="14" t="s">
        <v>75</v>
      </c>
      <c r="P346" s="14">
        <v>812</v>
      </c>
      <c r="Q346" s="15">
        <v>133252</v>
      </c>
      <c r="R346" s="15">
        <v>3534.27</v>
      </c>
      <c r="S346" s="14" t="s">
        <v>20</v>
      </c>
      <c r="T346" s="15">
        <v>1037755</v>
      </c>
      <c r="U346" s="16">
        <f t="shared" si="55"/>
        <v>4.4080800311809797E-2</v>
      </c>
      <c r="V346" s="14">
        <v>2</v>
      </c>
      <c r="W346" s="17">
        <v>15.5</v>
      </c>
      <c r="X346" s="14">
        <v>7.2</v>
      </c>
      <c r="Y346" s="18">
        <f t="shared" si="56"/>
        <v>16.7</v>
      </c>
      <c r="Z346" s="18" t="str">
        <f t="shared" si="57"/>
        <v>Low</v>
      </c>
      <c r="AA346" s="19" t="str">
        <f t="shared" si="58"/>
        <v>Eligible</v>
      </c>
      <c r="AB346" s="14" t="s">
        <v>77</v>
      </c>
      <c r="AC346" s="14">
        <v>1</v>
      </c>
      <c r="AD346" s="14" t="s">
        <v>78</v>
      </c>
      <c r="AE346" s="17">
        <v>5.6</v>
      </c>
      <c r="AF346" s="15">
        <v>400906</v>
      </c>
      <c r="AG346" s="20">
        <f t="shared" si="59"/>
        <v>1363031</v>
      </c>
      <c r="AH346" s="14">
        <v>1</v>
      </c>
      <c r="AI346" s="14" t="s">
        <v>75</v>
      </c>
      <c r="AJ346" s="14">
        <v>24</v>
      </c>
      <c r="AK346" s="21">
        <f t="shared" si="60"/>
        <v>0.36</v>
      </c>
      <c r="AL346" s="20">
        <f t="shared" si="61"/>
        <v>61276.75113812324</v>
      </c>
      <c r="AM346" s="22">
        <f t="shared" si="62"/>
        <v>1.0786072495777577</v>
      </c>
      <c r="AN346" s="20">
        <f t="shared" si="63"/>
        <v>64811.021138123237</v>
      </c>
      <c r="AO346" s="16">
        <f t="shared" si="64"/>
        <v>0.8083484512485164</v>
      </c>
      <c r="AP346" s="15">
        <v>0</v>
      </c>
      <c r="AQ346" s="18" t="str">
        <f t="shared" si="65"/>
        <v>N/A</v>
      </c>
      <c r="AR346" s="23">
        <v>46234</v>
      </c>
      <c r="AS346" s="14" t="s">
        <v>79</v>
      </c>
    </row>
    <row r="347" spans="1:45" x14ac:dyDescent="0.25">
      <c r="A347" s="14" t="s">
        <v>1199</v>
      </c>
      <c r="B347" s="14" t="s">
        <v>1200</v>
      </c>
      <c r="C347" s="14">
        <v>9236060156</v>
      </c>
      <c r="D347" s="15"/>
      <c r="E347" s="14">
        <v>60</v>
      </c>
      <c r="F347" s="14" t="s">
        <v>71</v>
      </c>
      <c r="G347" s="14" t="s">
        <v>106</v>
      </c>
      <c r="H347" s="14" t="s">
        <v>73</v>
      </c>
      <c r="I347" s="14" t="s">
        <v>74</v>
      </c>
      <c r="J347" s="15">
        <v>2045837</v>
      </c>
      <c r="K347" s="14">
        <v>1</v>
      </c>
      <c r="L347" s="14" t="s">
        <v>75</v>
      </c>
      <c r="M347" s="14" t="s">
        <v>75</v>
      </c>
      <c r="N347" s="14" t="s">
        <v>76</v>
      </c>
      <c r="O347" s="14" t="s">
        <v>75</v>
      </c>
      <c r="P347" s="14">
        <v>432</v>
      </c>
      <c r="Q347" s="15">
        <v>60695</v>
      </c>
      <c r="R347" s="15">
        <v>23717.83</v>
      </c>
      <c r="S347" s="14" t="s">
        <v>20</v>
      </c>
      <c r="T347" s="15">
        <v>568970</v>
      </c>
      <c r="U347" s="16">
        <f t="shared" si="55"/>
        <v>0.13911859058175213</v>
      </c>
      <c r="V347" s="14">
        <v>1</v>
      </c>
      <c r="W347" s="17">
        <v>26.4</v>
      </c>
      <c r="X347" s="14">
        <v>5.4</v>
      </c>
      <c r="Y347" s="18">
        <f t="shared" si="56"/>
        <v>42</v>
      </c>
      <c r="Z347" s="18" t="str">
        <f t="shared" si="57"/>
        <v>Medium</v>
      </c>
      <c r="AA347" s="19" t="str">
        <f t="shared" si="58"/>
        <v>Not Eligible</v>
      </c>
      <c r="AB347" s="14" t="s">
        <v>85</v>
      </c>
      <c r="AC347" s="14">
        <v>2</v>
      </c>
      <c r="AD347" s="14" t="s">
        <v>93</v>
      </c>
      <c r="AE347" s="17">
        <v>7.1</v>
      </c>
      <c r="AF347" s="15">
        <v>0</v>
      </c>
      <c r="AG347" s="20">
        <f t="shared" si="59"/>
        <v>2045837</v>
      </c>
      <c r="AH347" s="14">
        <v>0</v>
      </c>
      <c r="AI347" s="14" t="s">
        <v>75</v>
      </c>
      <c r="AJ347" s="14">
        <v>18</v>
      </c>
      <c r="AK347" s="21">
        <f t="shared" si="60"/>
        <v>0.375</v>
      </c>
      <c r="AL347" s="20">
        <f t="shared" si="61"/>
        <v>41807.493874227112</v>
      </c>
      <c r="AM347" s="22">
        <f t="shared" si="62"/>
        <v>0.27811111051369197</v>
      </c>
      <c r="AN347" s="20">
        <f t="shared" si="63"/>
        <v>65525.323874227113</v>
      </c>
      <c r="AO347" s="16">
        <f t="shared" si="64"/>
        <v>0.38434336972629068</v>
      </c>
      <c r="AP347" s="15">
        <v>0</v>
      </c>
      <c r="AQ347" s="18" t="str">
        <f t="shared" si="65"/>
        <v>N/A</v>
      </c>
      <c r="AR347" s="23">
        <v>46168</v>
      </c>
      <c r="AS347" s="14" t="s">
        <v>79</v>
      </c>
    </row>
    <row r="348" spans="1:45" x14ac:dyDescent="0.25">
      <c r="A348" s="14" t="s">
        <v>1201</v>
      </c>
      <c r="B348" s="14" t="s">
        <v>1202</v>
      </c>
      <c r="C348" s="14">
        <v>9157979408</v>
      </c>
      <c r="D348" s="15"/>
      <c r="E348" s="14">
        <v>56</v>
      </c>
      <c r="F348" s="14" t="s">
        <v>89</v>
      </c>
      <c r="G348" s="14" t="s">
        <v>90</v>
      </c>
      <c r="H348" s="14" t="s">
        <v>99</v>
      </c>
      <c r="I348" s="14" t="s">
        <v>74</v>
      </c>
      <c r="J348" s="15">
        <v>1882208</v>
      </c>
      <c r="K348" s="14">
        <v>1</v>
      </c>
      <c r="L348" s="14" t="s">
        <v>75</v>
      </c>
      <c r="M348" s="14" t="s">
        <v>75</v>
      </c>
      <c r="N348" s="14" t="s">
        <v>75</v>
      </c>
      <c r="O348" s="14" t="s">
        <v>76</v>
      </c>
      <c r="P348" s="14">
        <v>748</v>
      </c>
      <c r="Q348" s="15"/>
      <c r="R348" s="15">
        <v>2612.7800000000002</v>
      </c>
      <c r="S348" s="14" t="s">
        <v>22</v>
      </c>
      <c r="T348" s="15"/>
      <c r="U348" s="16">
        <f t="shared" si="55"/>
        <v>1.665775514714633E-2</v>
      </c>
      <c r="V348" s="14">
        <v>0</v>
      </c>
      <c r="W348" s="17">
        <v>46.5</v>
      </c>
      <c r="X348" s="14">
        <v>1.1000000000000001</v>
      </c>
      <c r="Y348" s="18">
        <f t="shared" si="56"/>
        <v>15.3</v>
      </c>
      <c r="Z348" s="18" t="str">
        <f t="shared" si="57"/>
        <v>Low</v>
      </c>
      <c r="AA348" s="19" t="str">
        <f t="shared" si="58"/>
        <v>Eligible</v>
      </c>
      <c r="AB348" s="14" t="s">
        <v>85</v>
      </c>
      <c r="AC348" s="14">
        <v>2</v>
      </c>
      <c r="AD348" s="14" t="s">
        <v>78</v>
      </c>
      <c r="AE348" s="17">
        <v>22.5</v>
      </c>
      <c r="AF348" s="15">
        <v>0</v>
      </c>
      <c r="AG348" s="20">
        <f t="shared" si="59"/>
        <v>1882208</v>
      </c>
      <c r="AH348" s="14">
        <v>1</v>
      </c>
      <c r="AI348" s="14" t="s">
        <v>75</v>
      </c>
      <c r="AJ348" s="14">
        <v>24</v>
      </c>
      <c r="AK348" s="21">
        <f t="shared" si="60"/>
        <v>0.09</v>
      </c>
      <c r="AL348" s="20">
        <f t="shared" si="61"/>
        <v>0</v>
      </c>
      <c r="AM348" s="22">
        <f t="shared" si="62"/>
        <v>0</v>
      </c>
      <c r="AN348" s="20">
        <f t="shared" si="63"/>
        <v>2612.7800000000002</v>
      </c>
      <c r="AO348" s="16">
        <f t="shared" si="64"/>
        <v>1.665775514714633E-2</v>
      </c>
      <c r="AP348" s="15">
        <v>1270888</v>
      </c>
      <c r="AQ348" s="18">
        <f t="shared" si="65"/>
        <v>0</v>
      </c>
      <c r="AR348" s="23">
        <v>46022</v>
      </c>
      <c r="AS348" s="14" t="s">
        <v>79</v>
      </c>
    </row>
    <row r="349" spans="1:45" x14ac:dyDescent="0.25">
      <c r="A349" s="14" t="s">
        <v>1204</v>
      </c>
      <c r="B349" s="14" t="s">
        <v>1205</v>
      </c>
      <c r="C349" s="14">
        <v>9510800934</v>
      </c>
      <c r="D349" s="15" t="s">
        <v>1211</v>
      </c>
      <c r="E349" s="14">
        <v>39</v>
      </c>
      <c r="F349" s="14" t="s">
        <v>71</v>
      </c>
      <c r="G349" s="14" t="s">
        <v>226</v>
      </c>
      <c r="H349" s="14" t="s">
        <v>103</v>
      </c>
      <c r="I349" s="14" t="s">
        <v>74</v>
      </c>
      <c r="J349" s="15">
        <v>1324435</v>
      </c>
      <c r="K349" s="14">
        <v>1</v>
      </c>
      <c r="L349" s="14" t="s">
        <v>75</v>
      </c>
      <c r="M349" s="14" t="s">
        <v>76</v>
      </c>
      <c r="N349" s="14" t="s">
        <v>75</v>
      </c>
      <c r="O349" s="14" t="s">
        <v>75</v>
      </c>
      <c r="P349" s="14">
        <v>378</v>
      </c>
      <c r="Q349" s="15">
        <v>603689.53</v>
      </c>
      <c r="R349" s="15">
        <v>1319.45</v>
      </c>
      <c r="S349" s="14" t="s">
        <v>21</v>
      </c>
      <c r="T349" s="15">
        <v>850571</v>
      </c>
      <c r="U349" s="16">
        <f t="shared" si="55"/>
        <v>1.1954833570541402E-2</v>
      </c>
      <c r="V349" s="14">
        <v>2</v>
      </c>
      <c r="W349" s="17">
        <v>82.3</v>
      </c>
      <c r="X349" s="14">
        <v>13.5</v>
      </c>
      <c r="Y349" s="18">
        <f t="shared" si="56"/>
        <v>51.4</v>
      </c>
      <c r="Z349" s="18" t="str">
        <f t="shared" si="57"/>
        <v>Medium</v>
      </c>
      <c r="AA349" s="19" t="str">
        <f t="shared" si="58"/>
        <v>Not Eligible</v>
      </c>
      <c r="AB349" s="14" t="s">
        <v>77</v>
      </c>
      <c r="AC349" s="14">
        <v>1</v>
      </c>
      <c r="AD349" s="14" t="s">
        <v>78</v>
      </c>
      <c r="AE349" s="17">
        <v>6.8</v>
      </c>
      <c r="AF349" s="15">
        <v>0</v>
      </c>
      <c r="AG349" s="20">
        <f t="shared" si="59"/>
        <v>1324435</v>
      </c>
      <c r="AH349" s="14">
        <v>2</v>
      </c>
      <c r="AI349" s="14" t="s">
        <v>75</v>
      </c>
      <c r="AJ349" s="14">
        <v>36</v>
      </c>
      <c r="AK349" s="21">
        <f t="shared" si="60"/>
        <v>0.15500000000000003</v>
      </c>
      <c r="AL349" s="20">
        <f t="shared" si="61"/>
        <v>29694.012867389567</v>
      </c>
      <c r="AM349" s="22">
        <f t="shared" si="62"/>
        <v>0.64221422719876775</v>
      </c>
      <c r="AN349" s="20">
        <f t="shared" si="63"/>
        <v>31013.462867389568</v>
      </c>
      <c r="AO349" s="16">
        <f t="shared" si="64"/>
        <v>0.28099646597128197</v>
      </c>
      <c r="AP349" s="15">
        <v>0</v>
      </c>
      <c r="AQ349" s="18" t="str">
        <f t="shared" si="65"/>
        <v>N/A</v>
      </c>
      <c r="AR349" s="23">
        <v>46058</v>
      </c>
      <c r="AS349" s="14" t="s">
        <v>79</v>
      </c>
    </row>
    <row r="350" spans="1:45" x14ac:dyDescent="0.25">
      <c r="A350" s="14" t="s">
        <v>1207</v>
      </c>
      <c r="B350" s="14" t="s">
        <v>1208</v>
      </c>
      <c r="C350" s="14">
        <v>9555089389</v>
      </c>
      <c r="D350" s="15" t="s">
        <v>1215</v>
      </c>
      <c r="E350" s="14">
        <v>60</v>
      </c>
      <c r="F350" s="14" t="s">
        <v>89</v>
      </c>
      <c r="G350" s="14" t="s">
        <v>215</v>
      </c>
      <c r="H350" s="14" t="s">
        <v>73</v>
      </c>
      <c r="I350" s="14" t="s">
        <v>74</v>
      </c>
      <c r="J350" s="15">
        <v>1153771</v>
      </c>
      <c r="K350" s="14">
        <v>0</v>
      </c>
      <c r="L350" s="14" t="s">
        <v>75</v>
      </c>
      <c r="M350" s="14" t="s">
        <v>75</v>
      </c>
      <c r="N350" s="14" t="s">
        <v>75</v>
      </c>
      <c r="O350" s="14" t="s">
        <v>75</v>
      </c>
      <c r="P350" s="14">
        <v>866</v>
      </c>
      <c r="Q350" s="15">
        <v>115995</v>
      </c>
      <c r="R350" s="15">
        <v>694.8</v>
      </c>
      <c r="S350" s="14" t="s">
        <v>21</v>
      </c>
      <c r="T350" s="15">
        <v>1007856</v>
      </c>
      <c r="U350" s="16">
        <f t="shared" si="55"/>
        <v>7.2263906789128852E-3</v>
      </c>
      <c r="V350" s="14">
        <v>8</v>
      </c>
      <c r="W350" s="17">
        <v>71.3</v>
      </c>
      <c r="X350" s="14">
        <v>9.8000000000000007</v>
      </c>
      <c r="Y350" s="18">
        <f t="shared" si="56"/>
        <v>29.6</v>
      </c>
      <c r="Z350" s="18" t="str">
        <f t="shared" si="57"/>
        <v>Low</v>
      </c>
      <c r="AA350" s="19" t="str">
        <f t="shared" si="58"/>
        <v>Not Eligible</v>
      </c>
      <c r="AB350" s="14" t="s">
        <v>85</v>
      </c>
      <c r="AC350" s="14">
        <v>0</v>
      </c>
      <c r="AD350" s="14" t="s">
        <v>93</v>
      </c>
      <c r="AE350" s="17">
        <v>1.3</v>
      </c>
      <c r="AF350" s="15">
        <v>438132</v>
      </c>
      <c r="AG350" s="20">
        <f t="shared" si="59"/>
        <v>1591903</v>
      </c>
      <c r="AH350" s="14">
        <v>2</v>
      </c>
      <c r="AI350" s="14" t="s">
        <v>75</v>
      </c>
      <c r="AJ350" s="14">
        <v>36</v>
      </c>
      <c r="AK350" s="21">
        <f t="shared" si="60"/>
        <v>0.14000000000000001</v>
      </c>
      <c r="AL350" s="20">
        <f t="shared" si="61"/>
        <v>34446.129217404668</v>
      </c>
      <c r="AM350" s="22">
        <f t="shared" si="62"/>
        <v>0.87353209605718984</v>
      </c>
      <c r="AN350" s="20">
        <f t="shared" si="63"/>
        <v>35140.929217404671</v>
      </c>
      <c r="AO350" s="16">
        <f t="shared" si="64"/>
        <v>0.3654894694084494</v>
      </c>
      <c r="AP350" s="15">
        <v>0</v>
      </c>
      <c r="AQ350" s="18" t="str">
        <f t="shared" si="65"/>
        <v>N/A</v>
      </c>
      <c r="AR350" s="23">
        <v>46207</v>
      </c>
      <c r="AS350" s="14" t="s">
        <v>79</v>
      </c>
    </row>
    <row r="351" spans="1:45" x14ac:dyDescent="0.25">
      <c r="A351" s="14" t="s">
        <v>1210</v>
      </c>
      <c r="B351" s="14" t="s">
        <v>741</v>
      </c>
      <c r="C351" s="14">
        <v>9485176589</v>
      </c>
      <c r="D351" s="15" t="s">
        <v>1219</v>
      </c>
      <c r="E351" s="14">
        <v>23</v>
      </c>
      <c r="F351" s="14" t="s">
        <v>71</v>
      </c>
      <c r="G351" s="14" t="s">
        <v>388</v>
      </c>
      <c r="H351" s="14" t="s">
        <v>99</v>
      </c>
      <c r="I351" s="14" t="s">
        <v>74</v>
      </c>
      <c r="J351" s="15">
        <v>1073542</v>
      </c>
      <c r="K351" s="14">
        <v>1</v>
      </c>
      <c r="L351" s="14" t="s">
        <v>75</v>
      </c>
      <c r="M351" s="14" t="s">
        <v>75</v>
      </c>
      <c r="N351" s="14" t="s">
        <v>75</v>
      </c>
      <c r="O351" s="14" t="s">
        <v>76</v>
      </c>
      <c r="P351" s="14">
        <v>656</v>
      </c>
      <c r="Q351" s="15">
        <v>111794.09</v>
      </c>
      <c r="R351" s="15">
        <v>12073.79</v>
      </c>
      <c r="S351" s="14" t="s">
        <v>22</v>
      </c>
      <c r="T351" s="15">
        <v>1337941</v>
      </c>
      <c r="U351" s="16">
        <f t="shared" si="55"/>
        <v>0.13496023443889482</v>
      </c>
      <c r="V351" s="14">
        <v>3</v>
      </c>
      <c r="W351" s="17">
        <v>61.1</v>
      </c>
      <c r="X351" s="14">
        <v>11.4</v>
      </c>
      <c r="Y351" s="18">
        <f t="shared" si="56"/>
        <v>38.4</v>
      </c>
      <c r="Z351" s="18" t="str">
        <f t="shared" si="57"/>
        <v>Medium</v>
      </c>
      <c r="AA351" s="19" t="str">
        <f t="shared" si="58"/>
        <v>Review</v>
      </c>
      <c r="AB351" s="14" t="s">
        <v>85</v>
      </c>
      <c r="AC351" s="14">
        <v>3</v>
      </c>
      <c r="AD351" s="14" t="s">
        <v>78</v>
      </c>
      <c r="AE351" s="17">
        <v>1</v>
      </c>
      <c r="AF351" s="15">
        <v>0</v>
      </c>
      <c r="AG351" s="20">
        <f t="shared" si="59"/>
        <v>1073542</v>
      </c>
      <c r="AH351" s="14">
        <v>1</v>
      </c>
      <c r="AI351" s="14" t="s">
        <v>75</v>
      </c>
      <c r="AJ351" s="14">
        <v>24</v>
      </c>
      <c r="AK351" s="21">
        <f t="shared" si="60"/>
        <v>0.105</v>
      </c>
      <c r="AL351" s="20">
        <f t="shared" si="61"/>
        <v>62048.407527022537</v>
      </c>
      <c r="AM351" s="22">
        <f t="shared" si="62"/>
        <v>1.2462865914887353</v>
      </c>
      <c r="AN351" s="20">
        <f t="shared" si="63"/>
        <v>74122.197527022538</v>
      </c>
      <c r="AO351" s="16">
        <f t="shared" si="64"/>
        <v>0.82853430077656065</v>
      </c>
      <c r="AP351" s="15">
        <v>987223</v>
      </c>
      <c r="AQ351" s="18">
        <f t="shared" si="65"/>
        <v>1.3552571202251162</v>
      </c>
      <c r="AR351" s="23">
        <v>46242</v>
      </c>
      <c r="AS351" s="14" t="s">
        <v>79</v>
      </c>
    </row>
    <row r="352" spans="1:45" x14ac:dyDescent="0.25">
      <c r="A352" s="14" t="s">
        <v>1212</v>
      </c>
      <c r="B352" s="14" t="s">
        <v>1213</v>
      </c>
      <c r="C352" s="14">
        <v>9376429550</v>
      </c>
      <c r="D352" s="15" t="s">
        <v>1222</v>
      </c>
      <c r="E352" s="14">
        <v>54</v>
      </c>
      <c r="F352" s="14" t="s">
        <v>89</v>
      </c>
      <c r="G352" s="14" t="s">
        <v>98</v>
      </c>
      <c r="H352" s="14" t="s">
        <v>99</v>
      </c>
      <c r="I352" s="14" t="s">
        <v>74</v>
      </c>
      <c r="J352" s="15">
        <v>2260134</v>
      </c>
      <c r="K352" s="14">
        <v>2</v>
      </c>
      <c r="L352" s="14" t="s">
        <v>75</v>
      </c>
      <c r="M352" s="14" t="s">
        <v>75</v>
      </c>
      <c r="N352" s="14" t="s">
        <v>76</v>
      </c>
      <c r="O352" s="14" t="s">
        <v>76</v>
      </c>
      <c r="P352" s="14">
        <v>580</v>
      </c>
      <c r="Q352" s="15">
        <v>259355.87</v>
      </c>
      <c r="R352" s="15">
        <v>4296.1099999999997</v>
      </c>
      <c r="S352" s="14" t="s">
        <v>22</v>
      </c>
      <c r="T352" s="15">
        <v>2098889</v>
      </c>
      <c r="U352" s="16">
        <f t="shared" si="55"/>
        <v>2.2809851097324314E-2</v>
      </c>
      <c r="V352" s="14">
        <v>1</v>
      </c>
      <c r="W352" s="17">
        <v>8.6999999999999993</v>
      </c>
      <c r="X352" s="14">
        <v>4.3</v>
      </c>
      <c r="Y352" s="18">
        <f t="shared" si="56"/>
        <v>26.9</v>
      </c>
      <c r="Z352" s="18" t="str">
        <f t="shared" si="57"/>
        <v>Low</v>
      </c>
      <c r="AA352" s="19" t="str">
        <f t="shared" si="58"/>
        <v>Review</v>
      </c>
      <c r="AB352" s="14" t="s">
        <v>85</v>
      </c>
      <c r="AC352" s="14">
        <v>1</v>
      </c>
      <c r="AD352" s="14" t="s">
        <v>93</v>
      </c>
      <c r="AE352" s="17">
        <v>23.2</v>
      </c>
      <c r="AF352" s="15">
        <v>380171</v>
      </c>
      <c r="AG352" s="20">
        <f t="shared" si="59"/>
        <v>2640305</v>
      </c>
      <c r="AH352" s="14">
        <v>1</v>
      </c>
      <c r="AI352" s="14" t="s">
        <v>75</v>
      </c>
      <c r="AJ352" s="14">
        <v>36</v>
      </c>
      <c r="AK352" s="21">
        <f t="shared" si="60"/>
        <v>0.09</v>
      </c>
      <c r="AL352" s="20">
        <f t="shared" si="61"/>
        <v>66744.109082890238</v>
      </c>
      <c r="AM352" s="22">
        <f t="shared" si="62"/>
        <v>0.92865688494575982</v>
      </c>
      <c r="AN352" s="20">
        <f t="shared" si="63"/>
        <v>71040.219082890238</v>
      </c>
      <c r="AO352" s="16">
        <f t="shared" si="64"/>
        <v>0.37718233918638577</v>
      </c>
      <c r="AP352" s="15">
        <v>1147708</v>
      </c>
      <c r="AQ352" s="18">
        <f t="shared" si="65"/>
        <v>1.8287656790751654</v>
      </c>
      <c r="AR352" s="23">
        <v>45903</v>
      </c>
      <c r="AS352" s="14" t="s">
        <v>79</v>
      </c>
    </row>
    <row r="353" spans="1:45" x14ac:dyDescent="0.25">
      <c r="A353" s="14" t="s">
        <v>1216</v>
      </c>
      <c r="B353" s="14" t="s">
        <v>1217</v>
      </c>
      <c r="C353" s="14"/>
      <c r="D353" s="15" t="s">
        <v>1225</v>
      </c>
      <c r="E353" s="14">
        <v>34</v>
      </c>
      <c r="F353" s="14" t="s">
        <v>89</v>
      </c>
      <c r="G353" s="14" t="s">
        <v>90</v>
      </c>
      <c r="H353" s="14" t="s">
        <v>73</v>
      </c>
      <c r="I353" s="14" t="s">
        <v>74</v>
      </c>
      <c r="J353" s="15">
        <v>1459497</v>
      </c>
      <c r="K353" s="14">
        <v>0</v>
      </c>
      <c r="L353" s="14" t="s">
        <v>75</v>
      </c>
      <c r="M353" s="14" t="s">
        <v>75</v>
      </c>
      <c r="N353" s="14" t="s">
        <v>75</v>
      </c>
      <c r="O353" s="14" t="s">
        <v>75</v>
      </c>
      <c r="P353" s="14">
        <v>564</v>
      </c>
      <c r="Q353" s="15"/>
      <c r="R353" s="15">
        <v>3854.97</v>
      </c>
      <c r="S353" s="14" t="s">
        <v>22</v>
      </c>
      <c r="T353" s="15">
        <v>449601</v>
      </c>
      <c r="U353" s="16">
        <f t="shared" si="55"/>
        <v>3.1695604718611957E-2</v>
      </c>
      <c r="V353" s="14">
        <v>0</v>
      </c>
      <c r="W353" s="17">
        <v>64.900000000000006</v>
      </c>
      <c r="X353" s="14">
        <v>2.4</v>
      </c>
      <c r="Y353" s="18">
        <f t="shared" si="56"/>
        <v>29.8</v>
      </c>
      <c r="Z353" s="18" t="str">
        <f t="shared" si="57"/>
        <v>Low</v>
      </c>
      <c r="AA353" s="19" t="str">
        <f t="shared" si="58"/>
        <v>Review</v>
      </c>
      <c r="AB353" s="14" t="s">
        <v>77</v>
      </c>
      <c r="AC353" s="14">
        <v>0</v>
      </c>
      <c r="AD353" s="14" t="s">
        <v>78</v>
      </c>
      <c r="AE353" s="17">
        <v>0.8</v>
      </c>
      <c r="AF353" s="15">
        <v>0</v>
      </c>
      <c r="AG353" s="20">
        <f t="shared" si="59"/>
        <v>1459497</v>
      </c>
      <c r="AH353" s="14">
        <v>2</v>
      </c>
      <c r="AI353" s="14" t="s">
        <v>75</v>
      </c>
      <c r="AJ353" s="14">
        <v>24</v>
      </c>
      <c r="AK353" s="21">
        <f t="shared" si="60"/>
        <v>0.09</v>
      </c>
      <c r="AL353" s="20">
        <f t="shared" si="61"/>
        <v>20539.905813458503</v>
      </c>
      <c r="AM353" s="22">
        <f t="shared" si="62"/>
        <v>0.30805202066191295</v>
      </c>
      <c r="AN353" s="20">
        <f t="shared" si="63"/>
        <v>24394.875813458504</v>
      </c>
      <c r="AO353" s="16">
        <f t="shared" si="64"/>
        <v>0.20057493078882796</v>
      </c>
      <c r="AP353" s="15">
        <v>1552923</v>
      </c>
      <c r="AQ353" s="18">
        <f t="shared" si="65"/>
        <v>0.28951918414499622</v>
      </c>
      <c r="AR353" s="23">
        <v>46011</v>
      </c>
      <c r="AS353" s="14" t="s">
        <v>79</v>
      </c>
    </row>
    <row r="354" spans="1:45" x14ac:dyDescent="0.25">
      <c r="A354" s="14" t="s">
        <v>1220</v>
      </c>
      <c r="B354" s="14" t="s">
        <v>1221</v>
      </c>
      <c r="C354" s="14">
        <v>9807808200</v>
      </c>
      <c r="D354" s="15"/>
      <c r="E354" s="14">
        <v>55</v>
      </c>
      <c r="F354" s="14" t="s">
        <v>71</v>
      </c>
      <c r="G354" s="14" t="s">
        <v>131</v>
      </c>
      <c r="H354" s="14" t="s">
        <v>103</v>
      </c>
      <c r="I354" s="14" t="s">
        <v>74</v>
      </c>
      <c r="J354" s="15">
        <v>757864</v>
      </c>
      <c r="K354" s="14">
        <v>1</v>
      </c>
      <c r="L354" s="14" t="s">
        <v>76</v>
      </c>
      <c r="M354" s="14" t="s">
        <v>75</v>
      </c>
      <c r="N354" s="14" t="s">
        <v>75</v>
      </c>
      <c r="O354" s="14" t="s">
        <v>75</v>
      </c>
      <c r="P354" s="14">
        <v>633</v>
      </c>
      <c r="Q354" s="15">
        <v>69704</v>
      </c>
      <c r="R354" s="15">
        <v>4715.5600000000004</v>
      </c>
      <c r="S354" s="14" t="s">
        <v>23</v>
      </c>
      <c r="T354" s="15">
        <v>383369</v>
      </c>
      <c r="U354" s="16">
        <f t="shared" si="55"/>
        <v>7.4666061456936869E-2</v>
      </c>
      <c r="V354" s="14">
        <v>1</v>
      </c>
      <c r="W354" s="17">
        <v>88.2</v>
      </c>
      <c r="X354" s="14">
        <v>2.2999999999999998</v>
      </c>
      <c r="Y354" s="18">
        <f t="shared" si="56"/>
        <v>32.9</v>
      </c>
      <c r="Z354" s="18" t="str">
        <f t="shared" si="57"/>
        <v>Medium</v>
      </c>
      <c r="AA354" s="19" t="str">
        <f t="shared" si="58"/>
        <v>Review</v>
      </c>
      <c r="AB354" s="14" t="s">
        <v>85</v>
      </c>
      <c r="AC354" s="14">
        <v>2</v>
      </c>
      <c r="AD354" s="14" t="s">
        <v>78</v>
      </c>
      <c r="AE354" s="17">
        <v>12.4</v>
      </c>
      <c r="AF354" s="15">
        <v>0</v>
      </c>
      <c r="AG354" s="20">
        <f t="shared" si="59"/>
        <v>757864</v>
      </c>
      <c r="AH354" s="14">
        <v>0</v>
      </c>
      <c r="AI354" s="14" t="s">
        <v>76</v>
      </c>
      <c r="AJ354" s="14">
        <v>360</v>
      </c>
      <c r="AK354" s="21">
        <f t="shared" si="60"/>
        <v>0.1</v>
      </c>
      <c r="AL354" s="20">
        <f t="shared" si="61"/>
        <v>3364.337352533727</v>
      </c>
      <c r="AM354" s="22">
        <f t="shared" si="62"/>
        <v>0.50585461243705998</v>
      </c>
      <c r="AN354" s="20">
        <f t="shared" si="63"/>
        <v>8079.8973525337278</v>
      </c>
      <c r="AO354" s="16">
        <f t="shared" si="64"/>
        <v>0.12793689663370306</v>
      </c>
      <c r="AP354" s="15">
        <v>2430071</v>
      </c>
      <c r="AQ354" s="18">
        <f t="shared" si="65"/>
        <v>0.15776041111556</v>
      </c>
      <c r="AR354" s="23">
        <v>46083</v>
      </c>
      <c r="AS354" s="14" t="s">
        <v>79</v>
      </c>
    </row>
    <row r="355" spans="1:45" x14ac:dyDescent="0.25">
      <c r="A355" s="14" t="s">
        <v>1223</v>
      </c>
      <c r="B355" s="14" t="s">
        <v>1224</v>
      </c>
      <c r="C355" s="14">
        <v>9677260679</v>
      </c>
      <c r="D355" s="15"/>
      <c r="E355" s="14">
        <v>59</v>
      </c>
      <c r="F355" s="14" t="s">
        <v>71</v>
      </c>
      <c r="G355" s="14" t="s">
        <v>226</v>
      </c>
      <c r="H355" s="14" t="s">
        <v>144</v>
      </c>
      <c r="I355" s="14" t="s">
        <v>92</v>
      </c>
      <c r="J355" s="15">
        <v>2431470</v>
      </c>
      <c r="K355" s="14">
        <v>0</v>
      </c>
      <c r="L355" s="14" t="s">
        <v>75</v>
      </c>
      <c r="M355" s="14" t="s">
        <v>75</v>
      </c>
      <c r="N355" s="14" t="s">
        <v>75</v>
      </c>
      <c r="O355" s="14" t="s">
        <v>75</v>
      </c>
      <c r="P355" s="14">
        <v>896</v>
      </c>
      <c r="Q355" s="15">
        <v>513767</v>
      </c>
      <c r="R355" s="15">
        <v>136.66</v>
      </c>
      <c r="S355" s="14" t="s">
        <v>21</v>
      </c>
      <c r="T355" s="15"/>
      <c r="U355" s="16">
        <f t="shared" si="55"/>
        <v>6.744561931670965E-4</v>
      </c>
      <c r="V355" s="14">
        <v>2</v>
      </c>
      <c r="W355" s="17">
        <v>66.7</v>
      </c>
      <c r="X355" s="14">
        <v>14.3</v>
      </c>
      <c r="Y355" s="18">
        <f t="shared" si="56"/>
        <v>15</v>
      </c>
      <c r="Z355" s="18" t="str">
        <f t="shared" si="57"/>
        <v>Low</v>
      </c>
      <c r="AA355" s="19" t="str">
        <f t="shared" si="58"/>
        <v>Eligible</v>
      </c>
      <c r="AB355" s="14" t="s">
        <v>161</v>
      </c>
      <c r="AC355" s="14">
        <v>4</v>
      </c>
      <c r="AD355" s="14" t="s">
        <v>93</v>
      </c>
      <c r="AE355" s="17">
        <v>29.9</v>
      </c>
      <c r="AF355" s="15">
        <v>0</v>
      </c>
      <c r="AG355" s="20">
        <f t="shared" si="59"/>
        <v>2431470</v>
      </c>
      <c r="AH355" s="14">
        <v>1</v>
      </c>
      <c r="AI355" s="14" t="s">
        <v>75</v>
      </c>
      <c r="AJ355" s="14">
        <v>12</v>
      </c>
      <c r="AK355" s="21">
        <f t="shared" si="60"/>
        <v>0.14000000000000001</v>
      </c>
      <c r="AL355" s="20">
        <f t="shared" si="61"/>
        <v>0</v>
      </c>
      <c r="AM355" s="22">
        <f t="shared" si="62"/>
        <v>0</v>
      </c>
      <c r="AN355" s="20">
        <f t="shared" si="63"/>
        <v>136.66</v>
      </c>
      <c r="AO355" s="16">
        <f t="shared" si="64"/>
        <v>6.744561931670965E-4</v>
      </c>
      <c r="AP355" s="15">
        <v>0</v>
      </c>
      <c r="AQ355" s="18" t="str">
        <f t="shared" si="65"/>
        <v>N/A</v>
      </c>
      <c r="AR355" s="23">
        <v>46165</v>
      </c>
      <c r="AS355" s="14" t="s">
        <v>79</v>
      </c>
    </row>
    <row r="356" spans="1:45" x14ac:dyDescent="0.25">
      <c r="A356" s="14" t="s">
        <v>1226</v>
      </c>
      <c r="B356" s="14" t="s">
        <v>634</v>
      </c>
      <c r="C356" s="14"/>
      <c r="D356" s="15" t="s">
        <v>1231</v>
      </c>
      <c r="E356" s="14">
        <v>49</v>
      </c>
      <c r="F356" s="14" t="s">
        <v>89</v>
      </c>
      <c r="G356" s="14" t="s">
        <v>215</v>
      </c>
      <c r="H356" s="14" t="s">
        <v>91</v>
      </c>
      <c r="I356" s="14" t="s">
        <v>92</v>
      </c>
      <c r="J356" s="15">
        <v>1529204</v>
      </c>
      <c r="K356" s="14">
        <v>0</v>
      </c>
      <c r="L356" s="14" t="s">
        <v>75</v>
      </c>
      <c r="M356" s="14" t="s">
        <v>75</v>
      </c>
      <c r="N356" s="14" t="s">
        <v>75</v>
      </c>
      <c r="O356" s="14" t="s">
        <v>75</v>
      </c>
      <c r="P356" s="14">
        <v>536</v>
      </c>
      <c r="Q356" s="15"/>
      <c r="R356" s="15">
        <v>1181.43</v>
      </c>
      <c r="S356" s="14" t="s">
        <v>20</v>
      </c>
      <c r="T356" s="15">
        <v>407316</v>
      </c>
      <c r="U356" s="16">
        <f t="shared" si="55"/>
        <v>9.2709409601335075E-3</v>
      </c>
      <c r="V356" s="14">
        <v>0</v>
      </c>
      <c r="W356" s="17">
        <v>74.599999999999994</v>
      </c>
      <c r="X356" s="14">
        <v>13.2</v>
      </c>
      <c r="Y356" s="18">
        <f t="shared" si="56"/>
        <v>32</v>
      </c>
      <c r="Z356" s="18" t="str">
        <f t="shared" si="57"/>
        <v>Medium</v>
      </c>
      <c r="AA356" s="19" t="str">
        <f t="shared" si="58"/>
        <v>Not Eligible</v>
      </c>
      <c r="AB356" s="14" t="s">
        <v>85</v>
      </c>
      <c r="AC356" s="14">
        <v>1</v>
      </c>
      <c r="AD356" s="14" t="s">
        <v>93</v>
      </c>
      <c r="AE356" s="17">
        <v>25.6</v>
      </c>
      <c r="AF356" s="15">
        <v>0</v>
      </c>
      <c r="AG356" s="20">
        <f t="shared" si="59"/>
        <v>1529204</v>
      </c>
      <c r="AH356" s="14">
        <v>1</v>
      </c>
      <c r="AI356" s="14" t="s">
        <v>75</v>
      </c>
      <c r="AJ356" s="14">
        <v>36</v>
      </c>
      <c r="AK356" s="21">
        <f t="shared" si="60"/>
        <v>0.375</v>
      </c>
      <c r="AL356" s="20">
        <f t="shared" si="61"/>
        <v>19006.216594215985</v>
      </c>
      <c r="AM356" s="22">
        <f t="shared" si="62"/>
        <v>0.2663581837348058</v>
      </c>
      <c r="AN356" s="20">
        <f t="shared" si="63"/>
        <v>20187.646594215985</v>
      </c>
      <c r="AO356" s="16">
        <f t="shared" si="64"/>
        <v>0.15841690129674774</v>
      </c>
      <c r="AP356" s="15">
        <v>0</v>
      </c>
      <c r="AQ356" s="18" t="str">
        <f t="shared" si="65"/>
        <v>N/A</v>
      </c>
      <c r="AR356" s="23">
        <v>46012</v>
      </c>
      <c r="AS356" s="14" t="s">
        <v>79</v>
      </c>
    </row>
    <row r="357" spans="1:45" x14ac:dyDescent="0.25">
      <c r="A357" s="14" t="s">
        <v>1227</v>
      </c>
      <c r="B357" s="14" t="s">
        <v>1228</v>
      </c>
      <c r="C357" s="14"/>
      <c r="D357" s="15" t="s">
        <v>1234</v>
      </c>
      <c r="E357" s="14">
        <v>64</v>
      </c>
      <c r="F357" s="14" t="s">
        <v>71</v>
      </c>
      <c r="G357" s="14" t="s">
        <v>215</v>
      </c>
      <c r="H357" s="14" t="s">
        <v>84</v>
      </c>
      <c r="I357" s="14" t="s">
        <v>74</v>
      </c>
      <c r="J357" s="15">
        <v>1732655</v>
      </c>
      <c r="K357" s="14">
        <v>2</v>
      </c>
      <c r="L357" s="14" t="s">
        <v>76</v>
      </c>
      <c r="M357" s="14" t="s">
        <v>76</v>
      </c>
      <c r="N357" s="14" t="s">
        <v>75</v>
      </c>
      <c r="O357" s="14" t="s">
        <v>75</v>
      </c>
      <c r="P357" s="14">
        <v>889</v>
      </c>
      <c r="Q357" s="15">
        <v>498066.06</v>
      </c>
      <c r="R357" s="15">
        <v>21406.959999999999</v>
      </c>
      <c r="S357" s="14" t="s">
        <v>21</v>
      </c>
      <c r="T357" s="15"/>
      <c r="U357" s="16">
        <f t="shared" si="55"/>
        <v>0.14826005177026008</v>
      </c>
      <c r="V357" s="14">
        <v>1</v>
      </c>
      <c r="W357" s="17">
        <v>20.8</v>
      </c>
      <c r="X357" s="14">
        <v>6.4</v>
      </c>
      <c r="Y357" s="18">
        <f t="shared" si="56"/>
        <v>11.3</v>
      </c>
      <c r="Z357" s="18" t="str">
        <f t="shared" si="57"/>
        <v>Low</v>
      </c>
      <c r="AA357" s="19" t="str">
        <f t="shared" si="58"/>
        <v>Eligible</v>
      </c>
      <c r="AB357" s="14" t="s">
        <v>77</v>
      </c>
      <c r="AC357" s="14">
        <v>2</v>
      </c>
      <c r="AD357" s="14" t="s">
        <v>93</v>
      </c>
      <c r="AE357" s="17">
        <v>3.3</v>
      </c>
      <c r="AF357" s="15">
        <v>0</v>
      </c>
      <c r="AG357" s="20">
        <f t="shared" si="59"/>
        <v>1732655</v>
      </c>
      <c r="AH357" s="14">
        <v>2</v>
      </c>
      <c r="AI357" s="14" t="s">
        <v>75</v>
      </c>
      <c r="AJ357" s="14">
        <v>24</v>
      </c>
      <c r="AK357" s="21">
        <f t="shared" si="60"/>
        <v>0.14000000000000001</v>
      </c>
      <c r="AL357" s="20">
        <f t="shared" si="61"/>
        <v>0</v>
      </c>
      <c r="AM357" s="22">
        <f t="shared" si="62"/>
        <v>0</v>
      </c>
      <c r="AN357" s="20">
        <f t="shared" si="63"/>
        <v>21406.959999999999</v>
      </c>
      <c r="AO357" s="16">
        <f t="shared" si="64"/>
        <v>0.14826005177026008</v>
      </c>
      <c r="AP357" s="15">
        <v>0</v>
      </c>
      <c r="AQ357" s="18" t="str">
        <f t="shared" si="65"/>
        <v>N/A</v>
      </c>
      <c r="AR357" s="23">
        <v>45932</v>
      </c>
      <c r="AS357" s="14" t="s">
        <v>79</v>
      </c>
    </row>
    <row r="358" spans="1:45" x14ac:dyDescent="0.25">
      <c r="A358" s="14" t="s">
        <v>1229</v>
      </c>
      <c r="B358" s="14" t="s">
        <v>1230</v>
      </c>
      <c r="C358" s="14">
        <v>9571283271</v>
      </c>
      <c r="D358" s="15" t="s">
        <v>1238</v>
      </c>
      <c r="E358" s="14">
        <v>43</v>
      </c>
      <c r="F358" s="14" t="s">
        <v>71</v>
      </c>
      <c r="G358" s="14" t="s">
        <v>153</v>
      </c>
      <c r="H358" s="14" t="s">
        <v>144</v>
      </c>
      <c r="I358" s="14" t="s">
        <v>92</v>
      </c>
      <c r="J358" s="15">
        <v>1312651</v>
      </c>
      <c r="K358" s="14">
        <v>1</v>
      </c>
      <c r="L358" s="14" t="s">
        <v>75</v>
      </c>
      <c r="M358" s="14" t="s">
        <v>76</v>
      </c>
      <c r="N358" s="14" t="s">
        <v>75</v>
      </c>
      <c r="O358" s="14" t="s">
        <v>75</v>
      </c>
      <c r="P358" s="14">
        <v>410</v>
      </c>
      <c r="Q358" s="15">
        <v>527297.72</v>
      </c>
      <c r="R358" s="15">
        <v>55926.48</v>
      </c>
      <c r="S358" s="14" t="s">
        <v>20</v>
      </c>
      <c r="T358" s="15">
        <v>56988</v>
      </c>
      <c r="U358" s="16">
        <f t="shared" si="55"/>
        <v>0.51126899686207528</v>
      </c>
      <c r="V358" s="14">
        <v>5</v>
      </c>
      <c r="W358" s="17">
        <v>95.2</v>
      </c>
      <c r="X358" s="14">
        <v>13.7</v>
      </c>
      <c r="Y358" s="18">
        <f t="shared" si="56"/>
        <v>77.5</v>
      </c>
      <c r="Z358" s="18" t="str">
        <f t="shared" si="57"/>
        <v>High</v>
      </c>
      <c r="AA358" s="19" t="str">
        <f t="shared" si="58"/>
        <v>Not Eligible</v>
      </c>
      <c r="AB358" s="14" t="s">
        <v>77</v>
      </c>
      <c r="AC358" s="14">
        <v>2</v>
      </c>
      <c r="AD358" s="14" t="s">
        <v>78</v>
      </c>
      <c r="AE358" s="17">
        <v>16.7</v>
      </c>
      <c r="AF358" s="15">
        <v>0</v>
      </c>
      <c r="AG358" s="20">
        <f t="shared" si="59"/>
        <v>1312651</v>
      </c>
      <c r="AH358" s="14">
        <v>1</v>
      </c>
      <c r="AI358" s="14" t="s">
        <v>75</v>
      </c>
      <c r="AJ358" s="14">
        <v>12</v>
      </c>
      <c r="AK358" s="21">
        <f t="shared" si="60"/>
        <v>0.39</v>
      </c>
      <c r="AL358" s="20">
        <f t="shared" si="61"/>
        <v>5810.9060978155412</v>
      </c>
      <c r="AM358" s="22">
        <f t="shared" si="62"/>
        <v>4.3414433844182497E-2</v>
      </c>
      <c r="AN358" s="20">
        <f t="shared" si="63"/>
        <v>61737.386097815543</v>
      </c>
      <c r="AO358" s="16">
        <f t="shared" si="64"/>
        <v>0.56439116960546754</v>
      </c>
      <c r="AP358" s="15">
        <v>0</v>
      </c>
      <c r="AQ358" s="18" t="str">
        <f t="shared" si="65"/>
        <v>N/A</v>
      </c>
      <c r="AR358" s="23">
        <v>45972</v>
      </c>
      <c r="AS358" s="14" t="s">
        <v>79</v>
      </c>
    </row>
    <row r="359" spans="1:45" x14ac:dyDescent="0.25">
      <c r="A359" s="14" t="s">
        <v>1232</v>
      </c>
      <c r="B359" s="14" t="s">
        <v>1233</v>
      </c>
      <c r="C359" s="14">
        <v>9193269322</v>
      </c>
      <c r="D359" s="15" t="s">
        <v>1240</v>
      </c>
      <c r="E359" s="14">
        <v>45</v>
      </c>
      <c r="F359" s="14" t="s">
        <v>89</v>
      </c>
      <c r="G359" s="14" t="s">
        <v>417</v>
      </c>
      <c r="H359" s="14" t="s">
        <v>132</v>
      </c>
      <c r="I359" s="14" t="s">
        <v>92</v>
      </c>
      <c r="J359" s="15">
        <v>2433504</v>
      </c>
      <c r="K359" s="14">
        <v>1</v>
      </c>
      <c r="L359" s="14" t="s">
        <v>75</v>
      </c>
      <c r="M359" s="14" t="s">
        <v>76</v>
      </c>
      <c r="N359" s="14" t="s">
        <v>75</v>
      </c>
      <c r="O359" s="14" t="s">
        <v>75</v>
      </c>
      <c r="P359" s="14">
        <v>805</v>
      </c>
      <c r="Q359" s="15"/>
      <c r="R359" s="15">
        <v>10376.379999999999</v>
      </c>
      <c r="S359" s="14" t="s">
        <v>23</v>
      </c>
      <c r="T359" s="15"/>
      <c r="U359" s="16">
        <f t="shared" si="55"/>
        <v>5.116760029981459E-2</v>
      </c>
      <c r="V359" s="14">
        <v>0</v>
      </c>
      <c r="W359" s="17">
        <v>35.299999999999997</v>
      </c>
      <c r="X359" s="14">
        <v>2.8</v>
      </c>
      <c r="Y359" s="18">
        <f t="shared" si="56"/>
        <v>11.4</v>
      </c>
      <c r="Z359" s="18" t="str">
        <f t="shared" si="57"/>
        <v>Low</v>
      </c>
      <c r="AA359" s="19" t="str">
        <f t="shared" si="58"/>
        <v>Eligible</v>
      </c>
      <c r="AB359" s="14" t="s">
        <v>85</v>
      </c>
      <c r="AC359" s="14">
        <v>3</v>
      </c>
      <c r="AD359" s="14" t="s">
        <v>93</v>
      </c>
      <c r="AE359" s="17">
        <v>23.7</v>
      </c>
      <c r="AF359" s="15">
        <v>539351</v>
      </c>
      <c r="AG359" s="20">
        <f t="shared" si="59"/>
        <v>2972855</v>
      </c>
      <c r="AH359" s="14">
        <v>1</v>
      </c>
      <c r="AI359" s="14" t="s">
        <v>75</v>
      </c>
      <c r="AJ359" s="14">
        <v>120</v>
      </c>
      <c r="AK359" s="21">
        <f t="shared" si="60"/>
        <v>8.5000000000000006E-2</v>
      </c>
      <c r="AL359" s="20">
        <f t="shared" si="61"/>
        <v>0</v>
      </c>
      <c r="AM359" s="22">
        <f t="shared" si="62"/>
        <v>0</v>
      </c>
      <c r="AN359" s="20">
        <f t="shared" si="63"/>
        <v>10376.379999999999</v>
      </c>
      <c r="AO359" s="16">
        <f t="shared" si="64"/>
        <v>5.116760029981459E-2</v>
      </c>
      <c r="AP359" s="15">
        <v>4814893</v>
      </c>
      <c r="AQ359" s="18">
        <f t="shared" si="65"/>
        <v>0</v>
      </c>
      <c r="AR359" s="23">
        <v>45979</v>
      </c>
      <c r="AS359" s="14" t="s">
        <v>79</v>
      </c>
    </row>
    <row r="360" spans="1:45" x14ac:dyDescent="0.25">
      <c r="A360" s="14" t="s">
        <v>1235</v>
      </c>
      <c r="B360" s="14" t="s">
        <v>1236</v>
      </c>
      <c r="C360" s="14">
        <v>9262600063</v>
      </c>
      <c r="D360" s="15" t="s">
        <v>1243</v>
      </c>
      <c r="E360" s="14">
        <v>39</v>
      </c>
      <c r="F360" s="14" t="s">
        <v>89</v>
      </c>
      <c r="G360" s="14" t="s">
        <v>139</v>
      </c>
      <c r="H360" s="14" t="s">
        <v>91</v>
      </c>
      <c r="I360" s="14" t="s">
        <v>92</v>
      </c>
      <c r="J360" s="15">
        <v>1468653</v>
      </c>
      <c r="K360" s="14">
        <v>2</v>
      </c>
      <c r="L360" s="14" t="s">
        <v>76</v>
      </c>
      <c r="M360" s="14" t="s">
        <v>76</v>
      </c>
      <c r="N360" s="14" t="s">
        <v>75</v>
      </c>
      <c r="O360" s="14" t="s">
        <v>75</v>
      </c>
      <c r="P360" s="14">
        <v>328</v>
      </c>
      <c r="Q360" s="15"/>
      <c r="R360" s="15">
        <v>37664.120000000003</v>
      </c>
      <c r="S360" s="14" t="s">
        <v>21</v>
      </c>
      <c r="T360" s="15">
        <v>794479</v>
      </c>
      <c r="U360" s="16">
        <f t="shared" si="55"/>
        <v>0.30774419825513588</v>
      </c>
      <c r="V360" s="14">
        <v>1</v>
      </c>
      <c r="W360" s="17">
        <v>83.1</v>
      </c>
      <c r="X360" s="14">
        <v>5.7</v>
      </c>
      <c r="Y360" s="18">
        <f t="shared" si="56"/>
        <v>59.7</v>
      </c>
      <c r="Z360" s="18" t="str">
        <f t="shared" si="57"/>
        <v>Medium</v>
      </c>
      <c r="AA360" s="19" t="str">
        <f t="shared" si="58"/>
        <v>Not Eligible</v>
      </c>
      <c r="AB360" s="14" t="s">
        <v>85</v>
      </c>
      <c r="AC360" s="14">
        <v>3</v>
      </c>
      <c r="AD360" s="14" t="s">
        <v>78</v>
      </c>
      <c r="AE360" s="17">
        <v>8.1999999999999993</v>
      </c>
      <c r="AF360" s="15">
        <v>490387</v>
      </c>
      <c r="AG360" s="20">
        <f t="shared" si="59"/>
        <v>1959040</v>
      </c>
      <c r="AH360" s="14">
        <v>2</v>
      </c>
      <c r="AI360" s="14" t="s">
        <v>75</v>
      </c>
      <c r="AJ360" s="14">
        <v>12</v>
      </c>
      <c r="AK360" s="21">
        <f t="shared" si="60"/>
        <v>0.15500000000000003</v>
      </c>
      <c r="AL360" s="20">
        <f t="shared" si="61"/>
        <v>71895.913434219532</v>
      </c>
      <c r="AM360" s="22">
        <f t="shared" si="62"/>
        <v>0.54095759856140291</v>
      </c>
      <c r="AN360" s="20">
        <f t="shared" si="63"/>
        <v>109560.03343421954</v>
      </c>
      <c r="AO360" s="16">
        <f t="shared" si="64"/>
        <v>0.89518790429777118</v>
      </c>
      <c r="AP360" s="15">
        <v>0</v>
      </c>
      <c r="AQ360" s="18" t="str">
        <f t="shared" si="65"/>
        <v>N/A</v>
      </c>
      <c r="AR360" s="23">
        <v>46122</v>
      </c>
      <c r="AS360" s="14" t="s">
        <v>79</v>
      </c>
    </row>
    <row r="361" spans="1:45" x14ac:dyDescent="0.25">
      <c r="A361" s="14" t="s">
        <v>1239</v>
      </c>
      <c r="B361" s="14" t="s">
        <v>382</v>
      </c>
      <c r="C361" s="14"/>
      <c r="D361" s="15"/>
      <c r="E361" s="14">
        <v>38</v>
      </c>
      <c r="F361" s="14" t="s">
        <v>71</v>
      </c>
      <c r="G361" s="14" t="s">
        <v>106</v>
      </c>
      <c r="H361" s="14" t="s">
        <v>73</v>
      </c>
      <c r="I361" s="14" t="s">
        <v>74</v>
      </c>
      <c r="J361" s="15">
        <v>1232988</v>
      </c>
      <c r="K361" s="14">
        <v>0</v>
      </c>
      <c r="L361" s="14" t="s">
        <v>75</v>
      </c>
      <c r="M361" s="14" t="s">
        <v>75</v>
      </c>
      <c r="N361" s="14" t="s">
        <v>75</v>
      </c>
      <c r="O361" s="14" t="s">
        <v>75</v>
      </c>
      <c r="P361" s="14">
        <v>825</v>
      </c>
      <c r="Q361" s="15">
        <v>237851</v>
      </c>
      <c r="R361" s="15">
        <v>5179.18</v>
      </c>
      <c r="S361" s="14" t="s">
        <v>22</v>
      </c>
      <c r="T361" s="15">
        <v>2471561</v>
      </c>
      <c r="U361" s="16">
        <f t="shared" si="55"/>
        <v>5.040613533951669E-2</v>
      </c>
      <c r="V361" s="14">
        <v>0</v>
      </c>
      <c r="W361" s="17">
        <v>93.6</v>
      </c>
      <c r="X361" s="14">
        <v>12</v>
      </c>
      <c r="Y361" s="18">
        <f t="shared" si="56"/>
        <v>15.9</v>
      </c>
      <c r="Z361" s="18" t="str">
        <f t="shared" si="57"/>
        <v>Low</v>
      </c>
      <c r="AA361" s="19" t="str">
        <f t="shared" si="58"/>
        <v>Eligible</v>
      </c>
      <c r="AB361" s="14" t="s">
        <v>85</v>
      </c>
      <c r="AC361" s="14">
        <v>3</v>
      </c>
      <c r="AD361" s="14" t="s">
        <v>93</v>
      </c>
      <c r="AE361" s="17">
        <v>15</v>
      </c>
      <c r="AF361" s="15">
        <v>625873</v>
      </c>
      <c r="AG361" s="20">
        <f t="shared" si="59"/>
        <v>1858861</v>
      </c>
      <c r="AH361" s="14">
        <v>0</v>
      </c>
      <c r="AI361" s="14" t="s">
        <v>75</v>
      </c>
      <c r="AJ361" s="14">
        <v>60</v>
      </c>
      <c r="AK361" s="21">
        <f t="shared" si="60"/>
        <v>0.09</v>
      </c>
      <c r="AL361" s="20">
        <f t="shared" si="61"/>
        <v>51305.54120160274</v>
      </c>
      <c r="AM361" s="22">
        <f t="shared" si="62"/>
        <v>2.0045296466794484</v>
      </c>
      <c r="AN361" s="20">
        <f t="shared" si="63"/>
        <v>56484.721201602741</v>
      </c>
      <c r="AO361" s="16">
        <f t="shared" si="64"/>
        <v>0.54973499694987527</v>
      </c>
      <c r="AP361" s="15">
        <v>465819</v>
      </c>
      <c r="AQ361" s="18">
        <f t="shared" si="65"/>
        <v>5.3058398219050744</v>
      </c>
      <c r="AR361" s="23">
        <v>46007</v>
      </c>
      <c r="AS361" s="14" t="s">
        <v>79</v>
      </c>
    </row>
    <row r="362" spans="1:45" x14ac:dyDescent="0.25">
      <c r="A362" s="14" t="s">
        <v>1241</v>
      </c>
      <c r="B362" s="14" t="s">
        <v>1242</v>
      </c>
      <c r="C362" s="14">
        <v>9940555052</v>
      </c>
      <c r="D362" s="15" t="s">
        <v>1249</v>
      </c>
      <c r="E362" s="14">
        <v>52</v>
      </c>
      <c r="F362" s="14" t="s">
        <v>89</v>
      </c>
      <c r="G362" s="14" t="s">
        <v>72</v>
      </c>
      <c r="H362" s="14" t="s">
        <v>91</v>
      </c>
      <c r="I362" s="14" t="s">
        <v>92</v>
      </c>
      <c r="J362" s="15">
        <v>672083</v>
      </c>
      <c r="K362" s="14">
        <v>1</v>
      </c>
      <c r="L362" s="14" t="s">
        <v>75</v>
      </c>
      <c r="M362" s="14" t="s">
        <v>75</v>
      </c>
      <c r="N362" s="14" t="s">
        <v>75</v>
      </c>
      <c r="O362" s="14" t="s">
        <v>76</v>
      </c>
      <c r="P362" s="14">
        <v>368</v>
      </c>
      <c r="Q362" s="15">
        <v>589836</v>
      </c>
      <c r="R362" s="15">
        <v>3879.83</v>
      </c>
      <c r="S362" s="14" t="s">
        <v>21</v>
      </c>
      <c r="T362" s="15"/>
      <c r="U362" s="16">
        <f t="shared" si="55"/>
        <v>6.9274122392621151E-2</v>
      </c>
      <c r="V362" s="14">
        <v>0</v>
      </c>
      <c r="W362" s="17">
        <v>44.7</v>
      </c>
      <c r="X362" s="14">
        <v>4.0999999999999996</v>
      </c>
      <c r="Y362" s="18">
        <f t="shared" si="56"/>
        <v>42</v>
      </c>
      <c r="Z362" s="18" t="str">
        <f t="shared" si="57"/>
        <v>Medium</v>
      </c>
      <c r="AA362" s="19" t="str">
        <f t="shared" si="58"/>
        <v>Not Eligible</v>
      </c>
      <c r="AB362" s="14" t="s">
        <v>85</v>
      </c>
      <c r="AC362" s="14">
        <v>2</v>
      </c>
      <c r="AD362" s="14" t="s">
        <v>93</v>
      </c>
      <c r="AE362" s="17">
        <v>14.7</v>
      </c>
      <c r="AF362" s="15">
        <v>0</v>
      </c>
      <c r="AG362" s="20">
        <f t="shared" si="59"/>
        <v>672083</v>
      </c>
      <c r="AH362" s="14">
        <v>0</v>
      </c>
      <c r="AI362" s="14" t="s">
        <v>75</v>
      </c>
      <c r="AJ362" s="14">
        <v>24</v>
      </c>
      <c r="AK362" s="21">
        <f t="shared" si="60"/>
        <v>0.15500000000000003</v>
      </c>
      <c r="AL362" s="20">
        <f t="shared" si="61"/>
        <v>0</v>
      </c>
      <c r="AM362" s="22">
        <f t="shared" si="62"/>
        <v>0</v>
      </c>
      <c r="AN362" s="20">
        <f t="shared" si="63"/>
        <v>3879.83</v>
      </c>
      <c r="AO362" s="16">
        <f t="shared" si="64"/>
        <v>6.9274122392621151E-2</v>
      </c>
      <c r="AP362" s="15">
        <v>0</v>
      </c>
      <c r="AQ362" s="18" t="str">
        <f t="shared" si="65"/>
        <v>N/A</v>
      </c>
      <c r="AR362" s="23">
        <v>46044</v>
      </c>
      <c r="AS362" s="14" t="s">
        <v>79</v>
      </c>
    </row>
    <row r="363" spans="1:45" x14ac:dyDescent="0.25">
      <c r="A363" s="14" t="s">
        <v>1244</v>
      </c>
      <c r="B363" s="14" t="s">
        <v>1245</v>
      </c>
      <c r="C363" s="14">
        <v>9856698632</v>
      </c>
      <c r="D363" s="15"/>
      <c r="E363" s="14">
        <v>43</v>
      </c>
      <c r="F363" s="14" t="s">
        <v>89</v>
      </c>
      <c r="G363" s="14" t="s">
        <v>143</v>
      </c>
      <c r="H363" s="14" t="s">
        <v>73</v>
      </c>
      <c r="I363" s="14" t="s">
        <v>74</v>
      </c>
      <c r="J363" s="15">
        <v>1218261</v>
      </c>
      <c r="K363" s="14">
        <v>1</v>
      </c>
      <c r="L363" s="14" t="s">
        <v>76</v>
      </c>
      <c r="M363" s="14" t="s">
        <v>75</v>
      </c>
      <c r="N363" s="14" t="s">
        <v>75</v>
      </c>
      <c r="O363" s="14" t="s">
        <v>75</v>
      </c>
      <c r="P363" s="14">
        <v>757</v>
      </c>
      <c r="Q363" s="15">
        <v>205931</v>
      </c>
      <c r="R363" s="15">
        <v>4404.6499999999996</v>
      </c>
      <c r="S363" s="14" t="s">
        <v>23</v>
      </c>
      <c r="T363" s="15"/>
      <c r="U363" s="16">
        <f t="shared" si="55"/>
        <v>4.3386269444724894E-2</v>
      </c>
      <c r="V363" s="14">
        <v>0</v>
      </c>
      <c r="W363" s="17">
        <v>95.8</v>
      </c>
      <c r="X363" s="14">
        <v>10</v>
      </c>
      <c r="Y363" s="18">
        <f t="shared" si="56"/>
        <v>20.399999999999999</v>
      </c>
      <c r="Z363" s="18" t="str">
        <f t="shared" si="57"/>
        <v>Low</v>
      </c>
      <c r="AA363" s="19" t="str">
        <f t="shared" si="58"/>
        <v>Eligible</v>
      </c>
      <c r="AB363" s="14" t="s">
        <v>85</v>
      </c>
      <c r="AC363" s="14">
        <v>1</v>
      </c>
      <c r="AD363" s="14" t="s">
        <v>78</v>
      </c>
      <c r="AE363" s="17">
        <v>19.399999999999999</v>
      </c>
      <c r="AF363" s="15">
        <v>0</v>
      </c>
      <c r="AG363" s="20">
        <f t="shared" si="59"/>
        <v>1218261</v>
      </c>
      <c r="AH363" s="14">
        <v>2</v>
      </c>
      <c r="AI363" s="14" t="s">
        <v>75</v>
      </c>
      <c r="AJ363" s="14">
        <v>180</v>
      </c>
      <c r="AK363" s="21">
        <f t="shared" si="60"/>
        <v>8.5000000000000006E-2</v>
      </c>
      <c r="AL363" s="20">
        <f t="shared" si="61"/>
        <v>0</v>
      </c>
      <c r="AM363" s="22">
        <f t="shared" si="62"/>
        <v>0</v>
      </c>
      <c r="AN363" s="20">
        <f t="shared" si="63"/>
        <v>4404.6499999999996</v>
      </c>
      <c r="AO363" s="16">
        <f t="shared" si="64"/>
        <v>4.3386269444724894E-2</v>
      </c>
      <c r="AP363" s="15">
        <v>2860191</v>
      </c>
      <c r="AQ363" s="18">
        <f t="shared" si="65"/>
        <v>0</v>
      </c>
      <c r="AR363" s="23">
        <v>46032</v>
      </c>
      <c r="AS363" s="14" t="s">
        <v>79</v>
      </c>
    </row>
    <row r="364" spans="1:45" x14ac:dyDescent="0.25">
      <c r="A364" s="14" t="s">
        <v>1246</v>
      </c>
      <c r="B364" s="14" t="s">
        <v>1247</v>
      </c>
      <c r="C364" s="14">
        <v>9136268864</v>
      </c>
      <c r="D364" s="15" t="s">
        <v>1255</v>
      </c>
      <c r="E364" s="14">
        <v>56</v>
      </c>
      <c r="F364" s="14" t="s">
        <v>89</v>
      </c>
      <c r="G364" s="14" t="s">
        <v>215</v>
      </c>
      <c r="H364" s="14" t="s">
        <v>103</v>
      </c>
      <c r="I364" s="14" t="s">
        <v>74</v>
      </c>
      <c r="J364" s="15">
        <v>2024819</v>
      </c>
      <c r="K364" s="14">
        <v>1</v>
      </c>
      <c r="L364" s="14" t="s">
        <v>76</v>
      </c>
      <c r="M364" s="14" t="s">
        <v>75</v>
      </c>
      <c r="N364" s="14" t="s">
        <v>75</v>
      </c>
      <c r="O364" s="14" t="s">
        <v>75</v>
      </c>
      <c r="P364" s="14">
        <v>574</v>
      </c>
      <c r="Q364" s="15">
        <v>5804</v>
      </c>
      <c r="R364" s="15">
        <v>22686.01</v>
      </c>
      <c r="S364" s="14" t="s">
        <v>22</v>
      </c>
      <c r="T364" s="15">
        <v>150198</v>
      </c>
      <c r="U364" s="16">
        <f t="shared" si="55"/>
        <v>0.13444763210933916</v>
      </c>
      <c r="V364" s="14">
        <v>0</v>
      </c>
      <c r="W364" s="17">
        <v>43.9</v>
      </c>
      <c r="X364" s="14">
        <v>8.6999999999999993</v>
      </c>
      <c r="Y364" s="18">
        <f t="shared" si="56"/>
        <v>30.2</v>
      </c>
      <c r="Z364" s="18" t="str">
        <f t="shared" si="57"/>
        <v>Medium</v>
      </c>
      <c r="AA364" s="19" t="str">
        <f t="shared" si="58"/>
        <v>Review</v>
      </c>
      <c r="AB364" s="14" t="s">
        <v>85</v>
      </c>
      <c r="AC364" s="14">
        <v>0</v>
      </c>
      <c r="AD364" s="14" t="s">
        <v>93</v>
      </c>
      <c r="AE364" s="17">
        <v>28.5</v>
      </c>
      <c r="AF364" s="15">
        <v>0</v>
      </c>
      <c r="AG364" s="20">
        <f t="shared" si="59"/>
        <v>2024819</v>
      </c>
      <c r="AH364" s="14">
        <v>0</v>
      </c>
      <c r="AI364" s="14" t="s">
        <v>75</v>
      </c>
      <c r="AJ364" s="14">
        <v>24</v>
      </c>
      <c r="AK364" s="21">
        <f t="shared" si="60"/>
        <v>0.105</v>
      </c>
      <c r="AL364" s="20">
        <f t="shared" si="61"/>
        <v>6965.5887021503422</v>
      </c>
      <c r="AM364" s="22">
        <f t="shared" si="62"/>
        <v>7.4178482126056697E-2</v>
      </c>
      <c r="AN364" s="20">
        <f t="shared" si="63"/>
        <v>29651.598702150339</v>
      </c>
      <c r="AO364" s="16">
        <f t="shared" si="64"/>
        <v>0.17572888461921982</v>
      </c>
      <c r="AP364" s="15">
        <v>490676</v>
      </c>
      <c r="AQ364" s="18">
        <f t="shared" si="65"/>
        <v>0.30610423171298373</v>
      </c>
      <c r="AR364" s="23">
        <v>45905</v>
      </c>
      <c r="AS364" s="14" t="s">
        <v>79</v>
      </c>
    </row>
    <row r="365" spans="1:45" x14ac:dyDescent="0.25">
      <c r="A365" s="14" t="s">
        <v>1250</v>
      </c>
      <c r="B365" s="14" t="s">
        <v>649</v>
      </c>
      <c r="C365" s="14">
        <v>9338642289</v>
      </c>
      <c r="D365" s="15" t="s">
        <v>1257</v>
      </c>
      <c r="E365" s="14">
        <v>56</v>
      </c>
      <c r="F365" s="14" t="s">
        <v>71</v>
      </c>
      <c r="G365" s="14" t="s">
        <v>90</v>
      </c>
      <c r="H365" s="14" t="s">
        <v>144</v>
      </c>
      <c r="I365" s="14" t="s">
        <v>92</v>
      </c>
      <c r="J365" s="15">
        <v>1182747</v>
      </c>
      <c r="K365" s="14">
        <v>3</v>
      </c>
      <c r="L365" s="14" t="s">
        <v>76</v>
      </c>
      <c r="M365" s="14" t="s">
        <v>76</v>
      </c>
      <c r="N365" s="14" t="s">
        <v>76</v>
      </c>
      <c r="O365" s="14" t="s">
        <v>75</v>
      </c>
      <c r="P365" s="14">
        <v>534</v>
      </c>
      <c r="Q365" s="15">
        <v>1109640.74</v>
      </c>
      <c r="R365" s="15">
        <v>9360.5</v>
      </c>
      <c r="S365" s="14" t="s">
        <v>22</v>
      </c>
      <c r="T365" s="15"/>
      <c r="U365" s="16">
        <f t="shared" si="55"/>
        <v>9.4970437464647978E-2</v>
      </c>
      <c r="V365" s="14">
        <v>0</v>
      </c>
      <c r="W365" s="17">
        <v>57.5</v>
      </c>
      <c r="X365" s="14">
        <v>3.9</v>
      </c>
      <c r="Y365" s="18">
        <f t="shared" si="56"/>
        <v>33</v>
      </c>
      <c r="Z365" s="18" t="str">
        <f t="shared" si="57"/>
        <v>Medium</v>
      </c>
      <c r="AA365" s="19" t="str">
        <f t="shared" si="58"/>
        <v>Not Eligible</v>
      </c>
      <c r="AB365" s="14" t="s">
        <v>85</v>
      </c>
      <c r="AC365" s="14">
        <v>3</v>
      </c>
      <c r="AD365" s="14" t="s">
        <v>93</v>
      </c>
      <c r="AE365" s="17">
        <v>15.9</v>
      </c>
      <c r="AF365" s="15">
        <v>0</v>
      </c>
      <c r="AG365" s="20">
        <f t="shared" si="59"/>
        <v>1182747</v>
      </c>
      <c r="AH365" s="14">
        <v>1</v>
      </c>
      <c r="AI365" s="14" t="s">
        <v>75</v>
      </c>
      <c r="AJ365" s="14">
        <v>48</v>
      </c>
      <c r="AK365" s="21">
        <f t="shared" si="60"/>
        <v>0.105</v>
      </c>
      <c r="AL365" s="20">
        <f t="shared" si="61"/>
        <v>0</v>
      </c>
      <c r="AM365" s="22">
        <f t="shared" si="62"/>
        <v>0</v>
      </c>
      <c r="AN365" s="20">
        <f t="shared" si="63"/>
        <v>9360.5</v>
      </c>
      <c r="AO365" s="16">
        <f t="shared" si="64"/>
        <v>9.4970437464647978E-2</v>
      </c>
      <c r="AP365" s="15">
        <v>1104975</v>
      </c>
      <c r="AQ365" s="18">
        <f t="shared" si="65"/>
        <v>0</v>
      </c>
      <c r="AR365" s="23">
        <v>46012</v>
      </c>
      <c r="AS365" s="14" t="s">
        <v>79</v>
      </c>
    </row>
    <row r="366" spans="1:45" x14ac:dyDescent="0.25">
      <c r="A366" s="14" t="s">
        <v>1252</v>
      </c>
      <c r="B366" s="14" t="s">
        <v>1253</v>
      </c>
      <c r="C366" s="14">
        <v>9368402236</v>
      </c>
      <c r="D366" s="15" t="s">
        <v>1261</v>
      </c>
      <c r="E366" s="14">
        <v>45</v>
      </c>
      <c r="F366" s="14" t="s">
        <v>89</v>
      </c>
      <c r="G366" s="14" t="s">
        <v>72</v>
      </c>
      <c r="H366" s="14" t="s">
        <v>84</v>
      </c>
      <c r="I366" s="14" t="s">
        <v>74</v>
      </c>
      <c r="J366" s="15">
        <v>656166</v>
      </c>
      <c r="K366" s="14">
        <v>1</v>
      </c>
      <c r="L366" s="14" t="s">
        <v>76</v>
      </c>
      <c r="M366" s="14" t="s">
        <v>75</v>
      </c>
      <c r="N366" s="14" t="s">
        <v>75</v>
      </c>
      <c r="O366" s="14" t="s">
        <v>75</v>
      </c>
      <c r="P366" s="14">
        <v>320</v>
      </c>
      <c r="Q366" s="15">
        <v>11986</v>
      </c>
      <c r="R366" s="15">
        <v>126.17</v>
      </c>
      <c r="S366" s="14" t="s">
        <v>21</v>
      </c>
      <c r="T366" s="15">
        <v>1546739</v>
      </c>
      <c r="U366" s="16">
        <f t="shared" si="55"/>
        <v>2.3074039191302203E-3</v>
      </c>
      <c r="V366" s="14">
        <v>2</v>
      </c>
      <c r="W366" s="17">
        <v>80.3</v>
      </c>
      <c r="X366" s="14">
        <v>3.1</v>
      </c>
      <c r="Y366" s="18">
        <f t="shared" si="56"/>
        <v>54.8</v>
      </c>
      <c r="Z366" s="18" t="str">
        <f t="shared" si="57"/>
        <v>Medium</v>
      </c>
      <c r="AA366" s="19" t="str">
        <f t="shared" si="58"/>
        <v>Not Eligible</v>
      </c>
      <c r="AB366" s="14" t="s">
        <v>77</v>
      </c>
      <c r="AC366" s="14">
        <v>1</v>
      </c>
      <c r="AD366" s="14" t="s">
        <v>78</v>
      </c>
      <c r="AE366" s="17">
        <v>12.4</v>
      </c>
      <c r="AF366" s="15">
        <v>355537</v>
      </c>
      <c r="AG366" s="20">
        <f t="shared" si="59"/>
        <v>1011703</v>
      </c>
      <c r="AH366" s="14">
        <v>0</v>
      </c>
      <c r="AI366" s="14" t="s">
        <v>75</v>
      </c>
      <c r="AJ366" s="14">
        <v>60</v>
      </c>
      <c r="AK366" s="21">
        <f t="shared" si="60"/>
        <v>0.15500000000000003</v>
      </c>
      <c r="AL366" s="20">
        <f t="shared" si="61"/>
        <v>37204.008717436547</v>
      </c>
      <c r="AM366" s="22">
        <f t="shared" si="62"/>
        <v>2.3572373454278339</v>
      </c>
      <c r="AN366" s="20">
        <f t="shared" si="63"/>
        <v>37330.178717436545</v>
      </c>
      <c r="AO366" s="16">
        <f t="shared" si="64"/>
        <v>0.68269636739672357</v>
      </c>
      <c r="AP366" s="15">
        <v>0</v>
      </c>
      <c r="AQ366" s="18" t="str">
        <f t="shared" si="65"/>
        <v>N/A</v>
      </c>
      <c r="AR366" s="23">
        <v>46136</v>
      </c>
      <c r="AS366" s="14" t="s">
        <v>79</v>
      </c>
    </row>
    <row r="367" spans="1:45" x14ac:dyDescent="0.25">
      <c r="A367" s="14" t="s">
        <v>1256</v>
      </c>
      <c r="B367" s="14" t="s">
        <v>137</v>
      </c>
      <c r="C367" s="14">
        <v>9912700913</v>
      </c>
      <c r="D367" s="15" t="s">
        <v>1264</v>
      </c>
      <c r="E367" s="14">
        <v>56</v>
      </c>
      <c r="F367" s="14" t="s">
        <v>89</v>
      </c>
      <c r="G367" s="14" t="s">
        <v>115</v>
      </c>
      <c r="H367" s="14" t="s">
        <v>84</v>
      </c>
      <c r="I367" s="14" t="s">
        <v>74</v>
      </c>
      <c r="J367" s="15">
        <v>2424807</v>
      </c>
      <c r="K367" s="14">
        <v>2</v>
      </c>
      <c r="L367" s="14" t="s">
        <v>76</v>
      </c>
      <c r="M367" s="14" t="s">
        <v>76</v>
      </c>
      <c r="N367" s="14" t="s">
        <v>75</v>
      </c>
      <c r="O367" s="14" t="s">
        <v>75</v>
      </c>
      <c r="P367" s="14">
        <v>681</v>
      </c>
      <c r="Q367" s="15"/>
      <c r="R367" s="15">
        <v>19467.38</v>
      </c>
      <c r="S367" s="14" t="s">
        <v>20</v>
      </c>
      <c r="T367" s="15"/>
      <c r="U367" s="16">
        <f t="shared" si="55"/>
        <v>9.6341094363386448E-2</v>
      </c>
      <c r="V367" s="14">
        <v>0</v>
      </c>
      <c r="W367" s="17">
        <v>97.6</v>
      </c>
      <c r="X367" s="14">
        <v>6.1</v>
      </c>
      <c r="Y367" s="18">
        <f t="shared" si="56"/>
        <v>27.3</v>
      </c>
      <c r="Z367" s="18" t="str">
        <f t="shared" si="57"/>
        <v>Low</v>
      </c>
      <c r="AA367" s="19" t="str">
        <f t="shared" si="58"/>
        <v>Eligible</v>
      </c>
      <c r="AB367" s="14" t="s">
        <v>85</v>
      </c>
      <c r="AC367" s="14">
        <v>1</v>
      </c>
      <c r="AD367" s="14" t="s">
        <v>93</v>
      </c>
      <c r="AE367" s="17">
        <v>19.399999999999999</v>
      </c>
      <c r="AF367" s="15">
        <v>757261</v>
      </c>
      <c r="AG367" s="20">
        <f t="shared" si="59"/>
        <v>3182068</v>
      </c>
      <c r="AH367" s="14">
        <v>3</v>
      </c>
      <c r="AI367" s="14" t="s">
        <v>75</v>
      </c>
      <c r="AJ367" s="14">
        <v>18</v>
      </c>
      <c r="AK367" s="21">
        <f t="shared" si="60"/>
        <v>0.36</v>
      </c>
      <c r="AL367" s="20">
        <f t="shared" si="61"/>
        <v>0</v>
      </c>
      <c r="AM367" s="22">
        <f t="shared" si="62"/>
        <v>0</v>
      </c>
      <c r="AN367" s="20">
        <f t="shared" si="63"/>
        <v>19467.38</v>
      </c>
      <c r="AO367" s="16">
        <f t="shared" si="64"/>
        <v>9.6341094363386448E-2</v>
      </c>
      <c r="AP367" s="15">
        <v>0</v>
      </c>
      <c r="AQ367" s="18" t="str">
        <f t="shared" si="65"/>
        <v>N/A</v>
      </c>
      <c r="AR367" s="23">
        <v>46001</v>
      </c>
      <c r="AS367" s="14" t="s">
        <v>79</v>
      </c>
    </row>
    <row r="368" spans="1:45" x14ac:dyDescent="0.25">
      <c r="A368" s="14" t="s">
        <v>1258</v>
      </c>
      <c r="B368" s="14" t="s">
        <v>1259</v>
      </c>
      <c r="C368" s="14">
        <v>9657679799</v>
      </c>
      <c r="D368" s="15" t="s">
        <v>1268</v>
      </c>
      <c r="E368" s="14">
        <v>46</v>
      </c>
      <c r="F368" s="14" t="s">
        <v>89</v>
      </c>
      <c r="G368" s="14" t="s">
        <v>314</v>
      </c>
      <c r="H368" s="14" t="s">
        <v>91</v>
      </c>
      <c r="I368" s="14" t="s">
        <v>92</v>
      </c>
      <c r="J368" s="15">
        <v>547182</v>
      </c>
      <c r="K368" s="14">
        <v>1</v>
      </c>
      <c r="L368" s="14" t="s">
        <v>75</v>
      </c>
      <c r="M368" s="14" t="s">
        <v>76</v>
      </c>
      <c r="N368" s="14" t="s">
        <v>75</v>
      </c>
      <c r="O368" s="14" t="s">
        <v>75</v>
      </c>
      <c r="P368" s="14">
        <v>454</v>
      </c>
      <c r="Q368" s="15"/>
      <c r="R368" s="15">
        <v>214.04</v>
      </c>
      <c r="S368" s="14" t="s">
        <v>23</v>
      </c>
      <c r="T368" s="15">
        <v>183494</v>
      </c>
      <c r="U368" s="16">
        <f t="shared" si="55"/>
        <v>4.6940140574799607E-3</v>
      </c>
      <c r="V368" s="14">
        <v>0</v>
      </c>
      <c r="W368" s="17">
        <v>24.9</v>
      </c>
      <c r="X368" s="14">
        <v>8.5</v>
      </c>
      <c r="Y368" s="18">
        <f t="shared" si="56"/>
        <v>32.4</v>
      </c>
      <c r="Z368" s="18" t="str">
        <f t="shared" si="57"/>
        <v>Medium</v>
      </c>
      <c r="AA368" s="19" t="str">
        <f t="shared" si="58"/>
        <v>Not Eligible</v>
      </c>
      <c r="AB368" s="14" t="s">
        <v>85</v>
      </c>
      <c r="AC368" s="14">
        <v>1</v>
      </c>
      <c r="AD368" s="14" t="s">
        <v>194</v>
      </c>
      <c r="AE368" s="17">
        <v>6.1</v>
      </c>
      <c r="AF368" s="15">
        <v>0</v>
      </c>
      <c r="AG368" s="20">
        <f t="shared" si="59"/>
        <v>547182</v>
      </c>
      <c r="AH368" s="14">
        <v>0</v>
      </c>
      <c r="AI368" s="14" t="s">
        <v>75</v>
      </c>
      <c r="AJ368" s="14">
        <v>120</v>
      </c>
      <c r="AK368" s="21">
        <f t="shared" si="60"/>
        <v>0.1</v>
      </c>
      <c r="AL368" s="20">
        <f t="shared" si="61"/>
        <v>2424.8867313381975</v>
      </c>
      <c r="AM368" s="22">
        <f t="shared" si="62"/>
        <v>0.33534363337975298</v>
      </c>
      <c r="AN368" s="20">
        <f t="shared" si="63"/>
        <v>2638.9267313381974</v>
      </c>
      <c r="AO368" s="16">
        <f t="shared" si="64"/>
        <v>5.7873103969169983E-2</v>
      </c>
      <c r="AP368" s="15">
        <v>2134976</v>
      </c>
      <c r="AQ368" s="18">
        <f t="shared" si="65"/>
        <v>8.5946633592134059E-2</v>
      </c>
      <c r="AR368" s="23">
        <v>46112</v>
      </c>
      <c r="AS368" s="14" t="s">
        <v>79</v>
      </c>
    </row>
    <row r="369" spans="1:45" x14ac:dyDescent="0.25">
      <c r="A369" s="14" t="s">
        <v>1262</v>
      </c>
      <c r="B369" s="14" t="s">
        <v>815</v>
      </c>
      <c r="C369" s="14">
        <v>9557591883</v>
      </c>
      <c r="D369" s="15" t="s">
        <v>1272</v>
      </c>
      <c r="E369" s="14">
        <v>54</v>
      </c>
      <c r="F369" s="14" t="s">
        <v>71</v>
      </c>
      <c r="G369" s="14" t="s">
        <v>98</v>
      </c>
      <c r="H369" s="14" t="s">
        <v>91</v>
      </c>
      <c r="I369" s="14" t="s">
        <v>92</v>
      </c>
      <c r="J369" s="15">
        <v>2135432</v>
      </c>
      <c r="K369" s="14">
        <v>1</v>
      </c>
      <c r="L369" s="14" t="s">
        <v>75</v>
      </c>
      <c r="M369" s="14" t="s">
        <v>76</v>
      </c>
      <c r="N369" s="14" t="s">
        <v>75</v>
      </c>
      <c r="O369" s="14" t="s">
        <v>75</v>
      </c>
      <c r="P369" s="14">
        <v>837</v>
      </c>
      <c r="Q369" s="15"/>
      <c r="R369" s="15">
        <v>10580.02</v>
      </c>
      <c r="S369" s="14" t="s">
        <v>23</v>
      </c>
      <c r="T369" s="15">
        <v>4269584</v>
      </c>
      <c r="U369" s="16">
        <f t="shared" si="55"/>
        <v>5.9454124505018191E-2</v>
      </c>
      <c r="V369" s="14">
        <v>0</v>
      </c>
      <c r="W369" s="17">
        <v>16.2</v>
      </c>
      <c r="X369" s="14">
        <v>14.9</v>
      </c>
      <c r="Y369" s="18">
        <f t="shared" si="56"/>
        <v>7.6</v>
      </c>
      <c r="Z369" s="18" t="str">
        <f t="shared" si="57"/>
        <v>Low</v>
      </c>
      <c r="AA369" s="19" t="str">
        <f t="shared" si="58"/>
        <v>Eligible</v>
      </c>
      <c r="AB369" s="14" t="s">
        <v>77</v>
      </c>
      <c r="AC369" s="14">
        <v>3</v>
      </c>
      <c r="AD369" s="14" t="s">
        <v>78</v>
      </c>
      <c r="AE369" s="17">
        <v>9.9</v>
      </c>
      <c r="AF369" s="15">
        <v>0</v>
      </c>
      <c r="AG369" s="20">
        <f t="shared" si="59"/>
        <v>2135432</v>
      </c>
      <c r="AH369" s="14">
        <v>1</v>
      </c>
      <c r="AI369" s="14" t="s">
        <v>75</v>
      </c>
      <c r="AJ369" s="14">
        <v>240</v>
      </c>
      <c r="AK369" s="21">
        <f t="shared" si="60"/>
        <v>8.5000000000000006E-2</v>
      </c>
      <c r="AL369" s="20">
        <f t="shared" si="61"/>
        <v>37052.441920057499</v>
      </c>
      <c r="AM369" s="22">
        <f t="shared" si="62"/>
        <v>1.9994005896699123</v>
      </c>
      <c r="AN369" s="20">
        <f t="shared" si="63"/>
        <v>47632.461920057496</v>
      </c>
      <c r="AO369" s="16">
        <f t="shared" si="64"/>
        <v>0.26766927864745399</v>
      </c>
      <c r="AP369" s="15">
        <v>6212527</v>
      </c>
      <c r="AQ369" s="18">
        <f t="shared" si="65"/>
        <v>0.68725399503293905</v>
      </c>
      <c r="AR369" s="23">
        <v>45999</v>
      </c>
      <c r="AS369" s="14" t="s">
        <v>79</v>
      </c>
    </row>
    <row r="370" spans="1:45" x14ac:dyDescent="0.25">
      <c r="A370" s="14" t="s">
        <v>1265</v>
      </c>
      <c r="B370" s="14" t="s">
        <v>1266</v>
      </c>
      <c r="C370" s="14"/>
      <c r="D370" s="15" t="s">
        <v>1275</v>
      </c>
      <c r="E370" s="14">
        <v>51</v>
      </c>
      <c r="F370" s="14" t="s">
        <v>89</v>
      </c>
      <c r="G370" s="14" t="s">
        <v>388</v>
      </c>
      <c r="H370" s="14" t="s">
        <v>103</v>
      </c>
      <c r="I370" s="14" t="s">
        <v>74</v>
      </c>
      <c r="J370" s="15">
        <v>867653</v>
      </c>
      <c r="K370" s="14">
        <v>1</v>
      </c>
      <c r="L370" s="14" t="s">
        <v>76</v>
      </c>
      <c r="M370" s="14" t="s">
        <v>75</v>
      </c>
      <c r="N370" s="14" t="s">
        <v>75</v>
      </c>
      <c r="O370" s="14" t="s">
        <v>75</v>
      </c>
      <c r="P370" s="14">
        <v>483</v>
      </c>
      <c r="Q370" s="15"/>
      <c r="R370" s="15">
        <v>4891.91</v>
      </c>
      <c r="S370" s="14" t="s">
        <v>20</v>
      </c>
      <c r="T370" s="15">
        <v>1394683</v>
      </c>
      <c r="U370" s="16">
        <f t="shared" si="55"/>
        <v>6.7657139432468968E-2</v>
      </c>
      <c r="V370" s="14">
        <v>2</v>
      </c>
      <c r="W370" s="17">
        <v>23.9</v>
      </c>
      <c r="X370" s="14">
        <v>1.6</v>
      </c>
      <c r="Y370" s="18">
        <f t="shared" si="56"/>
        <v>40.200000000000003</v>
      </c>
      <c r="Z370" s="18" t="str">
        <f t="shared" si="57"/>
        <v>Medium</v>
      </c>
      <c r="AA370" s="19" t="str">
        <f t="shared" si="58"/>
        <v>Not Eligible</v>
      </c>
      <c r="AB370" s="14" t="s">
        <v>85</v>
      </c>
      <c r="AC370" s="14">
        <v>0</v>
      </c>
      <c r="AD370" s="14" t="s">
        <v>93</v>
      </c>
      <c r="AE370" s="17">
        <v>18</v>
      </c>
      <c r="AF370" s="15">
        <v>627258</v>
      </c>
      <c r="AG370" s="20">
        <f t="shared" si="59"/>
        <v>1494911</v>
      </c>
      <c r="AH370" s="14">
        <v>2</v>
      </c>
      <c r="AI370" s="14" t="s">
        <v>75</v>
      </c>
      <c r="AJ370" s="14">
        <v>12</v>
      </c>
      <c r="AK370" s="21">
        <f t="shared" si="60"/>
        <v>0.375</v>
      </c>
      <c r="AL370" s="20">
        <f t="shared" si="61"/>
        <v>141160.29452608761</v>
      </c>
      <c r="AM370" s="22">
        <f t="shared" si="62"/>
        <v>1.6074202474952544</v>
      </c>
      <c r="AN370" s="20">
        <f t="shared" si="63"/>
        <v>146052.20452608762</v>
      </c>
      <c r="AO370" s="16">
        <f t="shared" si="64"/>
        <v>2.0199624208215168</v>
      </c>
      <c r="AP370" s="15">
        <v>0</v>
      </c>
      <c r="AQ370" s="18" t="str">
        <f t="shared" si="65"/>
        <v>N/A</v>
      </c>
      <c r="AR370" s="23">
        <v>45993</v>
      </c>
      <c r="AS370" s="14" t="s">
        <v>79</v>
      </c>
    </row>
    <row r="371" spans="1:45" x14ac:dyDescent="0.25">
      <c r="A371" s="14" t="s">
        <v>1269</v>
      </c>
      <c r="B371" s="14" t="s">
        <v>1270</v>
      </c>
      <c r="C371" s="14">
        <v>9291139369</v>
      </c>
      <c r="D371" s="15" t="s">
        <v>1279</v>
      </c>
      <c r="E371" s="14">
        <v>44</v>
      </c>
      <c r="F371" s="14" t="s">
        <v>89</v>
      </c>
      <c r="G371" s="14" t="s">
        <v>215</v>
      </c>
      <c r="H371" s="14" t="s">
        <v>144</v>
      </c>
      <c r="I371" s="14" t="s">
        <v>92</v>
      </c>
      <c r="J371" s="15">
        <v>1149716</v>
      </c>
      <c r="K371" s="14">
        <v>2</v>
      </c>
      <c r="L371" s="14" t="s">
        <v>76</v>
      </c>
      <c r="M371" s="14" t="s">
        <v>76</v>
      </c>
      <c r="N371" s="14" t="s">
        <v>75</v>
      </c>
      <c r="O371" s="14" t="s">
        <v>75</v>
      </c>
      <c r="P371" s="14">
        <v>569</v>
      </c>
      <c r="Q371" s="15">
        <v>238481</v>
      </c>
      <c r="R371" s="15">
        <v>19441.46</v>
      </c>
      <c r="S371" s="14" t="s">
        <v>23</v>
      </c>
      <c r="T371" s="15">
        <v>327331</v>
      </c>
      <c r="U371" s="16">
        <f t="shared" si="55"/>
        <v>0.20291752050071496</v>
      </c>
      <c r="V371" s="14">
        <v>1</v>
      </c>
      <c r="W371" s="17">
        <v>86.1</v>
      </c>
      <c r="X371" s="14">
        <v>9.1999999999999993</v>
      </c>
      <c r="Y371" s="18">
        <f t="shared" si="56"/>
        <v>40.799999999999997</v>
      </c>
      <c r="Z371" s="18" t="str">
        <f t="shared" si="57"/>
        <v>Medium</v>
      </c>
      <c r="AA371" s="19" t="str">
        <f t="shared" si="58"/>
        <v>Review</v>
      </c>
      <c r="AB371" s="14" t="s">
        <v>161</v>
      </c>
      <c r="AC371" s="14">
        <v>2</v>
      </c>
      <c r="AD371" s="14" t="s">
        <v>93</v>
      </c>
      <c r="AE371" s="17">
        <v>20.9</v>
      </c>
      <c r="AF371" s="15">
        <v>152003</v>
      </c>
      <c r="AG371" s="20">
        <f t="shared" si="59"/>
        <v>1301719</v>
      </c>
      <c r="AH371" s="14">
        <v>0</v>
      </c>
      <c r="AI371" s="14" t="s">
        <v>75</v>
      </c>
      <c r="AJ371" s="14">
        <v>360</v>
      </c>
      <c r="AK371" s="21">
        <f t="shared" si="60"/>
        <v>0.1</v>
      </c>
      <c r="AL371" s="20">
        <f t="shared" si="61"/>
        <v>2872.563796087366</v>
      </c>
      <c r="AM371" s="22">
        <f t="shared" si="62"/>
        <v>0.28470596216804844</v>
      </c>
      <c r="AN371" s="20">
        <f t="shared" si="63"/>
        <v>22314.023796087364</v>
      </c>
      <c r="AO371" s="16">
        <f t="shared" si="64"/>
        <v>0.2328995034887297</v>
      </c>
      <c r="AP371" s="15">
        <v>5066386</v>
      </c>
      <c r="AQ371" s="18">
        <f t="shared" si="65"/>
        <v>6.4608381595875244E-2</v>
      </c>
      <c r="AR371" s="23">
        <v>45979</v>
      </c>
      <c r="AS371" s="14" t="s">
        <v>79</v>
      </c>
    </row>
    <row r="372" spans="1:45" x14ac:dyDescent="0.25">
      <c r="A372" s="14" t="s">
        <v>1273</v>
      </c>
      <c r="B372" s="14" t="s">
        <v>1274</v>
      </c>
      <c r="C372" s="14">
        <v>9132670198</v>
      </c>
      <c r="D372" s="15" t="s">
        <v>1283</v>
      </c>
      <c r="E372" s="14">
        <v>29</v>
      </c>
      <c r="F372" s="14" t="s">
        <v>89</v>
      </c>
      <c r="G372" s="14" t="s">
        <v>174</v>
      </c>
      <c r="H372" s="14" t="s">
        <v>107</v>
      </c>
      <c r="I372" s="14" t="s">
        <v>92</v>
      </c>
      <c r="J372" s="15">
        <v>1671912</v>
      </c>
      <c r="K372" s="14">
        <v>2</v>
      </c>
      <c r="L372" s="14" t="s">
        <v>76</v>
      </c>
      <c r="M372" s="14" t="s">
        <v>75</v>
      </c>
      <c r="N372" s="14" t="s">
        <v>76</v>
      </c>
      <c r="O372" s="14" t="s">
        <v>75</v>
      </c>
      <c r="P372" s="14">
        <v>694</v>
      </c>
      <c r="Q372" s="15">
        <v>39549</v>
      </c>
      <c r="R372" s="15">
        <v>20837.27</v>
      </c>
      <c r="S372" s="14" t="s">
        <v>22</v>
      </c>
      <c r="T372" s="15"/>
      <c r="U372" s="16">
        <f t="shared" si="55"/>
        <v>0.14955765614458177</v>
      </c>
      <c r="V372" s="14">
        <v>0</v>
      </c>
      <c r="W372" s="17">
        <v>12.4</v>
      </c>
      <c r="X372" s="14">
        <v>9.1999999999999993</v>
      </c>
      <c r="Y372" s="18">
        <f t="shared" si="56"/>
        <v>19.5</v>
      </c>
      <c r="Z372" s="18" t="str">
        <f t="shared" si="57"/>
        <v>Low</v>
      </c>
      <c r="AA372" s="19" t="str">
        <f t="shared" si="58"/>
        <v>Eligible</v>
      </c>
      <c r="AB372" s="14" t="s">
        <v>85</v>
      </c>
      <c r="AC372" s="14">
        <v>0</v>
      </c>
      <c r="AD372" s="14" t="s">
        <v>93</v>
      </c>
      <c r="AE372" s="17">
        <v>2.4</v>
      </c>
      <c r="AF372" s="15">
        <v>477932</v>
      </c>
      <c r="AG372" s="20">
        <f t="shared" si="59"/>
        <v>2149844</v>
      </c>
      <c r="AH372" s="14">
        <v>0</v>
      </c>
      <c r="AI372" s="14" t="s">
        <v>75</v>
      </c>
      <c r="AJ372" s="14">
        <v>48</v>
      </c>
      <c r="AK372" s="21">
        <f t="shared" si="60"/>
        <v>0.09</v>
      </c>
      <c r="AL372" s="20">
        <f t="shared" si="61"/>
        <v>0</v>
      </c>
      <c r="AM372" s="22">
        <f t="shared" si="62"/>
        <v>0</v>
      </c>
      <c r="AN372" s="20">
        <f t="shared" si="63"/>
        <v>20837.27</v>
      </c>
      <c r="AO372" s="16">
        <f t="shared" si="64"/>
        <v>0.14955765614458177</v>
      </c>
      <c r="AP372" s="15">
        <v>1655591</v>
      </c>
      <c r="AQ372" s="18">
        <f t="shared" si="65"/>
        <v>0</v>
      </c>
      <c r="AR372" s="23">
        <v>46180</v>
      </c>
      <c r="AS372" s="14" t="s">
        <v>79</v>
      </c>
    </row>
    <row r="373" spans="1:45" x14ac:dyDescent="0.25">
      <c r="A373" s="14" t="s">
        <v>1276</v>
      </c>
      <c r="B373" s="14" t="s">
        <v>1277</v>
      </c>
      <c r="C373" s="14"/>
      <c r="D373" s="15" t="s">
        <v>1286</v>
      </c>
      <c r="E373" s="14">
        <v>50</v>
      </c>
      <c r="F373" s="14" t="s">
        <v>89</v>
      </c>
      <c r="G373" s="14" t="s">
        <v>174</v>
      </c>
      <c r="H373" s="14" t="s">
        <v>91</v>
      </c>
      <c r="I373" s="14" t="s">
        <v>92</v>
      </c>
      <c r="J373" s="15">
        <v>1101045</v>
      </c>
      <c r="K373" s="14">
        <v>3</v>
      </c>
      <c r="L373" s="14" t="s">
        <v>76</v>
      </c>
      <c r="M373" s="14" t="s">
        <v>76</v>
      </c>
      <c r="N373" s="14" t="s">
        <v>75</v>
      </c>
      <c r="O373" s="14" t="s">
        <v>76</v>
      </c>
      <c r="P373" s="14">
        <v>752</v>
      </c>
      <c r="Q373" s="15">
        <v>176222.82</v>
      </c>
      <c r="R373" s="15">
        <v>9936.69</v>
      </c>
      <c r="S373" s="14" t="s">
        <v>20</v>
      </c>
      <c r="T373" s="15">
        <v>110484</v>
      </c>
      <c r="U373" s="16">
        <f t="shared" si="55"/>
        <v>0.10829737204201463</v>
      </c>
      <c r="V373" s="14">
        <v>0</v>
      </c>
      <c r="W373" s="17">
        <v>13.9</v>
      </c>
      <c r="X373" s="14">
        <v>5.7</v>
      </c>
      <c r="Y373" s="18">
        <f t="shared" si="56"/>
        <v>14.5</v>
      </c>
      <c r="Z373" s="18" t="str">
        <f t="shared" si="57"/>
        <v>Low</v>
      </c>
      <c r="AA373" s="19" t="str">
        <f t="shared" si="58"/>
        <v>Eligible</v>
      </c>
      <c r="AB373" s="14" t="s">
        <v>85</v>
      </c>
      <c r="AC373" s="14">
        <v>3</v>
      </c>
      <c r="AD373" s="14" t="s">
        <v>93</v>
      </c>
      <c r="AE373" s="17">
        <v>1.3</v>
      </c>
      <c r="AF373" s="15">
        <v>509051</v>
      </c>
      <c r="AG373" s="20">
        <f t="shared" si="59"/>
        <v>1610096</v>
      </c>
      <c r="AH373" s="14">
        <v>0</v>
      </c>
      <c r="AI373" s="14" t="s">
        <v>75</v>
      </c>
      <c r="AJ373" s="14">
        <v>24</v>
      </c>
      <c r="AK373" s="21">
        <f t="shared" si="60"/>
        <v>0.36</v>
      </c>
      <c r="AL373" s="20">
        <f t="shared" si="61"/>
        <v>6523.7947037059876</v>
      </c>
      <c r="AM373" s="22">
        <f t="shared" si="62"/>
        <v>0.10034467256106698</v>
      </c>
      <c r="AN373" s="20">
        <f t="shared" si="63"/>
        <v>16460.484703705988</v>
      </c>
      <c r="AO373" s="16">
        <f t="shared" si="64"/>
        <v>0.17939849546973272</v>
      </c>
      <c r="AP373" s="15">
        <v>0</v>
      </c>
      <c r="AQ373" s="18" t="str">
        <f t="shared" si="65"/>
        <v>N/A</v>
      </c>
      <c r="AR373" s="23">
        <v>46035</v>
      </c>
      <c r="AS373" s="14" t="s">
        <v>79</v>
      </c>
    </row>
    <row r="374" spans="1:45" x14ac:dyDescent="0.25">
      <c r="A374" s="14" t="s">
        <v>1280</v>
      </c>
      <c r="B374" s="14" t="s">
        <v>1281</v>
      </c>
      <c r="C374" s="14">
        <v>9197239910</v>
      </c>
      <c r="D374" s="15" t="s">
        <v>1289</v>
      </c>
      <c r="E374" s="14">
        <v>59</v>
      </c>
      <c r="F374" s="14" t="s">
        <v>89</v>
      </c>
      <c r="G374" s="14" t="s">
        <v>115</v>
      </c>
      <c r="H374" s="14" t="s">
        <v>132</v>
      </c>
      <c r="I374" s="14" t="s">
        <v>92</v>
      </c>
      <c r="J374" s="15">
        <v>2285786</v>
      </c>
      <c r="K374" s="14">
        <v>1</v>
      </c>
      <c r="L374" s="14" t="s">
        <v>75</v>
      </c>
      <c r="M374" s="14" t="s">
        <v>75</v>
      </c>
      <c r="N374" s="14" t="s">
        <v>75</v>
      </c>
      <c r="O374" s="14" t="s">
        <v>76</v>
      </c>
      <c r="P374" s="14">
        <v>678</v>
      </c>
      <c r="Q374" s="15">
        <v>63486</v>
      </c>
      <c r="R374" s="15">
        <v>693.84</v>
      </c>
      <c r="S374" s="14" t="s">
        <v>21</v>
      </c>
      <c r="T374" s="15">
        <v>833714</v>
      </c>
      <c r="U374" s="16">
        <f t="shared" si="55"/>
        <v>3.6425457151281876E-3</v>
      </c>
      <c r="V374" s="14">
        <v>2</v>
      </c>
      <c r="W374" s="17">
        <v>87.7</v>
      </c>
      <c r="X374" s="14">
        <v>2.1</v>
      </c>
      <c r="Y374" s="18">
        <f t="shared" si="56"/>
        <v>31.7</v>
      </c>
      <c r="Z374" s="18" t="str">
        <f t="shared" si="57"/>
        <v>Medium</v>
      </c>
      <c r="AA374" s="19" t="str">
        <f t="shared" si="58"/>
        <v>Eligible</v>
      </c>
      <c r="AB374" s="14" t="s">
        <v>85</v>
      </c>
      <c r="AC374" s="14">
        <v>3</v>
      </c>
      <c r="AD374" s="14" t="s">
        <v>78</v>
      </c>
      <c r="AE374" s="17">
        <v>19.2</v>
      </c>
      <c r="AF374" s="15">
        <v>223107</v>
      </c>
      <c r="AG374" s="20">
        <f t="shared" si="59"/>
        <v>2508893</v>
      </c>
      <c r="AH374" s="14">
        <v>0</v>
      </c>
      <c r="AI374" s="14" t="s">
        <v>76</v>
      </c>
      <c r="AJ374" s="14">
        <v>24</v>
      </c>
      <c r="AK374" s="21">
        <f t="shared" si="60"/>
        <v>0.15500000000000003</v>
      </c>
      <c r="AL374" s="20">
        <f t="shared" si="61"/>
        <v>40622.333207968572</v>
      </c>
      <c r="AM374" s="22">
        <f t="shared" si="62"/>
        <v>0.36473843133171696</v>
      </c>
      <c r="AN374" s="20">
        <f t="shared" si="63"/>
        <v>41316.173207968568</v>
      </c>
      <c r="AO374" s="16">
        <f t="shared" si="64"/>
        <v>0.21690310400694679</v>
      </c>
      <c r="AP374" s="15">
        <v>0</v>
      </c>
      <c r="AQ374" s="18" t="str">
        <f t="shared" si="65"/>
        <v>N/A</v>
      </c>
      <c r="AR374" s="23">
        <v>46230</v>
      </c>
      <c r="AS374" s="14" t="s">
        <v>79</v>
      </c>
    </row>
    <row r="375" spans="1:45" x14ac:dyDescent="0.25">
      <c r="A375" s="14" t="s">
        <v>1284</v>
      </c>
      <c r="B375" s="14" t="s">
        <v>1285</v>
      </c>
      <c r="C375" s="14"/>
      <c r="D375" s="15" t="s">
        <v>1292</v>
      </c>
      <c r="E375" s="14">
        <v>31</v>
      </c>
      <c r="F375" s="14" t="s">
        <v>89</v>
      </c>
      <c r="G375" s="14" t="s">
        <v>314</v>
      </c>
      <c r="H375" s="14" t="s">
        <v>166</v>
      </c>
      <c r="I375" s="14" t="s">
        <v>74</v>
      </c>
      <c r="J375" s="15">
        <v>1991030</v>
      </c>
      <c r="K375" s="14">
        <v>2</v>
      </c>
      <c r="L375" s="14" t="s">
        <v>76</v>
      </c>
      <c r="M375" s="14" t="s">
        <v>75</v>
      </c>
      <c r="N375" s="14" t="s">
        <v>76</v>
      </c>
      <c r="O375" s="14" t="s">
        <v>75</v>
      </c>
      <c r="P375" s="14">
        <v>813</v>
      </c>
      <c r="Q375" s="15"/>
      <c r="R375" s="15">
        <v>6076.65</v>
      </c>
      <c r="S375" s="14" t="s">
        <v>20</v>
      </c>
      <c r="T375" s="15">
        <v>905424</v>
      </c>
      <c r="U375" s="16">
        <f t="shared" si="55"/>
        <v>3.6624159354705851E-2</v>
      </c>
      <c r="V375" s="14">
        <v>0</v>
      </c>
      <c r="W375" s="17">
        <v>31.2</v>
      </c>
      <c r="X375" s="14">
        <v>3.1</v>
      </c>
      <c r="Y375" s="18">
        <f t="shared" si="56"/>
        <v>10</v>
      </c>
      <c r="Z375" s="18" t="str">
        <f t="shared" si="57"/>
        <v>Low</v>
      </c>
      <c r="AA375" s="19" t="str">
        <f t="shared" si="58"/>
        <v>Eligible</v>
      </c>
      <c r="AB375" s="14" t="s">
        <v>85</v>
      </c>
      <c r="AC375" s="14">
        <v>0</v>
      </c>
      <c r="AD375" s="14" t="s">
        <v>93</v>
      </c>
      <c r="AE375" s="17">
        <v>8.4</v>
      </c>
      <c r="AF375" s="15">
        <v>355322</v>
      </c>
      <c r="AG375" s="20">
        <f t="shared" si="59"/>
        <v>2346352</v>
      </c>
      <c r="AH375" s="14">
        <v>0</v>
      </c>
      <c r="AI375" s="14" t="s">
        <v>75</v>
      </c>
      <c r="AJ375" s="14">
        <v>12</v>
      </c>
      <c r="AK375" s="21">
        <f t="shared" si="60"/>
        <v>0.36</v>
      </c>
      <c r="AL375" s="20">
        <f t="shared" si="61"/>
        <v>90960.783277272072</v>
      </c>
      <c r="AM375" s="22">
        <f t="shared" si="62"/>
        <v>0.45475156074996359</v>
      </c>
      <c r="AN375" s="20">
        <f t="shared" si="63"/>
        <v>97037.433277272066</v>
      </c>
      <c r="AO375" s="16">
        <f t="shared" si="64"/>
        <v>0.58484764133501999</v>
      </c>
      <c r="AP375" s="15">
        <v>0</v>
      </c>
      <c r="AQ375" s="18" t="str">
        <f t="shared" si="65"/>
        <v>N/A</v>
      </c>
      <c r="AR375" s="23">
        <v>46184</v>
      </c>
      <c r="AS375" s="14" t="s">
        <v>94</v>
      </c>
    </row>
    <row r="376" spans="1:45" x14ac:dyDescent="0.25">
      <c r="A376" s="14" t="s">
        <v>1287</v>
      </c>
      <c r="B376" s="14" t="s">
        <v>1288</v>
      </c>
      <c r="C376" s="14">
        <v>9499735559</v>
      </c>
      <c r="D376" s="15" t="s">
        <v>1295</v>
      </c>
      <c r="E376" s="14">
        <v>32</v>
      </c>
      <c r="F376" s="14" t="s">
        <v>89</v>
      </c>
      <c r="G376" s="14" t="s">
        <v>127</v>
      </c>
      <c r="H376" s="14" t="s">
        <v>132</v>
      </c>
      <c r="I376" s="14" t="s">
        <v>92</v>
      </c>
      <c r="J376" s="15">
        <v>343783</v>
      </c>
      <c r="K376" s="14">
        <v>2</v>
      </c>
      <c r="L376" s="14" t="s">
        <v>76</v>
      </c>
      <c r="M376" s="14" t="s">
        <v>75</v>
      </c>
      <c r="N376" s="14" t="s">
        <v>76</v>
      </c>
      <c r="O376" s="14" t="s">
        <v>75</v>
      </c>
      <c r="P376" s="14">
        <v>552</v>
      </c>
      <c r="Q376" s="15">
        <v>202672</v>
      </c>
      <c r="R376" s="15">
        <v>1154.29</v>
      </c>
      <c r="S376" s="14" t="s">
        <v>21</v>
      </c>
      <c r="T376" s="15">
        <v>641302</v>
      </c>
      <c r="U376" s="16">
        <f t="shared" si="55"/>
        <v>4.0291346576183232E-2</v>
      </c>
      <c r="V376" s="14">
        <v>2</v>
      </c>
      <c r="W376" s="17">
        <v>17.600000000000001</v>
      </c>
      <c r="X376" s="14">
        <v>1</v>
      </c>
      <c r="Y376" s="18">
        <f t="shared" si="56"/>
        <v>34.200000000000003</v>
      </c>
      <c r="Z376" s="18" t="str">
        <f t="shared" si="57"/>
        <v>Medium</v>
      </c>
      <c r="AA376" s="19" t="str">
        <f t="shared" si="58"/>
        <v>Review</v>
      </c>
      <c r="AB376" s="14" t="s">
        <v>77</v>
      </c>
      <c r="AC376" s="14">
        <v>0</v>
      </c>
      <c r="AD376" s="14" t="s">
        <v>78</v>
      </c>
      <c r="AE376" s="17">
        <v>3.7</v>
      </c>
      <c r="AF376" s="15">
        <v>291184</v>
      </c>
      <c r="AG376" s="20">
        <f t="shared" si="59"/>
        <v>634967</v>
      </c>
      <c r="AH376" s="14">
        <v>2</v>
      </c>
      <c r="AI376" s="14" t="s">
        <v>75</v>
      </c>
      <c r="AJ376" s="14">
        <v>36</v>
      </c>
      <c r="AK376" s="21">
        <f t="shared" si="60"/>
        <v>0.15500000000000003</v>
      </c>
      <c r="AL376" s="20">
        <f t="shared" si="61"/>
        <v>22388.289560639456</v>
      </c>
      <c r="AM376" s="22">
        <f t="shared" si="62"/>
        <v>1.8654267372150455</v>
      </c>
      <c r="AN376" s="20">
        <f t="shared" si="63"/>
        <v>23542.579560639457</v>
      </c>
      <c r="AO376" s="16">
        <f t="shared" si="64"/>
        <v>0.82177116008550011</v>
      </c>
      <c r="AP376" s="15">
        <v>0</v>
      </c>
      <c r="AQ376" s="18" t="str">
        <f t="shared" si="65"/>
        <v>N/A</v>
      </c>
      <c r="AR376" s="23">
        <v>46027</v>
      </c>
      <c r="AS376" s="14" t="s">
        <v>79</v>
      </c>
    </row>
    <row r="377" spans="1:45" x14ac:dyDescent="0.25">
      <c r="A377" s="14" t="s">
        <v>1290</v>
      </c>
      <c r="B377" s="14" t="s">
        <v>1291</v>
      </c>
      <c r="C377" s="14"/>
      <c r="D377" s="15" t="s">
        <v>1297</v>
      </c>
      <c r="E377" s="14">
        <v>44</v>
      </c>
      <c r="F377" s="14" t="s">
        <v>89</v>
      </c>
      <c r="G377" s="14" t="s">
        <v>314</v>
      </c>
      <c r="H377" s="14" t="s">
        <v>107</v>
      </c>
      <c r="I377" s="14" t="s">
        <v>92</v>
      </c>
      <c r="J377" s="15">
        <v>1015022</v>
      </c>
      <c r="K377" s="14">
        <v>1</v>
      </c>
      <c r="L377" s="14" t="s">
        <v>76</v>
      </c>
      <c r="M377" s="14" t="s">
        <v>75</v>
      </c>
      <c r="N377" s="14" t="s">
        <v>75</v>
      </c>
      <c r="O377" s="14" t="s">
        <v>75</v>
      </c>
      <c r="P377" s="14">
        <v>515</v>
      </c>
      <c r="Q377" s="15"/>
      <c r="R377" s="15">
        <v>15518.21</v>
      </c>
      <c r="S377" s="14" t="s">
        <v>22</v>
      </c>
      <c r="T377" s="15">
        <v>186200</v>
      </c>
      <c r="U377" s="16">
        <f t="shared" si="55"/>
        <v>0.18346254563940484</v>
      </c>
      <c r="V377" s="14">
        <v>0</v>
      </c>
      <c r="W377" s="17">
        <v>71.5</v>
      </c>
      <c r="X377" s="14">
        <v>7.7</v>
      </c>
      <c r="Y377" s="18">
        <f t="shared" si="56"/>
        <v>38.299999999999997</v>
      </c>
      <c r="Z377" s="18" t="str">
        <f t="shared" si="57"/>
        <v>Medium</v>
      </c>
      <c r="AA377" s="19" t="str">
        <f t="shared" si="58"/>
        <v>Not Eligible</v>
      </c>
      <c r="AB377" s="14" t="s">
        <v>77</v>
      </c>
      <c r="AC377" s="14">
        <v>2</v>
      </c>
      <c r="AD377" s="14" t="s">
        <v>78</v>
      </c>
      <c r="AE377" s="17">
        <v>17.899999999999999</v>
      </c>
      <c r="AF377" s="15">
        <v>500766</v>
      </c>
      <c r="AG377" s="20">
        <f t="shared" si="59"/>
        <v>1515788</v>
      </c>
      <c r="AH377" s="14">
        <v>0</v>
      </c>
      <c r="AI377" s="14" t="s">
        <v>75</v>
      </c>
      <c r="AJ377" s="14">
        <v>84</v>
      </c>
      <c r="AK377" s="21">
        <f t="shared" si="60"/>
        <v>0.105</v>
      </c>
      <c r="AL377" s="20">
        <f t="shared" si="61"/>
        <v>3139.4573402914102</v>
      </c>
      <c r="AM377" s="22">
        <f t="shared" si="62"/>
        <v>0.18344429972946399</v>
      </c>
      <c r="AN377" s="20">
        <f t="shared" si="63"/>
        <v>18657.667340291409</v>
      </c>
      <c r="AO377" s="16">
        <f t="shared" si="64"/>
        <v>0.22057847818421367</v>
      </c>
      <c r="AP377" s="15">
        <v>1064980</v>
      </c>
      <c r="AQ377" s="18">
        <f t="shared" si="65"/>
        <v>0.17483896411200212</v>
      </c>
      <c r="AR377" s="23">
        <v>46138</v>
      </c>
      <c r="AS377" s="14" t="s">
        <v>79</v>
      </c>
    </row>
    <row r="378" spans="1:45" x14ac:dyDescent="0.25">
      <c r="A378" s="14" t="s">
        <v>1293</v>
      </c>
      <c r="B378" s="14" t="s">
        <v>1294</v>
      </c>
      <c r="C378" s="14">
        <v>9353600185</v>
      </c>
      <c r="D378" s="15"/>
      <c r="E378" s="14">
        <v>63</v>
      </c>
      <c r="F378" s="14" t="s">
        <v>71</v>
      </c>
      <c r="G378" s="14" t="s">
        <v>226</v>
      </c>
      <c r="H378" s="14" t="s">
        <v>73</v>
      </c>
      <c r="I378" s="14" t="s">
        <v>74</v>
      </c>
      <c r="J378" s="15">
        <v>1805269</v>
      </c>
      <c r="K378" s="14">
        <v>1</v>
      </c>
      <c r="L378" s="14" t="s">
        <v>75</v>
      </c>
      <c r="M378" s="14" t="s">
        <v>76</v>
      </c>
      <c r="N378" s="14" t="s">
        <v>75</v>
      </c>
      <c r="O378" s="14" t="s">
        <v>75</v>
      </c>
      <c r="P378" s="14">
        <v>402</v>
      </c>
      <c r="Q378" s="15">
        <v>783926.48</v>
      </c>
      <c r="R378" s="15">
        <v>5960.94</v>
      </c>
      <c r="S378" s="14" t="s">
        <v>22</v>
      </c>
      <c r="T378" s="15">
        <v>5387985</v>
      </c>
      <c r="U378" s="16">
        <f t="shared" si="55"/>
        <v>3.9623612879853359E-2</v>
      </c>
      <c r="V378" s="14">
        <v>1</v>
      </c>
      <c r="W378" s="17">
        <v>22.7</v>
      </c>
      <c r="X378" s="14">
        <v>0.5</v>
      </c>
      <c r="Y378" s="18">
        <f t="shared" si="56"/>
        <v>40.700000000000003</v>
      </c>
      <c r="Z378" s="18" t="str">
        <f t="shared" si="57"/>
        <v>Medium</v>
      </c>
      <c r="AA378" s="19" t="str">
        <f t="shared" si="58"/>
        <v>Not Eligible</v>
      </c>
      <c r="AB378" s="14" t="s">
        <v>77</v>
      </c>
      <c r="AC378" s="14">
        <v>1</v>
      </c>
      <c r="AD378" s="14" t="s">
        <v>93</v>
      </c>
      <c r="AE378" s="17">
        <v>13.2</v>
      </c>
      <c r="AF378" s="15">
        <v>0</v>
      </c>
      <c r="AG378" s="20">
        <f t="shared" si="59"/>
        <v>1805269</v>
      </c>
      <c r="AH378" s="14">
        <v>2</v>
      </c>
      <c r="AI378" s="14" t="s">
        <v>75</v>
      </c>
      <c r="AJ378" s="14">
        <v>48</v>
      </c>
      <c r="AK378" s="21">
        <f t="shared" si="60"/>
        <v>0.105</v>
      </c>
      <c r="AL378" s="20">
        <f t="shared" si="61"/>
        <v>137950.62605256264</v>
      </c>
      <c r="AM378" s="22">
        <f t="shared" si="62"/>
        <v>2.9845884463755818</v>
      </c>
      <c r="AN378" s="20">
        <f t="shared" si="63"/>
        <v>143911.56605256264</v>
      </c>
      <c r="AO378" s="16">
        <f t="shared" si="64"/>
        <v>0.95661022962824471</v>
      </c>
      <c r="AP378" s="15">
        <v>750444</v>
      </c>
      <c r="AQ378" s="18">
        <f t="shared" si="65"/>
        <v>7.1797296000767545</v>
      </c>
      <c r="AR378" s="23">
        <v>46142</v>
      </c>
      <c r="AS378" s="14" t="s">
        <v>79</v>
      </c>
    </row>
    <row r="379" spans="1:45" x14ac:dyDescent="0.25">
      <c r="A379" s="14" t="s">
        <v>1296</v>
      </c>
      <c r="B379" s="14" t="s">
        <v>1186</v>
      </c>
      <c r="C379" s="14">
        <v>9895029707</v>
      </c>
      <c r="D379" s="15" t="s">
        <v>1303</v>
      </c>
      <c r="E379" s="14">
        <v>27</v>
      </c>
      <c r="F379" s="14" t="s">
        <v>89</v>
      </c>
      <c r="G379" s="14" t="s">
        <v>174</v>
      </c>
      <c r="H379" s="14" t="s">
        <v>84</v>
      </c>
      <c r="I379" s="14" t="s">
        <v>74</v>
      </c>
      <c r="J379" s="15">
        <v>1980867</v>
      </c>
      <c r="K379" s="14">
        <v>2</v>
      </c>
      <c r="L379" s="14" t="s">
        <v>75</v>
      </c>
      <c r="M379" s="14" t="s">
        <v>76</v>
      </c>
      <c r="N379" s="14" t="s">
        <v>76</v>
      </c>
      <c r="O379" s="14" t="s">
        <v>75</v>
      </c>
      <c r="P379" s="14">
        <v>836</v>
      </c>
      <c r="Q379" s="15">
        <v>1014232</v>
      </c>
      <c r="R379" s="15">
        <v>4914.09</v>
      </c>
      <c r="S379" s="14" t="s">
        <v>21</v>
      </c>
      <c r="T379" s="15">
        <v>194787</v>
      </c>
      <c r="U379" s="16">
        <f t="shared" si="55"/>
        <v>2.9769328278980871E-2</v>
      </c>
      <c r="V379" s="14">
        <v>2</v>
      </c>
      <c r="W379" s="17">
        <v>79.900000000000006</v>
      </c>
      <c r="X379" s="14">
        <v>1</v>
      </c>
      <c r="Y379" s="18">
        <f t="shared" si="56"/>
        <v>21.1</v>
      </c>
      <c r="Z379" s="18" t="str">
        <f t="shared" si="57"/>
        <v>Low</v>
      </c>
      <c r="AA379" s="19" t="str">
        <f t="shared" si="58"/>
        <v>Eligible</v>
      </c>
      <c r="AB379" s="14" t="s">
        <v>85</v>
      </c>
      <c r="AC379" s="14">
        <v>2</v>
      </c>
      <c r="AD379" s="14" t="s">
        <v>78</v>
      </c>
      <c r="AE379" s="17">
        <v>2.2999999999999998</v>
      </c>
      <c r="AF379" s="15">
        <v>0</v>
      </c>
      <c r="AG379" s="20">
        <f t="shared" si="59"/>
        <v>1980867</v>
      </c>
      <c r="AH379" s="14">
        <v>0</v>
      </c>
      <c r="AI379" s="14" t="s">
        <v>75</v>
      </c>
      <c r="AJ379" s="14">
        <v>24</v>
      </c>
      <c r="AK379" s="21">
        <f t="shared" si="60"/>
        <v>0.14000000000000001</v>
      </c>
      <c r="AL379" s="20">
        <f t="shared" si="61"/>
        <v>9352.2854931995171</v>
      </c>
      <c r="AM379" s="22">
        <f t="shared" si="62"/>
        <v>9.8334214260725222E-2</v>
      </c>
      <c r="AN379" s="20">
        <f t="shared" si="63"/>
        <v>14266.375493199517</v>
      </c>
      <c r="AO379" s="16">
        <f t="shared" si="64"/>
        <v>8.6425038086047262E-2</v>
      </c>
      <c r="AP379" s="15">
        <v>0</v>
      </c>
      <c r="AQ379" s="18" t="str">
        <f t="shared" si="65"/>
        <v>N/A</v>
      </c>
      <c r="AR379" s="23">
        <v>45983</v>
      </c>
      <c r="AS379" s="14" t="s">
        <v>79</v>
      </c>
    </row>
    <row r="380" spans="1:45" x14ac:dyDescent="0.25">
      <c r="A380" s="14" t="s">
        <v>1298</v>
      </c>
      <c r="B380" s="14" t="s">
        <v>1299</v>
      </c>
      <c r="C380" s="14"/>
      <c r="D380" s="15" t="s">
        <v>1306</v>
      </c>
      <c r="E380" s="14">
        <v>48</v>
      </c>
      <c r="F380" s="14" t="s">
        <v>71</v>
      </c>
      <c r="G380" s="14" t="s">
        <v>131</v>
      </c>
      <c r="H380" s="14" t="s">
        <v>132</v>
      </c>
      <c r="I380" s="14" t="s">
        <v>92</v>
      </c>
      <c r="J380" s="15">
        <v>1869751</v>
      </c>
      <c r="K380" s="14">
        <v>3</v>
      </c>
      <c r="L380" s="14" t="s">
        <v>76</v>
      </c>
      <c r="M380" s="14" t="s">
        <v>76</v>
      </c>
      <c r="N380" s="14" t="s">
        <v>76</v>
      </c>
      <c r="O380" s="14" t="s">
        <v>75</v>
      </c>
      <c r="P380" s="14">
        <v>703</v>
      </c>
      <c r="Q380" s="15"/>
      <c r="R380" s="15">
        <v>18664.919999999998</v>
      </c>
      <c r="S380" s="14" t="s">
        <v>23</v>
      </c>
      <c r="T380" s="15">
        <v>5043826</v>
      </c>
      <c r="U380" s="16">
        <f t="shared" si="55"/>
        <v>0.11979083845923869</v>
      </c>
      <c r="V380" s="14">
        <v>2</v>
      </c>
      <c r="W380" s="17">
        <v>77.5</v>
      </c>
      <c r="X380" s="14">
        <v>1.6</v>
      </c>
      <c r="Y380" s="18">
        <f t="shared" si="56"/>
        <v>32.5</v>
      </c>
      <c r="Z380" s="18" t="str">
        <f t="shared" si="57"/>
        <v>Medium</v>
      </c>
      <c r="AA380" s="19" t="str">
        <f t="shared" si="58"/>
        <v>Eligible</v>
      </c>
      <c r="AB380" s="14" t="s">
        <v>85</v>
      </c>
      <c r="AC380" s="14">
        <v>2</v>
      </c>
      <c r="AD380" s="14" t="s">
        <v>78</v>
      </c>
      <c r="AE380" s="17">
        <v>20.9</v>
      </c>
      <c r="AF380" s="15">
        <v>0</v>
      </c>
      <c r="AG380" s="20">
        <f t="shared" si="59"/>
        <v>1869751</v>
      </c>
      <c r="AH380" s="14">
        <v>2</v>
      </c>
      <c r="AI380" s="14" t="s">
        <v>75</v>
      </c>
      <c r="AJ380" s="14">
        <v>300</v>
      </c>
      <c r="AK380" s="21">
        <f t="shared" si="60"/>
        <v>0.1</v>
      </c>
      <c r="AL380" s="20">
        <f t="shared" si="61"/>
        <v>45833.284465743418</v>
      </c>
      <c r="AM380" s="22">
        <f t="shared" si="62"/>
        <v>2.6975923532063897</v>
      </c>
      <c r="AN380" s="20">
        <f t="shared" si="63"/>
        <v>64498.204465743416</v>
      </c>
      <c r="AO380" s="16">
        <f t="shared" si="64"/>
        <v>0.41394734036185621</v>
      </c>
      <c r="AP380" s="15">
        <v>7000257</v>
      </c>
      <c r="AQ380" s="18">
        <f t="shared" si="65"/>
        <v>0.72052011804709459</v>
      </c>
      <c r="AR380" s="23">
        <v>46168</v>
      </c>
      <c r="AS380" s="14" t="s">
        <v>79</v>
      </c>
    </row>
    <row r="381" spans="1:45" x14ac:dyDescent="0.25">
      <c r="A381" s="14" t="s">
        <v>1301</v>
      </c>
      <c r="B381" s="14" t="s">
        <v>1302</v>
      </c>
      <c r="C381" s="14"/>
      <c r="D381" s="15" t="s">
        <v>1309</v>
      </c>
      <c r="E381" s="14">
        <v>22</v>
      </c>
      <c r="F381" s="14" t="s">
        <v>71</v>
      </c>
      <c r="G381" s="14" t="s">
        <v>98</v>
      </c>
      <c r="H381" s="14" t="s">
        <v>91</v>
      </c>
      <c r="I381" s="14" t="s">
        <v>92</v>
      </c>
      <c r="J381" s="15">
        <v>1848254</v>
      </c>
      <c r="K381" s="14">
        <v>2</v>
      </c>
      <c r="L381" s="14" t="s">
        <v>76</v>
      </c>
      <c r="M381" s="14" t="s">
        <v>75</v>
      </c>
      <c r="N381" s="14" t="s">
        <v>76</v>
      </c>
      <c r="O381" s="14" t="s">
        <v>75</v>
      </c>
      <c r="P381" s="14">
        <v>707</v>
      </c>
      <c r="Q381" s="15">
        <v>190808</v>
      </c>
      <c r="R381" s="15">
        <v>19136.46</v>
      </c>
      <c r="S381" s="14" t="s">
        <v>21</v>
      </c>
      <c r="T381" s="15">
        <v>5360862</v>
      </c>
      <c r="U381" s="16">
        <f t="shared" si="55"/>
        <v>0.12424565021907162</v>
      </c>
      <c r="V381" s="14">
        <v>1</v>
      </c>
      <c r="W381" s="17">
        <v>9.1999999999999993</v>
      </c>
      <c r="X381" s="14">
        <v>4.7</v>
      </c>
      <c r="Y381" s="18">
        <f t="shared" si="56"/>
        <v>21.5</v>
      </c>
      <c r="Z381" s="18" t="str">
        <f t="shared" si="57"/>
        <v>Low</v>
      </c>
      <c r="AA381" s="19" t="str">
        <f t="shared" si="58"/>
        <v>Eligible</v>
      </c>
      <c r="AB381" s="14" t="s">
        <v>85</v>
      </c>
      <c r="AC381" s="14">
        <v>1</v>
      </c>
      <c r="AD381" s="14" t="s">
        <v>78</v>
      </c>
      <c r="AE381" s="17">
        <v>0.4</v>
      </c>
      <c r="AF381" s="15">
        <v>656455</v>
      </c>
      <c r="AG381" s="20">
        <f t="shared" si="59"/>
        <v>2504709</v>
      </c>
      <c r="AH381" s="14">
        <v>0</v>
      </c>
      <c r="AI381" s="14" t="s">
        <v>75</v>
      </c>
      <c r="AJ381" s="14">
        <v>48</v>
      </c>
      <c r="AK381" s="21">
        <f t="shared" si="60"/>
        <v>0.14000000000000001</v>
      </c>
      <c r="AL381" s="20">
        <f t="shared" si="61"/>
        <v>146493.46943619018</v>
      </c>
      <c r="AM381" s="22">
        <f t="shared" si="62"/>
        <v>2.900500688758147</v>
      </c>
      <c r="AN381" s="20">
        <f t="shared" si="63"/>
        <v>165629.92943619017</v>
      </c>
      <c r="AO381" s="16">
        <f t="shared" si="64"/>
        <v>1.075371216961674</v>
      </c>
      <c r="AP381" s="15">
        <v>0</v>
      </c>
      <c r="AQ381" s="18" t="str">
        <f t="shared" si="65"/>
        <v>N/A</v>
      </c>
      <c r="AR381" s="23">
        <v>45986</v>
      </c>
      <c r="AS381" s="14" t="s">
        <v>79</v>
      </c>
    </row>
    <row r="382" spans="1:45" x14ac:dyDescent="0.25">
      <c r="A382" s="14" t="s">
        <v>1304</v>
      </c>
      <c r="B382" s="14" t="s">
        <v>1305</v>
      </c>
      <c r="C382" s="14">
        <v>9483588343</v>
      </c>
      <c r="D382" s="15" t="s">
        <v>1313</v>
      </c>
      <c r="E382" s="14">
        <v>26</v>
      </c>
      <c r="F382" s="14" t="s">
        <v>89</v>
      </c>
      <c r="G382" s="14" t="s">
        <v>139</v>
      </c>
      <c r="H382" s="14" t="s">
        <v>99</v>
      </c>
      <c r="I382" s="14" t="s">
        <v>74</v>
      </c>
      <c r="J382" s="15">
        <v>351273</v>
      </c>
      <c r="K382" s="14">
        <v>2</v>
      </c>
      <c r="L382" s="14" t="s">
        <v>76</v>
      </c>
      <c r="M382" s="14" t="s">
        <v>76</v>
      </c>
      <c r="N382" s="14" t="s">
        <v>75</v>
      </c>
      <c r="O382" s="14" t="s">
        <v>75</v>
      </c>
      <c r="P382" s="14">
        <v>311</v>
      </c>
      <c r="Q382" s="15">
        <v>135222.46</v>
      </c>
      <c r="R382" s="15">
        <v>1897.42</v>
      </c>
      <c r="S382" s="14" t="s">
        <v>23</v>
      </c>
      <c r="T382" s="15"/>
      <c r="U382" s="16">
        <f t="shared" si="55"/>
        <v>6.4818645327138727E-2</v>
      </c>
      <c r="V382" s="14">
        <v>3</v>
      </c>
      <c r="W382" s="17">
        <v>33.799999999999997</v>
      </c>
      <c r="X382" s="14">
        <v>4</v>
      </c>
      <c r="Y382" s="18">
        <f t="shared" si="56"/>
        <v>56.6</v>
      </c>
      <c r="Z382" s="18" t="str">
        <f t="shared" si="57"/>
        <v>Medium</v>
      </c>
      <c r="AA382" s="19" t="str">
        <f t="shared" si="58"/>
        <v>Not Eligible</v>
      </c>
      <c r="AB382" s="14" t="s">
        <v>77</v>
      </c>
      <c r="AC382" s="14">
        <v>2</v>
      </c>
      <c r="AD382" s="14" t="s">
        <v>93</v>
      </c>
      <c r="AE382" s="17">
        <v>2.4</v>
      </c>
      <c r="AF382" s="15">
        <v>0</v>
      </c>
      <c r="AG382" s="20">
        <f t="shared" si="59"/>
        <v>351273</v>
      </c>
      <c r="AH382" s="14">
        <v>0</v>
      </c>
      <c r="AI382" s="14" t="s">
        <v>75</v>
      </c>
      <c r="AJ382" s="14">
        <v>360</v>
      </c>
      <c r="AK382" s="21">
        <f t="shared" si="60"/>
        <v>0.1</v>
      </c>
      <c r="AL382" s="20">
        <f t="shared" si="61"/>
        <v>0</v>
      </c>
      <c r="AM382" s="22">
        <f t="shared" si="62"/>
        <v>0</v>
      </c>
      <c r="AN382" s="20">
        <f t="shared" si="63"/>
        <v>1897.42</v>
      </c>
      <c r="AO382" s="16">
        <f t="shared" si="64"/>
        <v>6.4818645327138727E-2</v>
      </c>
      <c r="AP382" s="15">
        <v>7025760</v>
      </c>
      <c r="AQ382" s="18">
        <f t="shared" si="65"/>
        <v>0</v>
      </c>
      <c r="AR382" s="23">
        <v>45952</v>
      </c>
      <c r="AS382" s="14" t="s">
        <v>79</v>
      </c>
    </row>
    <row r="383" spans="1:45" x14ac:dyDescent="0.25">
      <c r="A383" s="14" t="s">
        <v>1307</v>
      </c>
      <c r="B383" s="14" t="s">
        <v>1308</v>
      </c>
      <c r="C383" s="14">
        <v>9462680716</v>
      </c>
      <c r="D383" s="15" t="s">
        <v>1317</v>
      </c>
      <c r="E383" s="14">
        <v>30</v>
      </c>
      <c r="F383" s="14" t="s">
        <v>71</v>
      </c>
      <c r="G383" s="14" t="s">
        <v>226</v>
      </c>
      <c r="H383" s="14" t="s">
        <v>84</v>
      </c>
      <c r="I383" s="14" t="s">
        <v>74</v>
      </c>
      <c r="J383" s="15">
        <v>1128849</v>
      </c>
      <c r="K383" s="14">
        <v>1</v>
      </c>
      <c r="L383" s="14" t="s">
        <v>76</v>
      </c>
      <c r="M383" s="14" t="s">
        <v>75</v>
      </c>
      <c r="N383" s="14" t="s">
        <v>75</v>
      </c>
      <c r="O383" s="14" t="s">
        <v>75</v>
      </c>
      <c r="P383" s="14">
        <v>775</v>
      </c>
      <c r="Q383" s="15">
        <v>655871</v>
      </c>
      <c r="R383" s="15">
        <v>10042.5</v>
      </c>
      <c r="S383" s="14" t="s">
        <v>23</v>
      </c>
      <c r="T383" s="15">
        <v>935859</v>
      </c>
      <c r="U383" s="16">
        <f t="shared" si="55"/>
        <v>0.10675475639345917</v>
      </c>
      <c r="V383" s="14">
        <v>0</v>
      </c>
      <c r="W383" s="17">
        <v>89.5</v>
      </c>
      <c r="X383" s="14">
        <v>10.4</v>
      </c>
      <c r="Y383" s="18">
        <f t="shared" si="56"/>
        <v>20.5</v>
      </c>
      <c r="Z383" s="18" t="str">
        <f t="shared" si="57"/>
        <v>Low</v>
      </c>
      <c r="AA383" s="19" t="str">
        <f t="shared" si="58"/>
        <v>Eligible</v>
      </c>
      <c r="AB383" s="14" t="s">
        <v>85</v>
      </c>
      <c r="AC383" s="14">
        <v>1</v>
      </c>
      <c r="AD383" s="14" t="s">
        <v>78</v>
      </c>
      <c r="AE383" s="17">
        <v>7.4</v>
      </c>
      <c r="AF383" s="15">
        <v>0</v>
      </c>
      <c r="AG383" s="20">
        <f t="shared" si="59"/>
        <v>1128849</v>
      </c>
      <c r="AH383" s="14">
        <v>0</v>
      </c>
      <c r="AI383" s="14" t="s">
        <v>75</v>
      </c>
      <c r="AJ383" s="14">
        <v>120</v>
      </c>
      <c r="AK383" s="21">
        <f t="shared" si="60"/>
        <v>8.5000000000000006E-2</v>
      </c>
      <c r="AL383" s="20">
        <f t="shared" si="61"/>
        <v>11603.31228044111</v>
      </c>
      <c r="AM383" s="22">
        <f t="shared" si="62"/>
        <v>0.82903825046573987</v>
      </c>
      <c r="AN383" s="20">
        <f t="shared" si="63"/>
        <v>21645.81228044111</v>
      </c>
      <c r="AO383" s="16">
        <f t="shared" si="64"/>
        <v>0.23010141069823628</v>
      </c>
      <c r="AP383" s="15">
        <v>6763760</v>
      </c>
      <c r="AQ383" s="18">
        <f t="shared" si="65"/>
        <v>0.13836372077069559</v>
      </c>
      <c r="AR383" s="23">
        <v>46047</v>
      </c>
      <c r="AS383" s="14" t="s">
        <v>79</v>
      </c>
    </row>
    <row r="384" spans="1:45" x14ac:dyDescent="0.25">
      <c r="A384" s="14" t="s">
        <v>1310</v>
      </c>
      <c r="B384" s="14" t="s">
        <v>1311</v>
      </c>
      <c r="C384" s="14"/>
      <c r="D384" s="15"/>
      <c r="E384" s="14">
        <v>55</v>
      </c>
      <c r="F384" s="14" t="s">
        <v>89</v>
      </c>
      <c r="G384" s="14" t="s">
        <v>131</v>
      </c>
      <c r="H384" s="14" t="s">
        <v>132</v>
      </c>
      <c r="I384" s="14" t="s">
        <v>92</v>
      </c>
      <c r="J384" s="15">
        <v>652518</v>
      </c>
      <c r="K384" s="14">
        <v>3</v>
      </c>
      <c r="L384" s="14" t="s">
        <v>76</v>
      </c>
      <c r="M384" s="14" t="s">
        <v>76</v>
      </c>
      <c r="N384" s="14" t="s">
        <v>76</v>
      </c>
      <c r="O384" s="14" t="s">
        <v>75</v>
      </c>
      <c r="P384" s="14">
        <v>581</v>
      </c>
      <c r="Q384" s="15"/>
      <c r="R384" s="15">
        <v>3298.11</v>
      </c>
      <c r="S384" s="14" t="s">
        <v>21</v>
      </c>
      <c r="T384" s="15"/>
      <c r="U384" s="16">
        <f t="shared" si="55"/>
        <v>6.0653223359355607E-2</v>
      </c>
      <c r="V384" s="14">
        <v>4</v>
      </c>
      <c r="W384" s="17">
        <v>93.6</v>
      </c>
      <c r="X384" s="14">
        <v>12.3</v>
      </c>
      <c r="Y384" s="18">
        <f t="shared" si="56"/>
        <v>48.4</v>
      </c>
      <c r="Z384" s="18" t="str">
        <f t="shared" si="57"/>
        <v>Medium</v>
      </c>
      <c r="AA384" s="19" t="str">
        <f t="shared" si="58"/>
        <v>Review</v>
      </c>
      <c r="AB384" s="14" t="s">
        <v>85</v>
      </c>
      <c r="AC384" s="14">
        <v>0</v>
      </c>
      <c r="AD384" s="14" t="s">
        <v>78</v>
      </c>
      <c r="AE384" s="17">
        <v>1.4</v>
      </c>
      <c r="AF384" s="15">
        <v>0</v>
      </c>
      <c r="AG384" s="20">
        <f t="shared" si="59"/>
        <v>652518</v>
      </c>
      <c r="AH384" s="14">
        <v>1</v>
      </c>
      <c r="AI384" s="14" t="s">
        <v>75</v>
      </c>
      <c r="AJ384" s="14">
        <v>12</v>
      </c>
      <c r="AK384" s="21">
        <f t="shared" si="60"/>
        <v>0.15500000000000003</v>
      </c>
      <c r="AL384" s="20">
        <f t="shared" si="61"/>
        <v>0</v>
      </c>
      <c r="AM384" s="22">
        <f t="shared" si="62"/>
        <v>0</v>
      </c>
      <c r="AN384" s="20">
        <f t="shared" si="63"/>
        <v>3298.11</v>
      </c>
      <c r="AO384" s="16">
        <f t="shared" si="64"/>
        <v>6.0653223359355607E-2</v>
      </c>
      <c r="AP384" s="15">
        <v>0</v>
      </c>
      <c r="AQ384" s="18" t="str">
        <f t="shared" si="65"/>
        <v>N/A</v>
      </c>
      <c r="AR384" s="23">
        <v>46090</v>
      </c>
      <c r="AS384" s="14" t="s">
        <v>79</v>
      </c>
    </row>
    <row r="385" spans="1:45" x14ac:dyDescent="0.25">
      <c r="A385" s="14" t="s">
        <v>1314</v>
      </c>
      <c r="B385" s="14" t="s">
        <v>1315</v>
      </c>
      <c r="C385" s="14">
        <v>9596012400</v>
      </c>
      <c r="D385" s="15" t="s">
        <v>1322</v>
      </c>
      <c r="E385" s="14">
        <v>48</v>
      </c>
      <c r="F385" s="14" t="s">
        <v>89</v>
      </c>
      <c r="G385" s="14" t="s">
        <v>127</v>
      </c>
      <c r="H385" s="14" t="s">
        <v>132</v>
      </c>
      <c r="I385" s="14" t="s">
        <v>92</v>
      </c>
      <c r="J385" s="15">
        <v>1377340</v>
      </c>
      <c r="K385" s="14">
        <v>1</v>
      </c>
      <c r="L385" s="14" t="s">
        <v>75</v>
      </c>
      <c r="M385" s="14" t="s">
        <v>75</v>
      </c>
      <c r="N385" s="14" t="s">
        <v>76</v>
      </c>
      <c r="O385" s="14" t="s">
        <v>75</v>
      </c>
      <c r="P385" s="14">
        <v>419</v>
      </c>
      <c r="Q385" s="15"/>
      <c r="R385" s="15">
        <v>13663.98</v>
      </c>
      <c r="S385" s="14" t="s">
        <v>22</v>
      </c>
      <c r="T385" s="15">
        <v>834346</v>
      </c>
      <c r="U385" s="16">
        <f t="shared" si="55"/>
        <v>0.11904668418836309</v>
      </c>
      <c r="V385" s="14">
        <v>1</v>
      </c>
      <c r="W385" s="17">
        <v>56.2</v>
      </c>
      <c r="X385" s="14">
        <v>11.9</v>
      </c>
      <c r="Y385" s="18">
        <f t="shared" si="56"/>
        <v>45.3</v>
      </c>
      <c r="Z385" s="18" t="str">
        <f t="shared" si="57"/>
        <v>Medium</v>
      </c>
      <c r="AA385" s="19" t="str">
        <f t="shared" si="58"/>
        <v>Not Eligible</v>
      </c>
      <c r="AB385" s="14" t="s">
        <v>77</v>
      </c>
      <c r="AC385" s="14">
        <v>0</v>
      </c>
      <c r="AD385" s="14" t="s">
        <v>93</v>
      </c>
      <c r="AE385" s="17">
        <v>6</v>
      </c>
      <c r="AF385" s="15">
        <v>0</v>
      </c>
      <c r="AG385" s="20">
        <f t="shared" si="59"/>
        <v>1377340</v>
      </c>
      <c r="AH385" s="14">
        <v>0</v>
      </c>
      <c r="AI385" s="14" t="s">
        <v>75</v>
      </c>
      <c r="AJ385" s="14">
        <v>36</v>
      </c>
      <c r="AK385" s="21">
        <f t="shared" si="60"/>
        <v>0.105</v>
      </c>
      <c r="AL385" s="20">
        <f t="shared" si="61"/>
        <v>27118.283728361523</v>
      </c>
      <c r="AM385" s="22">
        <f t="shared" si="62"/>
        <v>0.60576618699812679</v>
      </c>
      <c r="AN385" s="20">
        <f t="shared" si="63"/>
        <v>40782.263728361519</v>
      </c>
      <c r="AO385" s="16">
        <f t="shared" si="64"/>
        <v>0.35531325942783787</v>
      </c>
      <c r="AP385" s="15">
        <v>1034471</v>
      </c>
      <c r="AQ385" s="18">
        <f t="shared" si="65"/>
        <v>0.80654363437931076</v>
      </c>
      <c r="AR385" s="23">
        <v>46238</v>
      </c>
      <c r="AS385" s="14" t="s">
        <v>79</v>
      </c>
    </row>
    <row r="386" spans="1:45" x14ac:dyDescent="0.25">
      <c r="A386" s="14" t="s">
        <v>1318</v>
      </c>
      <c r="B386" s="14" t="s">
        <v>1319</v>
      </c>
      <c r="C386" s="14"/>
      <c r="D386" s="15"/>
      <c r="E386" s="14">
        <v>38</v>
      </c>
      <c r="F386" s="14" t="s">
        <v>71</v>
      </c>
      <c r="G386" s="14" t="s">
        <v>174</v>
      </c>
      <c r="H386" s="14" t="s">
        <v>91</v>
      </c>
      <c r="I386" s="14" t="s">
        <v>92</v>
      </c>
      <c r="J386" s="15">
        <v>378512</v>
      </c>
      <c r="K386" s="14">
        <v>0</v>
      </c>
      <c r="L386" s="14" t="s">
        <v>75</v>
      </c>
      <c r="M386" s="14" t="s">
        <v>75</v>
      </c>
      <c r="N386" s="14" t="s">
        <v>75</v>
      </c>
      <c r="O386" s="14" t="s">
        <v>75</v>
      </c>
      <c r="P386" s="14">
        <v>625</v>
      </c>
      <c r="Q386" s="15">
        <v>901795.8</v>
      </c>
      <c r="R386" s="15">
        <v>141.43</v>
      </c>
      <c r="S386" s="14" t="s">
        <v>20</v>
      </c>
      <c r="T386" s="15">
        <v>6114324</v>
      </c>
      <c r="U386" s="16">
        <f t="shared" ref="U386:U449" si="66">IFERROR((R386*12)/J386,0)</f>
        <v>4.4837680179228134E-3</v>
      </c>
      <c r="V386" s="14">
        <v>0</v>
      </c>
      <c r="W386" s="17">
        <v>11.1</v>
      </c>
      <c r="X386" s="14">
        <v>4.5</v>
      </c>
      <c r="Y386" s="18">
        <f t="shared" ref="Y386:Y449" si="67">ROUND(0.4*((900-P386)/600*100)+0.3*MIN(U386*100,100)+0.2*MIN(V386*20,100)+0.1*W386,1)</f>
        <v>19.600000000000001</v>
      </c>
      <c r="Z386" s="18" t="str">
        <f t="shared" ref="Z386:Z449" si="68">IF(Y386&lt;=30,"Low",IF(Y386&lt;=60,"Medium","High"))</f>
        <v>Low</v>
      </c>
      <c r="AA386" s="19" t="str">
        <f t="shared" ref="AA386:AA449" si="69">IF(AND(P386&gt;=650,U386&lt;=0.4,V386&lt;=2,Y386&lt;=50),"Eligible",IF(AND(P386&gt;=550,V386&lt;=4,Y386&lt;=75),"Review","Not Eligible"))</f>
        <v>Review</v>
      </c>
      <c r="AB386" s="14" t="s">
        <v>77</v>
      </c>
      <c r="AC386" s="14">
        <v>3</v>
      </c>
      <c r="AD386" s="14" t="s">
        <v>93</v>
      </c>
      <c r="AE386" s="17">
        <v>10.9</v>
      </c>
      <c r="AF386" s="15">
        <v>441780</v>
      </c>
      <c r="AG386" s="20">
        <f t="shared" ref="AG386:AG449" si="70">J386+AF386</f>
        <v>820292</v>
      </c>
      <c r="AH386" s="14">
        <v>2</v>
      </c>
      <c r="AI386" s="14" t="s">
        <v>75</v>
      </c>
      <c r="AJ386" s="14">
        <v>24</v>
      </c>
      <c r="AK386" s="21">
        <f t="shared" ref="AK386:AK449" si="71">(IF(S386="Credit Card",0.36,IF(S386="Personal Loan",0.14,IF(S386="Car Loan",0.09,0.085))))+IF(Z386="Low",0,IF(Z386="Medium",0.015,0.03))</f>
        <v>0.36</v>
      </c>
      <c r="AL386" s="20">
        <f t="shared" ref="AL386:AL449" si="72">-PMT(AK386/12,AJ386,T386)</f>
        <v>361035.03247476928</v>
      </c>
      <c r="AM386" s="22">
        <f t="shared" ref="AM386:AM449" si="73">IFERROR(T386/J386,0)</f>
        <v>16.153580335630046</v>
      </c>
      <c r="AN386" s="20">
        <f t="shared" ref="AN386:AN449" si="74">R386+AL386</f>
        <v>361176.46247476927</v>
      </c>
      <c r="AO386" s="16">
        <f t="shared" ref="AO386:AO449" si="75">IFERROR((AN386*12)/J386,0)</f>
        <v>11.450409893734497</v>
      </c>
      <c r="AP386" s="15">
        <v>0</v>
      </c>
      <c r="AQ386" s="18" t="str">
        <f t="shared" ref="AQ386:AQ449" si="76">IF(AP386&gt;0,T386/AP386,"N/A")</f>
        <v>N/A</v>
      </c>
      <c r="AR386" s="23">
        <v>46058</v>
      </c>
      <c r="AS386" s="14" t="s">
        <v>79</v>
      </c>
    </row>
    <row r="387" spans="1:45" x14ac:dyDescent="0.25">
      <c r="A387" s="14" t="s">
        <v>1320</v>
      </c>
      <c r="B387" s="14" t="s">
        <v>947</v>
      </c>
      <c r="C387" s="14">
        <v>9631323119</v>
      </c>
      <c r="D387" s="15" t="s">
        <v>1327</v>
      </c>
      <c r="E387" s="14">
        <v>34</v>
      </c>
      <c r="F387" s="14" t="s">
        <v>71</v>
      </c>
      <c r="G387" s="14" t="s">
        <v>153</v>
      </c>
      <c r="H387" s="14" t="s">
        <v>84</v>
      </c>
      <c r="I387" s="14" t="s">
        <v>74</v>
      </c>
      <c r="J387" s="15">
        <v>1990045</v>
      </c>
      <c r="K387" s="14">
        <v>1</v>
      </c>
      <c r="L387" s="14" t="s">
        <v>76</v>
      </c>
      <c r="M387" s="14" t="s">
        <v>75</v>
      </c>
      <c r="N387" s="14" t="s">
        <v>75</v>
      </c>
      <c r="O387" s="14" t="s">
        <v>75</v>
      </c>
      <c r="P387" s="14">
        <v>874</v>
      </c>
      <c r="Q387" s="15">
        <v>810981</v>
      </c>
      <c r="R387" s="15">
        <v>69179.62</v>
      </c>
      <c r="S387" s="14" t="s">
        <v>21</v>
      </c>
      <c r="T387" s="15">
        <v>6366716</v>
      </c>
      <c r="U387" s="16">
        <f t="shared" si="66"/>
        <v>0.41715410455542462</v>
      </c>
      <c r="V387" s="14">
        <v>8</v>
      </c>
      <c r="W387" s="17">
        <v>40.1</v>
      </c>
      <c r="X387" s="14">
        <v>4.5</v>
      </c>
      <c r="Y387" s="18">
        <f t="shared" si="67"/>
        <v>38.299999999999997</v>
      </c>
      <c r="Z387" s="18" t="str">
        <f t="shared" si="68"/>
        <v>Medium</v>
      </c>
      <c r="AA387" s="19" t="str">
        <f t="shared" si="69"/>
        <v>Not Eligible</v>
      </c>
      <c r="AB387" s="14" t="s">
        <v>85</v>
      </c>
      <c r="AC387" s="14">
        <v>2</v>
      </c>
      <c r="AD387" s="14" t="s">
        <v>78</v>
      </c>
      <c r="AE387" s="17">
        <v>8.1999999999999993</v>
      </c>
      <c r="AF387" s="15">
        <v>413720</v>
      </c>
      <c r="AG387" s="20">
        <f t="shared" si="70"/>
        <v>2403765</v>
      </c>
      <c r="AH387" s="14">
        <v>0</v>
      </c>
      <c r="AI387" s="14" t="s">
        <v>76</v>
      </c>
      <c r="AJ387" s="14">
        <v>12</v>
      </c>
      <c r="AK387" s="21">
        <f t="shared" si="71"/>
        <v>0.15500000000000003</v>
      </c>
      <c r="AL387" s="20">
        <f t="shared" si="72"/>
        <v>576152.24870167801</v>
      </c>
      <c r="AM387" s="22">
        <f t="shared" si="73"/>
        <v>3.1992824282867973</v>
      </c>
      <c r="AN387" s="20">
        <f t="shared" si="74"/>
        <v>645331.868701678</v>
      </c>
      <c r="AO387" s="16">
        <f t="shared" si="75"/>
        <v>3.8913604588942139</v>
      </c>
      <c r="AP387" s="15">
        <v>0</v>
      </c>
      <c r="AQ387" s="18" t="str">
        <f t="shared" si="76"/>
        <v>N/A</v>
      </c>
      <c r="AR387" s="23">
        <v>46040</v>
      </c>
      <c r="AS387" s="14" t="s">
        <v>79</v>
      </c>
    </row>
    <row r="388" spans="1:45" x14ac:dyDescent="0.25">
      <c r="A388" s="14" t="s">
        <v>1323</v>
      </c>
      <c r="B388" s="14" t="s">
        <v>1324</v>
      </c>
      <c r="C388" s="14">
        <v>9834829245</v>
      </c>
      <c r="D388" s="15" t="s">
        <v>1330</v>
      </c>
      <c r="E388" s="14">
        <v>29</v>
      </c>
      <c r="F388" s="14" t="s">
        <v>89</v>
      </c>
      <c r="G388" s="14" t="s">
        <v>139</v>
      </c>
      <c r="H388" s="14" t="s">
        <v>73</v>
      </c>
      <c r="I388" s="14" t="s">
        <v>74</v>
      </c>
      <c r="J388" s="15">
        <v>1959894</v>
      </c>
      <c r="K388" s="14">
        <v>2</v>
      </c>
      <c r="L388" s="14" t="s">
        <v>76</v>
      </c>
      <c r="M388" s="14" t="s">
        <v>75</v>
      </c>
      <c r="N388" s="14" t="s">
        <v>75</v>
      </c>
      <c r="O388" s="14" t="s">
        <v>76</v>
      </c>
      <c r="P388" s="14">
        <v>462</v>
      </c>
      <c r="Q388" s="15">
        <v>314360.51</v>
      </c>
      <c r="R388" s="15">
        <v>15284.67</v>
      </c>
      <c r="S388" s="14" t="s">
        <v>23</v>
      </c>
      <c r="T388" s="15">
        <v>388400</v>
      </c>
      <c r="U388" s="16">
        <f t="shared" si="66"/>
        <v>9.3584673456829817E-2</v>
      </c>
      <c r="V388" s="14">
        <v>0</v>
      </c>
      <c r="W388" s="17">
        <v>76.400000000000006</v>
      </c>
      <c r="X388" s="14">
        <v>6.4</v>
      </c>
      <c r="Y388" s="18">
        <f t="shared" si="67"/>
        <v>39.6</v>
      </c>
      <c r="Z388" s="18" t="str">
        <f t="shared" si="68"/>
        <v>Medium</v>
      </c>
      <c r="AA388" s="19" t="str">
        <f t="shared" si="69"/>
        <v>Not Eligible</v>
      </c>
      <c r="AB388" s="14" t="s">
        <v>85</v>
      </c>
      <c r="AC388" s="14">
        <v>1</v>
      </c>
      <c r="AD388" s="14" t="s">
        <v>78</v>
      </c>
      <c r="AE388" s="17">
        <v>1.1000000000000001</v>
      </c>
      <c r="AF388" s="15">
        <v>0</v>
      </c>
      <c r="AG388" s="20">
        <f t="shared" si="70"/>
        <v>1959894</v>
      </c>
      <c r="AH388" s="14">
        <v>3</v>
      </c>
      <c r="AI388" s="14" t="s">
        <v>75</v>
      </c>
      <c r="AJ388" s="14">
        <v>240</v>
      </c>
      <c r="AK388" s="21">
        <f t="shared" si="71"/>
        <v>0.1</v>
      </c>
      <c r="AL388" s="20">
        <f t="shared" si="72"/>
        <v>3748.1440694674466</v>
      </c>
      <c r="AM388" s="22">
        <f t="shared" si="73"/>
        <v>0.19817398287866589</v>
      </c>
      <c r="AN388" s="20">
        <f t="shared" si="74"/>
        <v>19032.814069467448</v>
      </c>
      <c r="AO388" s="16">
        <f t="shared" si="75"/>
        <v>0.11653373541304242</v>
      </c>
      <c r="AP388" s="15">
        <v>7799286</v>
      </c>
      <c r="AQ388" s="18">
        <f t="shared" si="76"/>
        <v>4.9799430358112268E-2</v>
      </c>
      <c r="AR388" s="23">
        <v>46167</v>
      </c>
      <c r="AS388" s="14" t="s">
        <v>79</v>
      </c>
    </row>
    <row r="389" spans="1:45" x14ac:dyDescent="0.25">
      <c r="A389" s="14" t="s">
        <v>1325</v>
      </c>
      <c r="B389" s="14" t="s">
        <v>1326</v>
      </c>
      <c r="C389" s="14">
        <v>9362920130</v>
      </c>
      <c r="D389" s="15" t="s">
        <v>1334</v>
      </c>
      <c r="E389" s="14">
        <v>39</v>
      </c>
      <c r="F389" s="14" t="s">
        <v>89</v>
      </c>
      <c r="G389" s="14" t="s">
        <v>98</v>
      </c>
      <c r="H389" s="14" t="s">
        <v>132</v>
      </c>
      <c r="I389" s="14" t="s">
        <v>92</v>
      </c>
      <c r="J389" s="15">
        <v>1977949</v>
      </c>
      <c r="K389" s="14">
        <v>1</v>
      </c>
      <c r="L389" s="14" t="s">
        <v>76</v>
      </c>
      <c r="M389" s="14" t="s">
        <v>75</v>
      </c>
      <c r="N389" s="14" t="s">
        <v>75</v>
      </c>
      <c r="O389" s="14" t="s">
        <v>75</v>
      </c>
      <c r="P389" s="14">
        <v>476</v>
      </c>
      <c r="Q389" s="15">
        <v>164937</v>
      </c>
      <c r="R389" s="15">
        <v>45054.5</v>
      </c>
      <c r="S389" s="14" t="s">
        <v>23</v>
      </c>
      <c r="T389" s="15"/>
      <c r="U389" s="16">
        <f t="shared" si="66"/>
        <v>0.27334071808727123</v>
      </c>
      <c r="V389" s="14">
        <v>2</v>
      </c>
      <c r="W389" s="17">
        <v>97.6</v>
      </c>
      <c r="X389" s="14">
        <v>6.3</v>
      </c>
      <c r="Y389" s="18">
        <f t="shared" si="67"/>
        <v>54.2</v>
      </c>
      <c r="Z389" s="18" t="str">
        <f t="shared" si="68"/>
        <v>Medium</v>
      </c>
      <c r="AA389" s="19" t="str">
        <f t="shared" si="69"/>
        <v>Not Eligible</v>
      </c>
      <c r="AB389" s="14" t="s">
        <v>77</v>
      </c>
      <c r="AC389" s="14">
        <v>2</v>
      </c>
      <c r="AD389" s="14" t="s">
        <v>78</v>
      </c>
      <c r="AE389" s="17">
        <v>11.3</v>
      </c>
      <c r="AF389" s="15">
        <v>0</v>
      </c>
      <c r="AG389" s="20">
        <f t="shared" si="70"/>
        <v>1977949</v>
      </c>
      <c r="AH389" s="14">
        <v>1</v>
      </c>
      <c r="AI389" s="14" t="s">
        <v>75</v>
      </c>
      <c r="AJ389" s="14">
        <v>120</v>
      </c>
      <c r="AK389" s="21">
        <f t="shared" si="71"/>
        <v>0.1</v>
      </c>
      <c r="AL389" s="20">
        <f t="shared" si="72"/>
        <v>0</v>
      </c>
      <c r="AM389" s="22">
        <f t="shared" si="73"/>
        <v>0</v>
      </c>
      <c r="AN389" s="20">
        <f t="shared" si="74"/>
        <v>45054.5</v>
      </c>
      <c r="AO389" s="16">
        <f t="shared" si="75"/>
        <v>0.27334071808727123</v>
      </c>
      <c r="AP389" s="15">
        <v>7839051</v>
      </c>
      <c r="AQ389" s="18">
        <f t="shared" si="76"/>
        <v>0</v>
      </c>
      <c r="AR389" s="23">
        <v>46022</v>
      </c>
      <c r="AS389" s="14" t="s">
        <v>79</v>
      </c>
    </row>
    <row r="390" spans="1:45" x14ac:dyDescent="0.25">
      <c r="A390" s="14" t="s">
        <v>1328</v>
      </c>
      <c r="B390" s="14" t="s">
        <v>1329</v>
      </c>
      <c r="C390" s="14">
        <v>9381856258</v>
      </c>
      <c r="D390" s="15" t="s">
        <v>1337</v>
      </c>
      <c r="E390" s="14">
        <v>22</v>
      </c>
      <c r="F390" s="14" t="s">
        <v>89</v>
      </c>
      <c r="G390" s="14" t="s">
        <v>83</v>
      </c>
      <c r="H390" s="14" t="s">
        <v>144</v>
      </c>
      <c r="I390" s="14" t="s">
        <v>92</v>
      </c>
      <c r="J390" s="15">
        <v>1109633</v>
      </c>
      <c r="K390" s="14">
        <v>1</v>
      </c>
      <c r="L390" s="14" t="s">
        <v>75</v>
      </c>
      <c r="M390" s="14" t="s">
        <v>76</v>
      </c>
      <c r="N390" s="14" t="s">
        <v>75</v>
      </c>
      <c r="O390" s="14" t="s">
        <v>75</v>
      </c>
      <c r="P390" s="14">
        <v>479</v>
      </c>
      <c r="Q390" s="15"/>
      <c r="R390" s="15">
        <v>5515.1</v>
      </c>
      <c r="S390" s="14" t="s">
        <v>21</v>
      </c>
      <c r="T390" s="15">
        <v>7448218</v>
      </c>
      <c r="U390" s="16">
        <f t="shared" si="66"/>
        <v>5.9642422314404864E-2</v>
      </c>
      <c r="V390" s="14">
        <v>0</v>
      </c>
      <c r="W390" s="17">
        <v>11.2</v>
      </c>
      <c r="X390" s="14">
        <v>0.7</v>
      </c>
      <c r="Y390" s="18">
        <f t="shared" si="67"/>
        <v>31</v>
      </c>
      <c r="Z390" s="18" t="str">
        <f t="shared" si="68"/>
        <v>Medium</v>
      </c>
      <c r="AA390" s="19" t="str">
        <f t="shared" si="69"/>
        <v>Not Eligible</v>
      </c>
      <c r="AB390" s="14" t="s">
        <v>85</v>
      </c>
      <c r="AC390" s="14">
        <v>1</v>
      </c>
      <c r="AD390" s="14" t="s">
        <v>93</v>
      </c>
      <c r="AE390" s="17">
        <v>0.6</v>
      </c>
      <c r="AF390" s="15">
        <v>282658</v>
      </c>
      <c r="AG390" s="20">
        <f t="shared" si="70"/>
        <v>1392291</v>
      </c>
      <c r="AH390" s="14">
        <v>0</v>
      </c>
      <c r="AI390" s="14" t="s">
        <v>75</v>
      </c>
      <c r="AJ390" s="14">
        <v>60</v>
      </c>
      <c r="AK390" s="21">
        <f t="shared" si="71"/>
        <v>0.15500000000000003</v>
      </c>
      <c r="AL390" s="20">
        <f t="shared" si="72"/>
        <v>179153.41075732093</v>
      </c>
      <c r="AM390" s="22">
        <f t="shared" si="73"/>
        <v>6.7123256067546659</v>
      </c>
      <c r="AN390" s="20">
        <f t="shared" si="74"/>
        <v>184668.51075732094</v>
      </c>
      <c r="AO390" s="16">
        <f t="shared" si="75"/>
        <v>1.9970766272162521</v>
      </c>
      <c r="AP390" s="15">
        <v>0</v>
      </c>
      <c r="AQ390" s="18" t="str">
        <f t="shared" si="76"/>
        <v>N/A</v>
      </c>
      <c r="AR390" s="23">
        <v>46064</v>
      </c>
      <c r="AS390" s="14" t="s">
        <v>79</v>
      </c>
    </row>
    <row r="391" spans="1:45" x14ac:dyDescent="0.25">
      <c r="A391" s="14" t="s">
        <v>1331</v>
      </c>
      <c r="B391" s="14" t="s">
        <v>1332</v>
      </c>
      <c r="C391" s="14">
        <v>9489472182</v>
      </c>
      <c r="D391" s="15" t="s">
        <v>1340</v>
      </c>
      <c r="E391" s="14">
        <v>21</v>
      </c>
      <c r="F391" s="14" t="s">
        <v>71</v>
      </c>
      <c r="G391" s="14" t="s">
        <v>174</v>
      </c>
      <c r="H391" s="14" t="s">
        <v>144</v>
      </c>
      <c r="I391" s="14" t="s">
        <v>92</v>
      </c>
      <c r="J391" s="15">
        <v>2272200</v>
      </c>
      <c r="K391" s="14">
        <v>1</v>
      </c>
      <c r="L391" s="14" t="s">
        <v>75</v>
      </c>
      <c r="M391" s="14" t="s">
        <v>76</v>
      </c>
      <c r="N391" s="14" t="s">
        <v>75</v>
      </c>
      <c r="O391" s="14" t="s">
        <v>75</v>
      </c>
      <c r="P391" s="14">
        <v>850</v>
      </c>
      <c r="Q391" s="15">
        <v>1105680</v>
      </c>
      <c r="R391" s="15">
        <v>3298.74</v>
      </c>
      <c r="S391" s="14" t="s">
        <v>20</v>
      </c>
      <c r="T391" s="15"/>
      <c r="U391" s="16">
        <f t="shared" si="66"/>
        <v>1.7421388962239239E-2</v>
      </c>
      <c r="V391" s="14">
        <v>1</v>
      </c>
      <c r="W391" s="17">
        <v>74</v>
      </c>
      <c r="X391" s="14">
        <v>4.5</v>
      </c>
      <c r="Y391" s="18">
        <f t="shared" si="67"/>
        <v>15.3</v>
      </c>
      <c r="Z391" s="18" t="str">
        <f t="shared" si="68"/>
        <v>Low</v>
      </c>
      <c r="AA391" s="19" t="str">
        <f t="shared" si="69"/>
        <v>Eligible</v>
      </c>
      <c r="AB391" s="14" t="s">
        <v>85</v>
      </c>
      <c r="AC391" s="14">
        <v>3</v>
      </c>
      <c r="AD391" s="14" t="s">
        <v>93</v>
      </c>
      <c r="AE391" s="17">
        <v>0.3</v>
      </c>
      <c r="AF391" s="15">
        <v>0</v>
      </c>
      <c r="AG391" s="20">
        <f t="shared" si="70"/>
        <v>2272200</v>
      </c>
      <c r="AH391" s="14">
        <v>1</v>
      </c>
      <c r="AI391" s="14" t="s">
        <v>75</v>
      </c>
      <c r="AJ391" s="14">
        <v>36</v>
      </c>
      <c r="AK391" s="21">
        <f t="shared" si="71"/>
        <v>0.36</v>
      </c>
      <c r="AL391" s="20">
        <f t="shared" si="72"/>
        <v>0</v>
      </c>
      <c r="AM391" s="22">
        <f t="shared" si="73"/>
        <v>0</v>
      </c>
      <c r="AN391" s="20">
        <f t="shared" si="74"/>
        <v>3298.74</v>
      </c>
      <c r="AO391" s="16">
        <f t="shared" si="75"/>
        <v>1.7421388962239239E-2</v>
      </c>
      <c r="AP391" s="15">
        <v>0</v>
      </c>
      <c r="AQ391" s="18" t="str">
        <f t="shared" si="76"/>
        <v>N/A</v>
      </c>
      <c r="AR391" s="23">
        <v>46114</v>
      </c>
      <c r="AS391" s="14" t="s">
        <v>79</v>
      </c>
    </row>
    <row r="392" spans="1:45" x14ac:dyDescent="0.25">
      <c r="A392" s="14" t="s">
        <v>1335</v>
      </c>
      <c r="B392" s="14" t="s">
        <v>1336</v>
      </c>
      <c r="C392" s="14">
        <v>9437473012</v>
      </c>
      <c r="D392" s="15" t="s">
        <v>1343</v>
      </c>
      <c r="E392" s="14">
        <v>28</v>
      </c>
      <c r="F392" s="14" t="s">
        <v>71</v>
      </c>
      <c r="G392" s="14" t="s">
        <v>106</v>
      </c>
      <c r="H392" s="14" t="s">
        <v>99</v>
      </c>
      <c r="I392" s="14" t="s">
        <v>74</v>
      </c>
      <c r="J392" s="15">
        <v>1725369</v>
      </c>
      <c r="K392" s="14">
        <v>2</v>
      </c>
      <c r="L392" s="14" t="s">
        <v>76</v>
      </c>
      <c r="M392" s="14" t="s">
        <v>76</v>
      </c>
      <c r="N392" s="14" t="s">
        <v>75</v>
      </c>
      <c r="O392" s="14" t="s">
        <v>75</v>
      </c>
      <c r="P392" s="14">
        <v>637</v>
      </c>
      <c r="Q392" s="15">
        <v>313209</v>
      </c>
      <c r="R392" s="15">
        <v>41540.559999999998</v>
      </c>
      <c r="S392" s="14" t="s">
        <v>23</v>
      </c>
      <c r="T392" s="15">
        <v>207379</v>
      </c>
      <c r="U392" s="16">
        <f t="shared" si="66"/>
        <v>0.28891600579354326</v>
      </c>
      <c r="V392" s="14">
        <v>1</v>
      </c>
      <c r="W392" s="17">
        <v>28.2</v>
      </c>
      <c r="X392" s="14">
        <v>4</v>
      </c>
      <c r="Y392" s="18">
        <f t="shared" si="67"/>
        <v>33</v>
      </c>
      <c r="Z392" s="18" t="str">
        <f t="shared" si="68"/>
        <v>Medium</v>
      </c>
      <c r="AA392" s="19" t="str">
        <f t="shared" si="69"/>
        <v>Review</v>
      </c>
      <c r="AB392" s="14" t="s">
        <v>85</v>
      </c>
      <c r="AC392" s="14">
        <v>1</v>
      </c>
      <c r="AD392" s="14" t="s">
        <v>93</v>
      </c>
      <c r="AE392" s="17">
        <v>5</v>
      </c>
      <c r="AF392" s="15">
        <v>0</v>
      </c>
      <c r="AG392" s="20">
        <f t="shared" si="70"/>
        <v>1725369</v>
      </c>
      <c r="AH392" s="14">
        <v>1</v>
      </c>
      <c r="AI392" s="14" t="s">
        <v>75</v>
      </c>
      <c r="AJ392" s="14">
        <v>180</v>
      </c>
      <c r="AK392" s="21">
        <f t="shared" si="71"/>
        <v>0.1</v>
      </c>
      <c r="AL392" s="20">
        <f t="shared" si="72"/>
        <v>2228.5053470519142</v>
      </c>
      <c r="AM392" s="22">
        <f t="shared" si="73"/>
        <v>0.12019399908077634</v>
      </c>
      <c r="AN392" s="20">
        <f t="shared" si="74"/>
        <v>43769.06534705191</v>
      </c>
      <c r="AO392" s="16">
        <f t="shared" si="75"/>
        <v>0.30441533617714406</v>
      </c>
      <c r="AP392" s="15">
        <v>9537032</v>
      </c>
      <c r="AQ392" s="18">
        <f t="shared" si="76"/>
        <v>2.1744605659286872E-2</v>
      </c>
      <c r="AR392" s="23">
        <v>45908</v>
      </c>
      <c r="AS392" s="14" t="s">
        <v>79</v>
      </c>
    </row>
    <row r="393" spans="1:45" x14ac:dyDescent="0.25">
      <c r="A393" s="14" t="s">
        <v>1338</v>
      </c>
      <c r="B393" s="14" t="s">
        <v>1339</v>
      </c>
      <c r="C393" s="14">
        <v>9135262255</v>
      </c>
      <c r="D393" s="15" t="s">
        <v>1346</v>
      </c>
      <c r="E393" s="14">
        <v>40</v>
      </c>
      <c r="F393" s="14" t="s">
        <v>71</v>
      </c>
      <c r="G393" s="14" t="s">
        <v>143</v>
      </c>
      <c r="H393" s="14" t="s">
        <v>107</v>
      </c>
      <c r="I393" s="14" t="s">
        <v>92</v>
      </c>
      <c r="J393" s="15">
        <v>2144916</v>
      </c>
      <c r="K393" s="14">
        <v>2</v>
      </c>
      <c r="L393" s="14" t="s">
        <v>75</v>
      </c>
      <c r="M393" s="14" t="s">
        <v>76</v>
      </c>
      <c r="N393" s="14" t="s">
        <v>75</v>
      </c>
      <c r="O393" s="14" t="s">
        <v>76</v>
      </c>
      <c r="P393" s="14">
        <v>599</v>
      </c>
      <c r="Q393" s="15">
        <v>302911</v>
      </c>
      <c r="R393" s="15">
        <v>39488.559999999998</v>
      </c>
      <c r="S393" s="14" t="s">
        <v>21</v>
      </c>
      <c r="T393" s="15">
        <v>289431</v>
      </c>
      <c r="U393" s="16">
        <f t="shared" si="66"/>
        <v>0.22092367253542794</v>
      </c>
      <c r="V393" s="14">
        <v>4</v>
      </c>
      <c r="W393" s="17">
        <v>60.4</v>
      </c>
      <c r="X393" s="14">
        <v>2.4</v>
      </c>
      <c r="Y393" s="18">
        <f t="shared" si="67"/>
        <v>48.7</v>
      </c>
      <c r="Z393" s="18" t="str">
        <f t="shared" si="68"/>
        <v>Medium</v>
      </c>
      <c r="AA393" s="19" t="str">
        <f t="shared" si="69"/>
        <v>Review</v>
      </c>
      <c r="AB393" s="14" t="s">
        <v>85</v>
      </c>
      <c r="AC393" s="14">
        <v>1</v>
      </c>
      <c r="AD393" s="14" t="s">
        <v>93</v>
      </c>
      <c r="AE393" s="17">
        <v>16.600000000000001</v>
      </c>
      <c r="AF393" s="15">
        <v>0</v>
      </c>
      <c r="AG393" s="20">
        <f t="shared" si="70"/>
        <v>2144916</v>
      </c>
      <c r="AH393" s="14">
        <v>0</v>
      </c>
      <c r="AI393" s="14" t="s">
        <v>76</v>
      </c>
      <c r="AJ393" s="14">
        <v>36</v>
      </c>
      <c r="AK393" s="21">
        <f t="shared" si="71"/>
        <v>0.15500000000000003</v>
      </c>
      <c r="AL393" s="20">
        <f t="shared" si="72"/>
        <v>10104.233318819275</v>
      </c>
      <c r="AM393" s="22">
        <f t="shared" si="73"/>
        <v>0.13493815142411172</v>
      </c>
      <c r="AN393" s="20">
        <f t="shared" si="74"/>
        <v>49592.793318819269</v>
      </c>
      <c r="AO393" s="16">
        <f t="shared" si="75"/>
        <v>0.2774530656798827</v>
      </c>
      <c r="AP393" s="15">
        <v>0</v>
      </c>
      <c r="AQ393" s="18" t="str">
        <f t="shared" si="76"/>
        <v>N/A</v>
      </c>
      <c r="AR393" s="23">
        <v>46224</v>
      </c>
      <c r="AS393" s="14" t="s">
        <v>79</v>
      </c>
    </row>
    <row r="394" spans="1:45" x14ac:dyDescent="0.25">
      <c r="A394" s="14" t="s">
        <v>1341</v>
      </c>
      <c r="B394" s="14" t="s">
        <v>1342</v>
      </c>
      <c r="C394" s="14">
        <v>9728866304</v>
      </c>
      <c r="D394" s="15" t="s">
        <v>1350</v>
      </c>
      <c r="E394" s="14">
        <v>45</v>
      </c>
      <c r="F394" s="14" t="s">
        <v>89</v>
      </c>
      <c r="G394" s="14" t="s">
        <v>98</v>
      </c>
      <c r="H394" s="14" t="s">
        <v>144</v>
      </c>
      <c r="I394" s="14" t="s">
        <v>92</v>
      </c>
      <c r="J394" s="15">
        <v>2321874</v>
      </c>
      <c r="K394" s="14">
        <v>2</v>
      </c>
      <c r="L394" s="14" t="s">
        <v>76</v>
      </c>
      <c r="M394" s="14" t="s">
        <v>75</v>
      </c>
      <c r="N394" s="14" t="s">
        <v>76</v>
      </c>
      <c r="O394" s="14" t="s">
        <v>75</v>
      </c>
      <c r="P394" s="14">
        <v>650</v>
      </c>
      <c r="Q394" s="15">
        <v>146882.56</v>
      </c>
      <c r="R394" s="15">
        <v>12528.38</v>
      </c>
      <c r="S394" s="14" t="s">
        <v>21</v>
      </c>
      <c r="T394" s="15">
        <v>677356</v>
      </c>
      <c r="U394" s="16">
        <f t="shared" si="66"/>
        <v>6.4749663418428388E-2</v>
      </c>
      <c r="V394" s="14">
        <v>0</v>
      </c>
      <c r="W394" s="17">
        <v>78.900000000000006</v>
      </c>
      <c r="X394" s="14">
        <v>11.9</v>
      </c>
      <c r="Y394" s="18">
        <f t="shared" si="67"/>
        <v>26.5</v>
      </c>
      <c r="Z394" s="18" t="str">
        <f t="shared" si="68"/>
        <v>Low</v>
      </c>
      <c r="AA394" s="19" t="str">
        <f t="shared" si="69"/>
        <v>Eligible</v>
      </c>
      <c r="AB394" s="14" t="s">
        <v>77</v>
      </c>
      <c r="AC394" s="14">
        <v>1</v>
      </c>
      <c r="AD394" s="14" t="s">
        <v>93</v>
      </c>
      <c r="AE394" s="17">
        <v>21.9</v>
      </c>
      <c r="AF394" s="15">
        <v>0</v>
      </c>
      <c r="AG394" s="20">
        <f t="shared" si="70"/>
        <v>2321874</v>
      </c>
      <c r="AH394" s="14">
        <v>2</v>
      </c>
      <c r="AI394" s="14" t="s">
        <v>75</v>
      </c>
      <c r="AJ394" s="14">
        <v>60</v>
      </c>
      <c r="AK394" s="21">
        <f t="shared" si="71"/>
        <v>0.14000000000000001</v>
      </c>
      <c r="AL394" s="20">
        <f t="shared" si="72"/>
        <v>15760.889322337853</v>
      </c>
      <c r="AM394" s="22">
        <f t="shared" si="73"/>
        <v>0.29172814717766771</v>
      </c>
      <c r="AN394" s="20">
        <f t="shared" si="74"/>
        <v>28289.269322337852</v>
      </c>
      <c r="AO394" s="16">
        <f t="shared" si="75"/>
        <v>0.14620570791871318</v>
      </c>
      <c r="AP394" s="15">
        <v>0</v>
      </c>
      <c r="AQ394" s="18" t="str">
        <f t="shared" si="76"/>
        <v>N/A</v>
      </c>
      <c r="AR394" s="23">
        <v>46011</v>
      </c>
      <c r="AS394" s="14" t="s">
        <v>79</v>
      </c>
    </row>
    <row r="395" spans="1:45" x14ac:dyDescent="0.25">
      <c r="A395" s="14" t="s">
        <v>1344</v>
      </c>
      <c r="B395" s="14" t="s">
        <v>983</v>
      </c>
      <c r="C395" s="14"/>
      <c r="D395" s="15" t="s">
        <v>1353</v>
      </c>
      <c r="E395" s="14">
        <v>42</v>
      </c>
      <c r="F395" s="14" t="s">
        <v>71</v>
      </c>
      <c r="G395" s="14" t="s">
        <v>215</v>
      </c>
      <c r="H395" s="14" t="s">
        <v>144</v>
      </c>
      <c r="I395" s="14" t="s">
        <v>92</v>
      </c>
      <c r="J395" s="15">
        <v>633226</v>
      </c>
      <c r="K395" s="14">
        <v>1</v>
      </c>
      <c r="L395" s="14" t="s">
        <v>75</v>
      </c>
      <c r="M395" s="14" t="s">
        <v>76</v>
      </c>
      <c r="N395" s="14" t="s">
        <v>75</v>
      </c>
      <c r="O395" s="14" t="s">
        <v>75</v>
      </c>
      <c r="P395" s="14">
        <v>562</v>
      </c>
      <c r="Q395" s="15">
        <v>288442</v>
      </c>
      <c r="R395" s="15">
        <v>13170.05</v>
      </c>
      <c r="S395" s="14" t="s">
        <v>21</v>
      </c>
      <c r="T395" s="15">
        <v>416682</v>
      </c>
      <c r="U395" s="16">
        <f t="shared" si="66"/>
        <v>0.24958008673048798</v>
      </c>
      <c r="V395" s="14">
        <v>2</v>
      </c>
      <c r="W395" s="17">
        <v>48.3</v>
      </c>
      <c r="X395" s="14">
        <v>0.8</v>
      </c>
      <c r="Y395" s="18">
        <f t="shared" si="67"/>
        <v>42.9</v>
      </c>
      <c r="Z395" s="18" t="str">
        <f t="shared" si="68"/>
        <v>Medium</v>
      </c>
      <c r="AA395" s="19" t="str">
        <f t="shared" si="69"/>
        <v>Review</v>
      </c>
      <c r="AB395" s="14" t="s">
        <v>77</v>
      </c>
      <c r="AC395" s="14">
        <v>2</v>
      </c>
      <c r="AD395" s="14" t="s">
        <v>78</v>
      </c>
      <c r="AE395" s="17">
        <v>4.2</v>
      </c>
      <c r="AF395" s="15">
        <v>0</v>
      </c>
      <c r="AG395" s="20">
        <f t="shared" si="70"/>
        <v>633226</v>
      </c>
      <c r="AH395" s="14">
        <v>0</v>
      </c>
      <c r="AI395" s="14" t="s">
        <v>76</v>
      </c>
      <c r="AJ395" s="14">
        <v>60</v>
      </c>
      <c r="AK395" s="21">
        <f t="shared" si="71"/>
        <v>0.15500000000000003</v>
      </c>
      <c r="AL395" s="20">
        <f t="shared" si="72"/>
        <v>10022.531765474909</v>
      </c>
      <c r="AM395" s="22">
        <f t="shared" si="73"/>
        <v>0.65803046621585337</v>
      </c>
      <c r="AN395" s="20">
        <f t="shared" si="74"/>
        <v>23192.581765474908</v>
      </c>
      <c r="AO395" s="16">
        <f t="shared" si="75"/>
        <v>0.43951287721239951</v>
      </c>
      <c r="AP395" s="15">
        <v>0</v>
      </c>
      <c r="AQ395" s="18" t="str">
        <f t="shared" si="76"/>
        <v>N/A</v>
      </c>
      <c r="AR395" s="23">
        <v>46050</v>
      </c>
      <c r="AS395" s="14" t="s">
        <v>79</v>
      </c>
    </row>
    <row r="396" spans="1:45" x14ac:dyDescent="0.25">
      <c r="A396" s="14" t="s">
        <v>1347</v>
      </c>
      <c r="B396" s="14" t="s">
        <v>1348</v>
      </c>
      <c r="C396" s="14"/>
      <c r="D396" s="15" t="s">
        <v>1356</v>
      </c>
      <c r="E396" s="14">
        <v>51</v>
      </c>
      <c r="F396" s="14" t="s">
        <v>89</v>
      </c>
      <c r="G396" s="14" t="s">
        <v>139</v>
      </c>
      <c r="H396" s="14" t="s">
        <v>144</v>
      </c>
      <c r="I396" s="14" t="s">
        <v>92</v>
      </c>
      <c r="J396" s="15">
        <v>514256</v>
      </c>
      <c r="K396" s="14">
        <v>3</v>
      </c>
      <c r="L396" s="14" t="s">
        <v>76</v>
      </c>
      <c r="M396" s="14" t="s">
        <v>75</v>
      </c>
      <c r="N396" s="14" t="s">
        <v>76</v>
      </c>
      <c r="O396" s="14" t="s">
        <v>76</v>
      </c>
      <c r="P396" s="14">
        <v>385</v>
      </c>
      <c r="Q396" s="15"/>
      <c r="R396" s="15">
        <v>8160.14</v>
      </c>
      <c r="S396" s="14" t="s">
        <v>21</v>
      </c>
      <c r="T396" s="15">
        <v>627968</v>
      </c>
      <c r="U396" s="16">
        <f t="shared" si="66"/>
        <v>0.19041426837995085</v>
      </c>
      <c r="V396" s="14">
        <v>1</v>
      </c>
      <c r="W396" s="17">
        <v>59.1</v>
      </c>
      <c r="X396" s="14">
        <v>8.8000000000000007</v>
      </c>
      <c r="Y396" s="18">
        <f t="shared" si="67"/>
        <v>50</v>
      </c>
      <c r="Z396" s="18" t="str">
        <f t="shared" si="68"/>
        <v>Medium</v>
      </c>
      <c r="AA396" s="19" t="str">
        <f t="shared" si="69"/>
        <v>Not Eligible</v>
      </c>
      <c r="AB396" s="14" t="s">
        <v>77</v>
      </c>
      <c r="AC396" s="14">
        <v>0</v>
      </c>
      <c r="AD396" s="14" t="s">
        <v>93</v>
      </c>
      <c r="AE396" s="17">
        <v>23.4</v>
      </c>
      <c r="AF396" s="15">
        <v>754324</v>
      </c>
      <c r="AG396" s="20">
        <f t="shared" si="70"/>
        <v>1268580</v>
      </c>
      <c r="AH396" s="14">
        <v>1</v>
      </c>
      <c r="AI396" s="14" t="s">
        <v>75</v>
      </c>
      <c r="AJ396" s="14">
        <v>12</v>
      </c>
      <c r="AK396" s="21">
        <f t="shared" si="71"/>
        <v>0.15500000000000003</v>
      </c>
      <c r="AL396" s="20">
        <f t="shared" si="72"/>
        <v>56827.59766772938</v>
      </c>
      <c r="AM396" s="22">
        <f t="shared" si="73"/>
        <v>1.2211194424566754</v>
      </c>
      <c r="AN396" s="20">
        <f t="shared" si="74"/>
        <v>64987.73766772938</v>
      </c>
      <c r="AO396" s="16">
        <f t="shared" si="75"/>
        <v>1.5164681637409239</v>
      </c>
      <c r="AP396" s="15">
        <v>0</v>
      </c>
      <c r="AQ396" s="18" t="str">
        <f t="shared" si="76"/>
        <v>N/A</v>
      </c>
      <c r="AR396" s="23">
        <v>46023</v>
      </c>
      <c r="AS396" s="14" t="s">
        <v>79</v>
      </c>
    </row>
    <row r="397" spans="1:45" x14ac:dyDescent="0.25">
      <c r="A397" s="14" t="s">
        <v>1351</v>
      </c>
      <c r="B397" s="14" t="s">
        <v>1352</v>
      </c>
      <c r="C397" s="14">
        <v>9426007474</v>
      </c>
      <c r="D397" s="15" t="s">
        <v>1360</v>
      </c>
      <c r="E397" s="14">
        <v>42</v>
      </c>
      <c r="F397" s="14" t="s">
        <v>89</v>
      </c>
      <c r="G397" s="14" t="s">
        <v>314</v>
      </c>
      <c r="H397" s="14" t="s">
        <v>84</v>
      </c>
      <c r="I397" s="14" t="s">
        <v>74</v>
      </c>
      <c r="J397" s="15">
        <v>1556769</v>
      </c>
      <c r="K397" s="14">
        <v>1</v>
      </c>
      <c r="L397" s="14" t="s">
        <v>76</v>
      </c>
      <c r="M397" s="14" t="s">
        <v>75</v>
      </c>
      <c r="N397" s="14" t="s">
        <v>75</v>
      </c>
      <c r="O397" s="14" t="s">
        <v>75</v>
      </c>
      <c r="P397" s="14">
        <v>815</v>
      </c>
      <c r="Q397" s="15">
        <v>72548.22</v>
      </c>
      <c r="R397" s="15">
        <v>7211.05</v>
      </c>
      <c r="S397" s="14" t="s">
        <v>20</v>
      </c>
      <c r="T397" s="15"/>
      <c r="U397" s="16">
        <f t="shared" si="66"/>
        <v>5.5584739932514074E-2</v>
      </c>
      <c r="V397" s="14">
        <v>5</v>
      </c>
      <c r="W397" s="17">
        <v>51.3</v>
      </c>
      <c r="X397" s="14">
        <v>4.9000000000000004</v>
      </c>
      <c r="Y397" s="18">
        <f t="shared" si="67"/>
        <v>32.5</v>
      </c>
      <c r="Z397" s="18" t="str">
        <f t="shared" si="68"/>
        <v>Medium</v>
      </c>
      <c r="AA397" s="19" t="str">
        <f t="shared" si="69"/>
        <v>Not Eligible</v>
      </c>
      <c r="AB397" s="14" t="s">
        <v>161</v>
      </c>
      <c r="AC397" s="14">
        <v>1</v>
      </c>
      <c r="AD397" s="14" t="s">
        <v>78</v>
      </c>
      <c r="AE397" s="17">
        <v>1.7</v>
      </c>
      <c r="AF397" s="15">
        <v>0</v>
      </c>
      <c r="AG397" s="20">
        <f t="shared" si="70"/>
        <v>1556769</v>
      </c>
      <c r="AH397" s="14">
        <v>0</v>
      </c>
      <c r="AI397" s="14" t="s">
        <v>76</v>
      </c>
      <c r="AJ397" s="14">
        <v>36</v>
      </c>
      <c r="AK397" s="21">
        <f t="shared" si="71"/>
        <v>0.375</v>
      </c>
      <c r="AL397" s="20">
        <f t="shared" si="72"/>
        <v>0</v>
      </c>
      <c r="AM397" s="22">
        <f t="shared" si="73"/>
        <v>0</v>
      </c>
      <c r="AN397" s="20">
        <f t="shared" si="74"/>
        <v>7211.05</v>
      </c>
      <c r="AO397" s="16">
        <f t="shared" si="75"/>
        <v>5.5584739932514074E-2</v>
      </c>
      <c r="AP397" s="15">
        <v>0</v>
      </c>
      <c r="AQ397" s="18" t="str">
        <f t="shared" si="76"/>
        <v>N/A</v>
      </c>
      <c r="AR397" s="23">
        <v>46070</v>
      </c>
      <c r="AS397" s="14" t="s">
        <v>79</v>
      </c>
    </row>
    <row r="398" spans="1:45" x14ac:dyDescent="0.25">
      <c r="A398" s="14" t="s">
        <v>1354</v>
      </c>
      <c r="B398" s="14" t="s">
        <v>1355</v>
      </c>
      <c r="C398" s="14">
        <v>9572557156</v>
      </c>
      <c r="D398" s="15" t="s">
        <v>1363</v>
      </c>
      <c r="E398" s="14">
        <v>35</v>
      </c>
      <c r="F398" s="14" t="s">
        <v>71</v>
      </c>
      <c r="G398" s="14" t="s">
        <v>143</v>
      </c>
      <c r="H398" s="14" t="s">
        <v>144</v>
      </c>
      <c r="I398" s="14" t="s">
        <v>92</v>
      </c>
      <c r="J398" s="15">
        <v>1580872</v>
      </c>
      <c r="K398" s="14">
        <v>2</v>
      </c>
      <c r="L398" s="14" t="s">
        <v>76</v>
      </c>
      <c r="M398" s="14" t="s">
        <v>75</v>
      </c>
      <c r="N398" s="14" t="s">
        <v>76</v>
      </c>
      <c r="O398" s="14" t="s">
        <v>75</v>
      </c>
      <c r="P398" s="14">
        <v>515</v>
      </c>
      <c r="Q398" s="15">
        <v>130088</v>
      </c>
      <c r="R398" s="15">
        <v>25791.18</v>
      </c>
      <c r="S398" s="14" t="s">
        <v>22</v>
      </c>
      <c r="T398" s="15">
        <v>3595861</v>
      </c>
      <c r="U398" s="16">
        <f t="shared" si="66"/>
        <v>0.19577433214074261</v>
      </c>
      <c r="V398" s="14">
        <v>0</v>
      </c>
      <c r="W398" s="17">
        <v>42.6</v>
      </c>
      <c r="X398" s="14">
        <v>2.7</v>
      </c>
      <c r="Y398" s="18">
        <f t="shared" si="67"/>
        <v>35.799999999999997</v>
      </c>
      <c r="Z398" s="18" t="str">
        <f t="shared" si="68"/>
        <v>Medium</v>
      </c>
      <c r="AA398" s="19" t="str">
        <f t="shared" si="69"/>
        <v>Not Eligible</v>
      </c>
      <c r="AB398" s="14" t="s">
        <v>85</v>
      </c>
      <c r="AC398" s="14">
        <v>2</v>
      </c>
      <c r="AD398" s="14" t="s">
        <v>78</v>
      </c>
      <c r="AE398" s="17">
        <v>7.4</v>
      </c>
      <c r="AF398" s="15">
        <v>0</v>
      </c>
      <c r="AG398" s="20">
        <f t="shared" si="70"/>
        <v>1580872</v>
      </c>
      <c r="AH398" s="14">
        <v>1</v>
      </c>
      <c r="AI398" s="14" t="s">
        <v>75</v>
      </c>
      <c r="AJ398" s="14">
        <v>84</v>
      </c>
      <c r="AK398" s="21">
        <f t="shared" si="71"/>
        <v>0.105</v>
      </c>
      <c r="AL398" s="20">
        <f t="shared" si="72"/>
        <v>60628.637009224542</v>
      </c>
      <c r="AM398" s="22">
        <f t="shared" si="73"/>
        <v>2.2746060402107191</v>
      </c>
      <c r="AN398" s="20">
        <f t="shared" si="74"/>
        <v>86419.817009224542</v>
      </c>
      <c r="AO398" s="16">
        <f t="shared" si="75"/>
        <v>0.65599099997387167</v>
      </c>
      <c r="AP398" s="15">
        <v>693199</v>
      </c>
      <c r="AQ398" s="18">
        <f t="shared" si="76"/>
        <v>5.1873430284809992</v>
      </c>
      <c r="AR398" s="23">
        <v>46029</v>
      </c>
      <c r="AS398" s="14" t="s">
        <v>79</v>
      </c>
    </row>
    <row r="399" spans="1:45" x14ac:dyDescent="0.25">
      <c r="A399" s="14" t="s">
        <v>1357</v>
      </c>
      <c r="B399" s="14" t="s">
        <v>1358</v>
      </c>
      <c r="C399" s="14"/>
      <c r="D399" s="15" t="s">
        <v>1366</v>
      </c>
      <c r="E399" s="14">
        <v>40</v>
      </c>
      <c r="F399" s="14" t="s">
        <v>89</v>
      </c>
      <c r="G399" s="14" t="s">
        <v>106</v>
      </c>
      <c r="H399" s="14" t="s">
        <v>103</v>
      </c>
      <c r="I399" s="14" t="s">
        <v>74</v>
      </c>
      <c r="J399" s="15">
        <v>2186211</v>
      </c>
      <c r="K399" s="14">
        <v>2</v>
      </c>
      <c r="L399" s="14" t="s">
        <v>76</v>
      </c>
      <c r="M399" s="14" t="s">
        <v>75</v>
      </c>
      <c r="N399" s="14" t="s">
        <v>75</v>
      </c>
      <c r="O399" s="14" t="s">
        <v>76</v>
      </c>
      <c r="P399" s="14">
        <v>713</v>
      </c>
      <c r="Q399" s="15"/>
      <c r="R399" s="15">
        <v>1909.16</v>
      </c>
      <c r="S399" s="14" t="s">
        <v>22</v>
      </c>
      <c r="T399" s="15"/>
      <c r="U399" s="16">
        <f t="shared" si="66"/>
        <v>1.0479281277058803E-2</v>
      </c>
      <c r="V399" s="14">
        <v>8</v>
      </c>
      <c r="W399" s="17">
        <v>77.900000000000006</v>
      </c>
      <c r="X399" s="14">
        <v>0.5</v>
      </c>
      <c r="Y399" s="18">
        <f t="shared" si="67"/>
        <v>40.6</v>
      </c>
      <c r="Z399" s="18" t="str">
        <f t="shared" si="68"/>
        <v>Medium</v>
      </c>
      <c r="AA399" s="19" t="str">
        <f t="shared" si="69"/>
        <v>Not Eligible</v>
      </c>
      <c r="AB399" s="14" t="s">
        <v>77</v>
      </c>
      <c r="AC399" s="14">
        <v>0</v>
      </c>
      <c r="AD399" s="14" t="s">
        <v>93</v>
      </c>
      <c r="AE399" s="17">
        <v>5.8</v>
      </c>
      <c r="AF399" s="15">
        <v>0</v>
      </c>
      <c r="AG399" s="20">
        <f t="shared" si="70"/>
        <v>2186211</v>
      </c>
      <c r="AH399" s="14">
        <v>0</v>
      </c>
      <c r="AI399" s="14" t="s">
        <v>75</v>
      </c>
      <c r="AJ399" s="14">
        <v>48</v>
      </c>
      <c r="AK399" s="21">
        <f t="shared" si="71"/>
        <v>0.105</v>
      </c>
      <c r="AL399" s="20">
        <f t="shared" si="72"/>
        <v>0</v>
      </c>
      <c r="AM399" s="22">
        <f t="shared" si="73"/>
        <v>0</v>
      </c>
      <c r="AN399" s="20">
        <f t="shared" si="74"/>
        <v>1909.16</v>
      </c>
      <c r="AO399" s="16">
        <f t="shared" si="75"/>
        <v>1.0479281277058803E-2</v>
      </c>
      <c r="AP399" s="15">
        <v>689365</v>
      </c>
      <c r="AQ399" s="18">
        <f t="shared" si="76"/>
        <v>0</v>
      </c>
      <c r="AR399" s="23">
        <v>45997</v>
      </c>
      <c r="AS399" s="14" t="s">
        <v>79</v>
      </c>
    </row>
    <row r="400" spans="1:45" x14ac:dyDescent="0.25">
      <c r="A400" s="14" t="s">
        <v>1361</v>
      </c>
      <c r="B400" s="14" t="s">
        <v>1362</v>
      </c>
      <c r="C400" s="14">
        <v>9250613697</v>
      </c>
      <c r="D400" s="15" t="s">
        <v>1369</v>
      </c>
      <c r="E400" s="14">
        <v>27</v>
      </c>
      <c r="F400" s="14" t="s">
        <v>71</v>
      </c>
      <c r="G400" s="14" t="s">
        <v>131</v>
      </c>
      <c r="H400" s="14" t="s">
        <v>132</v>
      </c>
      <c r="I400" s="14" t="s">
        <v>92</v>
      </c>
      <c r="J400" s="15">
        <v>1665174</v>
      </c>
      <c r="K400" s="14">
        <v>0</v>
      </c>
      <c r="L400" s="14" t="s">
        <v>75</v>
      </c>
      <c r="M400" s="14" t="s">
        <v>75</v>
      </c>
      <c r="N400" s="14" t="s">
        <v>75</v>
      </c>
      <c r="O400" s="14" t="s">
        <v>75</v>
      </c>
      <c r="P400" s="14">
        <v>347</v>
      </c>
      <c r="Q400" s="15"/>
      <c r="R400" s="15">
        <v>3613.56</v>
      </c>
      <c r="S400" s="14" t="s">
        <v>23</v>
      </c>
      <c r="T400" s="15">
        <v>3871010</v>
      </c>
      <c r="U400" s="16">
        <f t="shared" si="66"/>
        <v>2.6040954278651961E-2</v>
      </c>
      <c r="V400" s="14">
        <v>0</v>
      </c>
      <c r="W400" s="17">
        <v>62.6</v>
      </c>
      <c r="X400" s="14">
        <v>5.8</v>
      </c>
      <c r="Y400" s="18">
        <f t="shared" si="67"/>
        <v>43.9</v>
      </c>
      <c r="Z400" s="18" t="str">
        <f t="shared" si="68"/>
        <v>Medium</v>
      </c>
      <c r="AA400" s="19" t="str">
        <f t="shared" si="69"/>
        <v>Not Eligible</v>
      </c>
      <c r="AB400" s="14" t="s">
        <v>85</v>
      </c>
      <c r="AC400" s="14">
        <v>2</v>
      </c>
      <c r="AD400" s="14" t="s">
        <v>78</v>
      </c>
      <c r="AE400" s="17">
        <v>2.4</v>
      </c>
      <c r="AF400" s="15">
        <v>0</v>
      </c>
      <c r="AG400" s="20">
        <f t="shared" si="70"/>
        <v>1665174</v>
      </c>
      <c r="AH400" s="14">
        <v>0</v>
      </c>
      <c r="AI400" s="14" t="s">
        <v>75</v>
      </c>
      <c r="AJ400" s="14">
        <v>120</v>
      </c>
      <c r="AK400" s="21">
        <f t="shared" si="71"/>
        <v>0.1</v>
      </c>
      <c r="AL400" s="20">
        <f t="shared" si="72"/>
        <v>51155.682397666824</v>
      </c>
      <c r="AM400" s="22">
        <f t="shared" si="73"/>
        <v>2.3246879905643496</v>
      </c>
      <c r="AN400" s="20">
        <f t="shared" si="74"/>
        <v>54769.242397666821</v>
      </c>
      <c r="AO400" s="16">
        <f t="shared" si="75"/>
        <v>0.39469203144656467</v>
      </c>
      <c r="AP400" s="15">
        <v>4426995</v>
      </c>
      <c r="AQ400" s="18">
        <f t="shared" si="76"/>
        <v>0.87441029411598614</v>
      </c>
      <c r="AR400" s="23">
        <v>46106</v>
      </c>
      <c r="AS400" s="14" t="s">
        <v>79</v>
      </c>
    </row>
    <row r="401" spans="1:45" x14ac:dyDescent="0.25">
      <c r="A401" s="14" t="s">
        <v>1364</v>
      </c>
      <c r="B401" s="14" t="s">
        <v>1365</v>
      </c>
      <c r="C401" s="14">
        <v>9562725525</v>
      </c>
      <c r="D401" s="15" t="s">
        <v>1373</v>
      </c>
      <c r="E401" s="14">
        <v>33</v>
      </c>
      <c r="F401" s="14" t="s">
        <v>71</v>
      </c>
      <c r="G401" s="14" t="s">
        <v>417</v>
      </c>
      <c r="H401" s="14" t="s">
        <v>91</v>
      </c>
      <c r="I401" s="14" t="s">
        <v>92</v>
      </c>
      <c r="J401" s="15">
        <v>1675069</v>
      </c>
      <c r="K401" s="14">
        <v>0</v>
      </c>
      <c r="L401" s="14" t="s">
        <v>75</v>
      </c>
      <c r="M401" s="14" t="s">
        <v>75</v>
      </c>
      <c r="N401" s="14" t="s">
        <v>75</v>
      </c>
      <c r="O401" s="14" t="s">
        <v>75</v>
      </c>
      <c r="P401" s="14">
        <v>598</v>
      </c>
      <c r="Q401" s="15">
        <v>323541</v>
      </c>
      <c r="R401" s="15">
        <v>5775.39</v>
      </c>
      <c r="S401" s="14" t="s">
        <v>20</v>
      </c>
      <c r="T401" s="15"/>
      <c r="U401" s="16">
        <f t="shared" si="66"/>
        <v>4.1374223987190983E-2</v>
      </c>
      <c r="V401" s="14">
        <v>3</v>
      </c>
      <c r="W401" s="17">
        <v>72.599999999999994</v>
      </c>
      <c r="X401" s="14">
        <v>4.8</v>
      </c>
      <c r="Y401" s="18">
        <f t="shared" si="67"/>
        <v>40.6</v>
      </c>
      <c r="Z401" s="18" t="str">
        <f t="shared" si="68"/>
        <v>Medium</v>
      </c>
      <c r="AA401" s="19" t="str">
        <f t="shared" si="69"/>
        <v>Review</v>
      </c>
      <c r="AB401" s="14" t="s">
        <v>77</v>
      </c>
      <c r="AC401" s="14">
        <v>3</v>
      </c>
      <c r="AD401" s="14" t="s">
        <v>78</v>
      </c>
      <c r="AE401" s="17">
        <v>10.6</v>
      </c>
      <c r="AF401" s="15">
        <v>501245</v>
      </c>
      <c r="AG401" s="20">
        <f t="shared" si="70"/>
        <v>2176314</v>
      </c>
      <c r="AH401" s="14">
        <v>0</v>
      </c>
      <c r="AI401" s="14" t="s">
        <v>75</v>
      </c>
      <c r="AJ401" s="14">
        <v>24</v>
      </c>
      <c r="AK401" s="21">
        <f t="shared" si="71"/>
        <v>0.375</v>
      </c>
      <c r="AL401" s="20">
        <f t="shared" si="72"/>
        <v>0</v>
      </c>
      <c r="AM401" s="22">
        <f t="shared" si="73"/>
        <v>0</v>
      </c>
      <c r="AN401" s="20">
        <f t="shared" si="74"/>
        <v>5775.39</v>
      </c>
      <c r="AO401" s="16">
        <f t="shared" si="75"/>
        <v>4.1374223987190983E-2</v>
      </c>
      <c r="AP401" s="15">
        <v>0</v>
      </c>
      <c r="AQ401" s="18" t="str">
        <f t="shared" si="76"/>
        <v>N/A</v>
      </c>
      <c r="AR401" s="23">
        <v>46025</v>
      </c>
      <c r="AS401" s="14" t="s">
        <v>79</v>
      </c>
    </row>
    <row r="402" spans="1:45" x14ac:dyDescent="0.25">
      <c r="A402" s="14" t="s">
        <v>1367</v>
      </c>
      <c r="B402" s="14" t="s">
        <v>1368</v>
      </c>
      <c r="C402" s="14">
        <v>9867622823</v>
      </c>
      <c r="D402" s="15" t="s">
        <v>1377</v>
      </c>
      <c r="E402" s="14">
        <v>48</v>
      </c>
      <c r="F402" s="14" t="s">
        <v>89</v>
      </c>
      <c r="G402" s="14" t="s">
        <v>115</v>
      </c>
      <c r="H402" s="14" t="s">
        <v>166</v>
      </c>
      <c r="I402" s="14" t="s">
        <v>74</v>
      </c>
      <c r="J402" s="15">
        <v>552859</v>
      </c>
      <c r="K402" s="14">
        <v>1</v>
      </c>
      <c r="L402" s="14" t="s">
        <v>75</v>
      </c>
      <c r="M402" s="14" t="s">
        <v>75</v>
      </c>
      <c r="N402" s="14" t="s">
        <v>76</v>
      </c>
      <c r="O402" s="14" t="s">
        <v>75</v>
      </c>
      <c r="P402" s="14">
        <v>332</v>
      </c>
      <c r="Q402" s="15">
        <v>516485</v>
      </c>
      <c r="R402" s="15">
        <v>9949.27</v>
      </c>
      <c r="S402" s="14" t="s">
        <v>23</v>
      </c>
      <c r="T402" s="15">
        <v>961308</v>
      </c>
      <c r="U402" s="16">
        <f t="shared" si="66"/>
        <v>0.21595242186524954</v>
      </c>
      <c r="V402" s="14">
        <v>1</v>
      </c>
      <c r="W402" s="17">
        <v>65.3</v>
      </c>
      <c r="X402" s="14">
        <v>11.1</v>
      </c>
      <c r="Y402" s="18">
        <f t="shared" si="67"/>
        <v>54.9</v>
      </c>
      <c r="Z402" s="18" t="str">
        <f t="shared" si="68"/>
        <v>Medium</v>
      </c>
      <c r="AA402" s="19" t="str">
        <f t="shared" si="69"/>
        <v>Not Eligible</v>
      </c>
      <c r="AB402" s="14" t="s">
        <v>85</v>
      </c>
      <c r="AC402" s="14">
        <v>4</v>
      </c>
      <c r="AD402" s="14" t="s">
        <v>93</v>
      </c>
      <c r="AE402" s="17">
        <v>14.5</v>
      </c>
      <c r="AF402" s="15">
        <v>0</v>
      </c>
      <c r="AG402" s="20">
        <f t="shared" si="70"/>
        <v>552859</v>
      </c>
      <c r="AH402" s="14">
        <v>2</v>
      </c>
      <c r="AI402" s="14" t="s">
        <v>75</v>
      </c>
      <c r="AJ402" s="14">
        <v>300</v>
      </c>
      <c r="AK402" s="21">
        <f t="shared" si="71"/>
        <v>0.1</v>
      </c>
      <c r="AL402" s="20">
        <f t="shared" si="72"/>
        <v>8735.4129629362451</v>
      </c>
      <c r="AM402" s="22">
        <f t="shared" si="73"/>
        <v>1.7387941590893881</v>
      </c>
      <c r="AN402" s="20">
        <f t="shared" si="74"/>
        <v>18684.682962936247</v>
      </c>
      <c r="AO402" s="16">
        <f t="shared" si="75"/>
        <v>0.40555764770987712</v>
      </c>
      <c r="AP402" s="15">
        <v>5042021</v>
      </c>
      <c r="AQ402" s="18">
        <f t="shared" si="76"/>
        <v>0.19065926143504758</v>
      </c>
      <c r="AR402" s="23">
        <v>45992</v>
      </c>
      <c r="AS402" s="14" t="s">
        <v>79</v>
      </c>
    </row>
    <row r="403" spans="1:45" x14ac:dyDescent="0.25">
      <c r="A403" s="14" t="s">
        <v>1370</v>
      </c>
      <c r="B403" s="14" t="s">
        <v>1371</v>
      </c>
      <c r="C403" s="14">
        <v>9894475285</v>
      </c>
      <c r="D403" s="15" t="s">
        <v>1380</v>
      </c>
      <c r="E403" s="14">
        <v>50</v>
      </c>
      <c r="F403" s="14" t="s">
        <v>89</v>
      </c>
      <c r="G403" s="14" t="s">
        <v>72</v>
      </c>
      <c r="H403" s="14" t="s">
        <v>103</v>
      </c>
      <c r="I403" s="14" t="s">
        <v>74</v>
      </c>
      <c r="J403" s="15">
        <v>606292</v>
      </c>
      <c r="K403" s="14">
        <v>1</v>
      </c>
      <c r="L403" s="14" t="s">
        <v>76</v>
      </c>
      <c r="M403" s="14" t="s">
        <v>75</v>
      </c>
      <c r="N403" s="14" t="s">
        <v>75</v>
      </c>
      <c r="O403" s="14" t="s">
        <v>75</v>
      </c>
      <c r="P403" s="14">
        <v>742</v>
      </c>
      <c r="Q403" s="15">
        <v>344501.62</v>
      </c>
      <c r="R403" s="15">
        <v>8744.34</v>
      </c>
      <c r="S403" s="14" t="s">
        <v>22</v>
      </c>
      <c r="T403" s="15">
        <v>105397</v>
      </c>
      <c r="U403" s="16">
        <f t="shared" si="66"/>
        <v>0.17307185316646104</v>
      </c>
      <c r="V403" s="14">
        <v>1</v>
      </c>
      <c r="W403" s="17">
        <v>42</v>
      </c>
      <c r="X403" s="14">
        <v>0.3</v>
      </c>
      <c r="Y403" s="18">
        <f t="shared" si="67"/>
        <v>23.9</v>
      </c>
      <c r="Z403" s="18" t="str">
        <f t="shared" si="68"/>
        <v>Low</v>
      </c>
      <c r="AA403" s="19" t="str">
        <f t="shared" si="69"/>
        <v>Eligible</v>
      </c>
      <c r="AB403" s="14" t="s">
        <v>85</v>
      </c>
      <c r="AC403" s="14">
        <v>0</v>
      </c>
      <c r="AD403" s="14" t="s">
        <v>93</v>
      </c>
      <c r="AE403" s="17">
        <v>17.100000000000001</v>
      </c>
      <c r="AF403" s="15">
        <v>0</v>
      </c>
      <c r="AG403" s="20">
        <f t="shared" si="70"/>
        <v>606292</v>
      </c>
      <c r="AH403" s="14">
        <v>0</v>
      </c>
      <c r="AI403" s="14" t="s">
        <v>75</v>
      </c>
      <c r="AJ403" s="14">
        <v>36</v>
      </c>
      <c r="AK403" s="21">
        <f t="shared" si="71"/>
        <v>0.09</v>
      </c>
      <c r="AL403" s="20">
        <f t="shared" si="72"/>
        <v>3351.5964231597686</v>
      </c>
      <c r="AM403" s="22">
        <f t="shared" si="73"/>
        <v>0.17383867839258971</v>
      </c>
      <c r="AN403" s="20">
        <f t="shared" si="74"/>
        <v>12095.936423159768</v>
      </c>
      <c r="AO403" s="16">
        <f t="shared" si="75"/>
        <v>0.23940813515256215</v>
      </c>
      <c r="AP403" s="15">
        <v>377239</v>
      </c>
      <c r="AQ403" s="18">
        <f t="shared" si="76"/>
        <v>0.27939051900784384</v>
      </c>
      <c r="AR403" s="23">
        <v>46189</v>
      </c>
      <c r="AS403" s="14" t="s">
        <v>94</v>
      </c>
    </row>
    <row r="404" spans="1:45" x14ac:dyDescent="0.25">
      <c r="A404" s="14" t="s">
        <v>1374</v>
      </c>
      <c r="B404" s="14" t="s">
        <v>1375</v>
      </c>
      <c r="C404" s="14">
        <v>9107790637</v>
      </c>
      <c r="D404" s="15" t="s">
        <v>1384</v>
      </c>
      <c r="E404" s="14">
        <v>30</v>
      </c>
      <c r="F404" s="14" t="s">
        <v>71</v>
      </c>
      <c r="G404" s="14" t="s">
        <v>72</v>
      </c>
      <c r="H404" s="14" t="s">
        <v>91</v>
      </c>
      <c r="I404" s="14" t="s">
        <v>92</v>
      </c>
      <c r="J404" s="15">
        <v>1593865</v>
      </c>
      <c r="K404" s="14">
        <v>2</v>
      </c>
      <c r="L404" s="14" t="s">
        <v>76</v>
      </c>
      <c r="M404" s="14" t="s">
        <v>76</v>
      </c>
      <c r="N404" s="14" t="s">
        <v>75</v>
      </c>
      <c r="O404" s="14" t="s">
        <v>75</v>
      </c>
      <c r="P404" s="14">
        <v>430</v>
      </c>
      <c r="Q404" s="15">
        <v>104079</v>
      </c>
      <c r="R404" s="15">
        <v>32280.32</v>
      </c>
      <c r="S404" s="14" t="s">
        <v>22</v>
      </c>
      <c r="T404" s="15">
        <v>1632959</v>
      </c>
      <c r="U404" s="16">
        <f t="shared" si="66"/>
        <v>0.24303428458495541</v>
      </c>
      <c r="V404" s="14">
        <v>5</v>
      </c>
      <c r="W404" s="17">
        <v>67.5</v>
      </c>
      <c r="X404" s="14">
        <v>3.2</v>
      </c>
      <c r="Y404" s="18">
        <f t="shared" si="67"/>
        <v>65.400000000000006</v>
      </c>
      <c r="Z404" s="18" t="str">
        <f t="shared" si="68"/>
        <v>High</v>
      </c>
      <c r="AA404" s="19" t="str">
        <f t="shared" si="69"/>
        <v>Not Eligible</v>
      </c>
      <c r="AB404" s="14" t="s">
        <v>85</v>
      </c>
      <c r="AC404" s="14">
        <v>4</v>
      </c>
      <c r="AD404" s="14" t="s">
        <v>78</v>
      </c>
      <c r="AE404" s="17">
        <v>8.3000000000000007</v>
      </c>
      <c r="AF404" s="15">
        <v>0</v>
      </c>
      <c r="AG404" s="20">
        <f t="shared" si="70"/>
        <v>1593865</v>
      </c>
      <c r="AH404" s="14">
        <v>0</v>
      </c>
      <c r="AI404" s="14" t="s">
        <v>75</v>
      </c>
      <c r="AJ404" s="14">
        <v>60</v>
      </c>
      <c r="AK404" s="21">
        <f t="shared" si="71"/>
        <v>0.12</v>
      </c>
      <c r="AL404" s="20">
        <f t="shared" si="72"/>
        <v>36324.271047089518</v>
      </c>
      <c r="AM404" s="22">
        <f t="shared" si="73"/>
        <v>1.0245277987784411</v>
      </c>
      <c r="AN404" s="20">
        <f t="shared" si="74"/>
        <v>68604.591047089518</v>
      </c>
      <c r="AO404" s="16">
        <f t="shared" si="75"/>
        <v>0.51651494484481075</v>
      </c>
      <c r="AP404" s="15">
        <v>1033043</v>
      </c>
      <c r="AQ404" s="18">
        <f t="shared" si="76"/>
        <v>1.5807270365318771</v>
      </c>
      <c r="AR404" s="23">
        <v>46087</v>
      </c>
      <c r="AS404" s="14" t="s">
        <v>79</v>
      </c>
    </row>
    <row r="405" spans="1:45" x14ac:dyDescent="0.25">
      <c r="A405" s="14" t="s">
        <v>1378</v>
      </c>
      <c r="B405" s="14" t="s">
        <v>1379</v>
      </c>
      <c r="C405" s="14"/>
      <c r="D405" s="15" t="s">
        <v>1386</v>
      </c>
      <c r="E405" s="14">
        <v>24</v>
      </c>
      <c r="F405" s="14" t="s">
        <v>89</v>
      </c>
      <c r="G405" s="14" t="s">
        <v>417</v>
      </c>
      <c r="H405" s="14" t="s">
        <v>99</v>
      </c>
      <c r="I405" s="14" t="s">
        <v>74</v>
      </c>
      <c r="J405" s="15">
        <v>1133147</v>
      </c>
      <c r="K405" s="14">
        <v>2</v>
      </c>
      <c r="L405" s="14" t="s">
        <v>76</v>
      </c>
      <c r="M405" s="14" t="s">
        <v>75</v>
      </c>
      <c r="N405" s="14" t="s">
        <v>75</v>
      </c>
      <c r="O405" s="14" t="s">
        <v>76</v>
      </c>
      <c r="P405" s="14">
        <v>479</v>
      </c>
      <c r="Q405" s="15">
        <v>194686</v>
      </c>
      <c r="R405" s="15">
        <v>7030.65</v>
      </c>
      <c r="S405" s="14" t="s">
        <v>20</v>
      </c>
      <c r="T405" s="15">
        <v>3211921</v>
      </c>
      <c r="U405" s="16">
        <f t="shared" si="66"/>
        <v>7.4454417652784669E-2</v>
      </c>
      <c r="V405" s="14">
        <v>2</v>
      </c>
      <c r="W405" s="17">
        <v>16.399999999999999</v>
      </c>
      <c r="X405" s="14">
        <v>7.4</v>
      </c>
      <c r="Y405" s="18">
        <f t="shared" si="67"/>
        <v>39.9</v>
      </c>
      <c r="Z405" s="18" t="str">
        <f t="shared" si="68"/>
        <v>Medium</v>
      </c>
      <c r="AA405" s="19" t="str">
        <f t="shared" si="69"/>
        <v>Not Eligible</v>
      </c>
      <c r="AB405" s="14" t="s">
        <v>77</v>
      </c>
      <c r="AC405" s="14">
        <v>2</v>
      </c>
      <c r="AD405" s="14" t="s">
        <v>78</v>
      </c>
      <c r="AE405" s="17">
        <v>0.8</v>
      </c>
      <c r="AF405" s="15">
        <v>0</v>
      </c>
      <c r="AG405" s="20">
        <f t="shared" si="70"/>
        <v>1133147</v>
      </c>
      <c r="AH405" s="14">
        <v>1</v>
      </c>
      <c r="AI405" s="14" t="s">
        <v>75</v>
      </c>
      <c r="AJ405" s="14">
        <v>24</v>
      </c>
      <c r="AK405" s="21">
        <f t="shared" si="71"/>
        <v>0.375</v>
      </c>
      <c r="AL405" s="20">
        <f t="shared" si="72"/>
        <v>192218.50291976138</v>
      </c>
      <c r="AM405" s="22">
        <f t="shared" si="73"/>
        <v>2.834513968620135</v>
      </c>
      <c r="AN405" s="20">
        <f t="shared" si="74"/>
        <v>199249.15291976137</v>
      </c>
      <c r="AO405" s="16">
        <f t="shared" si="75"/>
        <v>2.1100438292976431</v>
      </c>
      <c r="AP405" s="15">
        <v>0</v>
      </c>
      <c r="AQ405" s="18" t="str">
        <f t="shared" si="76"/>
        <v>N/A</v>
      </c>
      <c r="AR405" s="23">
        <v>46155</v>
      </c>
      <c r="AS405" s="14" t="s">
        <v>79</v>
      </c>
    </row>
    <row r="406" spans="1:45" x14ac:dyDescent="0.25">
      <c r="A406" s="14" t="s">
        <v>1381</v>
      </c>
      <c r="B406" s="14" t="s">
        <v>1382</v>
      </c>
      <c r="C406" s="14"/>
      <c r="D406" s="15" t="s">
        <v>1389</v>
      </c>
      <c r="E406" s="14">
        <v>46</v>
      </c>
      <c r="F406" s="14" t="s">
        <v>71</v>
      </c>
      <c r="G406" s="14" t="s">
        <v>106</v>
      </c>
      <c r="H406" s="14" t="s">
        <v>103</v>
      </c>
      <c r="I406" s="14" t="s">
        <v>74</v>
      </c>
      <c r="J406" s="15">
        <v>1600157</v>
      </c>
      <c r="K406" s="14">
        <v>0</v>
      </c>
      <c r="L406" s="14" t="s">
        <v>75</v>
      </c>
      <c r="M406" s="14" t="s">
        <v>75</v>
      </c>
      <c r="N406" s="14" t="s">
        <v>75</v>
      </c>
      <c r="O406" s="14" t="s">
        <v>75</v>
      </c>
      <c r="P406" s="14">
        <v>386</v>
      </c>
      <c r="Q406" s="15">
        <v>544648.87</v>
      </c>
      <c r="R406" s="15">
        <v>2891.1</v>
      </c>
      <c r="S406" s="14" t="s">
        <v>23</v>
      </c>
      <c r="T406" s="15">
        <v>183279</v>
      </c>
      <c r="U406" s="16">
        <f t="shared" si="66"/>
        <v>2.1681122539850776E-2</v>
      </c>
      <c r="V406" s="14">
        <v>6</v>
      </c>
      <c r="W406" s="17">
        <v>31.1</v>
      </c>
      <c r="X406" s="14">
        <v>9.8000000000000007</v>
      </c>
      <c r="Y406" s="18">
        <f t="shared" si="67"/>
        <v>58</v>
      </c>
      <c r="Z406" s="18" t="str">
        <f t="shared" si="68"/>
        <v>Medium</v>
      </c>
      <c r="AA406" s="19" t="str">
        <f t="shared" si="69"/>
        <v>Not Eligible</v>
      </c>
      <c r="AB406" s="14" t="s">
        <v>85</v>
      </c>
      <c r="AC406" s="14">
        <v>0</v>
      </c>
      <c r="AD406" s="14" t="s">
        <v>78</v>
      </c>
      <c r="AE406" s="17">
        <v>14.2</v>
      </c>
      <c r="AF406" s="15">
        <v>266819</v>
      </c>
      <c r="AG406" s="20">
        <f t="shared" si="70"/>
        <v>1866976</v>
      </c>
      <c r="AH406" s="14">
        <v>1</v>
      </c>
      <c r="AI406" s="14" t="s">
        <v>75</v>
      </c>
      <c r="AJ406" s="14">
        <v>120</v>
      </c>
      <c r="AK406" s="21">
        <f t="shared" si="71"/>
        <v>0.1</v>
      </c>
      <c r="AL406" s="20">
        <f t="shared" si="72"/>
        <v>2422.0454904952398</v>
      </c>
      <c r="AM406" s="22">
        <f t="shared" si="73"/>
        <v>0.11453813594541036</v>
      </c>
      <c r="AN406" s="20">
        <f t="shared" si="74"/>
        <v>5313.1454904952398</v>
      </c>
      <c r="AO406" s="16">
        <f t="shared" si="75"/>
        <v>3.984468141935002E-2</v>
      </c>
      <c r="AP406" s="15">
        <v>2121297</v>
      </c>
      <c r="AQ406" s="18">
        <f t="shared" si="76"/>
        <v>8.6399499928581425E-2</v>
      </c>
      <c r="AR406" s="23">
        <v>46002</v>
      </c>
      <c r="AS406" s="14" t="s">
        <v>79</v>
      </c>
    </row>
    <row r="407" spans="1:45" x14ac:dyDescent="0.25">
      <c r="A407" s="14" t="s">
        <v>1385</v>
      </c>
      <c r="B407" s="14" t="s">
        <v>528</v>
      </c>
      <c r="C407" s="14">
        <v>9253110789</v>
      </c>
      <c r="D407" s="15" t="s">
        <v>1392</v>
      </c>
      <c r="E407" s="14">
        <v>31</v>
      </c>
      <c r="F407" s="14" t="s">
        <v>89</v>
      </c>
      <c r="G407" s="14" t="s">
        <v>98</v>
      </c>
      <c r="H407" s="14" t="s">
        <v>132</v>
      </c>
      <c r="I407" s="14" t="s">
        <v>92</v>
      </c>
      <c r="J407" s="15">
        <v>2475164</v>
      </c>
      <c r="K407" s="14">
        <v>0</v>
      </c>
      <c r="L407" s="14" t="s">
        <v>75</v>
      </c>
      <c r="M407" s="14" t="s">
        <v>75</v>
      </c>
      <c r="N407" s="14" t="s">
        <v>75</v>
      </c>
      <c r="O407" s="14" t="s">
        <v>75</v>
      </c>
      <c r="P407" s="14">
        <v>412</v>
      </c>
      <c r="Q407" s="15"/>
      <c r="R407" s="15">
        <v>14975.82</v>
      </c>
      <c r="S407" s="14" t="s">
        <v>23</v>
      </c>
      <c r="T407" s="15">
        <v>576209</v>
      </c>
      <c r="U407" s="16">
        <f t="shared" si="66"/>
        <v>7.2605225350724237E-2</v>
      </c>
      <c r="V407" s="14">
        <v>0</v>
      </c>
      <c r="W407" s="17">
        <v>64.400000000000006</v>
      </c>
      <c r="X407" s="14">
        <v>13.7</v>
      </c>
      <c r="Y407" s="18">
        <f t="shared" si="67"/>
        <v>41.2</v>
      </c>
      <c r="Z407" s="18" t="str">
        <f t="shared" si="68"/>
        <v>Medium</v>
      </c>
      <c r="AA407" s="19" t="str">
        <f t="shared" si="69"/>
        <v>Not Eligible</v>
      </c>
      <c r="AB407" s="14" t="s">
        <v>85</v>
      </c>
      <c r="AC407" s="14">
        <v>1</v>
      </c>
      <c r="AD407" s="14" t="s">
        <v>93</v>
      </c>
      <c r="AE407" s="17">
        <v>3.5</v>
      </c>
      <c r="AF407" s="15">
        <v>0</v>
      </c>
      <c r="AG407" s="20">
        <f t="shared" si="70"/>
        <v>2475164</v>
      </c>
      <c r="AH407" s="14">
        <v>0</v>
      </c>
      <c r="AI407" s="14" t="s">
        <v>75</v>
      </c>
      <c r="AJ407" s="14">
        <v>300</v>
      </c>
      <c r="AK407" s="21">
        <f t="shared" si="71"/>
        <v>0.1</v>
      </c>
      <c r="AL407" s="20">
        <f t="shared" si="72"/>
        <v>5236.0154788689269</v>
      </c>
      <c r="AM407" s="22">
        <f t="shared" si="73"/>
        <v>0.23279629147805964</v>
      </c>
      <c r="AN407" s="20">
        <f t="shared" si="74"/>
        <v>20211.835478868925</v>
      </c>
      <c r="AO407" s="16">
        <f t="shared" si="75"/>
        <v>9.7990284985733103E-2</v>
      </c>
      <c r="AP407" s="15">
        <v>3731047</v>
      </c>
      <c r="AQ407" s="18">
        <f t="shared" si="76"/>
        <v>0.15443627485796882</v>
      </c>
      <c r="AR407" s="23">
        <v>46088</v>
      </c>
      <c r="AS407" s="14" t="s">
        <v>79</v>
      </c>
    </row>
    <row r="408" spans="1:45" x14ac:dyDescent="0.25">
      <c r="A408" s="14" t="s">
        <v>1387</v>
      </c>
      <c r="B408" s="14" t="s">
        <v>1388</v>
      </c>
      <c r="C408" s="14">
        <v>9526021671</v>
      </c>
      <c r="D408" s="15" t="s">
        <v>1395</v>
      </c>
      <c r="E408" s="14">
        <v>21</v>
      </c>
      <c r="F408" s="14" t="s">
        <v>89</v>
      </c>
      <c r="G408" s="14" t="s">
        <v>131</v>
      </c>
      <c r="H408" s="14" t="s">
        <v>73</v>
      </c>
      <c r="I408" s="14" t="s">
        <v>74</v>
      </c>
      <c r="J408" s="15">
        <v>2061116</v>
      </c>
      <c r="K408" s="14">
        <v>1</v>
      </c>
      <c r="L408" s="14" t="s">
        <v>75</v>
      </c>
      <c r="M408" s="14" t="s">
        <v>76</v>
      </c>
      <c r="N408" s="14" t="s">
        <v>75</v>
      </c>
      <c r="O408" s="14" t="s">
        <v>75</v>
      </c>
      <c r="P408" s="14">
        <v>849</v>
      </c>
      <c r="Q408" s="15">
        <v>49284</v>
      </c>
      <c r="R408" s="15">
        <v>10892.98</v>
      </c>
      <c r="S408" s="14" t="s">
        <v>20</v>
      </c>
      <c r="T408" s="15"/>
      <c r="U408" s="16">
        <f t="shared" si="66"/>
        <v>6.3419894853079598E-2</v>
      </c>
      <c r="V408" s="14">
        <v>1</v>
      </c>
      <c r="W408" s="17">
        <v>90.5</v>
      </c>
      <c r="X408" s="14">
        <v>4</v>
      </c>
      <c r="Y408" s="18">
        <f t="shared" si="67"/>
        <v>18.399999999999999</v>
      </c>
      <c r="Z408" s="18" t="str">
        <f t="shared" si="68"/>
        <v>Low</v>
      </c>
      <c r="AA408" s="19" t="str">
        <f t="shared" si="69"/>
        <v>Eligible</v>
      </c>
      <c r="AB408" s="14" t="s">
        <v>85</v>
      </c>
      <c r="AC408" s="14">
        <v>2</v>
      </c>
      <c r="AD408" s="14" t="s">
        <v>194</v>
      </c>
      <c r="AE408" s="17">
        <v>0.3</v>
      </c>
      <c r="AF408" s="15">
        <v>0</v>
      </c>
      <c r="AG408" s="20">
        <f t="shared" si="70"/>
        <v>2061116</v>
      </c>
      <c r="AH408" s="14">
        <v>0</v>
      </c>
      <c r="AI408" s="14" t="s">
        <v>75</v>
      </c>
      <c r="AJ408" s="14">
        <v>18</v>
      </c>
      <c r="AK408" s="21">
        <f t="shared" si="71"/>
        <v>0.36</v>
      </c>
      <c r="AL408" s="20">
        <f t="shared" si="72"/>
        <v>0</v>
      </c>
      <c r="AM408" s="22">
        <f t="shared" si="73"/>
        <v>0</v>
      </c>
      <c r="AN408" s="20">
        <f t="shared" si="74"/>
        <v>10892.98</v>
      </c>
      <c r="AO408" s="16">
        <f t="shared" si="75"/>
        <v>6.3419894853079598E-2</v>
      </c>
      <c r="AP408" s="15">
        <v>0</v>
      </c>
      <c r="AQ408" s="18" t="str">
        <f t="shared" si="76"/>
        <v>N/A</v>
      </c>
      <c r="AR408" s="23">
        <v>45959</v>
      </c>
      <c r="AS408" s="14" t="s">
        <v>79</v>
      </c>
    </row>
    <row r="409" spans="1:45" x14ac:dyDescent="0.25">
      <c r="A409" s="14" t="s">
        <v>1390</v>
      </c>
      <c r="B409" s="14" t="s">
        <v>909</v>
      </c>
      <c r="C409" s="14">
        <v>9939617000</v>
      </c>
      <c r="D409" s="15" t="s">
        <v>1398</v>
      </c>
      <c r="E409" s="14">
        <v>27</v>
      </c>
      <c r="F409" s="14" t="s">
        <v>89</v>
      </c>
      <c r="G409" s="14" t="s">
        <v>143</v>
      </c>
      <c r="H409" s="14" t="s">
        <v>73</v>
      </c>
      <c r="I409" s="14" t="s">
        <v>74</v>
      </c>
      <c r="J409" s="15">
        <v>1347648</v>
      </c>
      <c r="K409" s="14">
        <v>2</v>
      </c>
      <c r="L409" s="14" t="s">
        <v>76</v>
      </c>
      <c r="M409" s="14" t="s">
        <v>76</v>
      </c>
      <c r="N409" s="14" t="s">
        <v>75</v>
      </c>
      <c r="O409" s="14" t="s">
        <v>75</v>
      </c>
      <c r="P409" s="14">
        <v>773</v>
      </c>
      <c r="Q409" s="15">
        <v>52796.52</v>
      </c>
      <c r="R409" s="15">
        <v>12009.45</v>
      </c>
      <c r="S409" s="14" t="s">
        <v>22</v>
      </c>
      <c r="T409" s="15">
        <v>1249097</v>
      </c>
      <c r="U409" s="16">
        <f t="shared" si="66"/>
        <v>0.10693697464026217</v>
      </c>
      <c r="V409" s="14">
        <v>0</v>
      </c>
      <c r="W409" s="17">
        <v>40.6</v>
      </c>
      <c r="X409" s="14">
        <v>2.2999999999999998</v>
      </c>
      <c r="Y409" s="18">
        <f t="shared" si="67"/>
        <v>15.7</v>
      </c>
      <c r="Z409" s="18" t="str">
        <f t="shared" si="68"/>
        <v>Low</v>
      </c>
      <c r="AA409" s="19" t="str">
        <f t="shared" si="69"/>
        <v>Eligible</v>
      </c>
      <c r="AB409" s="14" t="s">
        <v>77</v>
      </c>
      <c r="AC409" s="14">
        <v>3</v>
      </c>
      <c r="AD409" s="14" t="s">
        <v>93</v>
      </c>
      <c r="AE409" s="17">
        <v>4.9000000000000004</v>
      </c>
      <c r="AF409" s="15">
        <v>0</v>
      </c>
      <c r="AG409" s="20">
        <f t="shared" si="70"/>
        <v>1347648</v>
      </c>
      <c r="AH409" s="14">
        <v>1</v>
      </c>
      <c r="AI409" s="14" t="s">
        <v>76</v>
      </c>
      <c r="AJ409" s="14">
        <v>24</v>
      </c>
      <c r="AK409" s="21">
        <f t="shared" si="71"/>
        <v>0.09</v>
      </c>
      <c r="AL409" s="20">
        <f t="shared" si="72"/>
        <v>57064.674526688279</v>
      </c>
      <c r="AM409" s="22">
        <f t="shared" si="73"/>
        <v>0.92687185377784109</v>
      </c>
      <c r="AN409" s="20">
        <f t="shared" si="74"/>
        <v>69074.124526688276</v>
      </c>
      <c r="AO409" s="16">
        <f t="shared" si="75"/>
        <v>0.61506379582818316</v>
      </c>
      <c r="AP409" s="15">
        <v>621494</v>
      </c>
      <c r="AQ409" s="18">
        <f t="shared" si="76"/>
        <v>2.0098295397863857</v>
      </c>
      <c r="AR409" s="23">
        <v>45912</v>
      </c>
      <c r="AS409" s="14" t="s">
        <v>79</v>
      </c>
    </row>
    <row r="410" spans="1:45" x14ac:dyDescent="0.25">
      <c r="A410" s="14" t="s">
        <v>1393</v>
      </c>
      <c r="B410" s="14" t="s">
        <v>1394</v>
      </c>
      <c r="C410" s="14">
        <v>9745250434</v>
      </c>
      <c r="D410" s="15" t="s">
        <v>1401</v>
      </c>
      <c r="E410" s="14">
        <v>57</v>
      </c>
      <c r="F410" s="14" t="s">
        <v>89</v>
      </c>
      <c r="G410" s="14" t="s">
        <v>115</v>
      </c>
      <c r="H410" s="14" t="s">
        <v>103</v>
      </c>
      <c r="I410" s="14" t="s">
        <v>74</v>
      </c>
      <c r="J410" s="15">
        <v>1087473</v>
      </c>
      <c r="K410" s="14">
        <v>0</v>
      </c>
      <c r="L410" s="14" t="s">
        <v>75</v>
      </c>
      <c r="M410" s="14" t="s">
        <v>75</v>
      </c>
      <c r="N410" s="14" t="s">
        <v>75</v>
      </c>
      <c r="O410" s="14" t="s">
        <v>75</v>
      </c>
      <c r="P410" s="14">
        <v>519</v>
      </c>
      <c r="Q410" s="15"/>
      <c r="R410" s="15">
        <v>1760.13</v>
      </c>
      <c r="S410" s="14" t="s">
        <v>23</v>
      </c>
      <c r="T410" s="15">
        <v>934199</v>
      </c>
      <c r="U410" s="16">
        <f t="shared" si="66"/>
        <v>1.9422606354364661E-2</v>
      </c>
      <c r="V410" s="14">
        <v>2</v>
      </c>
      <c r="W410" s="17">
        <v>67.3</v>
      </c>
      <c r="X410" s="14">
        <v>7.8</v>
      </c>
      <c r="Y410" s="18">
        <f t="shared" si="67"/>
        <v>40.700000000000003</v>
      </c>
      <c r="Z410" s="18" t="str">
        <f t="shared" si="68"/>
        <v>Medium</v>
      </c>
      <c r="AA410" s="19" t="str">
        <f t="shared" si="69"/>
        <v>Not Eligible</v>
      </c>
      <c r="AB410" s="14" t="s">
        <v>85</v>
      </c>
      <c r="AC410" s="14">
        <v>4</v>
      </c>
      <c r="AD410" s="14" t="s">
        <v>78</v>
      </c>
      <c r="AE410" s="17">
        <v>10.4</v>
      </c>
      <c r="AF410" s="15">
        <v>0</v>
      </c>
      <c r="AG410" s="20">
        <f t="shared" si="70"/>
        <v>1087473</v>
      </c>
      <c r="AH410" s="14">
        <v>1</v>
      </c>
      <c r="AI410" s="14" t="s">
        <v>75</v>
      </c>
      <c r="AJ410" s="14">
        <v>120</v>
      </c>
      <c r="AK410" s="21">
        <f t="shared" si="71"/>
        <v>0.1</v>
      </c>
      <c r="AL410" s="20">
        <f t="shared" si="72"/>
        <v>12345.508624420485</v>
      </c>
      <c r="AM410" s="22">
        <f t="shared" si="73"/>
        <v>0.85905489147776537</v>
      </c>
      <c r="AN410" s="20">
        <f t="shared" si="74"/>
        <v>14105.638624420484</v>
      </c>
      <c r="AO410" s="16">
        <f t="shared" si="75"/>
        <v>0.15565229067116684</v>
      </c>
      <c r="AP410" s="15">
        <v>3277149</v>
      </c>
      <c r="AQ410" s="18">
        <f t="shared" si="76"/>
        <v>0.28506454848406343</v>
      </c>
      <c r="AR410" s="23">
        <v>46070</v>
      </c>
      <c r="AS410" s="14" t="s">
        <v>79</v>
      </c>
    </row>
    <row r="411" spans="1:45" x14ac:dyDescent="0.25">
      <c r="A411" s="14" t="s">
        <v>1396</v>
      </c>
      <c r="B411" s="14" t="s">
        <v>1291</v>
      </c>
      <c r="C411" s="14">
        <v>9246157602</v>
      </c>
      <c r="D411" s="15" t="s">
        <v>1404</v>
      </c>
      <c r="E411" s="14">
        <v>62</v>
      </c>
      <c r="F411" s="14" t="s">
        <v>71</v>
      </c>
      <c r="G411" s="14" t="s">
        <v>83</v>
      </c>
      <c r="H411" s="14" t="s">
        <v>132</v>
      </c>
      <c r="I411" s="14" t="s">
        <v>92</v>
      </c>
      <c r="J411" s="15">
        <v>696712</v>
      </c>
      <c r="K411" s="14">
        <v>2</v>
      </c>
      <c r="L411" s="14" t="s">
        <v>76</v>
      </c>
      <c r="M411" s="14" t="s">
        <v>75</v>
      </c>
      <c r="N411" s="14" t="s">
        <v>76</v>
      </c>
      <c r="O411" s="14" t="s">
        <v>75</v>
      </c>
      <c r="P411" s="14">
        <v>602</v>
      </c>
      <c r="Q411" s="15">
        <v>135277.64000000001</v>
      </c>
      <c r="R411" s="15">
        <v>1552.84</v>
      </c>
      <c r="S411" s="14" t="s">
        <v>22</v>
      </c>
      <c r="T411" s="15">
        <v>851733</v>
      </c>
      <c r="U411" s="16">
        <f t="shared" si="66"/>
        <v>2.6745742860751643E-2</v>
      </c>
      <c r="V411" s="14">
        <v>0</v>
      </c>
      <c r="W411" s="17">
        <v>98.5</v>
      </c>
      <c r="X411" s="14">
        <v>1.4</v>
      </c>
      <c r="Y411" s="18">
        <f t="shared" si="67"/>
        <v>30.5</v>
      </c>
      <c r="Z411" s="18" t="str">
        <f t="shared" si="68"/>
        <v>Medium</v>
      </c>
      <c r="AA411" s="19" t="str">
        <f t="shared" si="69"/>
        <v>Review</v>
      </c>
      <c r="AB411" s="14" t="s">
        <v>77</v>
      </c>
      <c r="AC411" s="14">
        <v>2</v>
      </c>
      <c r="AD411" s="14" t="s">
        <v>78</v>
      </c>
      <c r="AE411" s="17">
        <v>28.3</v>
      </c>
      <c r="AF411" s="15">
        <v>0</v>
      </c>
      <c r="AG411" s="20">
        <f t="shared" si="70"/>
        <v>696712</v>
      </c>
      <c r="AH411" s="14">
        <v>0</v>
      </c>
      <c r="AI411" s="14" t="s">
        <v>75</v>
      </c>
      <c r="AJ411" s="14">
        <v>36</v>
      </c>
      <c r="AK411" s="21">
        <f t="shared" si="71"/>
        <v>0.105</v>
      </c>
      <c r="AL411" s="20">
        <f t="shared" si="72"/>
        <v>27683.403713577514</v>
      </c>
      <c r="AM411" s="22">
        <f t="shared" si="73"/>
        <v>1.2225037031083146</v>
      </c>
      <c r="AN411" s="20">
        <f t="shared" si="74"/>
        <v>29236.243713577514</v>
      </c>
      <c r="AO411" s="16">
        <f t="shared" si="75"/>
        <v>0.50355803339533434</v>
      </c>
      <c r="AP411" s="15">
        <v>1505390</v>
      </c>
      <c r="AQ411" s="18">
        <f t="shared" si="76"/>
        <v>0.5657889317718332</v>
      </c>
      <c r="AR411" s="23">
        <v>45996</v>
      </c>
      <c r="AS411" s="14" t="s">
        <v>79</v>
      </c>
    </row>
    <row r="412" spans="1:45" x14ac:dyDescent="0.25">
      <c r="A412" s="14" t="s">
        <v>1399</v>
      </c>
      <c r="B412" s="14" t="s">
        <v>1400</v>
      </c>
      <c r="C412" s="14"/>
      <c r="D412" s="15" t="s">
        <v>1407</v>
      </c>
      <c r="E412" s="14">
        <v>57</v>
      </c>
      <c r="F412" s="14" t="s">
        <v>71</v>
      </c>
      <c r="G412" s="14" t="s">
        <v>83</v>
      </c>
      <c r="H412" s="14" t="s">
        <v>103</v>
      </c>
      <c r="I412" s="14" t="s">
        <v>74</v>
      </c>
      <c r="J412" s="15">
        <v>1266466</v>
      </c>
      <c r="K412" s="14">
        <v>2</v>
      </c>
      <c r="L412" s="14" t="s">
        <v>75</v>
      </c>
      <c r="M412" s="14" t="s">
        <v>75</v>
      </c>
      <c r="N412" s="14" t="s">
        <v>76</v>
      </c>
      <c r="O412" s="14" t="s">
        <v>76</v>
      </c>
      <c r="P412" s="14">
        <v>469</v>
      </c>
      <c r="Q412" s="15">
        <v>282242.09999999998</v>
      </c>
      <c r="R412" s="15">
        <v>9459.8700000000008</v>
      </c>
      <c r="S412" s="14" t="s">
        <v>21</v>
      </c>
      <c r="T412" s="15"/>
      <c r="U412" s="16">
        <f t="shared" si="66"/>
        <v>8.9634020968585026E-2</v>
      </c>
      <c r="V412" s="14">
        <v>5</v>
      </c>
      <c r="W412" s="17">
        <v>73</v>
      </c>
      <c r="X412" s="14">
        <v>8.1999999999999993</v>
      </c>
      <c r="Y412" s="18">
        <f t="shared" si="67"/>
        <v>58.7</v>
      </c>
      <c r="Z412" s="18" t="str">
        <f t="shared" si="68"/>
        <v>Medium</v>
      </c>
      <c r="AA412" s="19" t="str">
        <f t="shared" si="69"/>
        <v>Not Eligible</v>
      </c>
      <c r="AB412" s="14" t="s">
        <v>161</v>
      </c>
      <c r="AC412" s="14">
        <v>1</v>
      </c>
      <c r="AD412" s="14" t="s">
        <v>78</v>
      </c>
      <c r="AE412" s="17">
        <v>1.8</v>
      </c>
      <c r="AF412" s="15">
        <v>0</v>
      </c>
      <c r="AG412" s="20">
        <f t="shared" si="70"/>
        <v>1266466</v>
      </c>
      <c r="AH412" s="14">
        <v>0</v>
      </c>
      <c r="AI412" s="14" t="s">
        <v>75</v>
      </c>
      <c r="AJ412" s="14">
        <v>60</v>
      </c>
      <c r="AK412" s="21">
        <f t="shared" si="71"/>
        <v>0.15500000000000003</v>
      </c>
      <c r="AL412" s="20">
        <f t="shared" si="72"/>
        <v>0</v>
      </c>
      <c r="AM412" s="22">
        <f t="shared" si="73"/>
        <v>0</v>
      </c>
      <c r="AN412" s="20">
        <f t="shared" si="74"/>
        <v>9459.8700000000008</v>
      </c>
      <c r="AO412" s="16">
        <f t="shared" si="75"/>
        <v>8.9634020968585026E-2</v>
      </c>
      <c r="AP412" s="15">
        <v>0</v>
      </c>
      <c r="AQ412" s="18" t="str">
        <f t="shared" si="76"/>
        <v>N/A</v>
      </c>
      <c r="AR412" s="23">
        <v>46110</v>
      </c>
      <c r="AS412" s="14" t="s">
        <v>79</v>
      </c>
    </row>
    <row r="413" spans="1:45" x14ac:dyDescent="0.25">
      <c r="A413" s="14" t="s">
        <v>1402</v>
      </c>
      <c r="B413" s="14" t="s">
        <v>1403</v>
      </c>
      <c r="C413" s="14">
        <v>9728115961</v>
      </c>
      <c r="D413" s="15" t="s">
        <v>1411</v>
      </c>
      <c r="E413" s="14">
        <v>21</v>
      </c>
      <c r="F413" s="14" t="s">
        <v>71</v>
      </c>
      <c r="G413" s="14" t="s">
        <v>215</v>
      </c>
      <c r="H413" s="14" t="s">
        <v>144</v>
      </c>
      <c r="I413" s="14" t="s">
        <v>92</v>
      </c>
      <c r="J413" s="15">
        <v>1606967</v>
      </c>
      <c r="K413" s="14">
        <v>2</v>
      </c>
      <c r="L413" s="14" t="s">
        <v>76</v>
      </c>
      <c r="M413" s="14" t="s">
        <v>75</v>
      </c>
      <c r="N413" s="14" t="s">
        <v>75</v>
      </c>
      <c r="O413" s="14" t="s">
        <v>76</v>
      </c>
      <c r="P413" s="14">
        <v>720</v>
      </c>
      <c r="Q413" s="15"/>
      <c r="R413" s="15">
        <v>3220.9</v>
      </c>
      <c r="S413" s="14" t="s">
        <v>21</v>
      </c>
      <c r="T413" s="15"/>
      <c r="U413" s="16">
        <f t="shared" si="66"/>
        <v>2.405201849197899E-2</v>
      </c>
      <c r="V413" s="14">
        <v>8</v>
      </c>
      <c r="W413" s="17">
        <v>97.8</v>
      </c>
      <c r="X413" s="14">
        <v>14.7</v>
      </c>
      <c r="Y413" s="18">
        <f t="shared" si="67"/>
        <v>42.5</v>
      </c>
      <c r="Z413" s="18" t="str">
        <f t="shared" si="68"/>
        <v>Medium</v>
      </c>
      <c r="AA413" s="19" t="str">
        <f t="shared" si="69"/>
        <v>Not Eligible</v>
      </c>
      <c r="AB413" s="14" t="s">
        <v>85</v>
      </c>
      <c r="AC413" s="14">
        <v>0</v>
      </c>
      <c r="AD413" s="14" t="s">
        <v>78</v>
      </c>
      <c r="AE413" s="17">
        <v>0.3</v>
      </c>
      <c r="AF413" s="15">
        <v>0</v>
      </c>
      <c r="AG413" s="20">
        <f t="shared" si="70"/>
        <v>1606967</v>
      </c>
      <c r="AH413" s="14">
        <v>0</v>
      </c>
      <c r="AI413" s="14" t="s">
        <v>75</v>
      </c>
      <c r="AJ413" s="14">
        <v>24</v>
      </c>
      <c r="AK413" s="21">
        <f t="shared" si="71"/>
        <v>0.15500000000000003</v>
      </c>
      <c r="AL413" s="20">
        <f t="shared" si="72"/>
        <v>0</v>
      </c>
      <c r="AM413" s="22">
        <f t="shared" si="73"/>
        <v>0</v>
      </c>
      <c r="AN413" s="20">
        <f t="shared" si="74"/>
        <v>3220.9</v>
      </c>
      <c r="AO413" s="16">
        <f t="shared" si="75"/>
        <v>2.405201849197899E-2</v>
      </c>
      <c r="AP413" s="15">
        <v>0</v>
      </c>
      <c r="AQ413" s="18" t="str">
        <f t="shared" si="76"/>
        <v>N/A</v>
      </c>
      <c r="AR413" s="23">
        <v>46036</v>
      </c>
      <c r="AS413" s="14" t="s">
        <v>79</v>
      </c>
    </row>
    <row r="414" spans="1:45" x14ac:dyDescent="0.25">
      <c r="A414" s="14" t="s">
        <v>1405</v>
      </c>
      <c r="B414" s="14" t="s">
        <v>1406</v>
      </c>
      <c r="C414" s="14">
        <v>9631476522</v>
      </c>
      <c r="D414" s="15" t="s">
        <v>1413</v>
      </c>
      <c r="E414" s="14">
        <v>64</v>
      </c>
      <c r="F414" s="14" t="s">
        <v>71</v>
      </c>
      <c r="G414" s="14" t="s">
        <v>388</v>
      </c>
      <c r="H414" s="14" t="s">
        <v>107</v>
      </c>
      <c r="I414" s="14" t="s">
        <v>92</v>
      </c>
      <c r="J414" s="15">
        <v>897304</v>
      </c>
      <c r="K414" s="14">
        <v>2</v>
      </c>
      <c r="L414" s="14" t="s">
        <v>75</v>
      </c>
      <c r="M414" s="14" t="s">
        <v>75</v>
      </c>
      <c r="N414" s="14" t="s">
        <v>76</v>
      </c>
      <c r="O414" s="14" t="s">
        <v>76</v>
      </c>
      <c r="P414" s="14">
        <v>618</v>
      </c>
      <c r="Q414" s="15"/>
      <c r="R414" s="15">
        <v>5427.73</v>
      </c>
      <c r="S414" s="14" t="s">
        <v>23</v>
      </c>
      <c r="T414" s="15">
        <v>321793</v>
      </c>
      <c r="U414" s="16">
        <f t="shared" si="66"/>
        <v>7.2587172240400122E-2</v>
      </c>
      <c r="V414" s="14">
        <v>2</v>
      </c>
      <c r="W414" s="17">
        <v>33.4</v>
      </c>
      <c r="X414" s="14">
        <v>2</v>
      </c>
      <c r="Y414" s="18">
        <f t="shared" si="67"/>
        <v>32.299999999999997</v>
      </c>
      <c r="Z414" s="18" t="str">
        <f t="shared" si="68"/>
        <v>Medium</v>
      </c>
      <c r="AA414" s="19" t="str">
        <f t="shared" si="69"/>
        <v>Review</v>
      </c>
      <c r="AB414" s="14" t="s">
        <v>77</v>
      </c>
      <c r="AC414" s="14">
        <v>1</v>
      </c>
      <c r="AD414" s="14" t="s">
        <v>78</v>
      </c>
      <c r="AE414" s="17">
        <v>29.4</v>
      </c>
      <c r="AF414" s="15">
        <v>0</v>
      </c>
      <c r="AG414" s="20">
        <f t="shared" si="70"/>
        <v>897304</v>
      </c>
      <c r="AH414" s="14">
        <v>0</v>
      </c>
      <c r="AI414" s="14" t="s">
        <v>75</v>
      </c>
      <c r="AJ414" s="14">
        <v>120</v>
      </c>
      <c r="AK414" s="21">
        <f t="shared" si="71"/>
        <v>0.1</v>
      </c>
      <c r="AL414" s="20">
        <f t="shared" si="72"/>
        <v>4252.5182073392734</v>
      </c>
      <c r="AM414" s="22">
        <f t="shared" si="73"/>
        <v>0.35862205005215625</v>
      </c>
      <c r="AN414" s="20">
        <f t="shared" si="74"/>
        <v>9680.248207339273</v>
      </c>
      <c r="AO414" s="16">
        <f t="shared" si="75"/>
        <v>0.12945777405212869</v>
      </c>
      <c r="AP414" s="15">
        <v>4293651</v>
      </c>
      <c r="AQ414" s="18">
        <f t="shared" si="76"/>
        <v>7.4946240390753691E-2</v>
      </c>
      <c r="AR414" s="23">
        <v>46025</v>
      </c>
      <c r="AS414" s="14" t="s">
        <v>79</v>
      </c>
    </row>
    <row r="415" spans="1:45" x14ac:dyDescent="0.25">
      <c r="A415" s="14" t="s">
        <v>1408</v>
      </c>
      <c r="B415" s="14" t="s">
        <v>1409</v>
      </c>
      <c r="C415" s="14">
        <v>9528093064</v>
      </c>
      <c r="D415" s="15" t="s">
        <v>1417</v>
      </c>
      <c r="E415" s="14">
        <v>39</v>
      </c>
      <c r="F415" s="14" t="s">
        <v>71</v>
      </c>
      <c r="G415" s="14" t="s">
        <v>314</v>
      </c>
      <c r="H415" s="14" t="s">
        <v>73</v>
      </c>
      <c r="I415" s="14" t="s">
        <v>74</v>
      </c>
      <c r="J415" s="15">
        <v>671501</v>
      </c>
      <c r="K415" s="14">
        <v>0</v>
      </c>
      <c r="L415" s="14" t="s">
        <v>75</v>
      </c>
      <c r="M415" s="14" t="s">
        <v>75</v>
      </c>
      <c r="N415" s="14" t="s">
        <v>75</v>
      </c>
      <c r="O415" s="14" t="s">
        <v>75</v>
      </c>
      <c r="P415" s="14">
        <v>806</v>
      </c>
      <c r="Q415" s="15">
        <v>29254.81</v>
      </c>
      <c r="R415" s="15">
        <v>1440.64</v>
      </c>
      <c r="S415" s="14" t="s">
        <v>23</v>
      </c>
      <c r="T415" s="15">
        <v>1021524</v>
      </c>
      <c r="U415" s="16">
        <f t="shared" si="66"/>
        <v>2.5744831355426129E-2</v>
      </c>
      <c r="V415" s="14">
        <v>1</v>
      </c>
      <c r="W415" s="17">
        <v>87.2</v>
      </c>
      <c r="X415" s="14">
        <v>4.3</v>
      </c>
      <c r="Y415" s="18">
        <f t="shared" si="67"/>
        <v>19.8</v>
      </c>
      <c r="Z415" s="18" t="str">
        <f t="shared" si="68"/>
        <v>Low</v>
      </c>
      <c r="AA415" s="19" t="str">
        <f t="shared" si="69"/>
        <v>Eligible</v>
      </c>
      <c r="AB415" s="14" t="s">
        <v>77</v>
      </c>
      <c r="AC415" s="14">
        <v>1</v>
      </c>
      <c r="AD415" s="14" t="s">
        <v>78</v>
      </c>
      <c r="AE415" s="17">
        <v>9.3000000000000007</v>
      </c>
      <c r="AF415" s="15">
        <v>0</v>
      </c>
      <c r="AG415" s="20">
        <f t="shared" si="70"/>
        <v>671501</v>
      </c>
      <c r="AH415" s="14">
        <v>2</v>
      </c>
      <c r="AI415" s="14" t="s">
        <v>76</v>
      </c>
      <c r="AJ415" s="14">
        <v>120</v>
      </c>
      <c r="AK415" s="21">
        <f t="shared" si="71"/>
        <v>8.5000000000000006E-2</v>
      </c>
      <c r="AL415" s="20">
        <f t="shared" si="72"/>
        <v>12665.435684184611</v>
      </c>
      <c r="AM415" s="22">
        <f t="shared" si="73"/>
        <v>1.5212546221077854</v>
      </c>
      <c r="AN415" s="20">
        <f t="shared" si="74"/>
        <v>14106.075684184611</v>
      </c>
      <c r="AO415" s="16">
        <f t="shared" si="75"/>
        <v>0.25208139408610758</v>
      </c>
      <c r="AP415" s="15">
        <v>2277903</v>
      </c>
      <c r="AQ415" s="18">
        <f t="shared" si="76"/>
        <v>0.44844929744594042</v>
      </c>
      <c r="AR415" s="23">
        <v>46260</v>
      </c>
      <c r="AS415" s="14" t="s">
        <v>79</v>
      </c>
    </row>
    <row r="416" spans="1:45" x14ac:dyDescent="0.25">
      <c r="A416" s="14" t="s">
        <v>1412</v>
      </c>
      <c r="B416" s="14" t="s">
        <v>350</v>
      </c>
      <c r="C416" s="14">
        <v>9284745882</v>
      </c>
      <c r="D416" s="15" t="s">
        <v>1421</v>
      </c>
      <c r="E416" s="14">
        <v>48</v>
      </c>
      <c r="F416" s="14" t="s">
        <v>89</v>
      </c>
      <c r="G416" s="14" t="s">
        <v>139</v>
      </c>
      <c r="H416" s="14" t="s">
        <v>107</v>
      </c>
      <c r="I416" s="14" t="s">
        <v>92</v>
      </c>
      <c r="J416" s="15">
        <v>1876313</v>
      </c>
      <c r="K416" s="14">
        <v>1</v>
      </c>
      <c r="L416" s="14" t="s">
        <v>75</v>
      </c>
      <c r="M416" s="14" t="s">
        <v>75</v>
      </c>
      <c r="N416" s="14" t="s">
        <v>75</v>
      </c>
      <c r="O416" s="14" t="s">
        <v>76</v>
      </c>
      <c r="P416" s="14">
        <v>410</v>
      </c>
      <c r="Q416" s="15">
        <v>235538.34</v>
      </c>
      <c r="R416" s="15">
        <v>12539.64</v>
      </c>
      <c r="S416" s="14" t="s">
        <v>20</v>
      </c>
      <c r="T416" s="15">
        <v>843315</v>
      </c>
      <c r="U416" s="16">
        <f t="shared" si="66"/>
        <v>8.0197536338553324E-2</v>
      </c>
      <c r="V416" s="14">
        <v>0</v>
      </c>
      <c r="W416" s="17">
        <v>96.8</v>
      </c>
      <c r="X416" s="14">
        <v>3.7</v>
      </c>
      <c r="Y416" s="18">
        <f t="shared" si="67"/>
        <v>44.8</v>
      </c>
      <c r="Z416" s="18" t="str">
        <f t="shared" si="68"/>
        <v>Medium</v>
      </c>
      <c r="AA416" s="19" t="str">
        <f t="shared" si="69"/>
        <v>Not Eligible</v>
      </c>
      <c r="AB416" s="14" t="s">
        <v>85</v>
      </c>
      <c r="AC416" s="14">
        <v>2</v>
      </c>
      <c r="AD416" s="14" t="s">
        <v>93</v>
      </c>
      <c r="AE416" s="17">
        <v>22.1</v>
      </c>
      <c r="AF416" s="15">
        <v>0</v>
      </c>
      <c r="AG416" s="20">
        <f t="shared" si="70"/>
        <v>1876313</v>
      </c>
      <c r="AH416" s="14">
        <v>0</v>
      </c>
      <c r="AI416" s="14" t="s">
        <v>75</v>
      </c>
      <c r="AJ416" s="14">
        <v>36</v>
      </c>
      <c r="AK416" s="21">
        <f t="shared" si="71"/>
        <v>0.375</v>
      </c>
      <c r="AL416" s="20">
        <f t="shared" si="72"/>
        <v>39350.841968278328</v>
      </c>
      <c r="AM416" s="22">
        <f t="shared" si="73"/>
        <v>0.44945326286179332</v>
      </c>
      <c r="AN416" s="20">
        <f t="shared" si="74"/>
        <v>51890.481968278327</v>
      </c>
      <c r="AO416" s="16">
        <f t="shared" si="75"/>
        <v>0.33186668941660585</v>
      </c>
      <c r="AP416" s="15">
        <v>0</v>
      </c>
      <c r="AQ416" s="18" t="str">
        <f t="shared" si="76"/>
        <v>N/A</v>
      </c>
      <c r="AR416" s="23">
        <v>46130</v>
      </c>
      <c r="AS416" s="14" t="s">
        <v>79</v>
      </c>
    </row>
    <row r="417" spans="1:45" x14ac:dyDescent="0.25">
      <c r="A417" s="14" t="s">
        <v>1414</v>
      </c>
      <c r="B417" s="14" t="s">
        <v>1415</v>
      </c>
      <c r="C417" s="14">
        <v>9701816496</v>
      </c>
      <c r="D417" s="15" t="s">
        <v>1425</v>
      </c>
      <c r="E417" s="14">
        <v>63</v>
      </c>
      <c r="F417" s="14" t="s">
        <v>71</v>
      </c>
      <c r="G417" s="14" t="s">
        <v>388</v>
      </c>
      <c r="H417" s="14" t="s">
        <v>132</v>
      </c>
      <c r="I417" s="14" t="s">
        <v>92</v>
      </c>
      <c r="J417" s="15">
        <v>401269</v>
      </c>
      <c r="K417" s="14">
        <v>0</v>
      </c>
      <c r="L417" s="14" t="s">
        <v>75</v>
      </c>
      <c r="M417" s="14" t="s">
        <v>75</v>
      </c>
      <c r="N417" s="14" t="s">
        <v>75</v>
      </c>
      <c r="O417" s="14" t="s">
        <v>75</v>
      </c>
      <c r="P417" s="14">
        <v>329</v>
      </c>
      <c r="Q417" s="15">
        <v>99097.56</v>
      </c>
      <c r="R417" s="15">
        <v>1044.81</v>
      </c>
      <c r="S417" s="14" t="s">
        <v>22</v>
      </c>
      <c r="T417" s="15">
        <v>1132059</v>
      </c>
      <c r="U417" s="16">
        <f t="shared" si="66"/>
        <v>3.1245174683317174E-2</v>
      </c>
      <c r="V417" s="14">
        <v>0</v>
      </c>
      <c r="W417" s="17">
        <v>96.7</v>
      </c>
      <c r="X417" s="14">
        <v>4.3</v>
      </c>
      <c r="Y417" s="18">
        <f t="shared" si="67"/>
        <v>48.7</v>
      </c>
      <c r="Z417" s="18" t="str">
        <f t="shared" si="68"/>
        <v>Medium</v>
      </c>
      <c r="AA417" s="19" t="str">
        <f t="shared" si="69"/>
        <v>Not Eligible</v>
      </c>
      <c r="AB417" s="14" t="s">
        <v>77</v>
      </c>
      <c r="AC417" s="14">
        <v>1</v>
      </c>
      <c r="AD417" s="14" t="s">
        <v>93</v>
      </c>
      <c r="AE417" s="17">
        <v>19.2</v>
      </c>
      <c r="AF417" s="15">
        <v>0</v>
      </c>
      <c r="AG417" s="20">
        <f t="shared" si="70"/>
        <v>401269</v>
      </c>
      <c r="AH417" s="14">
        <v>0</v>
      </c>
      <c r="AI417" s="14" t="s">
        <v>75</v>
      </c>
      <c r="AJ417" s="14">
        <v>72</v>
      </c>
      <c r="AK417" s="21">
        <f t="shared" si="71"/>
        <v>0.105</v>
      </c>
      <c r="AL417" s="20">
        <f t="shared" si="72"/>
        <v>21258.901964475164</v>
      </c>
      <c r="AM417" s="22">
        <f t="shared" si="73"/>
        <v>2.8211972517189219</v>
      </c>
      <c r="AN417" s="20">
        <f t="shared" si="74"/>
        <v>22303.711964475166</v>
      </c>
      <c r="AO417" s="16">
        <f t="shared" si="75"/>
        <v>0.66699531629331443</v>
      </c>
      <c r="AP417" s="15">
        <v>1205048</v>
      </c>
      <c r="AQ417" s="18">
        <f t="shared" si="76"/>
        <v>0.93943062848948755</v>
      </c>
      <c r="AR417" s="23">
        <v>46100</v>
      </c>
      <c r="AS417" s="14" t="s">
        <v>79</v>
      </c>
    </row>
    <row r="418" spans="1:45" x14ac:dyDescent="0.25">
      <c r="A418" s="14" t="s">
        <v>1418</v>
      </c>
      <c r="B418" s="14" t="s">
        <v>1419</v>
      </c>
      <c r="C418" s="14">
        <v>9630957739</v>
      </c>
      <c r="D418" s="15" t="s">
        <v>1428</v>
      </c>
      <c r="E418" s="14">
        <v>26</v>
      </c>
      <c r="F418" s="14" t="s">
        <v>89</v>
      </c>
      <c r="G418" s="14" t="s">
        <v>106</v>
      </c>
      <c r="H418" s="14" t="s">
        <v>144</v>
      </c>
      <c r="I418" s="14" t="s">
        <v>92</v>
      </c>
      <c r="J418" s="15">
        <v>1254501</v>
      </c>
      <c r="K418" s="14">
        <v>2</v>
      </c>
      <c r="L418" s="14" t="s">
        <v>76</v>
      </c>
      <c r="M418" s="14" t="s">
        <v>75</v>
      </c>
      <c r="N418" s="14" t="s">
        <v>75</v>
      </c>
      <c r="O418" s="14" t="s">
        <v>76</v>
      </c>
      <c r="P418" s="14">
        <v>715</v>
      </c>
      <c r="Q418" s="15">
        <v>226270</v>
      </c>
      <c r="R418" s="15">
        <v>5477.64</v>
      </c>
      <c r="S418" s="14" t="s">
        <v>21</v>
      </c>
      <c r="T418" s="15">
        <v>482352</v>
      </c>
      <c r="U418" s="16">
        <f t="shared" si="66"/>
        <v>5.2396674056058946E-2</v>
      </c>
      <c r="V418" s="14">
        <v>0</v>
      </c>
      <c r="W418" s="17">
        <v>30.1</v>
      </c>
      <c r="X418" s="14">
        <v>10.7</v>
      </c>
      <c r="Y418" s="18">
        <f t="shared" si="67"/>
        <v>16.899999999999999</v>
      </c>
      <c r="Z418" s="18" t="str">
        <f t="shared" si="68"/>
        <v>Low</v>
      </c>
      <c r="AA418" s="19" t="str">
        <f t="shared" si="69"/>
        <v>Eligible</v>
      </c>
      <c r="AB418" s="14" t="s">
        <v>85</v>
      </c>
      <c r="AC418" s="14">
        <v>3</v>
      </c>
      <c r="AD418" s="14" t="s">
        <v>93</v>
      </c>
      <c r="AE418" s="17">
        <v>3.8</v>
      </c>
      <c r="AF418" s="15">
        <v>0</v>
      </c>
      <c r="AG418" s="20">
        <f t="shared" si="70"/>
        <v>1254501</v>
      </c>
      <c r="AH418" s="14">
        <v>0</v>
      </c>
      <c r="AI418" s="14" t="s">
        <v>75</v>
      </c>
      <c r="AJ418" s="14">
        <v>60</v>
      </c>
      <c r="AK418" s="21">
        <f t="shared" si="71"/>
        <v>0.14000000000000001</v>
      </c>
      <c r="AL418" s="20">
        <f t="shared" si="72"/>
        <v>11223.487333703853</v>
      </c>
      <c r="AM418" s="22">
        <f t="shared" si="73"/>
        <v>0.38449710283212207</v>
      </c>
      <c r="AN418" s="20">
        <f t="shared" si="74"/>
        <v>16701.127333703855</v>
      </c>
      <c r="AO418" s="16">
        <f t="shared" si="75"/>
        <v>0.15975557453078654</v>
      </c>
      <c r="AP418" s="15">
        <v>0</v>
      </c>
      <c r="AQ418" s="18" t="str">
        <f t="shared" si="76"/>
        <v>N/A</v>
      </c>
      <c r="AR418" s="23">
        <v>46053</v>
      </c>
      <c r="AS418" s="14" t="s">
        <v>79</v>
      </c>
    </row>
    <row r="419" spans="1:45" x14ac:dyDescent="0.25">
      <c r="A419" s="14" t="s">
        <v>1422</v>
      </c>
      <c r="B419" s="14" t="s">
        <v>1423</v>
      </c>
      <c r="C419" s="14">
        <v>9352013447</v>
      </c>
      <c r="D419" s="15" t="s">
        <v>1431</v>
      </c>
      <c r="E419" s="14">
        <v>55</v>
      </c>
      <c r="F419" s="14" t="s">
        <v>71</v>
      </c>
      <c r="G419" s="14" t="s">
        <v>153</v>
      </c>
      <c r="H419" s="14" t="s">
        <v>73</v>
      </c>
      <c r="I419" s="14" t="s">
        <v>74</v>
      </c>
      <c r="J419" s="15">
        <v>1133071</v>
      </c>
      <c r="K419" s="14">
        <v>1</v>
      </c>
      <c r="L419" s="14" t="s">
        <v>76</v>
      </c>
      <c r="M419" s="14" t="s">
        <v>75</v>
      </c>
      <c r="N419" s="14" t="s">
        <v>75</v>
      </c>
      <c r="O419" s="14" t="s">
        <v>75</v>
      </c>
      <c r="P419" s="14">
        <v>569</v>
      </c>
      <c r="Q419" s="15">
        <v>567626.94999999995</v>
      </c>
      <c r="R419" s="15">
        <v>3002.96</v>
      </c>
      <c r="S419" s="14" t="s">
        <v>22</v>
      </c>
      <c r="T419" s="15">
        <v>519797</v>
      </c>
      <c r="U419" s="16">
        <f t="shared" si="66"/>
        <v>3.1803408612522961E-2</v>
      </c>
      <c r="V419" s="14">
        <v>0</v>
      </c>
      <c r="W419" s="17">
        <v>41.6</v>
      </c>
      <c r="X419" s="14">
        <v>12.7</v>
      </c>
      <c r="Y419" s="18">
        <f t="shared" si="67"/>
        <v>27.2</v>
      </c>
      <c r="Z419" s="18" t="str">
        <f t="shared" si="68"/>
        <v>Low</v>
      </c>
      <c r="AA419" s="19" t="str">
        <f t="shared" si="69"/>
        <v>Review</v>
      </c>
      <c r="AB419" s="14" t="s">
        <v>77</v>
      </c>
      <c r="AC419" s="14">
        <v>3</v>
      </c>
      <c r="AD419" s="14" t="s">
        <v>93</v>
      </c>
      <c r="AE419" s="17">
        <v>18.5</v>
      </c>
      <c r="AF419" s="15">
        <v>0</v>
      </c>
      <c r="AG419" s="20">
        <f t="shared" si="70"/>
        <v>1133071</v>
      </c>
      <c r="AH419" s="14">
        <v>0</v>
      </c>
      <c r="AI419" s="14" t="s">
        <v>75</v>
      </c>
      <c r="AJ419" s="14">
        <v>24</v>
      </c>
      <c r="AK419" s="21">
        <f t="shared" si="71"/>
        <v>0.09</v>
      </c>
      <c r="AL419" s="20">
        <f t="shared" si="72"/>
        <v>23746.791982487339</v>
      </c>
      <c r="AM419" s="22">
        <f t="shared" si="73"/>
        <v>0.45875059903571797</v>
      </c>
      <c r="AN419" s="20">
        <f t="shared" si="74"/>
        <v>26749.751982487338</v>
      </c>
      <c r="AO419" s="16">
        <f t="shared" si="75"/>
        <v>0.2832982432608796</v>
      </c>
      <c r="AP419" s="15">
        <v>1244337</v>
      </c>
      <c r="AQ419" s="18">
        <f t="shared" si="76"/>
        <v>0.41773008437424908</v>
      </c>
      <c r="AR419" s="23">
        <v>45974</v>
      </c>
      <c r="AS419" s="14" t="s">
        <v>79</v>
      </c>
    </row>
    <row r="420" spans="1:45" x14ac:dyDescent="0.25">
      <c r="A420" s="14" t="s">
        <v>1426</v>
      </c>
      <c r="B420" s="14" t="s">
        <v>1427</v>
      </c>
      <c r="C420" s="14">
        <v>9701251106</v>
      </c>
      <c r="D420" s="15" t="s">
        <v>1434</v>
      </c>
      <c r="E420" s="14">
        <v>36</v>
      </c>
      <c r="F420" s="14" t="s">
        <v>71</v>
      </c>
      <c r="G420" s="14" t="s">
        <v>417</v>
      </c>
      <c r="H420" s="14" t="s">
        <v>91</v>
      </c>
      <c r="I420" s="14" t="s">
        <v>92</v>
      </c>
      <c r="J420" s="15">
        <v>909754</v>
      </c>
      <c r="K420" s="14">
        <v>3</v>
      </c>
      <c r="L420" s="14" t="s">
        <v>76</v>
      </c>
      <c r="M420" s="14" t="s">
        <v>76</v>
      </c>
      <c r="N420" s="14" t="s">
        <v>76</v>
      </c>
      <c r="O420" s="14" t="s">
        <v>75</v>
      </c>
      <c r="P420" s="14">
        <v>749</v>
      </c>
      <c r="Q420" s="15"/>
      <c r="R420" s="15">
        <v>4814.25</v>
      </c>
      <c r="S420" s="14" t="s">
        <v>21</v>
      </c>
      <c r="T420" s="15">
        <v>394138</v>
      </c>
      <c r="U420" s="16">
        <f t="shared" si="66"/>
        <v>6.3501781800354817E-2</v>
      </c>
      <c r="V420" s="14">
        <v>0</v>
      </c>
      <c r="W420" s="17">
        <v>54.3</v>
      </c>
      <c r="X420" s="14">
        <v>6.1</v>
      </c>
      <c r="Y420" s="18">
        <f t="shared" si="67"/>
        <v>17.399999999999999</v>
      </c>
      <c r="Z420" s="18" t="str">
        <f t="shared" si="68"/>
        <v>Low</v>
      </c>
      <c r="AA420" s="19" t="str">
        <f t="shared" si="69"/>
        <v>Eligible</v>
      </c>
      <c r="AB420" s="14" t="s">
        <v>85</v>
      </c>
      <c r="AC420" s="14">
        <v>3</v>
      </c>
      <c r="AD420" s="14" t="s">
        <v>78</v>
      </c>
      <c r="AE420" s="17">
        <v>4.0999999999999996</v>
      </c>
      <c r="AF420" s="15">
        <v>0</v>
      </c>
      <c r="AG420" s="20">
        <f t="shared" si="70"/>
        <v>909754</v>
      </c>
      <c r="AH420" s="14">
        <v>0</v>
      </c>
      <c r="AI420" s="14" t="s">
        <v>75</v>
      </c>
      <c r="AJ420" s="14">
        <v>48</v>
      </c>
      <c r="AK420" s="21">
        <f t="shared" si="71"/>
        <v>0.14000000000000001</v>
      </c>
      <c r="AL420" s="20">
        <f t="shared" si="72"/>
        <v>10770.4027928048</v>
      </c>
      <c r="AM420" s="22">
        <f t="shared" si="73"/>
        <v>0.43323579780907806</v>
      </c>
      <c r="AN420" s="20">
        <f t="shared" si="74"/>
        <v>15584.6527928048</v>
      </c>
      <c r="AO420" s="16">
        <f t="shared" si="75"/>
        <v>0.20556747594806682</v>
      </c>
      <c r="AP420" s="15">
        <v>0</v>
      </c>
      <c r="AQ420" s="18" t="str">
        <f t="shared" si="76"/>
        <v>N/A</v>
      </c>
      <c r="AR420" s="23">
        <v>46084</v>
      </c>
      <c r="AS420" s="14" t="s">
        <v>79</v>
      </c>
    </row>
    <row r="421" spans="1:45" x14ac:dyDescent="0.25">
      <c r="A421" s="14" t="s">
        <v>1429</v>
      </c>
      <c r="B421" s="14" t="s">
        <v>1430</v>
      </c>
      <c r="C421" s="14"/>
      <c r="D421" s="15" t="s">
        <v>1437</v>
      </c>
      <c r="E421" s="14">
        <v>43</v>
      </c>
      <c r="F421" s="14" t="s">
        <v>71</v>
      </c>
      <c r="G421" s="14" t="s">
        <v>72</v>
      </c>
      <c r="H421" s="14" t="s">
        <v>103</v>
      </c>
      <c r="I421" s="14" t="s">
        <v>74</v>
      </c>
      <c r="J421" s="15">
        <v>1335554</v>
      </c>
      <c r="K421" s="14">
        <v>1</v>
      </c>
      <c r="L421" s="14" t="s">
        <v>75</v>
      </c>
      <c r="M421" s="14" t="s">
        <v>75</v>
      </c>
      <c r="N421" s="14" t="s">
        <v>76</v>
      </c>
      <c r="O421" s="14" t="s">
        <v>75</v>
      </c>
      <c r="P421" s="14">
        <v>819</v>
      </c>
      <c r="Q421" s="15">
        <v>58576</v>
      </c>
      <c r="R421" s="15">
        <v>12339.72</v>
      </c>
      <c r="S421" s="14" t="s">
        <v>22</v>
      </c>
      <c r="T421" s="15">
        <v>926336</v>
      </c>
      <c r="U421" s="16">
        <f t="shared" si="66"/>
        <v>0.11087282131609803</v>
      </c>
      <c r="V421" s="14">
        <v>3</v>
      </c>
      <c r="W421" s="17">
        <v>62.4</v>
      </c>
      <c r="X421" s="14">
        <v>10.9</v>
      </c>
      <c r="Y421" s="18">
        <f t="shared" si="67"/>
        <v>27</v>
      </c>
      <c r="Z421" s="18" t="str">
        <f t="shared" si="68"/>
        <v>Low</v>
      </c>
      <c r="AA421" s="19" t="str">
        <f t="shared" si="69"/>
        <v>Review</v>
      </c>
      <c r="AB421" s="14" t="s">
        <v>77</v>
      </c>
      <c r="AC421" s="14">
        <v>2</v>
      </c>
      <c r="AD421" s="14" t="s">
        <v>93</v>
      </c>
      <c r="AE421" s="17">
        <v>21.7</v>
      </c>
      <c r="AF421" s="15">
        <v>0</v>
      </c>
      <c r="AG421" s="20">
        <f t="shared" si="70"/>
        <v>1335554</v>
      </c>
      <c r="AH421" s="14">
        <v>1</v>
      </c>
      <c r="AI421" s="14" t="s">
        <v>75</v>
      </c>
      <c r="AJ421" s="14">
        <v>72</v>
      </c>
      <c r="AK421" s="21">
        <f t="shared" si="71"/>
        <v>0.09</v>
      </c>
      <c r="AL421" s="20">
        <f t="shared" si="72"/>
        <v>16697.703998308258</v>
      </c>
      <c r="AM421" s="22">
        <f t="shared" si="73"/>
        <v>0.69359681450544119</v>
      </c>
      <c r="AN421" s="20">
        <f t="shared" si="74"/>
        <v>29037.423998308259</v>
      </c>
      <c r="AO421" s="16">
        <f t="shared" si="75"/>
        <v>0.26090228323205139</v>
      </c>
      <c r="AP421" s="15">
        <v>591308</v>
      </c>
      <c r="AQ421" s="18">
        <f t="shared" si="76"/>
        <v>1.5665879710742963</v>
      </c>
      <c r="AR421" s="23">
        <v>46197</v>
      </c>
      <c r="AS421" s="14" t="s">
        <v>79</v>
      </c>
    </row>
    <row r="422" spans="1:45" x14ac:dyDescent="0.25">
      <c r="A422" s="14" t="s">
        <v>1432</v>
      </c>
      <c r="B422" s="14" t="s">
        <v>887</v>
      </c>
      <c r="C422" s="14">
        <v>9434143501</v>
      </c>
      <c r="D422" s="15" t="s">
        <v>1441</v>
      </c>
      <c r="E422" s="14">
        <v>62</v>
      </c>
      <c r="F422" s="14" t="s">
        <v>71</v>
      </c>
      <c r="G422" s="14" t="s">
        <v>106</v>
      </c>
      <c r="H422" s="14" t="s">
        <v>107</v>
      </c>
      <c r="I422" s="14" t="s">
        <v>92</v>
      </c>
      <c r="J422" s="15">
        <v>920254</v>
      </c>
      <c r="K422" s="14">
        <v>1</v>
      </c>
      <c r="L422" s="14" t="s">
        <v>76</v>
      </c>
      <c r="M422" s="14" t="s">
        <v>75</v>
      </c>
      <c r="N422" s="14" t="s">
        <v>75</v>
      </c>
      <c r="O422" s="14" t="s">
        <v>75</v>
      </c>
      <c r="P422" s="14">
        <v>558</v>
      </c>
      <c r="Q422" s="15">
        <v>218941.56</v>
      </c>
      <c r="R422" s="15">
        <v>9018.66</v>
      </c>
      <c r="S422" s="14" t="s">
        <v>20</v>
      </c>
      <c r="T422" s="15"/>
      <c r="U422" s="16">
        <f t="shared" si="66"/>
        <v>0.11760222721118299</v>
      </c>
      <c r="V422" s="14">
        <v>1</v>
      </c>
      <c r="W422" s="17">
        <v>45.9</v>
      </c>
      <c r="X422" s="14">
        <v>11.5</v>
      </c>
      <c r="Y422" s="18">
        <f t="shared" si="67"/>
        <v>34.9</v>
      </c>
      <c r="Z422" s="18" t="str">
        <f t="shared" si="68"/>
        <v>Medium</v>
      </c>
      <c r="AA422" s="19" t="str">
        <f t="shared" si="69"/>
        <v>Review</v>
      </c>
      <c r="AB422" s="14" t="s">
        <v>85</v>
      </c>
      <c r="AC422" s="14">
        <v>1</v>
      </c>
      <c r="AD422" s="14" t="s">
        <v>93</v>
      </c>
      <c r="AE422" s="17">
        <v>9.5</v>
      </c>
      <c r="AF422" s="15">
        <v>0</v>
      </c>
      <c r="AG422" s="20">
        <f t="shared" si="70"/>
        <v>920254</v>
      </c>
      <c r="AH422" s="14">
        <v>0</v>
      </c>
      <c r="AI422" s="14" t="s">
        <v>75</v>
      </c>
      <c r="AJ422" s="14">
        <v>36</v>
      </c>
      <c r="AK422" s="21">
        <f t="shared" si="71"/>
        <v>0.375</v>
      </c>
      <c r="AL422" s="20">
        <f t="shared" si="72"/>
        <v>0</v>
      </c>
      <c r="AM422" s="22">
        <f t="shared" si="73"/>
        <v>0</v>
      </c>
      <c r="AN422" s="20">
        <f t="shared" si="74"/>
        <v>9018.66</v>
      </c>
      <c r="AO422" s="16">
        <f t="shared" si="75"/>
        <v>0.11760222721118299</v>
      </c>
      <c r="AP422" s="15">
        <v>0</v>
      </c>
      <c r="AQ422" s="18" t="str">
        <f t="shared" si="76"/>
        <v>N/A</v>
      </c>
      <c r="AR422" s="23">
        <v>45968</v>
      </c>
      <c r="AS422" s="14" t="s">
        <v>79</v>
      </c>
    </row>
    <row r="423" spans="1:45" x14ac:dyDescent="0.25">
      <c r="A423" s="14" t="s">
        <v>1435</v>
      </c>
      <c r="B423" s="14" t="s">
        <v>1436</v>
      </c>
      <c r="C423" s="14">
        <v>9502477106</v>
      </c>
      <c r="D423" s="15" t="s">
        <v>1444</v>
      </c>
      <c r="E423" s="14">
        <v>60</v>
      </c>
      <c r="F423" s="14" t="s">
        <v>71</v>
      </c>
      <c r="G423" s="14" t="s">
        <v>106</v>
      </c>
      <c r="H423" s="14" t="s">
        <v>73</v>
      </c>
      <c r="I423" s="14" t="s">
        <v>74</v>
      </c>
      <c r="J423" s="15">
        <v>597851</v>
      </c>
      <c r="K423" s="14">
        <v>0</v>
      </c>
      <c r="L423" s="14" t="s">
        <v>75</v>
      </c>
      <c r="M423" s="14" t="s">
        <v>75</v>
      </c>
      <c r="N423" s="14" t="s">
        <v>75</v>
      </c>
      <c r="O423" s="14" t="s">
        <v>75</v>
      </c>
      <c r="P423" s="14">
        <v>554</v>
      </c>
      <c r="Q423" s="15">
        <v>418754</v>
      </c>
      <c r="R423" s="15">
        <v>976.27</v>
      </c>
      <c r="S423" s="14" t="s">
        <v>21</v>
      </c>
      <c r="T423" s="15">
        <v>581972</v>
      </c>
      <c r="U423" s="16">
        <f t="shared" si="66"/>
        <v>1.9595584853082122E-2</v>
      </c>
      <c r="V423" s="14">
        <v>0</v>
      </c>
      <c r="W423" s="17">
        <v>66.7</v>
      </c>
      <c r="X423" s="14">
        <v>7.5</v>
      </c>
      <c r="Y423" s="18">
        <f t="shared" si="67"/>
        <v>30.3</v>
      </c>
      <c r="Z423" s="18" t="str">
        <f t="shared" si="68"/>
        <v>Medium</v>
      </c>
      <c r="AA423" s="19" t="str">
        <f t="shared" si="69"/>
        <v>Review</v>
      </c>
      <c r="AB423" s="14" t="s">
        <v>85</v>
      </c>
      <c r="AC423" s="14">
        <v>0</v>
      </c>
      <c r="AD423" s="14" t="s">
        <v>194</v>
      </c>
      <c r="AE423" s="17">
        <v>17.3</v>
      </c>
      <c r="AF423" s="15">
        <v>0</v>
      </c>
      <c r="AG423" s="20">
        <f t="shared" si="70"/>
        <v>597851</v>
      </c>
      <c r="AH423" s="14">
        <v>0</v>
      </c>
      <c r="AI423" s="14" t="s">
        <v>75</v>
      </c>
      <c r="AJ423" s="14">
        <v>48</v>
      </c>
      <c r="AK423" s="21">
        <f t="shared" si="71"/>
        <v>0.15500000000000003</v>
      </c>
      <c r="AL423" s="20">
        <f t="shared" si="72"/>
        <v>16344.601500871371</v>
      </c>
      <c r="AM423" s="22">
        <f t="shared" si="73"/>
        <v>0.97343987046939784</v>
      </c>
      <c r="AN423" s="20">
        <f t="shared" si="74"/>
        <v>17320.87150087137</v>
      </c>
      <c r="AO423" s="16">
        <f t="shared" si="75"/>
        <v>0.34766264171249434</v>
      </c>
      <c r="AP423" s="15">
        <v>0</v>
      </c>
      <c r="AQ423" s="18" t="str">
        <f t="shared" si="76"/>
        <v>N/A</v>
      </c>
      <c r="AR423" s="23">
        <v>45965</v>
      </c>
      <c r="AS423" s="14" t="s">
        <v>79</v>
      </c>
    </row>
    <row r="424" spans="1:45" x14ac:dyDescent="0.25">
      <c r="A424" s="14" t="s">
        <v>1438</v>
      </c>
      <c r="B424" s="14" t="s">
        <v>1439</v>
      </c>
      <c r="C424" s="14">
        <v>9207075216</v>
      </c>
      <c r="D424" s="15"/>
      <c r="E424" s="14">
        <v>48</v>
      </c>
      <c r="F424" s="14" t="s">
        <v>89</v>
      </c>
      <c r="G424" s="14" t="s">
        <v>115</v>
      </c>
      <c r="H424" s="14" t="s">
        <v>73</v>
      </c>
      <c r="I424" s="14" t="s">
        <v>74</v>
      </c>
      <c r="J424" s="15">
        <v>1074127</v>
      </c>
      <c r="K424" s="14">
        <v>2</v>
      </c>
      <c r="L424" s="14" t="s">
        <v>76</v>
      </c>
      <c r="M424" s="14" t="s">
        <v>76</v>
      </c>
      <c r="N424" s="14" t="s">
        <v>75</v>
      </c>
      <c r="O424" s="14" t="s">
        <v>75</v>
      </c>
      <c r="P424" s="14">
        <v>383</v>
      </c>
      <c r="Q424" s="15"/>
      <c r="R424" s="15">
        <v>3649.03</v>
      </c>
      <c r="S424" s="14" t="s">
        <v>20</v>
      </c>
      <c r="T424" s="15">
        <v>3079911</v>
      </c>
      <c r="U424" s="16">
        <f t="shared" si="66"/>
        <v>4.0766464300776351E-2</v>
      </c>
      <c r="V424" s="14">
        <v>0</v>
      </c>
      <c r="W424" s="17">
        <v>88.5</v>
      </c>
      <c r="X424" s="14">
        <v>1.1000000000000001</v>
      </c>
      <c r="Y424" s="18">
        <f t="shared" si="67"/>
        <v>44.5</v>
      </c>
      <c r="Z424" s="18" t="str">
        <f t="shared" si="68"/>
        <v>Medium</v>
      </c>
      <c r="AA424" s="19" t="str">
        <f t="shared" si="69"/>
        <v>Not Eligible</v>
      </c>
      <c r="AB424" s="14" t="s">
        <v>85</v>
      </c>
      <c r="AC424" s="14">
        <v>2</v>
      </c>
      <c r="AD424" s="14" t="s">
        <v>78</v>
      </c>
      <c r="AE424" s="17">
        <v>0.3</v>
      </c>
      <c r="AF424" s="15">
        <v>0</v>
      </c>
      <c r="AG424" s="20">
        <f t="shared" si="70"/>
        <v>1074127</v>
      </c>
      <c r="AH424" s="14">
        <v>0</v>
      </c>
      <c r="AI424" s="14" t="s">
        <v>75</v>
      </c>
      <c r="AJ424" s="14">
        <v>24</v>
      </c>
      <c r="AK424" s="21">
        <f t="shared" si="71"/>
        <v>0.375</v>
      </c>
      <c r="AL424" s="20">
        <f t="shared" si="72"/>
        <v>184318.31964301277</v>
      </c>
      <c r="AM424" s="22">
        <f t="shared" si="73"/>
        <v>2.8673620530905564</v>
      </c>
      <c r="AN424" s="20">
        <f t="shared" si="74"/>
        <v>187967.34964301277</v>
      </c>
      <c r="AO424" s="16">
        <f t="shared" si="75"/>
        <v>2.0999455331782495</v>
      </c>
      <c r="AP424" s="15">
        <v>0</v>
      </c>
      <c r="AQ424" s="18" t="str">
        <f t="shared" si="76"/>
        <v>N/A</v>
      </c>
      <c r="AR424" s="23">
        <v>45909</v>
      </c>
      <c r="AS424" s="14" t="s">
        <v>79</v>
      </c>
    </row>
    <row r="425" spans="1:45" x14ac:dyDescent="0.25">
      <c r="A425" s="14" t="s">
        <v>1442</v>
      </c>
      <c r="B425" s="14" t="s">
        <v>1443</v>
      </c>
      <c r="C425" s="14"/>
      <c r="D425" s="15" t="s">
        <v>1447</v>
      </c>
      <c r="E425" s="14">
        <v>32</v>
      </c>
      <c r="F425" s="14" t="s">
        <v>71</v>
      </c>
      <c r="G425" s="14" t="s">
        <v>115</v>
      </c>
      <c r="H425" s="14" t="s">
        <v>132</v>
      </c>
      <c r="I425" s="14" t="s">
        <v>92</v>
      </c>
      <c r="J425" s="15">
        <v>1215926</v>
      </c>
      <c r="K425" s="14">
        <v>2</v>
      </c>
      <c r="L425" s="14" t="s">
        <v>75</v>
      </c>
      <c r="M425" s="14" t="s">
        <v>76</v>
      </c>
      <c r="N425" s="14" t="s">
        <v>75</v>
      </c>
      <c r="O425" s="14" t="s">
        <v>76</v>
      </c>
      <c r="P425" s="14">
        <v>683</v>
      </c>
      <c r="Q425" s="15"/>
      <c r="R425" s="15">
        <v>10468.85</v>
      </c>
      <c r="S425" s="14" t="s">
        <v>21</v>
      </c>
      <c r="T425" s="15">
        <v>277550</v>
      </c>
      <c r="U425" s="16">
        <f t="shared" si="66"/>
        <v>0.10331730713875681</v>
      </c>
      <c r="V425" s="14">
        <v>0</v>
      </c>
      <c r="W425" s="17">
        <v>82.8</v>
      </c>
      <c r="X425" s="14">
        <v>0.6</v>
      </c>
      <c r="Y425" s="18">
        <f t="shared" si="67"/>
        <v>25.8</v>
      </c>
      <c r="Z425" s="18" t="str">
        <f t="shared" si="68"/>
        <v>Low</v>
      </c>
      <c r="AA425" s="19" t="str">
        <f t="shared" si="69"/>
        <v>Eligible</v>
      </c>
      <c r="AB425" s="14" t="s">
        <v>85</v>
      </c>
      <c r="AC425" s="14">
        <v>2</v>
      </c>
      <c r="AD425" s="14" t="s">
        <v>194</v>
      </c>
      <c r="AE425" s="17">
        <v>10.4</v>
      </c>
      <c r="AF425" s="15">
        <v>0</v>
      </c>
      <c r="AG425" s="20">
        <f t="shared" si="70"/>
        <v>1215926</v>
      </c>
      <c r="AH425" s="14">
        <v>0</v>
      </c>
      <c r="AI425" s="14" t="s">
        <v>75</v>
      </c>
      <c r="AJ425" s="14">
        <v>36</v>
      </c>
      <c r="AK425" s="21">
        <f t="shared" si="71"/>
        <v>0.14000000000000001</v>
      </c>
      <c r="AL425" s="20">
        <f t="shared" si="72"/>
        <v>9486.0011393400109</v>
      </c>
      <c r="AM425" s="22">
        <f t="shared" si="73"/>
        <v>0.22826224622222077</v>
      </c>
      <c r="AN425" s="20">
        <f t="shared" si="74"/>
        <v>19954.851139340011</v>
      </c>
      <c r="AO425" s="16">
        <f t="shared" si="75"/>
        <v>0.19693485760817692</v>
      </c>
      <c r="AP425" s="15">
        <v>0</v>
      </c>
      <c r="AQ425" s="18" t="str">
        <f t="shared" si="76"/>
        <v>N/A</v>
      </c>
      <c r="AR425" s="23">
        <v>46244</v>
      </c>
      <c r="AS425" s="14" t="s">
        <v>79</v>
      </c>
    </row>
    <row r="426" spans="1:45" x14ac:dyDescent="0.25">
      <c r="A426" s="14" t="s">
        <v>1445</v>
      </c>
      <c r="B426" s="14" t="s">
        <v>117</v>
      </c>
      <c r="C426" s="14">
        <v>9713401763</v>
      </c>
      <c r="D426" s="15" t="s">
        <v>1451</v>
      </c>
      <c r="E426" s="14">
        <v>59</v>
      </c>
      <c r="F426" s="14" t="s">
        <v>71</v>
      </c>
      <c r="G426" s="14" t="s">
        <v>226</v>
      </c>
      <c r="H426" s="14" t="s">
        <v>107</v>
      </c>
      <c r="I426" s="14" t="s">
        <v>92</v>
      </c>
      <c r="J426" s="15">
        <v>1930937</v>
      </c>
      <c r="K426" s="14">
        <v>1</v>
      </c>
      <c r="L426" s="14" t="s">
        <v>75</v>
      </c>
      <c r="M426" s="14" t="s">
        <v>75</v>
      </c>
      <c r="N426" s="14" t="s">
        <v>75</v>
      </c>
      <c r="O426" s="14" t="s">
        <v>76</v>
      </c>
      <c r="P426" s="14">
        <v>552</v>
      </c>
      <c r="Q426" s="15"/>
      <c r="R426" s="15">
        <v>15691.8</v>
      </c>
      <c r="S426" s="14" t="s">
        <v>23</v>
      </c>
      <c r="T426" s="15"/>
      <c r="U426" s="16">
        <f t="shared" si="66"/>
        <v>9.7518251501732045E-2</v>
      </c>
      <c r="V426" s="14">
        <v>3</v>
      </c>
      <c r="W426" s="17">
        <v>9</v>
      </c>
      <c r="X426" s="14">
        <v>1.1000000000000001</v>
      </c>
      <c r="Y426" s="18">
        <f t="shared" si="67"/>
        <v>39</v>
      </c>
      <c r="Z426" s="18" t="str">
        <f t="shared" si="68"/>
        <v>Medium</v>
      </c>
      <c r="AA426" s="19" t="str">
        <f t="shared" si="69"/>
        <v>Review</v>
      </c>
      <c r="AB426" s="14" t="s">
        <v>161</v>
      </c>
      <c r="AC426" s="14">
        <v>1</v>
      </c>
      <c r="AD426" s="14" t="s">
        <v>93</v>
      </c>
      <c r="AE426" s="17">
        <v>19.899999999999999</v>
      </c>
      <c r="AF426" s="15">
        <v>0</v>
      </c>
      <c r="AG426" s="20">
        <f t="shared" si="70"/>
        <v>1930937</v>
      </c>
      <c r="AH426" s="14">
        <v>1</v>
      </c>
      <c r="AI426" s="14" t="s">
        <v>75</v>
      </c>
      <c r="AJ426" s="14">
        <v>120</v>
      </c>
      <c r="AK426" s="21">
        <f t="shared" si="71"/>
        <v>0.1</v>
      </c>
      <c r="AL426" s="20">
        <f t="shared" si="72"/>
        <v>0</v>
      </c>
      <c r="AM426" s="22">
        <f t="shared" si="73"/>
        <v>0</v>
      </c>
      <c r="AN426" s="20">
        <f t="shared" si="74"/>
        <v>15691.8</v>
      </c>
      <c r="AO426" s="16">
        <f t="shared" si="75"/>
        <v>9.7518251501732045E-2</v>
      </c>
      <c r="AP426" s="15">
        <v>4052788</v>
      </c>
      <c r="AQ426" s="18">
        <f t="shared" si="76"/>
        <v>0</v>
      </c>
      <c r="AR426" s="23">
        <v>46059</v>
      </c>
      <c r="AS426" s="14" t="s">
        <v>79</v>
      </c>
    </row>
    <row r="427" spans="1:45" x14ac:dyDescent="0.25">
      <c r="A427" s="14" t="s">
        <v>1446</v>
      </c>
      <c r="B427" s="14" t="s">
        <v>1443</v>
      </c>
      <c r="C427" s="14">
        <v>9509620403</v>
      </c>
      <c r="D427" s="15" t="s">
        <v>1455</v>
      </c>
      <c r="E427" s="14">
        <v>46</v>
      </c>
      <c r="F427" s="14" t="s">
        <v>71</v>
      </c>
      <c r="G427" s="14" t="s">
        <v>143</v>
      </c>
      <c r="H427" s="14" t="s">
        <v>103</v>
      </c>
      <c r="I427" s="14" t="s">
        <v>74</v>
      </c>
      <c r="J427" s="15">
        <v>868226</v>
      </c>
      <c r="K427" s="14">
        <v>2</v>
      </c>
      <c r="L427" s="14" t="s">
        <v>76</v>
      </c>
      <c r="M427" s="14" t="s">
        <v>76</v>
      </c>
      <c r="N427" s="14" t="s">
        <v>75</v>
      </c>
      <c r="O427" s="14" t="s">
        <v>75</v>
      </c>
      <c r="P427" s="14">
        <v>745</v>
      </c>
      <c r="Q427" s="15"/>
      <c r="R427" s="15">
        <v>4568.08</v>
      </c>
      <c r="S427" s="14" t="s">
        <v>20</v>
      </c>
      <c r="T427" s="15"/>
      <c r="U427" s="16">
        <f t="shared" si="66"/>
        <v>6.3136740894651849E-2</v>
      </c>
      <c r="V427" s="14">
        <v>0</v>
      </c>
      <c r="W427" s="17">
        <v>58.3</v>
      </c>
      <c r="X427" s="14">
        <v>9.1999999999999993</v>
      </c>
      <c r="Y427" s="18">
        <f t="shared" si="67"/>
        <v>18.100000000000001</v>
      </c>
      <c r="Z427" s="18" t="str">
        <f t="shared" si="68"/>
        <v>Low</v>
      </c>
      <c r="AA427" s="19" t="str">
        <f t="shared" si="69"/>
        <v>Eligible</v>
      </c>
      <c r="AB427" s="14" t="s">
        <v>85</v>
      </c>
      <c r="AC427" s="14">
        <v>4</v>
      </c>
      <c r="AD427" s="14" t="s">
        <v>93</v>
      </c>
      <c r="AE427" s="17">
        <v>19.3</v>
      </c>
      <c r="AF427" s="15">
        <v>0</v>
      </c>
      <c r="AG427" s="20">
        <f t="shared" si="70"/>
        <v>868226</v>
      </c>
      <c r="AH427" s="14">
        <v>0</v>
      </c>
      <c r="AI427" s="14" t="s">
        <v>75</v>
      </c>
      <c r="AJ427" s="14">
        <v>12</v>
      </c>
      <c r="AK427" s="21">
        <f t="shared" si="71"/>
        <v>0.36</v>
      </c>
      <c r="AL427" s="20">
        <f t="shared" si="72"/>
        <v>0</v>
      </c>
      <c r="AM427" s="22">
        <f t="shared" si="73"/>
        <v>0</v>
      </c>
      <c r="AN427" s="20">
        <f t="shared" si="74"/>
        <v>4568.08</v>
      </c>
      <c r="AO427" s="16">
        <f t="shared" si="75"/>
        <v>6.3136740894651849E-2</v>
      </c>
      <c r="AP427" s="15">
        <v>0</v>
      </c>
      <c r="AQ427" s="18" t="str">
        <f t="shared" si="76"/>
        <v>N/A</v>
      </c>
      <c r="AR427" s="23">
        <v>46052</v>
      </c>
      <c r="AS427" s="14" t="s">
        <v>79</v>
      </c>
    </row>
    <row r="428" spans="1:45" x14ac:dyDescent="0.25">
      <c r="A428" s="14" t="s">
        <v>1448</v>
      </c>
      <c r="B428" s="14" t="s">
        <v>1449</v>
      </c>
      <c r="C428" s="14">
        <v>9303470329</v>
      </c>
      <c r="D428" s="15" t="s">
        <v>1459</v>
      </c>
      <c r="E428" s="14">
        <v>62</v>
      </c>
      <c r="F428" s="14" t="s">
        <v>89</v>
      </c>
      <c r="G428" s="14" t="s">
        <v>90</v>
      </c>
      <c r="H428" s="14" t="s">
        <v>144</v>
      </c>
      <c r="I428" s="14" t="s">
        <v>92</v>
      </c>
      <c r="J428" s="15">
        <v>417285</v>
      </c>
      <c r="K428" s="14">
        <v>2</v>
      </c>
      <c r="L428" s="14" t="s">
        <v>76</v>
      </c>
      <c r="M428" s="14" t="s">
        <v>75</v>
      </c>
      <c r="N428" s="14" t="s">
        <v>76</v>
      </c>
      <c r="O428" s="14" t="s">
        <v>75</v>
      </c>
      <c r="P428" s="14">
        <v>353</v>
      </c>
      <c r="Q428" s="15">
        <v>1182146</v>
      </c>
      <c r="R428" s="15">
        <v>3749.86</v>
      </c>
      <c r="S428" s="14" t="s">
        <v>23</v>
      </c>
      <c r="T428" s="15">
        <v>116132</v>
      </c>
      <c r="U428" s="16">
        <f t="shared" si="66"/>
        <v>0.1078359394658327</v>
      </c>
      <c r="V428" s="14">
        <v>1</v>
      </c>
      <c r="W428" s="17">
        <v>85.7</v>
      </c>
      <c r="X428" s="14">
        <v>7.7</v>
      </c>
      <c r="Y428" s="18">
        <f t="shared" si="67"/>
        <v>52.3</v>
      </c>
      <c r="Z428" s="18" t="str">
        <f t="shared" si="68"/>
        <v>Medium</v>
      </c>
      <c r="AA428" s="19" t="str">
        <f t="shared" si="69"/>
        <v>Not Eligible</v>
      </c>
      <c r="AB428" s="14" t="s">
        <v>77</v>
      </c>
      <c r="AC428" s="14">
        <v>0</v>
      </c>
      <c r="AD428" s="14" t="s">
        <v>78</v>
      </c>
      <c r="AE428" s="17">
        <v>13.9</v>
      </c>
      <c r="AF428" s="15">
        <v>316175</v>
      </c>
      <c r="AG428" s="20">
        <f t="shared" si="70"/>
        <v>733460</v>
      </c>
      <c r="AH428" s="14">
        <v>0</v>
      </c>
      <c r="AI428" s="14" t="s">
        <v>75</v>
      </c>
      <c r="AJ428" s="14">
        <v>300</v>
      </c>
      <c r="AK428" s="21">
        <f t="shared" si="71"/>
        <v>0.1</v>
      </c>
      <c r="AL428" s="20">
        <f t="shared" si="72"/>
        <v>1055.2923498105831</v>
      </c>
      <c r="AM428" s="22">
        <f t="shared" si="73"/>
        <v>0.27830379716500714</v>
      </c>
      <c r="AN428" s="20">
        <f t="shared" si="74"/>
        <v>4805.1523498105835</v>
      </c>
      <c r="AO428" s="16">
        <f t="shared" si="75"/>
        <v>0.13818332362228933</v>
      </c>
      <c r="AP428" s="15">
        <v>9247348</v>
      </c>
      <c r="AQ428" s="18">
        <f t="shared" si="76"/>
        <v>1.255841134128401E-2</v>
      </c>
      <c r="AR428" s="23">
        <v>46222</v>
      </c>
      <c r="AS428" s="14" t="s">
        <v>79</v>
      </c>
    </row>
    <row r="429" spans="1:45" x14ac:dyDescent="0.25">
      <c r="A429" s="14" t="s">
        <v>1452</v>
      </c>
      <c r="B429" s="14" t="s">
        <v>1453</v>
      </c>
      <c r="C429" s="14">
        <v>9634688227</v>
      </c>
      <c r="D429" s="15" t="s">
        <v>1462</v>
      </c>
      <c r="E429" s="14">
        <v>39</v>
      </c>
      <c r="F429" s="14" t="s">
        <v>71</v>
      </c>
      <c r="G429" s="14" t="s">
        <v>131</v>
      </c>
      <c r="H429" s="14" t="s">
        <v>103</v>
      </c>
      <c r="I429" s="14" t="s">
        <v>74</v>
      </c>
      <c r="J429" s="15">
        <v>1042634</v>
      </c>
      <c r="K429" s="14">
        <v>0</v>
      </c>
      <c r="L429" s="14" t="s">
        <v>75</v>
      </c>
      <c r="M429" s="14" t="s">
        <v>75</v>
      </c>
      <c r="N429" s="14" t="s">
        <v>75</v>
      </c>
      <c r="O429" s="14" t="s">
        <v>75</v>
      </c>
      <c r="P429" s="14">
        <v>345</v>
      </c>
      <c r="Q429" s="15">
        <v>110038.82</v>
      </c>
      <c r="R429" s="15">
        <v>325.14999999999998</v>
      </c>
      <c r="S429" s="14" t="s">
        <v>21</v>
      </c>
      <c r="T429" s="15">
        <v>1218780</v>
      </c>
      <c r="U429" s="16">
        <f t="shared" si="66"/>
        <v>3.7422527943650405E-3</v>
      </c>
      <c r="V429" s="14">
        <v>2</v>
      </c>
      <c r="W429" s="17">
        <v>88.8</v>
      </c>
      <c r="X429" s="14">
        <v>6.5</v>
      </c>
      <c r="Y429" s="18">
        <f t="shared" si="67"/>
        <v>54</v>
      </c>
      <c r="Z429" s="18" t="str">
        <f t="shared" si="68"/>
        <v>Medium</v>
      </c>
      <c r="AA429" s="19" t="str">
        <f t="shared" si="69"/>
        <v>Not Eligible</v>
      </c>
      <c r="AB429" s="14" t="s">
        <v>85</v>
      </c>
      <c r="AC429" s="14">
        <v>3</v>
      </c>
      <c r="AD429" s="14" t="s">
        <v>93</v>
      </c>
      <c r="AE429" s="17">
        <v>3.9</v>
      </c>
      <c r="AF429" s="15">
        <v>0</v>
      </c>
      <c r="AG429" s="20">
        <f t="shared" si="70"/>
        <v>1042634</v>
      </c>
      <c r="AH429" s="14">
        <v>1</v>
      </c>
      <c r="AI429" s="14" t="s">
        <v>75</v>
      </c>
      <c r="AJ429" s="14">
        <v>12</v>
      </c>
      <c r="AK429" s="21">
        <f t="shared" si="71"/>
        <v>0.15500000000000003</v>
      </c>
      <c r="AL429" s="20">
        <f t="shared" si="72"/>
        <v>110292.78480030068</v>
      </c>
      <c r="AM429" s="22">
        <f t="shared" si="73"/>
        <v>1.1689432725194076</v>
      </c>
      <c r="AN429" s="20">
        <f t="shared" si="74"/>
        <v>110617.93480030067</v>
      </c>
      <c r="AO429" s="16">
        <f t="shared" si="75"/>
        <v>1.2731363235839308</v>
      </c>
      <c r="AP429" s="15">
        <v>0</v>
      </c>
      <c r="AQ429" s="18" t="str">
        <f t="shared" si="76"/>
        <v>N/A</v>
      </c>
      <c r="AR429" s="23">
        <v>46107</v>
      </c>
      <c r="AS429" s="14" t="s">
        <v>79</v>
      </c>
    </row>
    <row r="430" spans="1:45" x14ac:dyDescent="0.25">
      <c r="A430" s="14" t="s">
        <v>1456</v>
      </c>
      <c r="B430" s="14" t="s">
        <v>1457</v>
      </c>
      <c r="C430" s="14">
        <v>9315445536</v>
      </c>
      <c r="D430" s="15"/>
      <c r="E430" s="14">
        <v>37</v>
      </c>
      <c r="F430" s="14" t="s">
        <v>71</v>
      </c>
      <c r="G430" s="14" t="s">
        <v>153</v>
      </c>
      <c r="H430" s="14" t="s">
        <v>166</v>
      </c>
      <c r="I430" s="14" t="s">
        <v>74</v>
      </c>
      <c r="J430" s="15">
        <v>2183780</v>
      </c>
      <c r="K430" s="14">
        <v>3</v>
      </c>
      <c r="L430" s="14" t="s">
        <v>76</v>
      </c>
      <c r="M430" s="14" t="s">
        <v>75</v>
      </c>
      <c r="N430" s="14" t="s">
        <v>76</v>
      </c>
      <c r="O430" s="14" t="s">
        <v>76</v>
      </c>
      <c r="P430" s="14">
        <v>462</v>
      </c>
      <c r="Q430" s="15">
        <v>36759.019999999997</v>
      </c>
      <c r="R430" s="15">
        <v>27491.77</v>
      </c>
      <c r="S430" s="14" t="s">
        <v>20</v>
      </c>
      <c r="T430" s="15">
        <v>462196</v>
      </c>
      <c r="U430" s="16">
        <f t="shared" si="66"/>
        <v>0.15106889888175548</v>
      </c>
      <c r="V430" s="14">
        <v>1</v>
      </c>
      <c r="W430" s="17">
        <v>20.9</v>
      </c>
      <c r="X430" s="14">
        <v>11.2</v>
      </c>
      <c r="Y430" s="18">
        <f t="shared" si="67"/>
        <v>39.799999999999997</v>
      </c>
      <c r="Z430" s="18" t="str">
        <f t="shared" si="68"/>
        <v>Medium</v>
      </c>
      <c r="AA430" s="19" t="str">
        <f t="shared" si="69"/>
        <v>Not Eligible</v>
      </c>
      <c r="AB430" s="14" t="s">
        <v>161</v>
      </c>
      <c r="AC430" s="14">
        <v>2</v>
      </c>
      <c r="AD430" s="14" t="s">
        <v>93</v>
      </c>
      <c r="AE430" s="17">
        <v>4.8</v>
      </c>
      <c r="AF430" s="15">
        <v>791631</v>
      </c>
      <c r="AG430" s="20">
        <f t="shared" si="70"/>
        <v>2975411</v>
      </c>
      <c r="AH430" s="14">
        <v>0</v>
      </c>
      <c r="AI430" s="14" t="s">
        <v>75</v>
      </c>
      <c r="AJ430" s="14">
        <v>36</v>
      </c>
      <c r="AK430" s="21">
        <f t="shared" si="71"/>
        <v>0.375</v>
      </c>
      <c r="AL430" s="20">
        <f t="shared" si="72"/>
        <v>21567.032193629151</v>
      </c>
      <c r="AM430" s="22">
        <f t="shared" si="73"/>
        <v>0.21164952513531582</v>
      </c>
      <c r="AN430" s="20">
        <f t="shared" si="74"/>
        <v>49058.802193629148</v>
      </c>
      <c r="AO430" s="16">
        <f t="shared" si="75"/>
        <v>0.26958101380338212</v>
      </c>
      <c r="AP430" s="15">
        <v>0</v>
      </c>
      <c r="AQ430" s="18" t="str">
        <f t="shared" si="76"/>
        <v>N/A</v>
      </c>
      <c r="AR430" s="23">
        <v>45998</v>
      </c>
      <c r="AS430" s="14" t="s">
        <v>94</v>
      </c>
    </row>
    <row r="431" spans="1:45" x14ac:dyDescent="0.25">
      <c r="A431" s="14" t="s">
        <v>1460</v>
      </c>
      <c r="B431" s="14" t="s">
        <v>1461</v>
      </c>
      <c r="C431" s="14">
        <v>9211446453</v>
      </c>
      <c r="D431" s="15" t="s">
        <v>1468</v>
      </c>
      <c r="E431" s="14">
        <v>54</v>
      </c>
      <c r="F431" s="14" t="s">
        <v>71</v>
      </c>
      <c r="G431" s="14" t="s">
        <v>115</v>
      </c>
      <c r="H431" s="14" t="s">
        <v>107</v>
      </c>
      <c r="I431" s="14" t="s">
        <v>92</v>
      </c>
      <c r="J431" s="15">
        <v>758621</v>
      </c>
      <c r="K431" s="14">
        <v>3</v>
      </c>
      <c r="L431" s="14" t="s">
        <v>76</v>
      </c>
      <c r="M431" s="14" t="s">
        <v>76</v>
      </c>
      <c r="N431" s="14" t="s">
        <v>75</v>
      </c>
      <c r="O431" s="14" t="s">
        <v>76</v>
      </c>
      <c r="P431" s="14">
        <v>369</v>
      </c>
      <c r="Q431" s="15">
        <v>630281.06000000006</v>
      </c>
      <c r="R431" s="15">
        <v>2157.62</v>
      </c>
      <c r="S431" s="14" t="s">
        <v>22</v>
      </c>
      <c r="T431" s="15">
        <v>6294021</v>
      </c>
      <c r="U431" s="16">
        <f t="shared" si="66"/>
        <v>3.4129611492431662E-2</v>
      </c>
      <c r="V431" s="14">
        <v>2</v>
      </c>
      <c r="W431" s="17">
        <v>47</v>
      </c>
      <c r="X431" s="14">
        <v>11.6</v>
      </c>
      <c r="Y431" s="18">
        <f t="shared" si="67"/>
        <v>49.1</v>
      </c>
      <c r="Z431" s="18" t="str">
        <f t="shared" si="68"/>
        <v>Medium</v>
      </c>
      <c r="AA431" s="19" t="str">
        <f t="shared" si="69"/>
        <v>Not Eligible</v>
      </c>
      <c r="AB431" s="14" t="s">
        <v>77</v>
      </c>
      <c r="AC431" s="14">
        <v>2</v>
      </c>
      <c r="AD431" s="14" t="s">
        <v>194</v>
      </c>
      <c r="AE431" s="17">
        <v>23.1</v>
      </c>
      <c r="AF431" s="15">
        <v>0</v>
      </c>
      <c r="AG431" s="20">
        <f t="shared" si="70"/>
        <v>758621</v>
      </c>
      <c r="AH431" s="14">
        <v>0</v>
      </c>
      <c r="AI431" s="14" t="s">
        <v>75</v>
      </c>
      <c r="AJ431" s="14">
        <v>36</v>
      </c>
      <c r="AK431" s="21">
        <f t="shared" si="71"/>
        <v>0.105</v>
      </c>
      <c r="AL431" s="20">
        <f t="shared" si="72"/>
        <v>204571.06196981313</v>
      </c>
      <c r="AM431" s="22">
        <f t="shared" si="73"/>
        <v>8.2966606513660963</v>
      </c>
      <c r="AN431" s="20">
        <f t="shared" si="74"/>
        <v>206728.68196981313</v>
      </c>
      <c r="AO431" s="16">
        <f t="shared" si="75"/>
        <v>3.2700705406754595</v>
      </c>
      <c r="AP431" s="15">
        <v>1362924</v>
      </c>
      <c r="AQ431" s="18">
        <f t="shared" si="76"/>
        <v>4.6180278577528897</v>
      </c>
      <c r="AR431" s="23">
        <v>46023</v>
      </c>
      <c r="AS431" s="14" t="s">
        <v>94</v>
      </c>
    </row>
    <row r="432" spans="1:45" x14ac:dyDescent="0.25">
      <c r="A432" s="14" t="s">
        <v>1463</v>
      </c>
      <c r="B432" s="14" t="s">
        <v>1464</v>
      </c>
      <c r="C432" s="14">
        <v>9340346197</v>
      </c>
      <c r="D432" s="15" t="s">
        <v>1471</v>
      </c>
      <c r="E432" s="14">
        <v>46</v>
      </c>
      <c r="F432" s="14" t="s">
        <v>89</v>
      </c>
      <c r="G432" s="14" t="s">
        <v>72</v>
      </c>
      <c r="H432" s="14" t="s">
        <v>84</v>
      </c>
      <c r="I432" s="14" t="s">
        <v>74</v>
      </c>
      <c r="J432" s="15">
        <v>2420617</v>
      </c>
      <c r="K432" s="14">
        <v>3</v>
      </c>
      <c r="L432" s="14" t="s">
        <v>76</v>
      </c>
      <c r="M432" s="14" t="s">
        <v>76</v>
      </c>
      <c r="N432" s="14" t="s">
        <v>76</v>
      </c>
      <c r="O432" s="14" t="s">
        <v>75</v>
      </c>
      <c r="P432" s="14">
        <v>749</v>
      </c>
      <c r="Q432" s="15">
        <v>239431</v>
      </c>
      <c r="R432" s="15">
        <v>918.98</v>
      </c>
      <c r="S432" s="14" t="s">
        <v>20</v>
      </c>
      <c r="T432" s="15"/>
      <c r="U432" s="16">
        <f t="shared" si="66"/>
        <v>4.5557640882469223E-3</v>
      </c>
      <c r="V432" s="14">
        <v>0</v>
      </c>
      <c r="W432" s="17">
        <v>55.2</v>
      </c>
      <c r="X432" s="14">
        <v>8.4</v>
      </c>
      <c r="Y432" s="18">
        <f t="shared" si="67"/>
        <v>15.7</v>
      </c>
      <c r="Z432" s="18" t="str">
        <f t="shared" si="68"/>
        <v>Low</v>
      </c>
      <c r="AA432" s="19" t="str">
        <f t="shared" si="69"/>
        <v>Eligible</v>
      </c>
      <c r="AB432" s="14" t="s">
        <v>85</v>
      </c>
      <c r="AC432" s="14">
        <v>4</v>
      </c>
      <c r="AD432" s="14" t="s">
        <v>78</v>
      </c>
      <c r="AE432" s="17">
        <v>17.2</v>
      </c>
      <c r="AF432" s="15">
        <v>0</v>
      </c>
      <c r="AG432" s="20">
        <f t="shared" si="70"/>
        <v>2420617</v>
      </c>
      <c r="AH432" s="14">
        <v>0</v>
      </c>
      <c r="AI432" s="14" t="s">
        <v>75</v>
      </c>
      <c r="AJ432" s="14">
        <v>18</v>
      </c>
      <c r="AK432" s="21">
        <f t="shared" si="71"/>
        <v>0.36</v>
      </c>
      <c r="AL432" s="20">
        <f t="shared" si="72"/>
        <v>0</v>
      </c>
      <c r="AM432" s="22">
        <f t="shared" si="73"/>
        <v>0</v>
      </c>
      <c r="AN432" s="20">
        <f t="shared" si="74"/>
        <v>918.98</v>
      </c>
      <c r="AO432" s="16">
        <f t="shared" si="75"/>
        <v>4.5557640882469223E-3</v>
      </c>
      <c r="AP432" s="15">
        <v>0</v>
      </c>
      <c r="AQ432" s="18" t="str">
        <f t="shared" si="76"/>
        <v>N/A</v>
      </c>
      <c r="AR432" s="23">
        <v>46059</v>
      </c>
      <c r="AS432" s="14" t="s">
        <v>79</v>
      </c>
    </row>
    <row r="433" spans="1:45" x14ac:dyDescent="0.25">
      <c r="A433" s="14" t="s">
        <v>1465</v>
      </c>
      <c r="B433" s="14" t="s">
        <v>1466</v>
      </c>
      <c r="C433" s="14">
        <v>9332958281</v>
      </c>
      <c r="D433" s="15" t="s">
        <v>1474</v>
      </c>
      <c r="E433" s="14">
        <v>21</v>
      </c>
      <c r="F433" s="14" t="s">
        <v>89</v>
      </c>
      <c r="G433" s="14" t="s">
        <v>127</v>
      </c>
      <c r="H433" s="14" t="s">
        <v>166</v>
      </c>
      <c r="I433" s="14" t="s">
        <v>74</v>
      </c>
      <c r="J433" s="15">
        <v>1925407</v>
      </c>
      <c r="K433" s="14">
        <v>2</v>
      </c>
      <c r="L433" s="14" t="s">
        <v>75</v>
      </c>
      <c r="M433" s="14" t="s">
        <v>76</v>
      </c>
      <c r="N433" s="14" t="s">
        <v>76</v>
      </c>
      <c r="O433" s="14" t="s">
        <v>75</v>
      </c>
      <c r="P433" s="14">
        <v>877</v>
      </c>
      <c r="Q433" s="15">
        <v>787438.96</v>
      </c>
      <c r="R433" s="15">
        <v>48483.16</v>
      </c>
      <c r="S433" s="14" t="s">
        <v>23</v>
      </c>
      <c r="T433" s="15">
        <v>1926860</v>
      </c>
      <c r="U433" s="16">
        <f t="shared" si="66"/>
        <v>0.30216879859686813</v>
      </c>
      <c r="V433" s="14">
        <v>1</v>
      </c>
      <c r="W433" s="17">
        <v>31.8</v>
      </c>
      <c r="X433" s="14">
        <v>9.3000000000000007</v>
      </c>
      <c r="Y433" s="18">
        <f t="shared" si="67"/>
        <v>17.8</v>
      </c>
      <c r="Z433" s="18" t="str">
        <f t="shared" si="68"/>
        <v>Low</v>
      </c>
      <c r="AA433" s="19" t="str">
        <f t="shared" si="69"/>
        <v>Eligible</v>
      </c>
      <c r="AB433" s="14" t="s">
        <v>85</v>
      </c>
      <c r="AC433" s="14">
        <v>2</v>
      </c>
      <c r="AD433" s="14" t="s">
        <v>93</v>
      </c>
      <c r="AE433" s="17">
        <v>0.3</v>
      </c>
      <c r="AF433" s="15">
        <v>0</v>
      </c>
      <c r="AG433" s="20">
        <f t="shared" si="70"/>
        <v>1925407</v>
      </c>
      <c r="AH433" s="14">
        <v>0</v>
      </c>
      <c r="AI433" s="14" t="s">
        <v>76</v>
      </c>
      <c r="AJ433" s="14">
        <v>300</v>
      </c>
      <c r="AK433" s="21">
        <f t="shared" si="71"/>
        <v>8.5000000000000006E-2</v>
      </c>
      <c r="AL433" s="20">
        <f t="shared" si="72"/>
        <v>15515.598580398424</v>
      </c>
      <c r="AM433" s="22">
        <f t="shared" si="73"/>
        <v>1.0007546456411553</v>
      </c>
      <c r="AN433" s="20">
        <f t="shared" si="74"/>
        <v>63998.758580398426</v>
      </c>
      <c r="AO433" s="16">
        <f t="shared" si="75"/>
        <v>0.39886896794536486</v>
      </c>
      <c r="AP433" s="15">
        <v>7992036</v>
      </c>
      <c r="AQ433" s="18">
        <f t="shared" si="76"/>
        <v>0.24109751257376719</v>
      </c>
      <c r="AR433" s="23">
        <v>45973</v>
      </c>
      <c r="AS433" s="14" t="s">
        <v>79</v>
      </c>
    </row>
    <row r="434" spans="1:45" x14ac:dyDescent="0.25">
      <c r="A434" s="14" t="s">
        <v>1469</v>
      </c>
      <c r="B434" s="14" t="s">
        <v>1470</v>
      </c>
      <c r="C434" s="14">
        <v>9312396606</v>
      </c>
      <c r="D434" s="15" t="s">
        <v>1476</v>
      </c>
      <c r="E434" s="14">
        <v>61</v>
      </c>
      <c r="F434" s="14" t="s">
        <v>71</v>
      </c>
      <c r="G434" s="14" t="s">
        <v>153</v>
      </c>
      <c r="H434" s="14" t="s">
        <v>84</v>
      </c>
      <c r="I434" s="14" t="s">
        <v>74</v>
      </c>
      <c r="J434" s="15">
        <v>972416</v>
      </c>
      <c r="K434" s="14">
        <v>3</v>
      </c>
      <c r="L434" s="14" t="s">
        <v>76</v>
      </c>
      <c r="M434" s="14" t="s">
        <v>76</v>
      </c>
      <c r="N434" s="14" t="s">
        <v>75</v>
      </c>
      <c r="O434" s="14" t="s">
        <v>76</v>
      </c>
      <c r="P434" s="14">
        <v>770</v>
      </c>
      <c r="Q434" s="15">
        <v>949898.98</v>
      </c>
      <c r="R434" s="15">
        <v>5205.0200000000004</v>
      </c>
      <c r="S434" s="14" t="s">
        <v>21</v>
      </c>
      <c r="T434" s="15">
        <v>31254</v>
      </c>
      <c r="U434" s="16">
        <f t="shared" si="66"/>
        <v>6.423201592733975E-2</v>
      </c>
      <c r="V434" s="14">
        <v>0</v>
      </c>
      <c r="W434" s="17">
        <v>64.5</v>
      </c>
      <c r="X434" s="14">
        <v>3.3</v>
      </c>
      <c r="Y434" s="18">
        <f t="shared" si="67"/>
        <v>17</v>
      </c>
      <c r="Z434" s="18" t="str">
        <f t="shared" si="68"/>
        <v>Low</v>
      </c>
      <c r="AA434" s="19" t="str">
        <f t="shared" si="69"/>
        <v>Eligible</v>
      </c>
      <c r="AB434" s="14" t="s">
        <v>85</v>
      </c>
      <c r="AC434" s="14">
        <v>3</v>
      </c>
      <c r="AD434" s="14" t="s">
        <v>93</v>
      </c>
      <c r="AE434" s="17">
        <v>13.7</v>
      </c>
      <c r="AF434" s="15">
        <v>0</v>
      </c>
      <c r="AG434" s="20">
        <f t="shared" si="70"/>
        <v>972416</v>
      </c>
      <c r="AH434" s="14">
        <v>0</v>
      </c>
      <c r="AI434" s="14" t="s">
        <v>75</v>
      </c>
      <c r="AJ434" s="14">
        <v>48</v>
      </c>
      <c r="AK434" s="21">
        <f t="shared" si="71"/>
        <v>0.14000000000000001</v>
      </c>
      <c r="AL434" s="20">
        <f t="shared" si="72"/>
        <v>854.06169637619621</v>
      </c>
      <c r="AM434" s="22">
        <f t="shared" si="73"/>
        <v>3.2140565354745292E-2</v>
      </c>
      <c r="AN434" s="20">
        <f t="shared" si="74"/>
        <v>6059.0816963761963</v>
      </c>
      <c r="AO434" s="16">
        <f t="shared" si="75"/>
        <v>7.4771476771787332E-2</v>
      </c>
      <c r="AP434" s="15">
        <v>0</v>
      </c>
      <c r="AQ434" s="18" t="str">
        <f t="shared" si="76"/>
        <v>N/A</v>
      </c>
      <c r="AR434" s="23">
        <v>45963</v>
      </c>
      <c r="AS434" s="14" t="s">
        <v>79</v>
      </c>
    </row>
    <row r="435" spans="1:45" x14ac:dyDescent="0.25">
      <c r="A435" s="14" t="s">
        <v>1472</v>
      </c>
      <c r="B435" s="14" t="s">
        <v>1473</v>
      </c>
      <c r="C435" s="14"/>
      <c r="D435" s="15" t="s">
        <v>1478</v>
      </c>
      <c r="E435" s="14">
        <v>57</v>
      </c>
      <c r="F435" s="14" t="s">
        <v>71</v>
      </c>
      <c r="G435" s="14" t="s">
        <v>106</v>
      </c>
      <c r="H435" s="14" t="s">
        <v>107</v>
      </c>
      <c r="I435" s="14" t="s">
        <v>92</v>
      </c>
      <c r="J435" s="15">
        <v>2012148</v>
      </c>
      <c r="K435" s="14">
        <v>1</v>
      </c>
      <c r="L435" s="14" t="s">
        <v>76</v>
      </c>
      <c r="M435" s="14" t="s">
        <v>75</v>
      </c>
      <c r="N435" s="14" t="s">
        <v>75</v>
      </c>
      <c r="O435" s="14" t="s">
        <v>75</v>
      </c>
      <c r="P435" s="14">
        <v>855</v>
      </c>
      <c r="Q435" s="15"/>
      <c r="R435" s="15">
        <v>25401.26</v>
      </c>
      <c r="S435" s="14" t="s">
        <v>23</v>
      </c>
      <c r="T435" s="15">
        <v>7370873</v>
      </c>
      <c r="U435" s="16">
        <f t="shared" si="66"/>
        <v>0.15148742537825249</v>
      </c>
      <c r="V435" s="14">
        <v>0</v>
      </c>
      <c r="W435" s="17">
        <v>37.1</v>
      </c>
      <c r="X435" s="14">
        <v>13.4</v>
      </c>
      <c r="Y435" s="18">
        <f t="shared" si="67"/>
        <v>11.3</v>
      </c>
      <c r="Z435" s="18" t="str">
        <f t="shared" si="68"/>
        <v>Low</v>
      </c>
      <c r="AA435" s="19" t="str">
        <f t="shared" si="69"/>
        <v>Eligible</v>
      </c>
      <c r="AB435" s="14" t="s">
        <v>77</v>
      </c>
      <c r="AC435" s="14">
        <v>3</v>
      </c>
      <c r="AD435" s="14" t="s">
        <v>78</v>
      </c>
      <c r="AE435" s="17">
        <v>28.3</v>
      </c>
      <c r="AF435" s="15">
        <v>304840</v>
      </c>
      <c r="AG435" s="20">
        <f t="shared" si="70"/>
        <v>2316988</v>
      </c>
      <c r="AH435" s="14">
        <v>1</v>
      </c>
      <c r="AI435" s="14" t="s">
        <v>75</v>
      </c>
      <c r="AJ435" s="14">
        <v>360</v>
      </c>
      <c r="AK435" s="21">
        <f t="shared" si="71"/>
        <v>8.5000000000000006E-2</v>
      </c>
      <c r="AL435" s="20">
        <f t="shared" si="72"/>
        <v>56675.636354877082</v>
      </c>
      <c r="AM435" s="22">
        <f t="shared" si="73"/>
        <v>3.6631863063750778</v>
      </c>
      <c r="AN435" s="20">
        <f t="shared" si="74"/>
        <v>82076.896354877084</v>
      </c>
      <c r="AO435" s="16">
        <f t="shared" si="75"/>
        <v>0.48948822664064717</v>
      </c>
      <c r="AP435" s="15">
        <v>2586443</v>
      </c>
      <c r="AQ435" s="18">
        <f t="shared" si="76"/>
        <v>2.8498107246129143</v>
      </c>
      <c r="AR435" s="23">
        <v>46223</v>
      </c>
      <c r="AS435" s="14" t="s">
        <v>79</v>
      </c>
    </row>
    <row r="436" spans="1:45" x14ac:dyDescent="0.25">
      <c r="A436" s="14" t="s">
        <v>1475</v>
      </c>
      <c r="B436" s="14" t="s">
        <v>357</v>
      </c>
      <c r="C436" s="14">
        <v>9573451981</v>
      </c>
      <c r="D436" s="15"/>
      <c r="E436" s="14">
        <v>41</v>
      </c>
      <c r="F436" s="14" t="s">
        <v>89</v>
      </c>
      <c r="G436" s="14" t="s">
        <v>131</v>
      </c>
      <c r="H436" s="14" t="s">
        <v>132</v>
      </c>
      <c r="I436" s="14" t="s">
        <v>92</v>
      </c>
      <c r="J436" s="15">
        <v>2341304</v>
      </c>
      <c r="K436" s="14">
        <v>1</v>
      </c>
      <c r="L436" s="14" t="s">
        <v>76</v>
      </c>
      <c r="M436" s="14" t="s">
        <v>75</v>
      </c>
      <c r="N436" s="14" t="s">
        <v>75</v>
      </c>
      <c r="O436" s="14" t="s">
        <v>75</v>
      </c>
      <c r="P436" s="14">
        <v>336</v>
      </c>
      <c r="Q436" s="15">
        <v>652283</v>
      </c>
      <c r="R436" s="15">
        <v>59368.69</v>
      </c>
      <c r="S436" s="14" t="s">
        <v>20</v>
      </c>
      <c r="T436" s="15">
        <v>2753979</v>
      </c>
      <c r="U436" s="16">
        <f t="shared" si="66"/>
        <v>0.3042852530043087</v>
      </c>
      <c r="V436" s="14">
        <v>0</v>
      </c>
      <c r="W436" s="17">
        <v>86.9</v>
      </c>
      <c r="X436" s="14">
        <v>1</v>
      </c>
      <c r="Y436" s="18">
        <f t="shared" si="67"/>
        <v>55.4</v>
      </c>
      <c r="Z436" s="18" t="str">
        <f t="shared" si="68"/>
        <v>Medium</v>
      </c>
      <c r="AA436" s="19" t="str">
        <f t="shared" si="69"/>
        <v>Not Eligible</v>
      </c>
      <c r="AB436" s="14" t="s">
        <v>77</v>
      </c>
      <c r="AC436" s="14">
        <v>1</v>
      </c>
      <c r="AD436" s="14" t="s">
        <v>194</v>
      </c>
      <c r="AE436" s="17">
        <v>4.3</v>
      </c>
      <c r="AF436" s="15">
        <v>309759</v>
      </c>
      <c r="AG436" s="20">
        <f t="shared" si="70"/>
        <v>2651063</v>
      </c>
      <c r="AH436" s="14">
        <v>2</v>
      </c>
      <c r="AI436" s="14" t="s">
        <v>75</v>
      </c>
      <c r="AJ436" s="14">
        <v>24</v>
      </c>
      <c r="AK436" s="21">
        <f t="shared" si="71"/>
        <v>0.375</v>
      </c>
      <c r="AL436" s="20">
        <f t="shared" si="72"/>
        <v>164812.80842600472</v>
      </c>
      <c r="AM436" s="22">
        <f t="shared" si="73"/>
        <v>1.1762586148573615</v>
      </c>
      <c r="AN436" s="20">
        <f t="shared" si="74"/>
        <v>224181.49842600472</v>
      </c>
      <c r="AO436" s="16">
        <f t="shared" si="75"/>
        <v>1.1490084077557021</v>
      </c>
      <c r="AP436" s="15">
        <v>0</v>
      </c>
      <c r="AQ436" s="18" t="str">
        <f t="shared" si="76"/>
        <v>N/A</v>
      </c>
      <c r="AR436" s="23">
        <v>46193</v>
      </c>
      <c r="AS436" s="14" t="s">
        <v>79</v>
      </c>
    </row>
    <row r="437" spans="1:45" x14ac:dyDescent="0.25">
      <c r="A437" s="14" t="s">
        <v>1477</v>
      </c>
      <c r="B437" s="14" t="s">
        <v>375</v>
      </c>
      <c r="C437" s="14">
        <v>9371351496</v>
      </c>
      <c r="D437" s="15"/>
      <c r="E437" s="14">
        <v>39</v>
      </c>
      <c r="F437" s="14" t="s">
        <v>89</v>
      </c>
      <c r="G437" s="14" t="s">
        <v>139</v>
      </c>
      <c r="H437" s="14" t="s">
        <v>144</v>
      </c>
      <c r="I437" s="14" t="s">
        <v>92</v>
      </c>
      <c r="J437" s="15">
        <v>970301</v>
      </c>
      <c r="K437" s="14">
        <v>1</v>
      </c>
      <c r="L437" s="14" t="s">
        <v>75</v>
      </c>
      <c r="M437" s="14" t="s">
        <v>76</v>
      </c>
      <c r="N437" s="14" t="s">
        <v>75</v>
      </c>
      <c r="O437" s="14" t="s">
        <v>75</v>
      </c>
      <c r="P437" s="14">
        <v>719</v>
      </c>
      <c r="Q437" s="15">
        <v>202501</v>
      </c>
      <c r="R437" s="15">
        <v>1960.59</v>
      </c>
      <c r="S437" s="14" t="s">
        <v>23</v>
      </c>
      <c r="T437" s="15"/>
      <c r="U437" s="16">
        <f t="shared" si="66"/>
        <v>2.4247197519120352E-2</v>
      </c>
      <c r="V437" s="14">
        <v>8</v>
      </c>
      <c r="W437" s="17">
        <v>70.5</v>
      </c>
      <c r="X437" s="14">
        <v>13.6</v>
      </c>
      <c r="Y437" s="18">
        <f t="shared" si="67"/>
        <v>39.799999999999997</v>
      </c>
      <c r="Z437" s="18" t="str">
        <f t="shared" si="68"/>
        <v>Medium</v>
      </c>
      <c r="AA437" s="19" t="str">
        <f t="shared" si="69"/>
        <v>Not Eligible</v>
      </c>
      <c r="AB437" s="14" t="s">
        <v>161</v>
      </c>
      <c r="AC437" s="14">
        <v>2</v>
      </c>
      <c r="AD437" s="14" t="s">
        <v>78</v>
      </c>
      <c r="AE437" s="17">
        <v>8.1999999999999993</v>
      </c>
      <c r="AF437" s="15">
        <v>0</v>
      </c>
      <c r="AG437" s="20">
        <f t="shared" si="70"/>
        <v>970301</v>
      </c>
      <c r="AH437" s="14">
        <v>0</v>
      </c>
      <c r="AI437" s="14" t="s">
        <v>75</v>
      </c>
      <c r="AJ437" s="14">
        <v>300</v>
      </c>
      <c r="AK437" s="21">
        <f t="shared" si="71"/>
        <v>0.1</v>
      </c>
      <c r="AL437" s="20">
        <f t="shared" si="72"/>
        <v>0</v>
      </c>
      <c r="AM437" s="22">
        <f t="shared" si="73"/>
        <v>0</v>
      </c>
      <c r="AN437" s="20">
        <f t="shared" si="74"/>
        <v>1960.59</v>
      </c>
      <c r="AO437" s="16">
        <f t="shared" si="75"/>
        <v>2.4247197519120352E-2</v>
      </c>
      <c r="AP437" s="15">
        <v>9355260</v>
      </c>
      <c r="AQ437" s="18">
        <f t="shared" si="76"/>
        <v>0</v>
      </c>
      <c r="AR437" s="23">
        <v>45905</v>
      </c>
      <c r="AS437" s="14" t="s">
        <v>79</v>
      </c>
    </row>
    <row r="438" spans="1:45" x14ac:dyDescent="0.25">
      <c r="A438" s="14" t="s">
        <v>1479</v>
      </c>
      <c r="B438" s="14" t="s">
        <v>1061</v>
      </c>
      <c r="C438" s="14">
        <v>9962371481</v>
      </c>
      <c r="D438" s="15" t="s">
        <v>1484</v>
      </c>
      <c r="E438" s="14">
        <v>32</v>
      </c>
      <c r="F438" s="14" t="s">
        <v>89</v>
      </c>
      <c r="G438" s="14" t="s">
        <v>127</v>
      </c>
      <c r="H438" s="14" t="s">
        <v>107</v>
      </c>
      <c r="I438" s="14" t="s">
        <v>92</v>
      </c>
      <c r="J438" s="15">
        <v>1742122</v>
      </c>
      <c r="K438" s="14">
        <v>1</v>
      </c>
      <c r="L438" s="14" t="s">
        <v>75</v>
      </c>
      <c r="M438" s="14" t="s">
        <v>75</v>
      </c>
      <c r="N438" s="14" t="s">
        <v>75</v>
      </c>
      <c r="O438" s="14" t="s">
        <v>76</v>
      </c>
      <c r="P438" s="14">
        <v>438</v>
      </c>
      <c r="Q438" s="15">
        <v>112539</v>
      </c>
      <c r="R438" s="15">
        <v>11859.69</v>
      </c>
      <c r="S438" s="14" t="s">
        <v>23</v>
      </c>
      <c r="T438" s="15">
        <v>32062</v>
      </c>
      <c r="U438" s="16">
        <f t="shared" si="66"/>
        <v>8.1691339642114613E-2</v>
      </c>
      <c r="V438" s="14">
        <v>0</v>
      </c>
      <c r="W438" s="17">
        <v>93.8</v>
      </c>
      <c r="X438" s="14">
        <v>14.4</v>
      </c>
      <c r="Y438" s="18">
        <f t="shared" si="67"/>
        <v>42.6</v>
      </c>
      <c r="Z438" s="18" t="str">
        <f t="shared" si="68"/>
        <v>Medium</v>
      </c>
      <c r="AA438" s="19" t="str">
        <f t="shared" si="69"/>
        <v>Not Eligible</v>
      </c>
      <c r="AB438" s="14" t="s">
        <v>85</v>
      </c>
      <c r="AC438" s="14">
        <v>2</v>
      </c>
      <c r="AD438" s="14" t="s">
        <v>78</v>
      </c>
      <c r="AE438" s="17">
        <v>8.8000000000000007</v>
      </c>
      <c r="AF438" s="15">
        <v>0</v>
      </c>
      <c r="AG438" s="20">
        <f t="shared" si="70"/>
        <v>1742122</v>
      </c>
      <c r="AH438" s="14">
        <v>0</v>
      </c>
      <c r="AI438" s="14" t="s">
        <v>76</v>
      </c>
      <c r="AJ438" s="14">
        <v>300</v>
      </c>
      <c r="AK438" s="21">
        <f t="shared" si="71"/>
        <v>0.1</v>
      </c>
      <c r="AL438" s="20">
        <f t="shared" si="72"/>
        <v>291.34763303505417</v>
      </c>
      <c r="AM438" s="22">
        <f t="shared" si="73"/>
        <v>1.8403992372520408E-2</v>
      </c>
      <c r="AN438" s="20">
        <f t="shared" si="74"/>
        <v>12151.037633035055</v>
      </c>
      <c r="AO438" s="16">
        <f t="shared" si="75"/>
        <v>8.3698186232893365E-2</v>
      </c>
      <c r="AP438" s="15">
        <v>3178061</v>
      </c>
      <c r="AQ438" s="18">
        <f t="shared" si="76"/>
        <v>1.0088541409368794E-2</v>
      </c>
      <c r="AR438" s="23">
        <v>46197</v>
      </c>
      <c r="AS438" s="14" t="s">
        <v>79</v>
      </c>
    </row>
    <row r="439" spans="1:45" x14ac:dyDescent="0.25">
      <c r="A439" s="14" t="s">
        <v>1480</v>
      </c>
      <c r="B439" s="14" t="s">
        <v>1481</v>
      </c>
      <c r="C439" s="14">
        <v>9267765490</v>
      </c>
      <c r="D439" s="15" t="s">
        <v>1487</v>
      </c>
      <c r="E439" s="14">
        <v>38</v>
      </c>
      <c r="F439" s="14" t="s">
        <v>71</v>
      </c>
      <c r="G439" s="14" t="s">
        <v>115</v>
      </c>
      <c r="H439" s="14" t="s">
        <v>103</v>
      </c>
      <c r="I439" s="14" t="s">
        <v>74</v>
      </c>
      <c r="J439" s="15">
        <v>999953</v>
      </c>
      <c r="K439" s="14">
        <v>2</v>
      </c>
      <c r="L439" s="14" t="s">
        <v>76</v>
      </c>
      <c r="M439" s="14" t="s">
        <v>76</v>
      </c>
      <c r="N439" s="14" t="s">
        <v>75</v>
      </c>
      <c r="O439" s="14" t="s">
        <v>75</v>
      </c>
      <c r="P439" s="14">
        <v>743</v>
      </c>
      <c r="Q439" s="15">
        <v>230809</v>
      </c>
      <c r="R439" s="15">
        <v>6982.8</v>
      </c>
      <c r="S439" s="14" t="s">
        <v>23</v>
      </c>
      <c r="T439" s="15">
        <v>247000</v>
      </c>
      <c r="U439" s="16">
        <f t="shared" si="66"/>
        <v>8.3797538484308765E-2</v>
      </c>
      <c r="V439" s="14">
        <v>0</v>
      </c>
      <c r="W439" s="17">
        <v>57.4</v>
      </c>
      <c r="X439" s="14">
        <v>2.1</v>
      </c>
      <c r="Y439" s="18">
        <f t="shared" si="67"/>
        <v>18.7</v>
      </c>
      <c r="Z439" s="18" t="str">
        <f t="shared" si="68"/>
        <v>Low</v>
      </c>
      <c r="AA439" s="19" t="str">
        <f t="shared" si="69"/>
        <v>Eligible</v>
      </c>
      <c r="AB439" s="14" t="s">
        <v>161</v>
      </c>
      <c r="AC439" s="14">
        <v>2</v>
      </c>
      <c r="AD439" s="14" t="s">
        <v>93</v>
      </c>
      <c r="AE439" s="17">
        <v>0.6</v>
      </c>
      <c r="AF439" s="15">
        <v>0</v>
      </c>
      <c r="AG439" s="20">
        <f t="shared" si="70"/>
        <v>999953</v>
      </c>
      <c r="AH439" s="14">
        <v>2</v>
      </c>
      <c r="AI439" s="14" t="s">
        <v>75</v>
      </c>
      <c r="AJ439" s="14">
        <v>120</v>
      </c>
      <c r="AK439" s="21">
        <f t="shared" si="71"/>
        <v>8.5000000000000006E-2</v>
      </c>
      <c r="AL439" s="20">
        <f t="shared" si="72"/>
        <v>3062.4465152004245</v>
      </c>
      <c r="AM439" s="22">
        <f t="shared" si="73"/>
        <v>0.24701160954564866</v>
      </c>
      <c r="AN439" s="20">
        <f t="shared" si="74"/>
        <v>10045.246515200424</v>
      </c>
      <c r="AO439" s="16">
        <f t="shared" si="75"/>
        <v>0.12054862396773158</v>
      </c>
      <c r="AP439" s="15">
        <v>9308503</v>
      </c>
      <c r="AQ439" s="18">
        <f t="shared" si="76"/>
        <v>2.6534878916620642E-2</v>
      </c>
      <c r="AR439" s="23">
        <v>46033</v>
      </c>
      <c r="AS439" s="14" t="s">
        <v>79</v>
      </c>
    </row>
    <row r="440" spans="1:45" x14ac:dyDescent="0.25">
      <c r="A440" s="14" t="s">
        <v>1482</v>
      </c>
      <c r="B440" s="14" t="s">
        <v>1483</v>
      </c>
      <c r="C440" s="14">
        <v>9575148289</v>
      </c>
      <c r="D440" s="15" t="s">
        <v>1490</v>
      </c>
      <c r="E440" s="14">
        <v>47</v>
      </c>
      <c r="F440" s="14" t="s">
        <v>89</v>
      </c>
      <c r="G440" s="14" t="s">
        <v>72</v>
      </c>
      <c r="H440" s="14" t="s">
        <v>103</v>
      </c>
      <c r="I440" s="14" t="s">
        <v>74</v>
      </c>
      <c r="J440" s="15">
        <v>1397179</v>
      </c>
      <c r="K440" s="14">
        <v>0</v>
      </c>
      <c r="L440" s="14" t="s">
        <v>75</v>
      </c>
      <c r="M440" s="14" t="s">
        <v>75</v>
      </c>
      <c r="N440" s="14" t="s">
        <v>75</v>
      </c>
      <c r="O440" s="14" t="s">
        <v>75</v>
      </c>
      <c r="P440" s="14">
        <v>386</v>
      </c>
      <c r="Q440" s="15">
        <v>158561</v>
      </c>
      <c r="R440" s="15">
        <v>3516.85</v>
      </c>
      <c r="S440" s="14" t="s">
        <v>20</v>
      </c>
      <c r="T440" s="15">
        <v>220313</v>
      </c>
      <c r="U440" s="16">
        <f t="shared" si="66"/>
        <v>3.0205292235282663E-2</v>
      </c>
      <c r="V440" s="14">
        <v>3</v>
      </c>
      <c r="W440" s="17">
        <v>81.599999999999994</v>
      </c>
      <c r="X440" s="14">
        <v>1.8</v>
      </c>
      <c r="Y440" s="18">
        <f t="shared" si="67"/>
        <v>55.3</v>
      </c>
      <c r="Z440" s="18" t="str">
        <f t="shared" si="68"/>
        <v>Medium</v>
      </c>
      <c r="AA440" s="19" t="str">
        <f t="shared" si="69"/>
        <v>Not Eligible</v>
      </c>
      <c r="AB440" s="14" t="s">
        <v>85</v>
      </c>
      <c r="AC440" s="14">
        <v>1</v>
      </c>
      <c r="AD440" s="14" t="s">
        <v>78</v>
      </c>
      <c r="AE440" s="17">
        <v>20.9</v>
      </c>
      <c r="AF440" s="15">
        <v>0</v>
      </c>
      <c r="AG440" s="20">
        <f t="shared" si="70"/>
        <v>1397179</v>
      </c>
      <c r="AH440" s="14">
        <v>2</v>
      </c>
      <c r="AI440" s="14" t="s">
        <v>75</v>
      </c>
      <c r="AJ440" s="14">
        <v>12</v>
      </c>
      <c r="AK440" s="21">
        <f t="shared" si="71"/>
        <v>0.375</v>
      </c>
      <c r="AL440" s="20">
        <f t="shared" si="72"/>
        <v>22298.578220230647</v>
      </c>
      <c r="AM440" s="22">
        <f t="shared" si="73"/>
        <v>0.15768416215817729</v>
      </c>
      <c r="AN440" s="20">
        <f t="shared" si="74"/>
        <v>25815.428220230646</v>
      </c>
      <c r="AO440" s="16">
        <f t="shared" si="75"/>
        <v>0.22172186859576887</v>
      </c>
      <c r="AP440" s="15">
        <v>0</v>
      </c>
      <c r="AQ440" s="18" t="str">
        <f t="shared" si="76"/>
        <v>N/A</v>
      </c>
      <c r="AR440" s="23">
        <v>46069</v>
      </c>
      <c r="AS440" s="14" t="s">
        <v>79</v>
      </c>
    </row>
    <row r="441" spans="1:45" x14ac:dyDescent="0.25">
      <c r="A441" s="14" t="s">
        <v>1485</v>
      </c>
      <c r="B441" s="14" t="s">
        <v>923</v>
      </c>
      <c r="C441" s="14">
        <v>9167412709</v>
      </c>
      <c r="D441" s="15" t="s">
        <v>1492</v>
      </c>
      <c r="E441" s="14">
        <v>61</v>
      </c>
      <c r="F441" s="14" t="s">
        <v>89</v>
      </c>
      <c r="G441" s="14" t="s">
        <v>139</v>
      </c>
      <c r="H441" s="14" t="s">
        <v>73</v>
      </c>
      <c r="I441" s="14" t="s">
        <v>74</v>
      </c>
      <c r="J441" s="15">
        <v>535579</v>
      </c>
      <c r="K441" s="14">
        <v>2</v>
      </c>
      <c r="L441" s="14" t="s">
        <v>75</v>
      </c>
      <c r="M441" s="14" t="s">
        <v>76</v>
      </c>
      <c r="N441" s="14" t="s">
        <v>75</v>
      </c>
      <c r="O441" s="14" t="s">
        <v>76</v>
      </c>
      <c r="P441" s="14">
        <v>393</v>
      </c>
      <c r="Q441" s="15">
        <v>24455</v>
      </c>
      <c r="R441" s="15">
        <v>13577.01</v>
      </c>
      <c r="S441" s="14" t="s">
        <v>20</v>
      </c>
      <c r="T441" s="15">
        <v>318425</v>
      </c>
      <c r="U441" s="16">
        <f t="shared" si="66"/>
        <v>0.30420184510595077</v>
      </c>
      <c r="V441" s="14">
        <v>3</v>
      </c>
      <c r="W441" s="17">
        <v>27.1</v>
      </c>
      <c r="X441" s="14">
        <v>0.9</v>
      </c>
      <c r="Y441" s="18">
        <f t="shared" si="67"/>
        <v>57.6</v>
      </c>
      <c r="Z441" s="18" t="str">
        <f t="shared" si="68"/>
        <v>Medium</v>
      </c>
      <c r="AA441" s="19" t="str">
        <f t="shared" si="69"/>
        <v>Not Eligible</v>
      </c>
      <c r="AB441" s="14" t="s">
        <v>85</v>
      </c>
      <c r="AC441" s="14">
        <v>1</v>
      </c>
      <c r="AD441" s="14" t="s">
        <v>93</v>
      </c>
      <c r="AE441" s="17">
        <v>14.4</v>
      </c>
      <c r="AF441" s="15">
        <v>890947</v>
      </c>
      <c r="AG441" s="20">
        <f t="shared" si="70"/>
        <v>1426526</v>
      </c>
      <c r="AH441" s="14">
        <v>1</v>
      </c>
      <c r="AI441" s="14" t="s">
        <v>75</v>
      </c>
      <c r="AJ441" s="14">
        <v>24</v>
      </c>
      <c r="AK441" s="21">
        <f t="shared" si="71"/>
        <v>0.375</v>
      </c>
      <c r="AL441" s="20">
        <f t="shared" si="72"/>
        <v>19056.252252849623</v>
      </c>
      <c r="AM441" s="22">
        <f t="shared" si="73"/>
        <v>0.59454347537898233</v>
      </c>
      <c r="AN441" s="20">
        <f t="shared" si="74"/>
        <v>32633.262252849621</v>
      </c>
      <c r="AO441" s="16">
        <f t="shared" si="75"/>
        <v>0.73116971919025109</v>
      </c>
      <c r="AP441" s="15">
        <v>0</v>
      </c>
      <c r="AQ441" s="18" t="str">
        <f t="shared" si="76"/>
        <v>N/A</v>
      </c>
      <c r="AR441" s="23">
        <v>46241</v>
      </c>
      <c r="AS441" s="14" t="s">
        <v>79</v>
      </c>
    </row>
    <row r="442" spans="1:45" x14ac:dyDescent="0.25">
      <c r="A442" s="14" t="s">
        <v>1488</v>
      </c>
      <c r="B442" s="14" t="s">
        <v>1489</v>
      </c>
      <c r="C442" s="14">
        <v>9595682408</v>
      </c>
      <c r="D442" s="15" t="s">
        <v>1496</v>
      </c>
      <c r="E442" s="14">
        <v>21</v>
      </c>
      <c r="F442" s="14" t="s">
        <v>71</v>
      </c>
      <c r="G442" s="14" t="s">
        <v>98</v>
      </c>
      <c r="H442" s="14" t="s">
        <v>91</v>
      </c>
      <c r="I442" s="14" t="s">
        <v>92</v>
      </c>
      <c r="J442" s="15">
        <v>1404199</v>
      </c>
      <c r="K442" s="14">
        <v>1</v>
      </c>
      <c r="L442" s="14" t="s">
        <v>76</v>
      </c>
      <c r="M442" s="14" t="s">
        <v>75</v>
      </c>
      <c r="N442" s="14" t="s">
        <v>75</v>
      </c>
      <c r="O442" s="14" t="s">
        <v>75</v>
      </c>
      <c r="P442" s="14">
        <v>377</v>
      </c>
      <c r="Q442" s="15">
        <v>34176</v>
      </c>
      <c r="R442" s="15">
        <v>4955.03</v>
      </c>
      <c r="S442" s="14" t="s">
        <v>21</v>
      </c>
      <c r="T442" s="15">
        <v>468820</v>
      </c>
      <c r="U442" s="16">
        <f t="shared" si="66"/>
        <v>4.2344681914742853E-2</v>
      </c>
      <c r="V442" s="14">
        <v>0</v>
      </c>
      <c r="W442" s="17">
        <v>84.4</v>
      </c>
      <c r="X442" s="14">
        <v>4.5999999999999996</v>
      </c>
      <c r="Y442" s="18">
        <f t="shared" si="67"/>
        <v>44.6</v>
      </c>
      <c r="Z442" s="18" t="str">
        <f t="shared" si="68"/>
        <v>Medium</v>
      </c>
      <c r="AA442" s="19" t="str">
        <f t="shared" si="69"/>
        <v>Not Eligible</v>
      </c>
      <c r="AB442" s="14" t="s">
        <v>85</v>
      </c>
      <c r="AC442" s="14">
        <v>2</v>
      </c>
      <c r="AD442" s="14" t="s">
        <v>78</v>
      </c>
      <c r="AE442" s="17">
        <v>0.3</v>
      </c>
      <c r="AF442" s="15">
        <v>408569</v>
      </c>
      <c r="AG442" s="20">
        <f t="shared" si="70"/>
        <v>1812768</v>
      </c>
      <c r="AH442" s="14">
        <v>0</v>
      </c>
      <c r="AI442" s="14" t="s">
        <v>75</v>
      </c>
      <c r="AJ442" s="14">
        <v>36</v>
      </c>
      <c r="AK442" s="21">
        <f t="shared" si="71"/>
        <v>0.15500000000000003</v>
      </c>
      <c r="AL442" s="20">
        <f t="shared" si="72"/>
        <v>16366.825476638134</v>
      </c>
      <c r="AM442" s="22">
        <f t="shared" si="73"/>
        <v>0.33387005687940241</v>
      </c>
      <c r="AN442" s="20">
        <f t="shared" si="74"/>
        <v>21321.855476638135</v>
      </c>
      <c r="AO442" s="16">
        <f t="shared" si="75"/>
        <v>0.18221225461608903</v>
      </c>
      <c r="AP442" s="15">
        <v>0</v>
      </c>
      <c r="AQ442" s="18" t="str">
        <f t="shared" si="76"/>
        <v>N/A</v>
      </c>
      <c r="AR442" s="23">
        <v>46039</v>
      </c>
      <c r="AS442" s="14" t="s">
        <v>79</v>
      </c>
    </row>
    <row r="443" spans="1:45" x14ac:dyDescent="0.25">
      <c r="A443" s="14" t="s">
        <v>1491</v>
      </c>
      <c r="B443" s="14" t="s">
        <v>1205</v>
      </c>
      <c r="C443" s="14">
        <v>9689837130</v>
      </c>
      <c r="D443" s="15" t="s">
        <v>1499</v>
      </c>
      <c r="E443" s="14">
        <v>24</v>
      </c>
      <c r="F443" s="14" t="s">
        <v>89</v>
      </c>
      <c r="G443" s="14" t="s">
        <v>120</v>
      </c>
      <c r="H443" s="14" t="s">
        <v>107</v>
      </c>
      <c r="I443" s="14" t="s">
        <v>92</v>
      </c>
      <c r="J443" s="15">
        <v>350327</v>
      </c>
      <c r="K443" s="14">
        <v>0</v>
      </c>
      <c r="L443" s="14" t="s">
        <v>75</v>
      </c>
      <c r="M443" s="14" t="s">
        <v>75</v>
      </c>
      <c r="N443" s="14" t="s">
        <v>75</v>
      </c>
      <c r="O443" s="14" t="s">
        <v>75</v>
      </c>
      <c r="P443" s="14">
        <v>670</v>
      </c>
      <c r="Q443" s="15"/>
      <c r="R443" s="15">
        <v>489.11</v>
      </c>
      <c r="S443" s="14" t="s">
        <v>20</v>
      </c>
      <c r="T443" s="15">
        <v>6598744</v>
      </c>
      <c r="U443" s="16">
        <f t="shared" si="66"/>
        <v>1.6753832847596673E-2</v>
      </c>
      <c r="V443" s="14">
        <v>0</v>
      </c>
      <c r="W443" s="17">
        <v>84.8</v>
      </c>
      <c r="X443" s="14">
        <v>6.9</v>
      </c>
      <c r="Y443" s="18">
        <f t="shared" si="67"/>
        <v>24.3</v>
      </c>
      <c r="Z443" s="18" t="str">
        <f t="shared" si="68"/>
        <v>Low</v>
      </c>
      <c r="AA443" s="19" t="str">
        <f t="shared" si="69"/>
        <v>Eligible</v>
      </c>
      <c r="AB443" s="14" t="s">
        <v>77</v>
      </c>
      <c r="AC443" s="14">
        <v>1</v>
      </c>
      <c r="AD443" s="14" t="s">
        <v>93</v>
      </c>
      <c r="AE443" s="17">
        <v>2.4</v>
      </c>
      <c r="AF443" s="15">
        <v>899323</v>
      </c>
      <c r="AG443" s="20">
        <f t="shared" si="70"/>
        <v>1249650</v>
      </c>
      <c r="AH443" s="14">
        <v>0</v>
      </c>
      <c r="AI443" s="14" t="s">
        <v>75</v>
      </c>
      <c r="AJ443" s="14">
        <v>12</v>
      </c>
      <c r="AK443" s="21">
        <f t="shared" si="71"/>
        <v>0.36</v>
      </c>
      <c r="AL443" s="20">
        <f t="shared" si="72"/>
        <v>662923.58374220179</v>
      </c>
      <c r="AM443" s="22">
        <f t="shared" si="73"/>
        <v>18.835956120995526</v>
      </c>
      <c r="AN443" s="20">
        <f t="shared" si="74"/>
        <v>663412.69374220178</v>
      </c>
      <c r="AO443" s="16">
        <f t="shared" si="75"/>
        <v>22.724347038356797</v>
      </c>
      <c r="AP443" s="15">
        <v>0</v>
      </c>
      <c r="AQ443" s="18" t="str">
        <f t="shared" si="76"/>
        <v>N/A</v>
      </c>
      <c r="AR443" s="23">
        <v>46248</v>
      </c>
      <c r="AS443" s="14" t="s">
        <v>79</v>
      </c>
    </row>
    <row r="444" spans="1:45" x14ac:dyDescent="0.25">
      <c r="A444" s="14" t="s">
        <v>1493</v>
      </c>
      <c r="B444" s="14" t="s">
        <v>1494</v>
      </c>
      <c r="C444" s="14">
        <v>9966643102</v>
      </c>
      <c r="D444" s="15" t="s">
        <v>1503</v>
      </c>
      <c r="E444" s="14">
        <v>50</v>
      </c>
      <c r="F444" s="14" t="s">
        <v>89</v>
      </c>
      <c r="G444" s="14" t="s">
        <v>417</v>
      </c>
      <c r="H444" s="14" t="s">
        <v>132</v>
      </c>
      <c r="I444" s="14" t="s">
        <v>92</v>
      </c>
      <c r="J444" s="15">
        <v>895938</v>
      </c>
      <c r="K444" s="14">
        <v>0</v>
      </c>
      <c r="L444" s="14" t="s">
        <v>75</v>
      </c>
      <c r="M444" s="14" t="s">
        <v>75</v>
      </c>
      <c r="N444" s="14" t="s">
        <v>75</v>
      </c>
      <c r="O444" s="14" t="s">
        <v>75</v>
      </c>
      <c r="P444" s="14">
        <v>624</v>
      </c>
      <c r="Q444" s="15">
        <v>827271.05</v>
      </c>
      <c r="R444" s="15">
        <v>657.23</v>
      </c>
      <c r="S444" s="14" t="s">
        <v>21</v>
      </c>
      <c r="T444" s="15">
        <v>1463910</v>
      </c>
      <c r="U444" s="16">
        <f t="shared" si="66"/>
        <v>8.8027966220876885E-3</v>
      </c>
      <c r="V444" s="14">
        <v>0</v>
      </c>
      <c r="W444" s="17">
        <v>46.3</v>
      </c>
      <c r="X444" s="14">
        <v>12.3</v>
      </c>
      <c r="Y444" s="18">
        <f t="shared" si="67"/>
        <v>23.3</v>
      </c>
      <c r="Z444" s="18" t="str">
        <f t="shared" si="68"/>
        <v>Low</v>
      </c>
      <c r="AA444" s="19" t="str">
        <f t="shared" si="69"/>
        <v>Review</v>
      </c>
      <c r="AB444" s="14" t="s">
        <v>77</v>
      </c>
      <c r="AC444" s="14">
        <v>0</v>
      </c>
      <c r="AD444" s="14" t="s">
        <v>194</v>
      </c>
      <c r="AE444" s="17">
        <v>6.5</v>
      </c>
      <c r="AF444" s="15">
        <v>504216</v>
      </c>
      <c r="AG444" s="20">
        <f t="shared" si="70"/>
        <v>1400154</v>
      </c>
      <c r="AH444" s="14">
        <v>0</v>
      </c>
      <c r="AI444" s="14" t="s">
        <v>75</v>
      </c>
      <c r="AJ444" s="14">
        <v>48</v>
      </c>
      <c r="AK444" s="21">
        <f t="shared" si="71"/>
        <v>0.14000000000000001</v>
      </c>
      <c r="AL444" s="20">
        <f t="shared" si="72"/>
        <v>40003.502205864126</v>
      </c>
      <c r="AM444" s="22">
        <f t="shared" si="73"/>
        <v>1.6339411878946981</v>
      </c>
      <c r="AN444" s="20">
        <f t="shared" si="74"/>
        <v>40660.732205864129</v>
      </c>
      <c r="AO444" s="16">
        <f t="shared" si="75"/>
        <v>0.54460106220560967</v>
      </c>
      <c r="AP444" s="15">
        <v>0</v>
      </c>
      <c r="AQ444" s="18" t="str">
        <f t="shared" si="76"/>
        <v>N/A</v>
      </c>
      <c r="AR444" s="23">
        <v>46095</v>
      </c>
      <c r="AS444" s="14" t="s">
        <v>79</v>
      </c>
    </row>
    <row r="445" spans="1:45" x14ac:dyDescent="0.25">
      <c r="A445" s="14" t="s">
        <v>1497</v>
      </c>
      <c r="B445" s="14" t="s">
        <v>1498</v>
      </c>
      <c r="C445" s="14">
        <v>9202631097</v>
      </c>
      <c r="D445" s="15" t="s">
        <v>1506</v>
      </c>
      <c r="E445" s="14">
        <v>33</v>
      </c>
      <c r="F445" s="14" t="s">
        <v>89</v>
      </c>
      <c r="G445" s="14" t="s">
        <v>115</v>
      </c>
      <c r="H445" s="14" t="s">
        <v>99</v>
      </c>
      <c r="I445" s="14" t="s">
        <v>74</v>
      </c>
      <c r="J445" s="15">
        <v>2124973</v>
      </c>
      <c r="K445" s="14">
        <v>2</v>
      </c>
      <c r="L445" s="14" t="s">
        <v>75</v>
      </c>
      <c r="M445" s="14" t="s">
        <v>76</v>
      </c>
      <c r="N445" s="14" t="s">
        <v>75</v>
      </c>
      <c r="O445" s="14" t="s">
        <v>76</v>
      </c>
      <c r="P445" s="14">
        <v>408</v>
      </c>
      <c r="Q445" s="15">
        <v>636242.23</v>
      </c>
      <c r="R445" s="15">
        <v>2665.76</v>
      </c>
      <c r="S445" s="14" t="s">
        <v>23</v>
      </c>
      <c r="T445" s="15">
        <v>600067</v>
      </c>
      <c r="U445" s="16">
        <f t="shared" si="66"/>
        <v>1.5053894802428079E-2</v>
      </c>
      <c r="V445" s="14">
        <v>0</v>
      </c>
      <c r="W445" s="17">
        <v>27.3</v>
      </c>
      <c r="X445" s="14">
        <v>14.2</v>
      </c>
      <c r="Y445" s="18">
        <f t="shared" si="67"/>
        <v>36</v>
      </c>
      <c r="Z445" s="18" t="str">
        <f t="shared" si="68"/>
        <v>Medium</v>
      </c>
      <c r="AA445" s="19" t="str">
        <f t="shared" si="69"/>
        <v>Not Eligible</v>
      </c>
      <c r="AB445" s="14" t="s">
        <v>77</v>
      </c>
      <c r="AC445" s="14">
        <v>1</v>
      </c>
      <c r="AD445" s="14" t="s">
        <v>78</v>
      </c>
      <c r="AE445" s="17">
        <v>3.9</v>
      </c>
      <c r="AF445" s="15">
        <v>622844</v>
      </c>
      <c r="AG445" s="20">
        <f t="shared" si="70"/>
        <v>2747817</v>
      </c>
      <c r="AH445" s="14">
        <v>1</v>
      </c>
      <c r="AI445" s="14" t="s">
        <v>75</v>
      </c>
      <c r="AJ445" s="14">
        <v>120</v>
      </c>
      <c r="AK445" s="21">
        <f t="shared" si="71"/>
        <v>0.1</v>
      </c>
      <c r="AL445" s="20">
        <f t="shared" si="72"/>
        <v>7929.9296228428066</v>
      </c>
      <c r="AM445" s="22">
        <f t="shared" si="73"/>
        <v>0.28238805857768545</v>
      </c>
      <c r="AN445" s="20">
        <f t="shared" si="74"/>
        <v>10595.689622842807</v>
      </c>
      <c r="AO445" s="16">
        <f t="shared" si="75"/>
        <v>5.9835242835609523E-2</v>
      </c>
      <c r="AP445" s="15">
        <v>8576909</v>
      </c>
      <c r="AQ445" s="18">
        <f t="shared" si="76"/>
        <v>6.9963083437168339E-2</v>
      </c>
      <c r="AR445" s="23">
        <v>46166</v>
      </c>
      <c r="AS445" s="14" t="s">
        <v>79</v>
      </c>
    </row>
    <row r="446" spans="1:45" x14ac:dyDescent="0.25">
      <c r="A446" s="14" t="s">
        <v>1500</v>
      </c>
      <c r="B446" s="14" t="s">
        <v>1501</v>
      </c>
      <c r="C446" s="14">
        <v>9970513199</v>
      </c>
      <c r="D446" s="15" t="s">
        <v>1510</v>
      </c>
      <c r="E446" s="14">
        <v>44</v>
      </c>
      <c r="F446" s="14" t="s">
        <v>89</v>
      </c>
      <c r="G446" s="14" t="s">
        <v>120</v>
      </c>
      <c r="H446" s="14" t="s">
        <v>166</v>
      </c>
      <c r="I446" s="14" t="s">
        <v>74</v>
      </c>
      <c r="J446" s="15">
        <v>2175181</v>
      </c>
      <c r="K446" s="14">
        <v>2</v>
      </c>
      <c r="L446" s="14" t="s">
        <v>76</v>
      </c>
      <c r="M446" s="14" t="s">
        <v>76</v>
      </c>
      <c r="N446" s="14" t="s">
        <v>75</v>
      </c>
      <c r="O446" s="14" t="s">
        <v>75</v>
      </c>
      <c r="P446" s="14">
        <v>620</v>
      </c>
      <c r="Q446" s="15">
        <v>199954.52</v>
      </c>
      <c r="R446" s="15">
        <v>19696.93</v>
      </c>
      <c r="S446" s="14" t="s">
        <v>22</v>
      </c>
      <c r="T446" s="15">
        <v>360486</v>
      </c>
      <c r="U446" s="16">
        <f t="shared" si="66"/>
        <v>0.10866367442525472</v>
      </c>
      <c r="V446" s="14">
        <v>0</v>
      </c>
      <c r="W446" s="17">
        <v>80.400000000000006</v>
      </c>
      <c r="X446" s="14">
        <v>10.5</v>
      </c>
      <c r="Y446" s="18">
        <f t="shared" si="67"/>
        <v>30</v>
      </c>
      <c r="Z446" s="18" t="str">
        <f t="shared" si="68"/>
        <v>Low</v>
      </c>
      <c r="AA446" s="19" t="str">
        <f t="shared" si="69"/>
        <v>Review</v>
      </c>
      <c r="AB446" s="14" t="s">
        <v>77</v>
      </c>
      <c r="AC446" s="14">
        <v>4</v>
      </c>
      <c r="AD446" s="14" t="s">
        <v>93</v>
      </c>
      <c r="AE446" s="17">
        <v>13.3</v>
      </c>
      <c r="AF446" s="15">
        <v>0</v>
      </c>
      <c r="AG446" s="20">
        <f t="shared" si="70"/>
        <v>2175181</v>
      </c>
      <c r="AH446" s="14">
        <v>1</v>
      </c>
      <c r="AI446" s="14" t="s">
        <v>75</v>
      </c>
      <c r="AJ446" s="14">
        <v>36</v>
      </c>
      <c r="AK446" s="21">
        <f t="shared" si="71"/>
        <v>0.09</v>
      </c>
      <c r="AL446" s="20">
        <f t="shared" si="72"/>
        <v>11463.358427651377</v>
      </c>
      <c r="AM446" s="22">
        <f t="shared" si="73"/>
        <v>0.16572689812939706</v>
      </c>
      <c r="AN446" s="20">
        <f t="shared" si="74"/>
        <v>31160.28842765138</v>
      </c>
      <c r="AO446" s="16">
        <f t="shared" si="75"/>
        <v>0.17190452708616732</v>
      </c>
      <c r="AP446" s="15">
        <v>1680155</v>
      </c>
      <c r="AQ446" s="18">
        <f t="shared" si="76"/>
        <v>0.21455520472813519</v>
      </c>
      <c r="AR446" s="23">
        <v>46135</v>
      </c>
      <c r="AS446" s="14" t="s">
        <v>79</v>
      </c>
    </row>
    <row r="447" spans="1:45" x14ac:dyDescent="0.25">
      <c r="A447" s="14" t="s">
        <v>1504</v>
      </c>
      <c r="B447" s="14" t="s">
        <v>1505</v>
      </c>
      <c r="C447" s="14">
        <v>9312365395</v>
      </c>
      <c r="D447" s="15" t="s">
        <v>1514</v>
      </c>
      <c r="E447" s="14">
        <v>60</v>
      </c>
      <c r="F447" s="14" t="s">
        <v>89</v>
      </c>
      <c r="G447" s="14" t="s">
        <v>120</v>
      </c>
      <c r="H447" s="14" t="s">
        <v>144</v>
      </c>
      <c r="I447" s="14" t="s">
        <v>92</v>
      </c>
      <c r="J447" s="15">
        <v>2359153</v>
      </c>
      <c r="K447" s="14">
        <v>1</v>
      </c>
      <c r="L447" s="14" t="s">
        <v>76</v>
      </c>
      <c r="M447" s="14" t="s">
        <v>75</v>
      </c>
      <c r="N447" s="14" t="s">
        <v>75</v>
      </c>
      <c r="O447" s="14" t="s">
        <v>75</v>
      </c>
      <c r="P447" s="14">
        <v>368</v>
      </c>
      <c r="Q447" s="15"/>
      <c r="R447" s="15">
        <v>26510.09</v>
      </c>
      <c r="S447" s="14" t="s">
        <v>22</v>
      </c>
      <c r="T447" s="15"/>
      <c r="U447" s="16">
        <f t="shared" si="66"/>
        <v>0.13484546360494637</v>
      </c>
      <c r="V447" s="14">
        <v>0</v>
      </c>
      <c r="W447" s="17">
        <v>78.900000000000006</v>
      </c>
      <c r="X447" s="14">
        <v>7.2</v>
      </c>
      <c r="Y447" s="18">
        <f t="shared" si="67"/>
        <v>47.4</v>
      </c>
      <c r="Z447" s="18" t="str">
        <f t="shared" si="68"/>
        <v>Medium</v>
      </c>
      <c r="AA447" s="19" t="str">
        <f t="shared" si="69"/>
        <v>Not Eligible</v>
      </c>
      <c r="AB447" s="14" t="s">
        <v>85</v>
      </c>
      <c r="AC447" s="14">
        <v>0</v>
      </c>
      <c r="AD447" s="14" t="s">
        <v>78</v>
      </c>
      <c r="AE447" s="17">
        <v>18.7</v>
      </c>
      <c r="AF447" s="15">
        <v>0</v>
      </c>
      <c r="AG447" s="20">
        <f t="shared" si="70"/>
        <v>2359153</v>
      </c>
      <c r="AH447" s="14">
        <v>1</v>
      </c>
      <c r="AI447" s="14" t="s">
        <v>76</v>
      </c>
      <c r="AJ447" s="14">
        <v>60</v>
      </c>
      <c r="AK447" s="21">
        <f t="shared" si="71"/>
        <v>0.105</v>
      </c>
      <c r="AL447" s="20">
        <f t="shared" si="72"/>
        <v>0</v>
      </c>
      <c r="AM447" s="22">
        <f t="shared" si="73"/>
        <v>0</v>
      </c>
      <c r="AN447" s="20">
        <f t="shared" si="74"/>
        <v>26510.09</v>
      </c>
      <c r="AO447" s="16">
        <f t="shared" si="75"/>
        <v>0.13484546360494637</v>
      </c>
      <c r="AP447" s="15">
        <v>748318</v>
      </c>
      <c r="AQ447" s="18">
        <f t="shared" si="76"/>
        <v>0</v>
      </c>
      <c r="AR447" s="23">
        <v>46204</v>
      </c>
      <c r="AS447" s="14" t="s">
        <v>79</v>
      </c>
    </row>
    <row r="448" spans="1:45" x14ac:dyDescent="0.25">
      <c r="A448" s="14" t="s">
        <v>1507</v>
      </c>
      <c r="B448" s="14" t="s">
        <v>1508</v>
      </c>
      <c r="C448" s="14">
        <v>9275429796</v>
      </c>
      <c r="D448" s="15"/>
      <c r="E448" s="14">
        <v>59</v>
      </c>
      <c r="F448" s="14" t="s">
        <v>71</v>
      </c>
      <c r="G448" s="14" t="s">
        <v>143</v>
      </c>
      <c r="H448" s="14" t="s">
        <v>166</v>
      </c>
      <c r="I448" s="14" t="s">
        <v>74</v>
      </c>
      <c r="J448" s="15">
        <v>1117650</v>
      </c>
      <c r="K448" s="14">
        <v>2</v>
      </c>
      <c r="L448" s="14" t="s">
        <v>76</v>
      </c>
      <c r="M448" s="14" t="s">
        <v>75</v>
      </c>
      <c r="N448" s="14" t="s">
        <v>76</v>
      </c>
      <c r="O448" s="14" t="s">
        <v>75</v>
      </c>
      <c r="P448" s="14">
        <v>311</v>
      </c>
      <c r="Q448" s="15">
        <v>159980.44</v>
      </c>
      <c r="R448" s="15">
        <v>7998.18</v>
      </c>
      <c r="S448" s="14" t="s">
        <v>21</v>
      </c>
      <c r="T448" s="15">
        <v>624721</v>
      </c>
      <c r="U448" s="16">
        <f t="shared" si="66"/>
        <v>8.5874969802711046E-2</v>
      </c>
      <c r="V448" s="14">
        <v>0</v>
      </c>
      <c r="W448" s="17">
        <v>66.900000000000006</v>
      </c>
      <c r="X448" s="14">
        <v>11.5</v>
      </c>
      <c r="Y448" s="18">
        <f t="shared" si="67"/>
        <v>48.5</v>
      </c>
      <c r="Z448" s="18" t="str">
        <f t="shared" si="68"/>
        <v>Medium</v>
      </c>
      <c r="AA448" s="19" t="str">
        <f t="shared" si="69"/>
        <v>Not Eligible</v>
      </c>
      <c r="AB448" s="14" t="s">
        <v>85</v>
      </c>
      <c r="AC448" s="14">
        <v>1</v>
      </c>
      <c r="AD448" s="14" t="s">
        <v>194</v>
      </c>
      <c r="AE448" s="17">
        <v>4.7</v>
      </c>
      <c r="AF448" s="15">
        <v>0</v>
      </c>
      <c r="AG448" s="20">
        <f t="shared" si="70"/>
        <v>1117650</v>
      </c>
      <c r="AH448" s="14">
        <v>1</v>
      </c>
      <c r="AI448" s="14" t="s">
        <v>75</v>
      </c>
      <c r="AJ448" s="14">
        <v>36</v>
      </c>
      <c r="AK448" s="21">
        <f t="shared" si="71"/>
        <v>0.15500000000000003</v>
      </c>
      <c r="AL448" s="20">
        <f t="shared" si="72"/>
        <v>21809.435558617064</v>
      </c>
      <c r="AM448" s="22">
        <f t="shared" si="73"/>
        <v>0.55895942379099006</v>
      </c>
      <c r="AN448" s="20">
        <f t="shared" si="74"/>
        <v>29807.615558617064</v>
      </c>
      <c r="AO448" s="16">
        <f t="shared" si="75"/>
        <v>0.32003881957983693</v>
      </c>
      <c r="AP448" s="15">
        <v>0</v>
      </c>
      <c r="AQ448" s="18" t="str">
        <f t="shared" si="76"/>
        <v>N/A</v>
      </c>
      <c r="AR448" s="23">
        <v>45950</v>
      </c>
      <c r="AS448" s="14" t="s">
        <v>94</v>
      </c>
    </row>
    <row r="449" spans="1:45" x14ac:dyDescent="0.25">
      <c r="A449" s="14" t="s">
        <v>1511</v>
      </c>
      <c r="B449" s="14" t="s">
        <v>1512</v>
      </c>
      <c r="C449" s="14">
        <v>9349822837</v>
      </c>
      <c r="D449" s="15" t="s">
        <v>1519</v>
      </c>
      <c r="E449" s="14">
        <v>50</v>
      </c>
      <c r="F449" s="14" t="s">
        <v>89</v>
      </c>
      <c r="G449" s="14" t="s">
        <v>98</v>
      </c>
      <c r="H449" s="14" t="s">
        <v>132</v>
      </c>
      <c r="I449" s="14" t="s">
        <v>92</v>
      </c>
      <c r="J449" s="15">
        <v>1653936</v>
      </c>
      <c r="K449" s="14">
        <v>1</v>
      </c>
      <c r="L449" s="14" t="s">
        <v>75</v>
      </c>
      <c r="M449" s="14" t="s">
        <v>76</v>
      </c>
      <c r="N449" s="14" t="s">
        <v>75</v>
      </c>
      <c r="O449" s="14" t="s">
        <v>75</v>
      </c>
      <c r="P449" s="14">
        <v>677</v>
      </c>
      <c r="Q449" s="15">
        <v>646883</v>
      </c>
      <c r="R449" s="15">
        <v>2425.35</v>
      </c>
      <c r="S449" s="14" t="s">
        <v>23</v>
      </c>
      <c r="T449" s="15">
        <v>668312</v>
      </c>
      <c r="U449" s="16">
        <f t="shared" si="66"/>
        <v>1.7596932408509156E-2</v>
      </c>
      <c r="V449" s="14">
        <v>0</v>
      </c>
      <c r="W449" s="17">
        <v>46.3</v>
      </c>
      <c r="X449" s="14">
        <v>5</v>
      </c>
      <c r="Y449" s="18">
        <f t="shared" si="67"/>
        <v>20</v>
      </c>
      <c r="Z449" s="18" t="str">
        <f t="shared" si="68"/>
        <v>Low</v>
      </c>
      <c r="AA449" s="19" t="str">
        <f t="shared" si="69"/>
        <v>Eligible</v>
      </c>
      <c r="AB449" s="14" t="s">
        <v>85</v>
      </c>
      <c r="AC449" s="14">
        <v>2</v>
      </c>
      <c r="AD449" s="14" t="s">
        <v>93</v>
      </c>
      <c r="AE449" s="17">
        <v>18.8</v>
      </c>
      <c r="AF449" s="15">
        <v>717369</v>
      </c>
      <c r="AG449" s="20">
        <f t="shared" si="70"/>
        <v>2371305</v>
      </c>
      <c r="AH449" s="14">
        <v>0</v>
      </c>
      <c r="AI449" s="14" t="s">
        <v>75</v>
      </c>
      <c r="AJ449" s="14">
        <v>180</v>
      </c>
      <c r="AK449" s="21">
        <f t="shared" si="71"/>
        <v>8.5000000000000006E-2</v>
      </c>
      <c r="AL449" s="20">
        <f t="shared" si="72"/>
        <v>6581.1326343636911</v>
      </c>
      <c r="AM449" s="22">
        <f t="shared" si="73"/>
        <v>0.40407367636958141</v>
      </c>
      <c r="AN449" s="20">
        <f t="shared" si="74"/>
        <v>9006.4826343636905</v>
      </c>
      <c r="AO449" s="16">
        <f t="shared" si="75"/>
        <v>6.5345812421015254E-2</v>
      </c>
      <c r="AP449" s="15">
        <v>7791290</v>
      </c>
      <c r="AQ449" s="18">
        <f t="shared" si="76"/>
        <v>8.5776809745241156E-2</v>
      </c>
      <c r="AR449" s="23">
        <v>45929</v>
      </c>
      <c r="AS449" s="14" t="s">
        <v>79</v>
      </c>
    </row>
    <row r="450" spans="1:45" x14ac:dyDescent="0.25">
      <c r="A450" s="14" t="s">
        <v>1515</v>
      </c>
      <c r="B450" s="14" t="s">
        <v>1516</v>
      </c>
      <c r="C450" s="14"/>
      <c r="D450" s="15" t="s">
        <v>1522</v>
      </c>
      <c r="E450" s="14">
        <v>26</v>
      </c>
      <c r="F450" s="14" t="s">
        <v>89</v>
      </c>
      <c r="G450" s="14" t="s">
        <v>106</v>
      </c>
      <c r="H450" s="14" t="s">
        <v>103</v>
      </c>
      <c r="I450" s="14" t="s">
        <v>74</v>
      </c>
      <c r="J450" s="15">
        <v>640404</v>
      </c>
      <c r="K450" s="14">
        <v>1</v>
      </c>
      <c r="L450" s="14" t="s">
        <v>76</v>
      </c>
      <c r="M450" s="14" t="s">
        <v>75</v>
      </c>
      <c r="N450" s="14" t="s">
        <v>75</v>
      </c>
      <c r="O450" s="14" t="s">
        <v>75</v>
      </c>
      <c r="P450" s="14">
        <v>837</v>
      </c>
      <c r="Q450" s="15">
        <v>29445</v>
      </c>
      <c r="R450" s="15">
        <v>4323.8</v>
      </c>
      <c r="S450" s="14" t="s">
        <v>21</v>
      </c>
      <c r="T450" s="15">
        <v>3216225</v>
      </c>
      <c r="U450" s="16">
        <f t="shared" ref="U450:U513" si="77">IFERROR((R450*12)/J450,0)</f>
        <v>8.1020106058050864E-2</v>
      </c>
      <c r="V450" s="14">
        <v>3</v>
      </c>
      <c r="W450" s="17">
        <v>82.4</v>
      </c>
      <c r="X450" s="14">
        <v>6.8</v>
      </c>
      <c r="Y450" s="18">
        <f t="shared" ref="Y450:Y513" si="78">ROUND(0.4*((900-P450)/600*100)+0.3*MIN(U450*100,100)+0.2*MIN(V450*20,100)+0.1*W450,1)</f>
        <v>26.9</v>
      </c>
      <c r="Z450" s="18" t="str">
        <f t="shared" ref="Z450:Z513" si="79">IF(Y450&lt;=30,"Low",IF(Y450&lt;=60,"Medium","High"))</f>
        <v>Low</v>
      </c>
      <c r="AA450" s="19" t="str">
        <f t="shared" ref="AA450:AA513" si="80">IF(AND(P450&gt;=650,U450&lt;=0.4,V450&lt;=2,Y450&lt;=50),"Eligible",IF(AND(P450&gt;=550,V450&lt;=4,Y450&lt;=75),"Review","Not Eligible"))</f>
        <v>Review</v>
      </c>
      <c r="AB450" s="14" t="s">
        <v>85</v>
      </c>
      <c r="AC450" s="14">
        <v>3</v>
      </c>
      <c r="AD450" s="14" t="s">
        <v>78</v>
      </c>
      <c r="AE450" s="17">
        <v>1.4</v>
      </c>
      <c r="AF450" s="15">
        <v>0</v>
      </c>
      <c r="AG450" s="20">
        <f t="shared" ref="AG450:AG513" si="81">J450+AF450</f>
        <v>640404</v>
      </c>
      <c r="AH450" s="14">
        <v>1</v>
      </c>
      <c r="AI450" s="14" t="s">
        <v>75</v>
      </c>
      <c r="AJ450" s="14">
        <v>24</v>
      </c>
      <c r="AK450" s="21">
        <f t="shared" ref="AK450:AK513" si="82">(IF(S450="Credit Card",0.36,IF(S450="Personal Loan",0.14,IF(S450="Car Loan",0.09,0.085))))+IF(Z450="Low",0,IF(Z450="Medium",0.015,0.03))</f>
        <v>0.14000000000000001</v>
      </c>
      <c r="AL450" s="20">
        <f t="shared" ref="AL450:AL513" si="83">-PMT(AK450/12,AJ450,T450)</f>
        <v>154420.23548987159</v>
      </c>
      <c r="AM450" s="22">
        <f t="shared" ref="AM450:AM513" si="84">IFERROR(T450/J450,0)</f>
        <v>5.0221813105477171</v>
      </c>
      <c r="AN450" s="20">
        <f t="shared" ref="AN450:AN513" si="85">R450+AL450</f>
        <v>158744.03548987157</v>
      </c>
      <c r="AO450" s="16">
        <f t="shared" ref="AO450:AO513" si="86">IFERROR((AN450*12)/J450,0)</f>
        <v>2.9745729662501468</v>
      </c>
      <c r="AP450" s="15">
        <v>0</v>
      </c>
      <c r="AQ450" s="18" t="str">
        <f t="shared" ref="AQ450:AQ513" si="87">IF(AP450&gt;0,T450/AP450,"N/A")</f>
        <v>N/A</v>
      </c>
      <c r="AR450" s="23">
        <v>46140</v>
      </c>
      <c r="AS450" s="14" t="s">
        <v>79</v>
      </c>
    </row>
    <row r="451" spans="1:45" x14ac:dyDescent="0.25">
      <c r="A451" s="14" t="s">
        <v>1517</v>
      </c>
      <c r="B451" s="14" t="s">
        <v>1518</v>
      </c>
      <c r="C451" s="14">
        <v>9346756657</v>
      </c>
      <c r="D451" s="15" t="s">
        <v>1526</v>
      </c>
      <c r="E451" s="14">
        <v>29</v>
      </c>
      <c r="F451" s="14" t="s">
        <v>89</v>
      </c>
      <c r="G451" s="14" t="s">
        <v>226</v>
      </c>
      <c r="H451" s="14" t="s">
        <v>99</v>
      </c>
      <c r="I451" s="14" t="s">
        <v>74</v>
      </c>
      <c r="J451" s="15">
        <v>1960142</v>
      </c>
      <c r="K451" s="14">
        <v>1</v>
      </c>
      <c r="L451" s="14" t="s">
        <v>76</v>
      </c>
      <c r="M451" s="14" t="s">
        <v>75</v>
      </c>
      <c r="N451" s="14" t="s">
        <v>75</v>
      </c>
      <c r="O451" s="14" t="s">
        <v>75</v>
      </c>
      <c r="P451" s="14">
        <v>724</v>
      </c>
      <c r="Q451" s="15">
        <v>521724</v>
      </c>
      <c r="R451" s="15">
        <v>46205.96</v>
      </c>
      <c r="S451" s="14" t="s">
        <v>21</v>
      </c>
      <c r="T451" s="15">
        <v>6548373</v>
      </c>
      <c r="U451" s="16">
        <f t="shared" si="77"/>
        <v>0.28287313878280246</v>
      </c>
      <c r="V451" s="14">
        <v>0</v>
      </c>
      <c r="W451" s="17">
        <v>26.8</v>
      </c>
      <c r="X451" s="14">
        <v>7.5</v>
      </c>
      <c r="Y451" s="18">
        <f t="shared" si="78"/>
        <v>22.9</v>
      </c>
      <c r="Z451" s="18" t="str">
        <f t="shared" si="79"/>
        <v>Low</v>
      </c>
      <c r="AA451" s="19" t="str">
        <f t="shared" si="80"/>
        <v>Eligible</v>
      </c>
      <c r="AB451" s="14" t="s">
        <v>85</v>
      </c>
      <c r="AC451" s="14">
        <v>0</v>
      </c>
      <c r="AD451" s="14" t="s">
        <v>93</v>
      </c>
      <c r="AE451" s="17">
        <v>4.2</v>
      </c>
      <c r="AF451" s="15">
        <v>0</v>
      </c>
      <c r="AG451" s="20">
        <f t="shared" si="81"/>
        <v>1960142</v>
      </c>
      <c r="AH451" s="14">
        <v>0</v>
      </c>
      <c r="AI451" s="14" t="s">
        <v>75</v>
      </c>
      <c r="AJ451" s="14">
        <v>12</v>
      </c>
      <c r="AK451" s="21">
        <f t="shared" si="82"/>
        <v>0.14000000000000001</v>
      </c>
      <c r="AL451" s="20">
        <f t="shared" si="83"/>
        <v>587959.53671440482</v>
      </c>
      <c r="AM451" s="22">
        <f t="shared" si="84"/>
        <v>3.3407645976669036</v>
      </c>
      <c r="AN451" s="20">
        <f t="shared" si="85"/>
        <v>634165.49671440478</v>
      </c>
      <c r="AO451" s="16">
        <f t="shared" si="86"/>
        <v>3.8823646248959807</v>
      </c>
      <c r="AP451" s="15">
        <v>0</v>
      </c>
      <c r="AQ451" s="18" t="str">
        <f t="shared" si="87"/>
        <v>N/A</v>
      </c>
      <c r="AR451" s="23">
        <v>46216</v>
      </c>
      <c r="AS451" s="14" t="s">
        <v>79</v>
      </c>
    </row>
    <row r="452" spans="1:45" x14ac:dyDescent="0.25">
      <c r="A452" s="14" t="s">
        <v>1520</v>
      </c>
      <c r="B452" s="14" t="s">
        <v>1521</v>
      </c>
      <c r="C452" s="14"/>
      <c r="D452" s="15" t="s">
        <v>1528</v>
      </c>
      <c r="E452" s="14">
        <v>45</v>
      </c>
      <c r="F452" s="14" t="s">
        <v>71</v>
      </c>
      <c r="G452" s="14" t="s">
        <v>388</v>
      </c>
      <c r="H452" s="14" t="s">
        <v>84</v>
      </c>
      <c r="I452" s="14" t="s">
        <v>74</v>
      </c>
      <c r="J452" s="15">
        <v>1702934</v>
      </c>
      <c r="K452" s="14">
        <v>1</v>
      </c>
      <c r="L452" s="14" t="s">
        <v>76</v>
      </c>
      <c r="M452" s="14" t="s">
        <v>75</v>
      </c>
      <c r="N452" s="14" t="s">
        <v>75</v>
      </c>
      <c r="O452" s="14" t="s">
        <v>75</v>
      </c>
      <c r="P452" s="14">
        <v>762</v>
      </c>
      <c r="Q452" s="15"/>
      <c r="R452" s="15">
        <v>588.89</v>
      </c>
      <c r="S452" s="14" t="s">
        <v>23</v>
      </c>
      <c r="T452" s="15"/>
      <c r="U452" s="16">
        <f t="shared" si="77"/>
        <v>4.14970867925592E-3</v>
      </c>
      <c r="V452" s="14">
        <v>0</v>
      </c>
      <c r="W452" s="17">
        <v>9</v>
      </c>
      <c r="X452" s="14">
        <v>12.1</v>
      </c>
      <c r="Y452" s="18">
        <f t="shared" si="78"/>
        <v>10.199999999999999</v>
      </c>
      <c r="Z452" s="18" t="str">
        <f t="shared" si="79"/>
        <v>Low</v>
      </c>
      <c r="AA452" s="19" t="str">
        <f t="shared" si="80"/>
        <v>Eligible</v>
      </c>
      <c r="AB452" s="14" t="s">
        <v>77</v>
      </c>
      <c r="AC452" s="14">
        <v>3</v>
      </c>
      <c r="AD452" s="14" t="s">
        <v>78</v>
      </c>
      <c r="AE452" s="17">
        <v>13.8</v>
      </c>
      <c r="AF452" s="15">
        <v>0</v>
      </c>
      <c r="AG452" s="20">
        <f t="shared" si="81"/>
        <v>1702934</v>
      </c>
      <c r="AH452" s="14">
        <v>2</v>
      </c>
      <c r="AI452" s="14" t="s">
        <v>75</v>
      </c>
      <c r="AJ452" s="14">
        <v>360</v>
      </c>
      <c r="AK452" s="21">
        <f t="shared" si="82"/>
        <v>8.5000000000000006E-2</v>
      </c>
      <c r="AL452" s="20">
        <f t="shared" si="83"/>
        <v>0</v>
      </c>
      <c r="AM452" s="22">
        <f t="shared" si="84"/>
        <v>0</v>
      </c>
      <c r="AN452" s="20">
        <f t="shared" si="85"/>
        <v>588.89</v>
      </c>
      <c r="AO452" s="16">
        <f t="shared" si="86"/>
        <v>4.14970867925592E-3</v>
      </c>
      <c r="AP452" s="15">
        <v>4356264</v>
      </c>
      <c r="AQ452" s="18">
        <f t="shared" si="87"/>
        <v>0</v>
      </c>
      <c r="AR452" s="23">
        <v>46079</v>
      </c>
      <c r="AS452" s="14" t="s">
        <v>79</v>
      </c>
    </row>
    <row r="453" spans="1:45" x14ac:dyDescent="0.25">
      <c r="A453" s="14" t="s">
        <v>1523</v>
      </c>
      <c r="B453" s="14" t="s">
        <v>1524</v>
      </c>
      <c r="C453" s="14"/>
      <c r="D453" s="15" t="s">
        <v>1531</v>
      </c>
      <c r="E453" s="14">
        <v>34</v>
      </c>
      <c r="F453" s="14" t="s">
        <v>71</v>
      </c>
      <c r="G453" s="14" t="s">
        <v>143</v>
      </c>
      <c r="H453" s="14" t="s">
        <v>166</v>
      </c>
      <c r="I453" s="14" t="s">
        <v>74</v>
      </c>
      <c r="J453" s="15">
        <v>1207746</v>
      </c>
      <c r="K453" s="14">
        <v>1</v>
      </c>
      <c r="L453" s="14" t="s">
        <v>75</v>
      </c>
      <c r="M453" s="14" t="s">
        <v>75</v>
      </c>
      <c r="N453" s="14" t="s">
        <v>76</v>
      </c>
      <c r="O453" s="14" t="s">
        <v>75</v>
      </c>
      <c r="P453" s="14">
        <v>697</v>
      </c>
      <c r="Q453" s="15">
        <v>41476.67</v>
      </c>
      <c r="R453" s="15">
        <v>12724.98</v>
      </c>
      <c r="S453" s="14" t="s">
        <v>23</v>
      </c>
      <c r="T453" s="15">
        <v>5406588</v>
      </c>
      <c r="U453" s="16">
        <f t="shared" si="77"/>
        <v>0.12643367065591607</v>
      </c>
      <c r="V453" s="14">
        <v>2</v>
      </c>
      <c r="W453" s="17">
        <v>92.5</v>
      </c>
      <c r="X453" s="14">
        <v>7.3</v>
      </c>
      <c r="Y453" s="18">
        <f t="shared" si="78"/>
        <v>34.6</v>
      </c>
      <c r="Z453" s="18" t="str">
        <f t="shared" si="79"/>
        <v>Medium</v>
      </c>
      <c r="AA453" s="19" t="str">
        <f t="shared" si="80"/>
        <v>Eligible</v>
      </c>
      <c r="AB453" s="14" t="s">
        <v>85</v>
      </c>
      <c r="AC453" s="14">
        <v>2</v>
      </c>
      <c r="AD453" s="14" t="s">
        <v>93</v>
      </c>
      <c r="AE453" s="17">
        <v>12.2</v>
      </c>
      <c r="AF453" s="15">
        <v>230446</v>
      </c>
      <c r="AG453" s="20">
        <f t="shared" si="81"/>
        <v>1438192</v>
      </c>
      <c r="AH453" s="14">
        <v>0</v>
      </c>
      <c r="AI453" s="14" t="s">
        <v>75</v>
      </c>
      <c r="AJ453" s="14">
        <v>120</v>
      </c>
      <c r="AK453" s="21">
        <f t="shared" si="82"/>
        <v>0.1</v>
      </c>
      <c r="AL453" s="20">
        <f t="shared" si="83"/>
        <v>71448.458821608991</v>
      </c>
      <c r="AM453" s="22">
        <f t="shared" si="84"/>
        <v>4.4765935883869625</v>
      </c>
      <c r="AN453" s="20">
        <f t="shared" si="85"/>
        <v>84173.438821608986</v>
      </c>
      <c r="AO453" s="16">
        <f t="shared" si="86"/>
        <v>0.83633584036652397</v>
      </c>
      <c r="AP453" s="15">
        <v>8933890</v>
      </c>
      <c r="AQ453" s="18">
        <f t="shared" si="87"/>
        <v>0.60517736394784349</v>
      </c>
      <c r="AR453" s="23">
        <v>46035</v>
      </c>
      <c r="AS453" s="14" t="s">
        <v>94</v>
      </c>
    </row>
    <row r="454" spans="1:45" x14ac:dyDescent="0.25">
      <c r="A454" s="14" t="s">
        <v>1527</v>
      </c>
      <c r="B454" s="14" t="s">
        <v>620</v>
      </c>
      <c r="C454" s="14">
        <v>9102092274</v>
      </c>
      <c r="D454" s="15" t="s">
        <v>1534</v>
      </c>
      <c r="E454" s="14">
        <v>31</v>
      </c>
      <c r="F454" s="14" t="s">
        <v>71</v>
      </c>
      <c r="G454" s="14" t="s">
        <v>90</v>
      </c>
      <c r="H454" s="14" t="s">
        <v>103</v>
      </c>
      <c r="I454" s="14" t="s">
        <v>74</v>
      </c>
      <c r="J454" s="15">
        <v>1203069</v>
      </c>
      <c r="K454" s="14">
        <v>0</v>
      </c>
      <c r="L454" s="14" t="s">
        <v>75</v>
      </c>
      <c r="M454" s="14" t="s">
        <v>75</v>
      </c>
      <c r="N454" s="14" t="s">
        <v>75</v>
      </c>
      <c r="O454" s="14" t="s">
        <v>75</v>
      </c>
      <c r="P454" s="14">
        <v>586</v>
      </c>
      <c r="Q454" s="15"/>
      <c r="R454" s="15">
        <v>3863.58</v>
      </c>
      <c r="S454" s="14" t="s">
        <v>22</v>
      </c>
      <c r="T454" s="15">
        <v>441399</v>
      </c>
      <c r="U454" s="16">
        <f t="shared" si="77"/>
        <v>3.8537241006126828E-2</v>
      </c>
      <c r="V454" s="14">
        <v>4</v>
      </c>
      <c r="W454" s="17">
        <v>33.700000000000003</v>
      </c>
      <c r="X454" s="14">
        <v>4.0999999999999996</v>
      </c>
      <c r="Y454" s="18">
        <f t="shared" si="78"/>
        <v>41.5</v>
      </c>
      <c r="Z454" s="18" t="str">
        <f t="shared" si="79"/>
        <v>Medium</v>
      </c>
      <c r="AA454" s="19" t="str">
        <f t="shared" si="80"/>
        <v>Review</v>
      </c>
      <c r="AB454" s="14" t="s">
        <v>77</v>
      </c>
      <c r="AC454" s="14">
        <v>3</v>
      </c>
      <c r="AD454" s="14" t="s">
        <v>93</v>
      </c>
      <c r="AE454" s="17">
        <v>2.2999999999999998</v>
      </c>
      <c r="AF454" s="15">
        <v>0</v>
      </c>
      <c r="AG454" s="20">
        <f t="shared" si="81"/>
        <v>1203069</v>
      </c>
      <c r="AH454" s="14">
        <v>1</v>
      </c>
      <c r="AI454" s="14" t="s">
        <v>75</v>
      </c>
      <c r="AJ454" s="14">
        <v>24</v>
      </c>
      <c r="AK454" s="21">
        <f t="shared" si="82"/>
        <v>0.105</v>
      </c>
      <c r="AL454" s="20">
        <f t="shared" si="83"/>
        <v>20470.338403577003</v>
      </c>
      <c r="AM454" s="22">
        <f t="shared" si="84"/>
        <v>0.36689416816491821</v>
      </c>
      <c r="AN454" s="20">
        <f t="shared" si="85"/>
        <v>24333.918403577001</v>
      </c>
      <c r="AO454" s="16">
        <f t="shared" si="86"/>
        <v>0.24271843164683324</v>
      </c>
      <c r="AP454" s="15">
        <v>457792</v>
      </c>
      <c r="AQ454" s="18">
        <f t="shared" si="87"/>
        <v>0.96419116105130709</v>
      </c>
      <c r="AR454" s="23">
        <v>46138</v>
      </c>
      <c r="AS454" s="14" t="s">
        <v>79</v>
      </c>
    </row>
    <row r="455" spans="1:45" x14ac:dyDescent="0.25">
      <c r="A455" s="14" t="s">
        <v>1529</v>
      </c>
      <c r="B455" s="14" t="s">
        <v>1530</v>
      </c>
      <c r="C455" s="14">
        <v>9630976793</v>
      </c>
      <c r="D455" s="15" t="s">
        <v>1537</v>
      </c>
      <c r="E455" s="14">
        <v>58</v>
      </c>
      <c r="F455" s="14" t="s">
        <v>89</v>
      </c>
      <c r="G455" s="14" t="s">
        <v>215</v>
      </c>
      <c r="H455" s="14" t="s">
        <v>166</v>
      </c>
      <c r="I455" s="14" t="s">
        <v>74</v>
      </c>
      <c r="J455" s="15">
        <v>2312112</v>
      </c>
      <c r="K455" s="14">
        <v>2</v>
      </c>
      <c r="L455" s="14" t="s">
        <v>76</v>
      </c>
      <c r="M455" s="14" t="s">
        <v>75</v>
      </c>
      <c r="N455" s="14" t="s">
        <v>76</v>
      </c>
      <c r="O455" s="14" t="s">
        <v>75</v>
      </c>
      <c r="P455" s="14">
        <v>686</v>
      </c>
      <c r="Q455" s="15">
        <v>117377.07</v>
      </c>
      <c r="R455" s="15">
        <v>964.57</v>
      </c>
      <c r="S455" s="14" t="s">
        <v>23</v>
      </c>
      <c r="T455" s="15">
        <v>200068</v>
      </c>
      <c r="U455" s="16">
        <f t="shared" si="77"/>
        <v>5.0061761713965413E-3</v>
      </c>
      <c r="V455" s="14">
        <v>0</v>
      </c>
      <c r="W455" s="17">
        <v>97.4</v>
      </c>
      <c r="X455" s="14">
        <v>8.6999999999999993</v>
      </c>
      <c r="Y455" s="18">
        <f t="shared" si="78"/>
        <v>24.2</v>
      </c>
      <c r="Z455" s="18" t="str">
        <f t="shared" si="79"/>
        <v>Low</v>
      </c>
      <c r="AA455" s="19" t="str">
        <f t="shared" si="80"/>
        <v>Eligible</v>
      </c>
      <c r="AB455" s="14" t="s">
        <v>85</v>
      </c>
      <c r="AC455" s="14">
        <v>0</v>
      </c>
      <c r="AD455" s="14" t="s">
        <v>93</v>
      </c>
      <c r="AE455" s="17">
        <v>8.6</v>
      </c>
      <c r="AF455" s="15">
        <v>509378</v>
      </c>
      <c r="AG455" s="20">
        <f t="shared" si="81"/>
        <v>2821490</v>
      </c>
      <c r="AH455" s="14">
        <v>2</v>
      </c>
      <c r="AI455" s="14" t="s">
        <v>75</v>
      </c>
      <c r="AJ455" s="14">
        <v>240</v>
      </c>
      <c r="AK455" s="21">
        <f t="shared" si="82"/>
        <v>8.5000000000000006E-2</v>
      </c>
      <c r="AL455" s="20">
        <f t="shared" si="83"/>
        <v>1736.2365865297566</v>
      </c>
      <c r="AM455" s="22">
        <f t="shared" si="84"/>
        <v>8.6530410291542972E-2</v>
      </c>
      <c r="AN455" s="20">
        <f t="shared" si="85"/>
        <v>2700.8065865297567</v>
      </c>
      <c r="AO455" s="16">
        <f t="shared" si="86"/>
        <v>1.4017348224634914E-2</v>
      </c>
      <c r="AP455" s="15">
        <v>7519469</v>
      </c>
      <c r="AQ455" s="18">
        <f t="shared" si="87"/>
        <v>2.6606665976015062E-2</v>
      </c>
      <c r="AR455" s="23">
        <v>45991</v>
      </c>
      <c r="AS455" s="14" t="s">
        <v>79</v>
      </c>
    </row>
    <row r="456" spans="1:45" x14ac:dyDescent="0.25">
      <c r="A456" s="14" t="s">
        <v>1532</v>
      </c>
      <c r="B456" s="14" t="s">
        <v>415</v>
      </c>
      <c r="C456" s="14">
        <v>9220130191</v>
      </c>
      <c r="D456" s="15" t="s">
        <v>1541</v>
      </c>
      <c r="E456" s="14">
        <v>57</v>
      </c>
      <c r="F456" s="14" t="s">
        <v>89</v>
      </c>
      <c r="G456" s="14" t="s">
        <v>83</v>
      </c>
      <c r="H456" s="14" t="s">
        <v>107</v>
      </c>
      <c r="I456" s="14" t="s">
        <v>92</v>
      </c>
      <c r="J456" s="15">
        <v>1271068</v>
      </c>
      <c r="K456" s="14">
        <v>1</v>
      </c>
      <c r="L456" s="14" t="s">
        <v>75</v>
      </c>
      <c r="M456" s="14" t="s">
        <v>75</v>
      </c>
      <c r="N456" s="14" t="s">
        <v>75</v>
      </c>
      <c r="O456" s="14" t="s">
        <v>76</v>
      </c>
      <c r="P456" s="14">
        <v>676</v>
      </c>
      <c r="Q456" s="15"/>
      <c r="R456" s="15">
        <v>8284.7800000000007</v>
      </c>
      <c r="S456" s="14" t="s">
        <v>21</v>
      </c>
      <c r="T456" s="15">
        <v>5888257</v>
      </c>
      <c r="U456" s="16">
        <f t="shared" si="77"/>
        <v>7.8215610809177799E-2</v>
      </c>
      <c r="V456" s="14">
        <v>2</v>
      </c>
      <c r="W456" s="17">
        <v>40.299999999999997</v>
      </c>
      <c r="X456" s="14">
        <v>8.4</v>
      </c>
      <c r="Y456" s="18">
        <f t="shared" si="78"/>
        <v>29.3</v>
      </c>
      <c r="Z456" s="18" t="str">
        <f t="shared" si="79"/>
        <v>Low</v>
      </c>
      <c r="AA456" s="19" t="str">
        <f t="shared" si="80"/>
        <v>Eligible</v>
      </c>
      <c r="AB456" s="14" t="s">
        <v>85</v>
      </c>
      <c r="AC456" s="14">
        <v>2</v>
      </c>
      <c r="AD456" s="14" t="s">
        <v>78</v>
      </c>
      <c r="AE456" s="17">
        <v>5.5</v>
      </c>
      <c r="AF456" s="15">
        <v>0</v>
      </c>
      <c r="AG456" s="20">
        <f t="shared" si="81"/>
        <v>1271068</v>
      </c>
      <c r="AH456" s="14">
        <v>0</v>
      </c>
      <c r="AI456" s="14" t="s">
        <v>75</v>
      </c>
      <c r="AJ456" s="14">
        <v>36</v>
      </c>
      <c r="AK456" s="21">
        <f t="shared" si="82"/>
        <v>0.14000000000000001</v>
      </c>
      <c r="AL456" s="20">
        <f t="shared" si="83"/>
        <v>201246.66766610267</v>
      </c>
      <c r="AM456" s="22">
        <f t="shared" si="84"/>
        <v>4.6325271346615606</v>
      </c>
      <c r="AN456" s="20">
        <f t="shared" si="85"/>
        <v>209531.44766610267</v>
      </c>
      <c r="AO456" s="16">
        <f t="shared" si="86"/>
        <v>1.9781611778388191</v>
      </c>
      <c r="AP456" s="15">
        <v>0</v>
      </c>
      <c r="AQ456" s="18" t="str">
        <f t="shared" si="87"/>
        <v>N/A</v>
      </c>
      <c r="AR456" s="23">
        <v>45970</v>
      </c>
      <c r="AS456" s="14" t="s">
        <v>79</v>
      </c>
    </row>
    <row r="457" spans="1:45" x14ac:dyDescent="0.25">
      <c r="A457" s="14" t="s">
        <v>1535</v>
      </c>
      <c r="B457" s="14" t="s">
        <v>1536</v>
      </c>
      <c r="C457" s="14">
        <v>9177531324</v>
      </c>
      <c r="D457" s="15" t="s">
        <v>1544</v>
      </c>
      <c r="E457" s="14">
        <v>47</v>
      </c>
      <c r="F457" s="14" t="s">
        <v>89</v>
      </c>
      <c r="G457" s="14" t="s">
        <v>174</v>
      </c>
      <c r="H457" s="14" t="s">
        <v>73</v>
      </c>
      <c r="I457" s="14" t="s">
        <v>74</v>
      </c>
      <c r="J457" s="15">
        <v>1361999</v>
      </c>
      <c r="K457" s="14">
        <v>0</v>
      </c>
      <c r="L457" s="14" t="s">
        <v>75</v>
      </c>
      <c r="M457" s="14" t="s">
        <v>75</v>
      </c>
      <c r="N457" s="14" t="s">
        <v>75</v>
      </c>
      <c r="O457" s="14" t="s">
        <v>75</v>
      </c>
      <c r="P457" s="14">
        <v>852</v>
      </c>
      <c r="Q457" s="15">
        <v>78570</v>
      </c>
      <c r="R457" s="15">
        <v>5335.32</v>
      </c>
      <c r="S457" s="14" t="s">
        <v>20</v>
      </c>
      <c r="T457" s="15">
        <v>55138</v>
      </c>
      <c r="U457" s="16">
        <f t="shared" si="77"/>
        <v>4.7007259183009679E-2</v>
      </c>
      <c r="V457" s="14">
        <v>1</v>
      </c>
      <c r="W457" s="17">
        <v>86.7</v>
      </c>
      <c r="X457" s="14">
        <v>9.5</v>
      </c>
      <c r="Y457" s="18">
        <f t="shared" si="78"/>
        <v>17.3</v>
      </c>
      <c r="Z457" s="18" t="str">
        <f t="shared" si="79"/>
        <v>Low</v>
      </c>
      <c r="AA457" s="19" t="str">
        <f t="shared" si="80"/>
        <v>Eligible</v>
      </c>
      <c r="AB457" s="14" t="s">
        <v>85</v>
      </c>
      <c r="AC457" s="14">
        <v>2</v>
      </c>
      <c r="AD457" s="14" t="s">
        <v>93</v>
      </c>
      <c r="AE457" s="17">
        <v>4.4000000000000004</v>
      </c>
      <c r="AF457" s="15">
        <v>0</v>
      </c>
      <c r="AG457" s="20">
        <f t="shared" si="81"/>
        <v>1361999</v>
      </c>
      <c r="AH457" s="14">
        <v>0</v>
      </c>
      <c r="AI457" s="14" t="s">
        <v>75</v>
      </c>
      <c r="AJ457" s="14">
        <v>18</v>
      </c>
      <c r="AK457" s="21">
        <f t="shared" si="82"/>
        <v>0.36</v>
      </c>
      <c r="AL457" s="20">
        <f t="shared" si="83"/>
        <v>4009.0120743300231</v>
      </c>
      <c r="AM457" s="22">
        <f t="shared" si="84"/>
        <v>4.0483142792322166E-2</v>
      </c>
      <c r="AN457" s="20">
        <f t="shared" si="85"/>
        <v>9344.3320743300228</v>
      </c>
      <c r="AO457" s="16">
        <f t="shared" si="86"/>
        <v>8.2328977401569511E-2</v>
      </c>
      <c r="AP457" s="15">
        <v>0</v>
      </c>
      <c r="AQ457" s="18" t="str">
        <f t="shared" si="87"/>
        <v>N/A</v>
      </c>
      <c r="AR457" s="23">
        <v>46249</v>
      </c>
      <c r="AS457" s="14" t="s">
        <v>79</v>
      </c>
    </row>
    <row r="458" spans="1:45" x14ac:dyDescent="0.25">
      <c r="A458" s="14" t="s">
        <v>1538</v>
      </c>
      <c r="B458" s="14" t="s">
        <v>1539</v>
      </c>
      <c r="C458" s="14">
        <v>9627565288</v>
      </c>
      <c r="D458" s="15" t="s">
        <v>1547</v>
      </c>
      <c r="E458" s="14">
        <v>23</v>
      </c>
      <c r="F458" s="14" t="s">
        <v>71</v>
      </c>
      <c r="G458" s="14" t="s">
        <v>127</v>
      </c>
      <c r="H458" s="14" t="s">
        <v>84</v>
      </c>
      <c r="I458" s="14" t="s">
        <v>74</v>
      </c>
      <c r="J458" s="15">
        <v>990809</v>
      </c>
      <c r="K458" s="14">
        <v>0</v>
      </c>
      <c r="L458" s="14" t="s">
        <v>75</v>
      </c>
      <c r="M458" s="14" t="s">
        <v>75</v>
      </c>
      <c r="N458" s="14" t="s">
        <v>75</v>
      </c>
      <c r="O458" s="14" t="s">
        <v>75</v>
      </c>
      <c r="P458" s="14">
        <v>633</v>
      </c>
      <c r="Q458" s="15">
        <v>1302050.21</v>
      </c>
      <c r="R458" s="15">
        <v>2071.79</v>
      </c>
      <c r="S458" s="14" t="s">
        <v>23</v>
      </c>
      <c r="T458" s="15"/>
      <c r="U458" s="16">
        <f t="shared" si="77"/>
        <v>2.5092101504931828E-2</v>
      </c>
      <c r="V458" s="14">
        <v>2</v>
      </c>
      <c r="W458" s="17">
        <v>42.3</v>
      </c>
      <c r="X458" s="14">
        <v>8.6999999999999993</v>
      </c>
      <c r="Y458" s="18">
        <f t="shared" si="78"/>
        <v>30.8</v>
      </c>
      <c r="Z458" s="18" t="str">
        <f t="shared" si="79"/>
        <v>Medium</v>
      </c>
      <c r="AA458" s="19" t="str">
        <f t="shared" si="80"/>
        <v>Review</v>
      </c>
      <c r="AB458" s="14" t="s">
        <v>77</v>
      </c>
      <c r="AC458" s="14">
        <v>2</v>
      </c>
      <c r="AD458" s="14" t="s">
        <v>194</v>
      </c>
      <c r="AE458" s="17">
        <v>0.7</v>
      </c>
      <c r="AF458" s="15">
        <v>0</v>
      </c>
      <c r="AG458" s="20">
        <f t="shared" si="81"/>
        <v>990809</v>
      </c>
      <c r="AH458" s="14">
        <v>0</v>
      </c>
      <c r="AI458" s="14" t="s">
        <v>75</v>
      </c>
      <c r="AJ458" s="14">
        <v>180</v>
      </c>
      <c r="AK458" s="21">
        <f t="shared" si="82"/>
        <v>0.1</v>
      </c>
      <c r="AL458" s="20">
        <f t="shared" si="83"/>
        <v>0</v>
      </c>
      <c r="AM458" s="22">
        <f t="shared" si="84"/>
        <v>0</v>
      </c>
      <c r="AN458" s="20">
        <f t="shared" si="85"/>
        <v>2071.79</v>
      </c>
      <c r="AO458" s="16">
        <f t="shared" si="86"/>
        <v>2.5092101504931828E-2</v>
      </c>
      <c r="AP458" s="15">
        <v>7825791</v>
      </c>
      <c r="AQ458" s="18">
        <f t="shared" si="87"/>
        <v>0</v>
      </c>
      <c r="AR458" s="23">
        <v>46153</v>
      </c>
      <c r="AS458" s="14" t="s">
        <v>79</v>
      </c>
    </row>
    <row r="459" spans="1:45" x14ac:dyDescent="0.25">
      <c r="A459" s="14" t="s">
        <v>1542</v>
      </c>
      <c r="B459" s="14" t="s">
        <v>1543</v>
      </c>
      <c r="C459" s="14">
        <v>9446681717</v>
      </c>
      <c r="D459" s="15" t="s">
        <v>1550</v>
      </c>
      <c r="E459" s="14">
        <v>36</v>
      </c>
      <c r="F459" s="14" t="s">
        <v>89</v>
      </c>
      <c r="G459" s="14" t="s">
        <v>143</v>
      </c>
      <c r="H459" s="14" t="s">
        <v>91</v>
      </c>
      <c r="I459" s="14" t="s">
        <v>92</v>
      </c>
      <c r="J459" s="15">
        <v>705116</v>
      </c>
      <c r="K459" s="14">
        <v>2</v>
      </c>
      <c r="L459" s="14" t="s">
        <v>75</v>
      </c>
      <c r="M459" s="14" t="s">
        <v>76</v>
      </c>
      <c r="N459" s="14" t="s">
        <v>76</v>
      </c>
      <c r="O459" s="14" t="s">
        <v>75</v>
      </c>
      <c r="P459" s="14">
        <v>512</v>
      </c>
      <c r="Q459" s="15">
        <v>91510</v>
      </c>
      <c r="R459" s="15">
        <v>1428.55</v>
      </c>
      <c r="S459" s="14" t="s">
        <v>20</v>
      </c>
      <c r="T459" s="15">
        <v>535679</v>
      </c>
      <c r="U459" s="16">
        <f t="shared" si="77"/>
        <v>2.4311744450558486E-2</v>
      </c>
      <c r="V459" s="14">
        <v>0</v>
      </c>
      <c r="W459" s="17">
        <v>95.3</v>
      </c>
      <c r="X459" s="14">
        <v>6.4</v>
      </c>
      <c r="Y459" s="18">
        <f t="shared" si="78"/>
        <v>36.1</v>
      </c>
      <c r="Z459" s="18" t="str">
        <f t="shared" si="79"/>
        <v>Medium</v>
      </c>
      <c r="AA459" s="19" t="str">
        <f t="shared" si="80"/>
        <v>Not Eligible</v>
      </c>
      <c r="AB459" s="14" t="s">
        <v>85</v>
      </c>
      <c r="AC459" s="14">
        <v>1</v>
      </c>
      <c r="AD459" s="14" t="s">
        <v>93</v>
      </c>
      <c r="AE459" s="17">
        <v>4.7</v>
      </c>
      <c r="AF459" s="15">
        <v>0</v>
      </c>
      <c r="AG459" s="20">
        <f t="shared" si="81"/>
        <v>705116</v>
      </c>
      <c r="AH459" s="14">
        <v>0</v>
      </c>
      <c r="AI459" s="14" t="s">
        <v>75</v>
      </c>
      <c r="AJ459" s="14">
        <v>36</v>
      </c>
      <c r="AK459" s="21">
        <f t="shared" si="82"/>
        <v>0.375</v>
      </c>
      <c r="AL459" s="20">
        <f t="shared" si="83"/>
        <v>24995.902687282171</v>
      </c>
      <c r="AM459" s="22">
        <f t="shared" si="84"/>
        <v>0.75970336795647808</v>
      </c>
      <c r="AN459" s="20">
        <f t="shared" si="85"/>
        <v>26424.45268728217</v>
      </c>
      <c r="AO459" s="16">
        <f t="shared" si="86"/>
        <v>0.44970392424421801</v>
      </c>
      <c r="AP459" s="15">
        <v>0</v>
      </c>
      <c r="AQ459" s="18" t="str">
        <f t="shared" si="87"/>
        <v>N/A</v>
      </c>
      <c r="AR459" s="23">
        <v>46220</v>
      </c>
      <c r="AS459" s="14" t="s">
        <v>79</v>
      </c>
    </row>
    <row r="460" spans="1:45" x14ac:dyDescent="0.25">
      <c r="A460" s="14" t="s">
        <v>1545</v>
      </c>
      <c r="B460" s="14" t="s">
        <v>1546</v>
      </c>
      <c r="C460" s="14">
        <v>9217762169</v>
      </c>
      <c r="D460" s="15" t="s">
        <v>1554</v>
      </c>
      <c r="E460" s="14">
        <v>41</v>
      </c>
      <c r="F460" s="14" t="s">
        <v>89</v>
      </c>
      <c r="G460" s="14" t="s">
        <v>127</v>
      </c>
      <c r="H460" s="14" t="s">
        <v>84</v>
      </c>
      <c r="I460" s="14" t="s">
        <v>74</v>
      </c>
      <c r="J460" s="15">
        <v>2286411</v>
      </c>
      <c r="K460" s="14">
        <v>1</v>
      </c>
      <c r="L460" s="14" t="s">
        <v>75</v>
      </c>
      <c r="M460" s="14" t="s">
        <v>75</v>
      </c>
      <c r="N460" s="14" t="s">
        <v>75</v>
      </c>
      <c r="O460" s="14" t="s">
        <v>76</v>
      </c>
      <c r="P460" s="14">
        <v>659</v>
      </c>
      <c r="Q460" s="15"/>
      <c r="R460" s="15">
        <v>23673.64</v>
      </c>
      <c r="S460" s="14" t="s">
        <v>23</v>
      </c>
      <c r="T460" s="15">
        <v>406589</v>
      </c>
      <c r="U460" s="16">
        <f t="shared" si="77"/>
        <v>0.12424873743172159</v>
      </c>
      <c r="V460" s="14">
        <v>0</v>
      </c>
      <c r="W460" s="17">
        <v>96.5</v>
      </c>
      <c r="X460" s="14">
        <v>11.4</v>
      </c>
      <c r="Y460" s="18">
        <f t="shared" si="78"/>
        <v>29.4</v>
      </c>
      <c r="Z460" s="18" t="str">
        <f t="shared" si="79"/>
        <v>Low</v>
      </c>
      <c r="AA460" s="19" t="str">
        <f t="shared" si="80"/>
        <v>Eligible</v>
      </c>
      <c r="AB460" s="14" t="s">
        <v>85</v>
      </c>
      <c r="AC460" s="14">
        <v>1</v>
      </c>
      <c r="AD460" s="14" t="s">
        <v>78</v>
      </c>
      <c r="AE460" s="17">
        <v>5.0999999999999996</v>
      </c>
      <c r="AF460" s="15">
        <v>0</v>
      </c>
      <c r="AG460" s="20">
        <f t="shared" si="81"/>
        <v>2286411</v>
      </c>
      <c r="AH460" s="14">
        <v>1</v>
      </c>
      <c r="AI460" s="14" t="s">
        <v>75</v>
      </c>
      <c r="AJ460" s="14">
        <v>300</v>
      </c>
      <c r="AK460" s="21">
        <f t="shared" si="82"/>
        <v>8.5000000000000006E-2</v>
      </c>
      <c r="AL460" s="20">
        <f t="shared" si="83"/>
        <v>3273.9647463778451</v>
      </c>
      <c r="AM460" s="22">
        <f t="shared" si="84"/>
        <v>0.17782848315547817</v>
      </c>
      <c r="AN460" s="20">
        <f t="shared" si="85"/>
        <v>26947.604746377845</v>
      </c>
      <c r="AO460" s="16">
        <f t="shared" si="86"/>
        <v>0.14143181473345523</v>
      </c>
      <c r="AP460" s="15">
        <v>2312454</v>
      </c>
      <c r="AQ460" s="18">
        <f t="shared" si="87"/>
        <v>0.17582576777743472</v>
      </c>
      <c r="AR460" s="23">
        <v>46018</v>
      </c>
      <c r="AS460" s="14" t="s">
        <v>79</v>
      </c>
    </row>
    <row r="461" spans="1:45" x14ac:dyDescent="0.25">
      <c r="A461" s="14" t="s">
        <v>1548</v>
      </c>
      <c r="B461" s="14" t="s">
        <v>1091</v>
      </c>
      <c r="C461" s="14">
        <v>9561680490</v>
      </c>
      <c r="D461" s="15" t="s">
        <v>1557</v>
      </c>
      <c r="E461" s="14">
        <v>49</v>
      </c>
      <c r="F461" s="14" t="s">
        <v>71</v>
      </c>
      <c r="G461" s="14" t="s">
        <v>174</v>
      </c>
      <c r="H461" s="14" t="s">
        <v>73</v>
      </c>
      <c r="I461" s="14" t="s">
        <v>74</v>
      </c>
      <c r="J461" s="15">
        <v>343175</v>
      </c>
      <c r="K461" s="14">
        <v>1</v>
      </c>
      <c r="L461" s="14" t="s">
        <v>75</v>
      </c>
      <c r="M461" s="14" t="s">
        <v>75</v>
      </c>
      <c r="N461" s="14" t="s">
        <v>75</v>
      </c>
      <c r="O461" s="14" t="s">
        <v>76</v>
      </c>
      <c r="P461" s="14">
        <v>818</v>
      </c>
      <c r="Q461" s="15">
        <v>107614</v>
      </c>
      <c r="R461" s="15">
        <v>2079.7800000000002</v>
      </c>
      <c r="S461" s="14" t="s">
        <v>21</v>
      </c>
      <c r="T461" s="15"/>
      <c r="U461" s="16">
        <f t="shared" si="77"/>
        <v>7.2724877977708172E-2</v>
      </c>
      <c r="V461" s="14">
        <v>0</v>
      </c>
      <c r="W461" s="17">
        <v>58.7</v>
      </c>
      <c r="X461" s="14">
        <v>12.1</v>
      </c>
      <c r="Y461" s="18">
        <f t="shared" si="78"/>
        <v>13.5</v>
      </c>
      <c r="Z461" s="18" t="str">
        <f t="shared" si="79"/>
        <v>Low</v>
      </c>
      <c r="AA461" s="19" t="str">
        <f t="shared" si="80"/>
        <v>Eligible</v>
      </c>
      <c r="AB461" s="14" t="s">
        <v>85</v>
      </c>
      <c r="AC461" s="14">
        <v>2</v>
      </c>
      <c r="AD461" s="14" t="s">
        <v>78</v>
      </c>
      <c r="AE461" s="17">
        <v>3.6</v>
      </c>
      <c r="AF461" s="15">
        <v>0</v>
      </c>
      <c r="AG461" s="20">
        <f t="shared" si="81"/>
        <v>343175</v>
      </c>
      <c r="AH461" s="14">
        <v>0</v>
      </c>
      <c r="AI461" s="14" t="s">
        <v>75</v>
      </c>
      <c r="AJ461" s="14">
        <v>24</v>
      </c>
      <c r="AK461" s="21">
        <f t="shared" si="82"/>
        <v>0.14000000000000001</v>
      </c>
      <c r="AL461" s="20">
        <f t="shared" si="83"/>
        <v>0</v>
      </c>
      <c r="AM461" s="22">
        <f t="shared" si="84"/>
        <v>0</v>
      </c>
      <c r="AN461" s="20">
        <f t="shared" si="85"/>
        <v>2079.7800000000002</v>
      </c>
      <c r="AO461" s="16">
        <f t="shared" si="86"/>
        <v>7.2724877977708172E-2</v>
      </c>
      <c r="AP461" s="15">
        <v>0</v>
      </c>
      <c r="AQ461" s="18" t="str">
        <f t="shared" si="87"/>
        <v>N/A</v>
      </c>
      <c r="AR461" s="23">
        <v>45915</v>
      </c>
      <c r="AS461" s="14" t="s">
        <v>79</v>
      </c>
    </row>
    <row r="462" spans="1:45" x14ac:dyDescent="0.25">
      <c r="A462" s="14" t="s">
        <v>1551</v>
      </c>
      <c r="B462" s="14" t="s">
        <v>1552</v>
      </c>
      <c r="C462" s="14"/>
      <c r="D462" s="15" t="s">
        <v>1560</v>
      </c>
      <c r="E462" s="14">
        <v>25</v>
      </c>
      <c r="F462" s="14" t="s">
        <v>71</v>
      </c>
      <c r="G462" s="14" t="s">
        <v>115</v>
      </c>
      <c r="H462" s="14" t="s">
        <v>107</v>
      </c>
      <c r="I462" s="14" t="s">
        <v>92</v>
      </c>
      <c r="J462" s="15">
        <v>1344560</v>
      </c>
      <c r="K462" s="14">
        <v>1</v>
      </c>
      <c r="L462" s="14" t="s">
        <v>76</v>
      </c>
      <c r="M462" s="14" t="s">
        <v>75</v>
      </c>
      <c r="N462" s="14" t="s">
        <v>75</v>
      </c>
      <c r="O462" s="14" t="s">
        <v>75</v>
      </c>
      <c r="P462" s="14">
        <v>685</v>
      </c>
      <c r="Q462" s="15">
        <v>434166.32</v>
      </c>
      <c r="R462" s="15">
        <v>1538.93</v>
      </c>
      <c r="S462" s="14" t="s">
        <v>21</v>
      </c>
      <c r="T462" s="15"/>
      <c r="U462" s="16">
        <f t="shared" si="77"/>
        <v>1.3734723627060153E-2</v>
      </c>
      <c r="V462" s="14">
        <v>4</v>
      </c>
      <c r="W462" s="17">
        <v>60.4</v>
      </c>
      <c r="X462" s="14">
        <v>7.5</v>
      </c>
      <c r="Y462" s="18">
        <f t="shared" si="78"/>
        <v>36.799999999999997</v>
      </c>
      <c r="Z462" s="18" t="str">
        <f t="shared" si="79"/>
        <v>Medium</v>
      </c>
      <c r="AA462" s="19" t="str">
        <f t="shared" si="80"/>
        <v>Review</v>
      </c>
      <c r="AB462" s="14" t="s">
        <v>77</v>
      </c>
      <c r="AC462" s="14">
        <v>3</v>
      </c>
      <c r="AD462" s="14" t="s">
        <v>194</v>
      </c>
      <c r="AE462" s="17">
        <v>0.7</v>
      </c>
      <c r="AF462" s="15">
        <v>248999</v>
      </c>
      <c r="AG462" s="20">
        <f t="shared" si="81"/>
        <v>1593559</v>
      </c>
      <c r="AH462" s="14">
        <v>3</v>
      </c>
      <c r="AI462" s="14" t="s">
        <v>75</v>
      </c>
      <c r="AJ462" s="14">
        <v>12</v>
      </c>
      <c r="AK462" s="21">
        <f t="shared" si="82"/>
        <v>0.15500000000000003</v>
      </c>
      <c r="AL462" s="20">
        <f t="shared" si="83"/>
        <v>0</v>
      </c>
      <c r="AM462" s="22">
        <f t="shared" si="84"/>
        <v>0</v>
      </c>
      <c r="AN462" s="20">
        <f t="shared" si="85"/>
        <v>1538.93</v>
      </c>
      <c r="AO462" s="16">
        <f t="shared" si="86"/>
        <v>1.3734723627060153E-2</v>
      </c>
      <c r="AP462" s="15">
        <v>0</v>
      </c>
      <c r="AQ462" s="18" t="str">
        <f t="shared" si="87"/>
        <v>N/A</v>
      </c>
      <c r="AR462" s="23">
        <v>46119</v>
      </c>
      <c r="AS462" s="14" t="s">
        <v>79</v>
      </c>
    </row>
    <row r="463" spans="1:45" x14ac:dyDescent="0.25">
      <c r="A463" s="14" t="s">
        <v>1555</v>
      </c>
      <c r="B463" s="14" t="s">
        <v>1556</v>
      </c>
      <c r="C463" s="14">
        <v>9256886986</v>
      </c>
      <c r="D463" s="15" t="s">
        <v>1564</v>
      </c>
      <c r="E463" s="14">
        <v>65</v>
      </c>
      <c r="F463" s="14" t="s">
        <v>89</v>
      </c>
      <c r="G463" s="14" t="s">
        <v>83</v>
      </c>
      <c r="H463" s="14" t="s">
        <v>73</v>
      </c>
      <c r="I463" s="14" t="s">
        <v>74</v>
      </c>
      <c r="J463" s="15">
        <v>2055838</v>
      </c>
      <c r="K463" s="14">
        <v>2</v>
      </c>
      <c r="L463" s="14" t="s">
        <v>76</v>
      </c>
      <c r="M463" s="14" t="s">
        <v>76</v>
      </c>
      <c r="N463" s="14" t="s">
        <v>75</v>
      </c>
      <c r="O463" s="14" t="s">
        <v>75</v>
      </c>
      <c r="P463" s="14">
        <v>366</v>
      </c>
      <c r="Q463" s="15"/>
      <c r="R463" s="15">
        <v>1992.86</v>
      </c>
      <c r="S463" s="14" t="s">
        <v>22</v>
      </c>
      <c r="T463" s="15">
        <v>918195</v>
      </c>
      <c r="U463" s="16">
        <f t="shared" si="77"/>
        <v>1.163239515954078E-2</v>
      </c>
      <c r="V463" s="14">
        <v>0</v>
      </c>
      <c r="W463" s="17">
        <v>92.3</v>
      </c>
      <c r="X463" s="14">
        <v>13.6</v>
      </c>
      <c r="Y463" s="18">
        <f t="shared" si="78"/>
        <v>45.2</v>
      </c>
      <c r="Z463" s="18" t="str">
        <f t="shared" si="79"/>
        <v>Medium</v>
      </c>
      <c r="AA463" s="19" t="str">
        <f t="shared" si="80"/>
        <v>Not Eligible</v>
      </c>
      <c r="AB463" s="14" t="s">
        <v>77</v>
      </c>
      <c r="AC463" s="14">
        <v>0</v>
      </c>
      <c r="AD463" s="14" t="s">
        <v>78</v>
      </c>
      <c r="AE463" s="17">
        <v>17.2</v>
      </c>
      <c r="AF463" s="15">
        <v>0</v>
      </c>
      <c r="AG463" s="20">
        <f t="shared" si="81"/>
        <v>2055838</v>
      </c>
      <c r="AH463" s="14">
        <v>0</v>
      </c>
      <c r="AI463" s="14" t="s">
        <v>76</v>
      </c>
      <c r="AJ463" s="14">
        <v>48</v>
      </c>
      <c r="AK463" s="21">
        <f t="shared" si="82"/>
        <v>0.105</v>
      </c>
      <c r="AL463" s="20">
        <f t="shared" si="83"/>
        <v>23508.895271299523</v>
      </c>
      <c r="AM463" s="22">
        <f t="shared" si="84"/>
        <v>0.44662809034564005</v>
      </c>
      <c r="AN463" s="20">
        <f t="shared" si="85"/>
        <v>25501.755271299524</v>
      </c>
      <c r="AO463" s="16">
        <f t="shared" si="86"/>
        <v>0.1488546584193863</v>
      </c>
      <c r="AP463" s="15">
        <v>1504528</v>
      </c>
      <c r="AQ463" s="18">
        <f t="shared" si="87"/>
        <v>0.61028774472791469</v>
      </c>
      <c r="AR463" s="23">
        <v>46139</v>
      </c>
      <c r="AS463" s="14" t="s">
        <v>79</v>
      </c>
    </row>
    <row r="464" spans="1:45" x14ac:dyDescent="0.25">
      <c r="A464" s="14" t="s">
        <v>1558</v>
      </c>
      <c r="B464" s="14" t="s">
        <v>1559</v>
      </c>
      <c r="C464" s="14">
        <v>9536510229</v>
      </c>
      <c r="D464" s="15" t="s">
        <v>1567</v>
      </c>
      <c r="E464" s="14">
        <v>28</v>
      </c>
      <c r="F464" s="14" t="s">
        <v>71</v>
      </c>
      <c r="G464" s="14" t="s">
        <v>131</v>
      </c>
      <c r="H464" s="14" t="s">
        <v>91</v>
      </c>
      <c r="I464" s="14" t="s">
        <v>92</v>
      </c>
      <c r="J464" s="15">
        <v>918186</v>
      </c>
      <c r="K464" s="14">
        <v>1</v>
      </c>
      <c r="L464" s="14" t="s">
        <v>76</v>
      </c>
      <c r="M464" s="14" t="s">
        <v>75</v>
      </c>
      <c r="N464" s="14" t="s">
        <v>75</v>
      </c>
      <c r="O464" s="14" t="s">
        <v>75</v>
      </c>
      <c r="P464" s="14">
        <v>822</v>
      </c>
      <c r="Q464" s="15"/>
      <c r="R464" s="15">
        <v>22850.86</v>
      </c>
      <c r="S464" s="14" t="s">
        <v>22</v>
      </c>
      <c r="T464" s="15"/>
      <c r="U464" s="16">
        <f t="shared" si="77"/>
        <v>0.29864354281158723</v>
      </c>
      <c r="V464" s="14">
        <v>0</v>
      </c>
      <c r="W464" s="17">
        <v>88.6</v>
      </c>
      <c r="X464" s="14">
        <v>2.2000000000000002</v>
      </c>
      <c r="Y464" s="18">
        <f t="shared" si="78"/>
        <v>23</v>
      </c>
      <c r="Z464" s="18" t="str">
        <f t="shared" si="79"/>
        <v>Low</v>
      </c>
      <c r="AA464" s="19" t="str">
        <f t="shared" si="80"/>
        <v>Eligible</v>
      </c>
      <c r="AB464" s="14" t="s">
        <v>77</v>
      </c>
      <c r="AC464" s="14">
        <v>3</v>
      </c>
      <c r="AD464" s="14" t="s">
        <v>93</v>
      </c>
      <c r="AE464" s="17">
        <v>1.6</v>
      </c>
      <c r="AF464" s="15">
        <v>0</v>
      </c>
      <c r="AG464" s="20">
        <f t="shared" si="81"/>
        <v>918186</v>
      </c>
      <c r="AH464" s="14">
        <v>0</v>
      </c>
      <c r="AI464" s="14" t="s">
        <v>75</v>
      </c>
      <c r="AJ464" s="14">
        <v>60</v>
      </c>
      <c r="AK464" s="21">
        <f t="shared" si="82"/>
        <v>0.09</v>
      </c>
      <c r="AL464" s="20">
        <f t="shared" si="83"/>
        <v>0</v>
      </c>
      <c r="AM464" s="22">
        <f t="shared" si="84"/>
        <v>0</v>
      </c>
      <c r="AN464" s="20">
        <f t="shared" si="85"/>
        <v>22850.86</v>
      </c>
      <c r="AO464" s="16">
        <f t="shared" si="86"/>
        <v>0.29864354281158723</v>
      </c>
      <c r="AP464" s="15">
        <v>1639448</v>
      </c>
      <c r="AQ464" s="18">
        <f t="shared" si="87"/>
        <v>0</v>
      </c>
      <c r="AR464" s="23">
        <v>46216</v>
      </c>
      <c r="AS464" s="14" t="s">
        <v>79</v>
      </c>
    </row>
    <row r="465" spans="1:45" x14ac:dyDescent="0.25">
      <c r="A465" s="14" t="s">
        <v>1561</v>
      </c>
      <c r="B465" s="14" t="s">
        <v>1562</v>
      </c>
      <c r="C465" s="14"/>
      <c r="D465" s="15" t="s">
        <v>1570</v>
      </c>
      <c r="E465" s="14">
        <v>53</v>
      </c>
      <c r="F465" s="14" t="s">
        <v>71</v>
      </c>
      <c r="G465" s="14" t="s">
        <v>120</v>
      </c>
      <c r="H465" s="14" t="s">
        <v>107</v>
      </c>
      <c r="I465" s="14" t="s">
        <v>92</v>
      </c>
      <c r="J465" s="15">
        <v>2453291</v>
      </c>
      <c r="K465" s="14">
        <v>2</v>
      </c>
      <c r="L465" s="14" t="s">
        <v>75</v>
      </c>
      <c r="M465" s="14" t="s">
        <v>76</v>
      </c>
      <c r="N465" s="14" t="s">
        <v>76</v>
      </c>
      <c r="O465" s="14" t="s">
        <v>75</v>
      </c>
      <c r="P465" s="14">
        <v>723</v>
      </c>
      <c r="Q465" s="15">
        <v>1319324</v>
      </c>
      <c r="R465" s="15">
        <v>35317.760000000002</v>
      </c>
      <c r="S465" s="14" t="s">
        <v>21</v>
      </c>
      <c r="T465" s="15">
        <v>378258</v>
      </c>
      <c r="U465" s="16">
        <f t="shared" si="77"/>
        <v>0.17275289396977367</v>
      </c>
      <c r="V465" s="14">
        <v>0</v>
      </c>
      <c r="W465" s="17">
        <v>10.7</v>
      </c>
      <c r="X465" s="14">
        <v>6.6</v>
      </c>
      <c r="Y465" s="18">
        <f t="shared" si="78"/>
        <v>18.100000000000001</v>
      </c>
      <c r="Z465" s="18" t="str">
        <f t="shared" si="79"/>
        <v>Low</v>
      </c>
      <c r="AA465" s="19" t="str">
        <f t="shared" si="80"/>
        <v>Eligible</v>
      </c>
      <c r="AB465" s="14" t="s">
        <v>77</v>
      </c>
      <c r="AC465" s="14">
        <v>2</v>
      </c>
      <c r="AD465" s="14" t="s">
        <v>78</v>
      </c>
      <c r="AE465" s="17">
        <v>20.2</v>
      </c>
      <c r="AF465" s="15">
        <v>0</v>
      </c>
      <c r="AG465" s="20">
        <f t="shared" si="81"/>
        <v>2453291</v>
      </c>
      <c r="AH465" s="14">
        <v>0</v>
      </c>
      <c r="AI465" s="14" t="s">
        <v>75</v>
      </c>
      <c r="AJ465" s="14">
        <v>24</v>
      </c>
      <c r="AK465" s="21">
        <f t="shared" si="82"/>
        <v>0.14000000000000001</v>
      </c>
      <c r="AL465" s="20">
        <f t="shared" si="83"/>
        <v>18161.257199333955</v>
      </c>
      <c r="AM465" s="22">
        <f t="shared" si="84"/>
        <v>0.15418391051041233</v>
      </c>
      <c r="AN465" s="20">
        <f t="shared" si="85"/>
        <v>53479.017199333961</v>
      </c>
      <c r="AO465" s="16">
        <f t="shared" si="86"/>
        <v>0.26158666313617401</v>
      </c>
      <c r="AP465" s="15">
        <v>0</v>
      </c>
      <c r="AQ465" s="18" t="str">
        <f t="shared" si="87"/>
        <v>N/A</v>
      </c>
      <c r="AR465" s="23">
        <v>45960</v>
      </c>
      <c r="AS465" s="14" t="s">
        <v>79</v>
      </c>
    </row>
    <row r="466" spans="1:45" x14ac:dyDescent="0.25">
      <c r="A466" s="14" t="s">
        <v>1565</v>
      </c>
      <c r="B466" s="14" t="s">
        <v>1566</v>
      </c>
      <c r="C466" s="14">
        <v>9926683522</v>
      </c>
      <c r="D466" s="15" t="s">
        <v>1573</v>
      </c>
      <c r="E466" s="14">
        <v>36</v>
      </c>
      <c r="F466" s="14" t="s">
        <v>89</v>
      </c>
      <c r="G466" s="14" t="s">
        <v>115</v>
      </c>
      <c r="H466" s="14" t="s">
        <v>73</v>
      </c>
      <c r="I466" s="14" t="s">
        <v>74</v>
      </c>
      <c r="J466" s="15">
        <v>2115049</v>
      </c>
      <c r="K466" s="14">
        <v>0</v>
      </c>
      <c r="L466" s="14" t="s">
        <v>75</v>
      </c>
      <c r="M466" s="14" t="s">
        <v>75</v>
      </c>
      <c r="N466" s="14" t="s">
        <v>75</v>
      </c>
      <c r="O466" s="14" t="s">
        <v>75</v>
      </c>
      <c r="P466" s="14">
        <v>449</v>
      </c>
      <c r="Q466" s="15"/>
      <c r="R466" s="15">
        <v>11676.85</v>
      </c>
      <c r="S466" s="14" t="s">
        <v>22</v>
      </c>
      <c r="T466" s="15">
        <v>683942</v>
      </c>
      <c r="U466" s="16">
        <f t="shared" si="77"/>
        <v>6.6250096333465569E-2</v>
      </c>
      <c r="V466" s="14">
        <v>0</v>
      </c>
      <c r="W466" s="17">
        <v>49.1</v>
      </c>
      <c r="X466" s="14">
        <v>12.1</v>
      </c>
      <c r="Y466" s="18">
        <f t="shared" si="78"/>
        <v>37</v>
      </c>
      <c r="Z466" s="18" t="str">
        <f t="shared" si="79"/>
        <v>Medium</v>
      </c>
      <c r="AA466" s="19" t="str">
        <f t="shared" si="80"/>
        <v>Not Eligible</v>
      </c>
      <c r="AB466" s="14" t="s">
        <v>77</v>
      </c>
      <c r="AC466" s="14">
        <v>1</v>
      </c>
      <c r="AD466" s="14" t="s">
        <v>93</v>
      </c>
      <c r="AE466" s="17">
        <v>5.0999999999999996</v>
      </c>
      <c r="AF466" s="15">
        <v>861372</v>
      </c>
      <c r="AG466" s="20">
        <f t="shared" si="81"/>
        <v>2976421</v>
      </c>
      <c r="AH466" s="14">
        <v>0</v>
      </c>
      <c r="AI466" s="14" t="s">
        <v>75</v>
      </c>
      <c r="AJ466" s="14">
        <v>84</v>
      </c>
      <c r="AK466" s="21">
        <f t="shared" si="82"/>
        <v>0.105</v>
      </c>
      <c r="AL466" s="20">
        <f t="shared" si="83"/>
        <v>11531.722514680923</v>
      </c>
      <c r="AM466" s="22">
        <f t="shared" si="84"/>
        <v>0.32336934037934817</v>
      </c>
      <c r="AN466" s="20">
        <f t="shared" si="85"/>
        <v>23208.572514680924</v>
      </c>
      <c r="AO466" s="16">
        <f t="shared" si="86"/>
        <v>0.13167679338690075</v>
      </c>
      <c r="AP466" s="15">
        <v>1029780</v>
      </c>
      <c r="AQ466" s="18">
        <f t="shared" si="87"/>
        <v>0.66416321932840028</v>
      </c>
      <c r="AR466" s="23">
        <v>46181</v>
      </c>
      <c r="AS466" s="14" t="s">
        <v>94</v>
      </c>
    </row>
    <row r="467" spans="1:45" x14ac:dyDescent="0.25">
      <c r="A467" s="14" t="s">
        <v>1568</v>
      </c>
      <c r="B467" s="14" t="s">
        <v>1569</v>
      </c>
      <c r="C467" s="14">
        <v>9373601073</v>
      </c>
      <c r="D467" s="15" t="s">
        <v>1576</v>
      </c>
      <c r="E467" s="14">
        <v>29</v>
      </c>
      <c r="F467" s="14" t="s">
        <v>89</v>
      </c>
      <c r="G467" s="14" t="s">
        <v>226</v>
      </c>
      <c r="H467" s="14" t="s">
        <v>73</v>
      </c>
      <c r="I467" s="14" t="s">
        <v>74</v>
      </c>
      <c r="J467" s="15">
        <v>2353848</v>
      </c>
      <c r="K467" s="14">
        <v>1</v>
      </c>
      <c r="L467" s="14" t="s">
        <v>75</v>
      </c>
      <c r="M467" s="14" t="s">
        <v>75</v>
      </c>
      <c r="N467" s="14" t="s">
        <v>75</v>
      </c>
      <c r="O467" s="14" t="s">
        <v>76</v>
      </c>
      <c r="P467" s="14">
        <v>574</v>
      </c>
      <c r="Q467" s="15">
        <v>324539</v>
      </c>
      <c r="R467" s="15">
        <v>43977.45</v>
      </c>
      <c r="S467" s="14" t="s">
        <v>21</v>
      </c>
      <c r="T467" s="15">
        <v>550493</v>
      </c>
      <c r="U467" s="16">
        <f t="shared" si="77"/>
        <v>0.22419858886385183</v>
      </c>
      <c r="V467" s="14">
        <v>5</v>
      </c>
      <c r="W467" s="17">
        <v>35.799999999999997</v>
      </c>
      <c r="X467" s="14">
        <v>3.7</v>
      </c>
      <c r="Y467" s="18">
        <f t="shared" si="78"/>
        <v>52</v>
      </c>
      <c r="Z467" s="18" t="str">
        <f t="shared" si="79"/>
        <v>Medium</v>
      </c>
      <c r="AA467" s="19" t="str">
        <f t="shared" si="80"/>
        <v>Not Eligible</v>
      </c>
      <c r="AB467" s="14" t="s">
        <v>85</v>
      </c>
      <c r="AC467" s="14">
        <v>4</v>
      </c>
      <c r="AD467" s="14" t="s">
        <v>78</v>
      </c>
      <c r="AE467" s="17">
        <v>2.9</v>
      </c>
      <c r="AF467" s="15">
        <v>0</v>
      </c>
      <c r="AG467" s="20">
        <f t="shared" si="81"/>
        <v>2353848</v>
      </c>
      <c r="AH467" s="14">
        <v>0</v>
      </c>
      <c r="AI467" s="14" t="s">
        <v>75</v>
      </c>
      <c r="AJ467" s="14">
        <v>24</v>
      </c>
      <c r="AK467" s="21">
        <f t="shared" si="82"/>
        <v>0.15500000000000003</v>
      </c>
      <c r="AL467" s="20">
        <f t="shared" si="83"/>
        <v>26822.519562648875</v>
      </c>
      <c r="AM467" s="22">
        <f t="shared" si="84"/>
        <v>0.23386939173642479</v>
      </c>
      <c r="AN467" s="20">
        <f t="shared" si="85"/>
        <v>70799.969562648868</v>
      </c>
      <c r="AO467" s="16">
        <f t="shared" si="86"/>
        <v>0.36094073820900352</v>
      </c>
      <c r="AP467" s="15">
        <v>0</v>
      </c>
      <c r="AQ467" s="18" t="str">
        <f t="shared" si="87"/>
        <v>N/A</v>
      </c>
      <c r="AR467" s="23">
        <v>46208</v>
      </c>
      <c r="AS467" s="14" t="s">
        <v>79</v>
      </c>
    </row>
    <row r="468" spans="1:45" x14ac:dyDescent="0.25">
      <c r="A468" s="14" t="s">
        <v>1571</v>
      </c>
      <c r="B468" s="14" t="s">
        <v>909</v>
      </c>
      <c r="C468" s="14"/>
      <c r="D468" s="15" t="s">
        <v>1578</v>
      </c>
      <c r="E468" s="14">
        <v>33</v>
      </c>
      <c r="F468" s="14" t="s">
        <v>89</v>
      </c>
      <c r="G468" s="14" t="s">
        <v>83</v>
      </c>
      <c r="H468" s="14" t="s">
        <v>144</v>
      </c>
      <c r="I468" s="14" t="s">
        <v>92</v>
      </c>
      <c r="J468" s="15">
        <v>1646969</v>
      </c>
      <c r="K468" s="14">
        <v>2</v>
      </c>
      <c r="L468" s="14" t="s">
        <v>76</v>
      </c>
      <c r="M468" s="14" t="s">
        <v>75</v>
      </c>
      <c r="N468" s="14" t="s">
        <v>75</v>
      </c>
      <c r="O468" s="14" t="s">
        <v>76</v>
      </c>
      <c r="P468" s="14">
        <v>598</v>
      </c>
      <c r="Q468" s="15"/>
      <c r="R468" s="15">
        <v>25241.919999999998</v>
      </c>
      <c r="S468" s="14" t="s">
        <v>22</v>
      </c>
      <c r="T468" s="15">
        <v>74069</v>
      </c>
      <c r="U468" s="16">
        <f t="shared" si="77"/>
        <v>0.18391544710313307</v>
      </c>
      <c r="V468" s="14">
        <v>4</v>
      </c>
      <c r="W468" s="17">
        <v>81.900000000000006</v>
      </c>
      <c r="X468" s="14">
        <v>5.7</v>
      </c>
      <c r="Y468" s="18">
        <f t="shared" si="78"/>
        <v>49.8</v>
      </c>
      <c r="Z468" s="18" t="str">
        <f t="shared" si="79"/>
        <v>Medium</v>
      </c>
      <c r="AA468" s="19" t="str">
        <f t="shared" si="80"/>
        <v>Review</v>
      </c>
      <c r="AB468" s="14" t="s">
        <v>85</v>
      </c>
      <c r="AC468" s="14">
        <v>2</v>
      </c>
      <c r="AD468" s="14" t="s">
        <v>194</v>
      </c>
      <c r="AE468" s="17">
        <v>5.7</v>
      </c>
      <c r="AF468" s="15">
        <v>341044</v>
      </c>
      <c r="AG468" s="20">
        <f t="shared" si="81"/>
        <v>1988013</v>
      </c>
      <c r="AH468" s="14">
        <v>0</v>
      </c>
      <c r="AI468" s="14" t="s">
        <v>75</v>
      </c>
      <c r="AJ468" s="14">
        <v>60</v>
      </c>
      <c r="AK468" s="21">
        <f t="shared" si="82"/>
        <v>0.105</v>
      </c>
      <c r="AL468" s="20">
        <f t="shared" si="83"/>
        <v>1592.0317071067821</v>
      </c>
      <c r="AM468" s="22">
        <f t="shared" si="84"/>
        <v>4.4972916915861805E-2</v>
      </c>
      <c r="AN468" s="20">
        <f t="shared" si="85"/>
        <v>26833.951707106782</v>
      </c>
      <c r="AO468" s="16">
        <f t="shared" si="86"/>
        <v>0.19551516785396775</v>
      </c>
      <c r="AP468" s="15">
        <v>829364</v>
      </c>
      <c r="AQ468" s="18">
        <f t="shared" si="87"/>
        <v>8.9308192783868118E-2</v>
      </c>
      <c r="AR468" s="23">
        <v>46096</v>
      </c>
      <c r="AS468" s="14" t="s">
        <v>79</v>
      </c>
    </row>
    <row r="469" spans="1:45" x14ac:dyDescent="0.25">
      <c r="A469" s="14" t="s">
        <v>1574</v>
      </c>
      <c r="B469" s="14" t="s">
        <v>1575</v>
      </c>
      <c r="C469" s="14">
        <v>9536371041</v>
      </c>
      <c r="D469" s="15" t="s">
        <v>1581</v>
      </c>
      <c r="E469" s="14">
        <v>50</v>
      </c>
      <c r="F469" s="14" t="s">
        <v>89</v>
      </c>
      <c r="G469" s="14" t="s">
        <v>314</v>
      </c>
      <c r="H469" s="14" t="s">
        <v>99</v>
      </c>
      <c r="I469" s="14" t="s">
        <v>74</v>
      </c>
      <c r="J469" s="15">
        <v>1135463</v>
      </c>
      <c r="K469" s="14">
        <v>1</v>
      </c>
      <c r="L469" s="14" t="s">
        <v>76</v>
      </c>
      <c r="M469" s="14" t="s">
        <v>75</v>
      </c>
      <c r="N469" s="14" t="s">
        <v>75</v>
      </c>
      <c r="O469" s="14" t="s">
        <v>75</v>
      </c>
      <c r="P469" s="14">
        <v>410</v>
      </c>
      <c r="Q469" s="15">
        <v>394102.63</v>
      </c>
      <c r="R469" s="15">
        <v>9014.9699999999993</v>
      </c>
      <c r="S469" s="14" t="s">
        <v>22</v>
      </c>
      <c r="T469" s="15">
        <v>464219</v>
      </c>
      <c r="U469" s="16">
        <f t="shared" si="77"/>
        <v>9.5273593239057527E-2</v>
      </c>
      <c r="V469" s="14">
        <v>0</v>
      </c>
      <c r="W469" s="17">
        <v>16.7</v>
      </c>
      <c r="X469" s="14">
        <v>11.4</v>
      </c>
      <c r="Y469" s="18">
        <f t="shared" si="78"/>
        <v>37.200000000000003</v>
      </c>
      <c r="Z469" s="18" t="str">
        <f t="shared" si="79"/>
        <v>Medium</v>
      </c>
      <c r="AA469" s="19" t="str">
        <f t="shared" si="80"/>
        <v>Not Eligible</v>
      </c>
      <c r="AB469" s="14" t="s">
        <v>161</v>
      </c>
      <c r="AC469" s="14">
        <v>0</v>
      </c>
      <c r="AD469" s="14" t="s">
        <v>78</v>
      </c>
      <c r="AE469" s="17">
        <v>3.4</v>
      </c>
      <c r="AF469" s="15">
        <v>0</v>
      </c>
      <c r="AG469" s="20">
        <f t="shared" si="81"/>
        <v>1135463</v>
      </c>
      <c r="AH469" s="14">
        <v>0</v>
      </c>
      <c r="AI469" s="14" t="s">
        <v>75</v>
      </c>
      <c r="AJ469" s="14">
        <v>84</v>
      </c>
      <c r="AK469" s="21">
        <f t="shared" si="82"/>
        <v>0.105</v>
      </c>
      <c r="AL469" s="20">
        <f t="shared" si="83"/>
        <v>7827.0448284250169</v>
      </c>
      <c r="AM469" s="22">
        <f t="shared" si="84"/>
        <v>0.40883674765271966</v>
      </c>
      <c r="AN469" s="20">
        <f t="shared" si="85"/>
        <v>16842.014828425017</v>
      </c>
      <c r="AO469" s="16">
        <f t="shared" si="86"/>
        <v>0.17799274651934957</v>
      </c>
      <c r="AP469" s="15">
        <v>653625</v>
      </c>
      <c r="AQ469" s="18">
        <f t="shared" si="87"/>
        <v>0.7102222222222222</v>
      </c>
      <c r="AR469" s="23">
        <v>45999</v>
      </c>
      <c r="AS469" s="14" t="s">
        <v>79</v>
      </c>
    </row>
    <row r="470" spans="1:45" x14ac:dyDescent="0.25">
      <c r="A470" s="14" t="s">
        <v>1577</v>
      </c>
      <c r="B470" s="14" t="s">
        <v>1128</v>
      </c>
      <c r="C470" s="14">
        <v>9445830787</v>
      </c>
      <c r="D470" s="15" t="s">
        <v>1585</v>
      </c>
      <c r="E470" s="14">
        <v>42</v>
      </c>
      <c r="F470" s="14" t="s">
        <v>89</v>
      </c>
      <c r="G470" s="14" t="s">
        <v>143</v>
      </c>
      <c r="H470" s="14" t="s">
        <v>99</v>
      </c>
      <c r="I470" s="14" t="s">
        <v>74</v>
      </c>
      <c r="J470" s="15">
        <v>1309486</v>
      </c>
      <c r="K470" s="14">
        <v>1</v>
      </c>
      <c r="L470" s="14" t="s">
        <v>76</v>
      </c>
      <c r="M470" s="14" t="s">
        <v>75</v>
      </c>
      <c r="N470" s="14" t="s">
        <v>75</v>
      </c>
      <c r="O470" s="14" t="s">
        <v>75</v>
      </c>
      <c r="P470" s="14">
        <v>865</v>
      </c>
      <c r="Q470" s="15"/>
      <c r="R470" s="15">
        <v>10288.24</v>
      </c>
      <c r="S470" s="14" t="s">
        <v>21</v>
      </c>
      <c r="T470" s="15">
        <v>379474</v>
      </c>
      <c r="U470" s="16">
        <f t="shared" si="77"/>
        <v>9.4280412314450099E-2</v>
      </c>
      <c r="V470" s="14">
        <v>1</v>
      </c>
      <c r="W470" s="17">
        <v>35.1</v>
      </c>
      <c r="X470" s="14">
        <v>3.5</v>
      </c>
      <c r="Y470" s="18">
        <f t="shared" si="78"/>
        <v>12.7</v>
      </c>
      <c r="Z470" s="18" t="str">
        <f t="shared" si="79"/>
        <v>Low</v>
      </c>
      <c r="AA470" s="19" t="str">
        <f t="shared" si="80"/>
        <v>Eligible</v>
      </c>
      <c r="AB470" s="14" t="s">
        <v>77</v>
      </c>
      <c r="AC470" s="14">
        <v>3</v>
      </c>
      <c r="AD470" s="14" t="s">
        <v>78</v>
      </c>
      <c r="AE470" s="17">
        <v>13.1</v>
      </c>
      <c r="AF470" s="15">
        <v>0</v>
      </c>
      <c r="AG470" s="20">
        <f t="shared" si="81"/>
        <v>1309486</v>
      </c>
      <c r="AH470" s="14">
        <v>0</v>
      </c>
      <c r="AI470" s="14" t="s">
        <v>75</v>
      </c>
      <c r="AJ470" s="14">
        <v>36</v>
      </c>
      <c r="AK470" s="21">
        <f t="shared" si="82"/>
        <v>0.14000000000000001</v>
      </c>
      <c r="AL470" s="20">
        <f t="shared" si="83"/>
        <v>12969.521874797014</v>
      </c>
      <c r="AM470" s="22">
        <f t="shared" si="84"/>
        <v>0.28978851243923187</v>
      </c>
      <c r="AN470" s="20">
        <f t="shared" si="85"/>
        <v>23257.761874797012</v>
      </c>
      <c r="AO470" s="16">
        <f t="shared" si="86"/>
        <v>0.21313182614977491</v>
      </c>
      <c r="AP470" s="15">
        <v>0</v>
      </c>
      <c r="AQ470" s="18" t="str">
        <f t="shared" si="87"/>
        <v>N/A</v>
      </c>
      <c r="AR470" s="23">
        <v>46143</v>
      </c>
      <c r="AS470" s="14" t="s">
        <v>79</v>
      </c>
    </row>
    <row r="471" spans="1:45" x14ac:dyDescent="0.25">
      <c r="A471" s="14" t="s">
        <v>1579</v>
      </c>
      <c r="B471" s="14" t="s">
        <v>1580</v>
      </c>
      <c r="C471" s="14"/>
      <c r="D471" s="15" t="s">
        <v>1588</v>
      </c>
      <c r="E471" s="14">
        <v>50</v>
      </c>
      <c r="F471" s="14" t="s">
        <v>71</v>
      </c>
      <c r="G471" s="14" t="s">
        <v>98</v>
      </c>
      <c r="H471" s="14" t="s">
        <v>91</v>
      </c>
      <c r="I471" s="14" t="s">
        <v>92</v>
      </c>
      <c r="J471" s="15">
        <v>1472185</v>
      </c>
      <c r="K471" s="14">
        <v>2</v>
      </c>
      <c r="L471" s="14" t="s">
        <v>76</v>
      </c>
      <c r="M471" s="14" t="s">
        <v>76</v>
      </c>
      <c r="N471" s="14" t="s">
        <v>75</v>
      </c>
      <c r="O471" s="14" t="s">
        <v>75</v>
      </c>
      <c r="P471" s="14">
        <v>695</v>
      </c>
      <c r="Q471" s="15">
        <v>1185719</v>
      </c>
      <c r="R471" s="15">
        <v>15157.79</v>
      </c>
      <c r="S471" s="14" t="s">
        <v>20</v>
      </c>
      <c r="T471" s="15">
        <v>2826223</v>
      </c>
      <c r="U471" s="16">
        <f t="shared" si="77"/>
        <v>0.12355341210513625</v>
      </c>
      <c r="V471" s="14">
        <v>0</v>
      </c>
      <c r="W471" s="17">
        <v>72.7</v>
      </c>
      <c r="X471" s="14">
        <v>6.7</v>
      </c>
      <c r="Y471" s="18">
        <f t="shared" si="78"/>
        <v>24.6</v>
      </c>
      <c r="Z471" s="18" t="str">
        <f t="shared" si="79"/>
        <v>Low</v>
      </c>
      <c r="AA471" s="19" t="str">
        <f t="shared" si="80"/>
        <v>Eligible</v>
      </c>
      <c r="AB471" s="14" t="s">
        <v>77</v>
      </c>
      <c r="AC471" s="14">
        <v>1</v>
      </c>
      <c r="AD471" s="14" t="s">
        <v>93</v>
      </c>
      <c r="AE471" s="17">
        <v>11.2</v>
      </c>
      <c r="AF471" s="15">
        <v>0</v>
      </c>
      <c r="AG471" s="20">
        <f t="shared" si="81"/>
        <v>1472185</v>
      </c>
      <c r="AH471" s="14">
        <v>0</v>
      </c>
      <c r="AI471" s="14" t="s">
        <v>76</v>
      </c>
      <c r="AJ471" s="14">
        <v>36</v>
      </c>
      <c r="AK471" s="21">
        <f t="shared" si="82"/>
        <v>0.36</v>
      </c>
      <c r="AL471" s="20">
        <f t="shared" si="83"/>
        <v>129451.73661053093</v>
      </c>
      <c r="AM471" s="22">
        <f t="shared" si="84"/>
        <v>1.91974717851357</v>
      </c>
      <c r="AN471" s="20">
        <f t="shared" si="85"/>
        <v>144609.52661053094</v>
      </c>
      <c r="AO471" s="16">
        <f t="shared" si="86"/>
        <v>1.1787338679081578</v>
      </c>
      <c r="AP471" s="15">
        <v>0</v>
      </c>
      <c r="AQ471" s="18" t="str">
        <f t="shared" si="87"/>
        <v>N/A</v>
      </c>
      <c r="AR471" s="23">
        <v>46118</v>
      </c>
      <c r="AS471" s="14" t="s">
        <v>79</v>
      </c>
    </row>
    <row r="472" spans="1:45" x14ac:dyDescent="0.25">
      <c r="A472" s="14" t="s">
        <v>1582</v>
      </c>
      <c r="B472" s="14" t="s">
        <v>1583</v>
      </c>
      <c r="C472" s="14">
        <v>9663987043</v>
      </c>
      <c r="D472" s="15" t="s">
        <v>1590</v>
      </c>
      <c r="E472" s="14">
        <v>53</v>
      </c>
      <c r="F472" s="14" t="s">
        <v>89</v>
      </c>
      <c r="G472" s="14" t="s">
        <v>417</v>
      </c>
      <c r="H472" s="14" t="s">
        <v>91</v>
      </c>
      <c r="I472" s="14" t="s">
        <v>92</v>
      </c>
      <c r="J472" s="15">
        <v>1864312</v>
      </c>
      <c r="K472" s="14">
        <v>2</v>
      </c>
      <c r="L472" s="14" t="s">
        <v>76</v>
      </c>
      <c r="M472" s="14" t="s">
        <v>76</v>
      </c>
      <c r="N472" s="14" t="s">
        <v>75</v>
      </c>
      <c r="O472" s="14" t="s">
        <v>75</v>
      </c>
      <c r="P472" s="14">
        <v>472</v>
      </c>
      <c r="Q472" s="15"/>
      <c r="R472" s="15">
        <v>35261</v>
      </c>
      <c r="S472" s="14" t="s">
        <v>21</v>
      </c>
      <c r="T472" s="15">
        <v>320212</v>
      </c>
      <c r="U472" s="16">
        <f t="shared" si="77"/>
        <v>0.22696415621419591</v>
      </c>
      <c r="V472" s="14">
        <v>0</v>
      </c>
      <c r="W472" s="17">
        <v>31</v>
      </c>
      <c r="X472" s="14">
        <v>10.8</v>
      </c>
      <c r="Y472" s="18">
        <f t="shared" si="78"/>
        <v>38.4</v>
      </c>
      <c r="Z472" s="18" t="str">
        <f t="shared" si="79"/>
        <v>Medium</v>
      </c>
      <c r="AA472" s="19" t="str">
        <f t="shared" si="80"/>
        <v>Not Eligible</v>
      </c>
      <c r="AB472" s="14" t="s">
        <v>77</v>
      </c>
      <c r="AC472" s="14">
        <v>1</v>
      </c>
      <c r="AD472" s="14" t="s">
        <v>93</v>
      </c>
      <c r="AE472" s="17">
        <v>28.8</v>
      </c>
      <c r="AF472" s="15">
        <v>0</v>
      </c>
      <c r="AG472" s="20">
        <f t="shared" si="81"/>
        <v>1864312</v>
      </c>
      <c r="AH472" s="14">
        <v>1</v>
      </c>
      <c r="AI472" s="14" t="s">
        <v>75</v>
      </c>
      <c r="AJ472" s="14">
        <v>12</v>
      </c>
      <c r="AK472" s="21">
        <f t="shared" si="82"/>
        <v>0.15500000000000003</v>
      </c>
      <c r="AL472" s="20">
        <f t="shared" si="83"/>
        <v>28977.39805910327</v>
      </c>
      <c r="AM472" s="22">
        <f t="shared" si="84"/>
        <v>0.17175880432030691</v>
      </c>
      <c r="AN472" s="20">
        <f t="shared" si="85"/>
        <v>64238.398059103274</v>
      </c>
      <c r="AO472" s="16">
        <f t="shared" si="86"/>
        <v>0.41348270928323116</v>
      </c>
      <c r="AP472" s="15">
        <v>0</v>
      </c>
      <c r="AQ472" s="18" t="str">
        <f t="shared" si="87"/>
        <v>N/A</v>
      </c>
      <c r="AR472" s="23">
        <v>46126</v>
      </c>
      <c r="AS472" s="14" t="s">
        <v>79</v>
      </c>
    </row>
    <row r="473" spans="1:45" x14ac:dyDescent="0.25">
      <c r="A473" s="14" t="s">
        <v>1586</v>
      </c>
      <c r="B473" s="14" t="s">
        <v>1587</v>
      </c>
      <c r="C473" s="14"/>
      <c r="D473" s="15" t="s">
        <v>1593</v>
      </c>
      <c r="E473" s="14">
        <v>45</v>
      </c>
      <c r="F473" s="14" t="s">
        <v>71</v>
      </c>
      <c r="G473" s="14" t="s">
        <v>115</v>
      </c>
      <c r="H473" s="14" t="s">
        <v>99</v>
      </c>
      <c r="I473" s="14" t="s">
        <v>74</v>
      </c>
      <c r="J473" s="15">
        <v>2167839</v>
      </c>
      <c r="K473" s="14">
        <v>1</v>
      </c>
      <c r="L473" s="14" t="s">
        <v>75</v>
      </c>
      <c r="M473" s="14" t="s">
        <v>76</v>
      </c>
      <c r="N473" s="14" t="s">
        <v>75</v>
      </c>
      <c r="O473" s="14" t="s">
        <v>75</v>
      </c>
      <c r="P473" s="14">
        <v>675</v>
      </c>
      <c r="Q473" s="15">
        <v>360774</v>
      </c>
      <c r="R473" s="15">
        <v>42347.12</v>
      </c>
      <c r="S473" s="14" t="s">
        <v>23</v>
      </c>
      <c r="T473" s="15">
        <v>1376354</v>
      </c>
      <c r="U473" s="16">
        <f t="shared" si="77"/>
        <v>0.2344110609690111</v>
      </c>
      <c r="V473" s="14">
        <v>0</v>
      </c>
      <c r="W473" s="17">
        <v>86.1</v>
      </c>
      <c r="X473" s="14">
        <v>9.6999999999999993</v>
      </c>
      <c r="Y473" s="18">
        <f t="shared" si="78"/>
        <v>30.6</v>
      </c>
      <c r="Z473" s="18" t="str">
        <f t="shared" si="79"/>
        <v>Medium</v>
      </c>
      <c r="AA473" s="19" t="str">
        <f t="shared" si="80"/>
        <v>Eligible</v>
      </c>
      <c r="AB473" s="14" t="s">
        <v>85</v>
      </c>
      <c r="AC473" s="14">
        <v>3</v>
      </c>
      <c r="AD473" s="14" t="s">
        <v>93</v>
      </c>
      <c r="AE473" s="17">
        <v>23.5</v>
      </c>
      <c r="AF473" s="15">
        <v>0</v>
      </c>
      <c r="AG473" s="20">
        <f t="shared" si="81"/>
        <v>2167839</v>
      </c>
      <c r="AH473" s="14">
        <v>1</v>
      </c>
      <c r="AI473" s="14" t="s">
        <v>75</v>
      </c>
      <c r="AJ473" s="14">
        <v>180</v>
      </c>
      <c r="AK473" s="21">
        <f t="shared" si="82"/>
        <v>0.1</v>
      </c>
      <c r="AL473" s="20">
        <f t="shared" si="83"/>
        <v>14790.370521780365</v>
      </c>
      <c r="AM473" s="22">
        <f t="shared" si="84"/>
        <v>0.63489677969627822</v>
      </c>
      <c r="AN473" s="20">
        <f t="shared" si="85"/>
        <v>57137.490521780368</v>
      </c>
      <c r="AO473" s="16">
        <f t="shared" si="86"/>
        <v>0.31628266041037384</v>
      </c>
      <c r="AP473" s="15">
        <v>3315426</v>
      </c>
      <c r="AQ473" s="18">
        <f t="shared" si="87"/>
        <v>0.41513639574522249</v>
      </c>
      <c r="AR473" s="23">
        <v>46251</v>
      </c>
      <c r="AS473" s="14" t="s">
        <v>79</v>
      </c>
    </row>
    <row r="474" spans="1:45" x14ac:dyDescent="0.25">
      <c r="A474" s="14" t="s">
        <v>1589</v>
      </c>
      <c r="B474" s="14" t="s">
        <v>1291</v>
      </c>
      <c r="C474" s="14">
        <v>9274039487</v>
      </c>
      <c r="D474" s="15" t="s">
        <v>1596</v>
      </c>
      <c r="E474" s="14">
        <v>49</v>
      </c>
      <c r="F474" s="14" t="s">
        <v>71</v>
      </c>
      <c r="G474" s="14" t="s">
        <v>143</v>
      </c>
      <c r="H474" s="14" t="s">
        <v>132</v>
      </c>
      <c r="I474" s="14" t="s">
        <v>92</v>
      </c>
      <c r="J474" s="15">
        <v>2128270</v>
      </c>
      <c r="K474" s="14">
        <v>2</v>
      </c>
      <c r="L474" s="14" t="s">
        <v>76</v>
      </c>
      <c r="M474" s="14" t="s">
        <v>75</v>
      </c>
      <c r="N474" s="14" t="s">
        <v>76</v>
      </c>
      <c r="O474" s="14" t="s">
        <v>75</v>
      </c>
      <c r="P474" s="14">
        <v>833</v>
      </c>
      <c r="Q474" s="15">
        <v>98245</v>
      </c>
      <c r="R474" s="15">
        <v>5016.12</v>
      </c>
      <c r="S474" s="14" t="s">
        <v>20</v>
      </c>
      <c r="T474" s="15">
        <v>6930392</v>
      </c>
      <c r="U474" s="16">
        <f t="shared" si="77"/>
        <v>2.8282802463973088E-2</v>
      </c>
      <c r="V474" s="14">
        <v>2</v>
      </c>
      <c r="W474" s="17">
        <v>79.5</v>
      </c>
      <c r="X474" s="14">
        <v>14.3</v>
      </c>
      <c r="Y474" s="18">
        <f t="shared" si="78"/>
        <v>21.3</v>
      </c>
      <c r="Z474" s="18" t="str">
        <f t="shared" si="79"/>
        <v>Low</v>
      </c>
      <c r="AA474" s="19" t="str">
        <f t="shared" si="80"/>
        <v>Eligible</v>
      </c>
      <c r="AB474" s="14" t="s">
        <v>77</v>
      </c>
      <c r="AC474" s="14">
        <v>0</v>
      </c>
      <c r="AD474" s="14" t="s">
        <v>93</v>
      </c>
      <c r="AE474" s="17">
        <v>26.4</v>
      </c>
      <c r="AF474" s="15">
        <v>0</v>
      </c>
      <c r="AG474" s="20">
        <f t="shared" si="81"/>
        <v>2128270</v>
      </c>
      <c r="AH474" s="14">
        <v>0</v>
      </c>
      <c r="AI474" s="14" t="s">
        <v>75</v>
      </c>
      <c r="AJ474" s="14">
        <v>18</v>
      </c>
      <c r="AK474" s="21">
        <f t="shared" si="82"/>
        <v>0.36</v>
      </c>
      <c r="AL474" s="20">
        <f t="shared" si="83"/>
        <v>503899.76437012944</v>
      </c>
      <c r="AM474" s="22">
        <f t="shared" si="84"/>
        <v>3.2563499931869546</v>
      </c>
      <c r="AN474" s="20">
        <f t="shared" si="85"/>
        <v>508915.88437012944</v>
      </c>
      <c r="AO474" s="16">
        <f t="shared" si="86"/>
        <v>2.8694623391024412</v>
      </c>
      <c r="AP474" s="15">
        <v>0</v>
      </c>
      <c r="AQ474" s="18" t="str">
        <f t="shared" si="87"/>
        <v>N/A</v>
      </c>
      <c r="AR474" s="23">
        <v>46203</v>
      </c>
      <c r="AS474" s="14" t="s">
        <v>79</v>
      </c>
    </row>
    <row r="475" spans="1:45" x14ac:dyDescent="0.25">
      <c r="A475" s="14" t="s">
        <v>1591</v>
      </c>
      <c r="B475" s="14" t="s">
        <v>1592</v>
      </c>
      <c r="C475" s="14"/>
      <c r="D475" s="15" t="s">
        <v>1599</v>
      </c>
      <c r="E475" s="14">
        <v>55</v>
      </c>
      <c r="F475" s="14" t="s">
        <v>71</v>
      </c>
      <c r="G475" s="14" t="s">
        <v>417</v>
      </c>
      <c r="H475" s="14" t="s">
        <v>144</v>
      </c>
      <c r="I475" s="14" t="s">
        <v>92</v>
      </c>
      <c r="J475" s="15">
        <v>1847407</v>
      </c>
      <c r="K475" s="14">
        <v>1</v>
      </c>
      <c r="L475" s="14" t="s">
        <v>75</v>
      </c>
      <c r="M475" s="14" t="s">
        <v>76</v>
      </c>
      <c r="N475" s="14" t="s">
        <v>75</v>
      </c>
      <c r="O475" s="14" t="s">
        <v>75</v>
      </c>
      <c r="P475" s="14">
        <v>308</v>
      </c>
      <c r="Q475" s="15"/>
      <c r="R475" s="15">
        <v>16398.82</v>
      </c>
      <c r="S475" s="14" t="s">
        <v>22</v>
      </c>
      <c r="T475" s="15">
        <v>730600</v>
      </c>
      <c r="U475" s="16">
        <f t="shared" si="77"/>
        <v>0.10652002509463264</v>
      </c>
      <c r="V475" s="14">
        <v>3</v>
      </c>
      <c r="W475" s="17">
        <v>52.6</v>
      </c>
      <c r="X475" s="14">
        <v>13.4</v>
      </c>
      <c r="Y475" s="18">
        <f t="shared" si="78"/>
        <v>59.9</v>
      </c>
      <c r="Z475" s="18" t="str">
        <f t="shared" si="79"/>
        <v>Medium</v>
      </c>
      <c r="AA475" s="19" t="str">
        <f t="shared" si="80"/>
        <v>Not Eligible</v>
      </c>
      <c r="AB475" s="14" t="s">
        <v>85</v>
      </c>
      <c r="AC475" s="14">
        <v>0</v>
      </c>
      <c r="AD475" s="14" t="s">
        <v>93</v>
      </c>
      <c r="AE475" s="17">
        <v>25.4</v>
      </c>
      <c r="AF475" s="15">
        <v>606727</v>
      </c>
      <c r="AG475" s="20">
        <f t="shared" si="81"/>
        <v>2454134</v>
      </c>
      <c r="AH475" s="14">
        <v>0</v>
      </c>
      <c r="AI475" s="14" t="s">
        <v>75</v>
      </c>
      <c r="AJ475" s="14">
        <v>60</v>
      </c>
      <c r="AK475" s="21">
        <f t="shared" si="82"/>
        <v>0.105</v>
      </c>
      <c r="AL475" s="20">
        <f t="shared" si="83"/>
        <v>15703.443616252616</v>
      </c>
      <c r="AM475" s="22">
        <f t="shared" si="84"/>
        <v>0.39547322273868185</v>
      </c>
      <c r="AN475" s="20">
        <f t="shared" si="85"/>
        <v>32102.263616252618</v>
      </c>
      <c r="AO475" s="16">
        <f t="shared" si="86"/>
        <v>0.20852316971573207</v>
      </c>
      <c r="AP475" s="15">
        <v>1512830</v>
      </c>
      <c r="AQ475" s="18">
        <f t="shared" si="87"/>
        <v>0.4829359544694381</v>
      </c>
      <c r="AR475" s="23">
        <v>45984</v>
      </c>
      <c r="AS475" s="14" t="s">
        <v>79</v>
      </c>
    </row>
    <row r="476" spans="1:45" x14ac:dyDescent="0.25">
      <c r="A476" s="14" t="s">
        <v>1594</v>
      </c>
      <c r="B476" s="14" t="s">
        <v>412</v>
      </c>
      <c r="C476" s="14">
        <v>9787219326</v>
      </c>
      <c r="D476" s="15"/>
      <c r="E476" s="14">
        <v>23</v>
      </c>
      <c r="F476" s="14" t="s">
        <v>71</v>
      </c>
      <c r="G476" s="14" t="s">
        <v>153</v>
      </c>
      <c r="H476" s="14" t="s">
        <v>132</v>
      </c>
      <c r="I476" s="14" t="s">
        <v>92</v>
      </c>
      <c r="J476" s="15">
        <v>302404</v>
      </c>
      <c r="K476" s="14">
        <v>1</v>
      </c>
      <c r="L476" s="14" t="s">
        <v>76</v>
      </c>
      <c r="M476" s="14" t="s">
        <v>75</v>
      </c>
      <c r="N476" s="14" t="s">
        <v>75</v>
      </c>
      <c r="O476" s="14" t="s">
        <v>75</v>
      </c>
      <c r="P476" s="14">
        <v>863</v>
      </c>
      <c r="Q476" s="15"/>
      <c r="R476" s="15">
        <v>2655.28</v>
      </c>
      <c r="S476" s="14" t="s">
        <v>23</v>
      </c>
      <c r="T476" s="15"/>
      <c r="U476" s="16">
        <f t="shared" si="77"/>
        <v>0.10536686022671658</v>
      </c>
      <c r="V476" s="14">
        <v>5</v>
      </c>
      <c r="W476" s="17">
        <v>38.6</v>
      </c>
      <c r="X476" s="14">
        <v>9.1999999999999993</v>
      </c>
      <c r="Y476" s="18">
        <f t="shared" si="78"/>
        <v>29.5</v>
      </c>
      <c r="Z476" s="18" t="str">
        <f t="shared" si="79"/>
        <v>Low</v>
      </c>
      <c r="AA476" s="19" t="str">
        <f t="shared" si="80"/>
        <v>Not Eligible</v>
      </c>
      <c r="AB476" s="14" t="s">
        <v>77</v>
      </c>
      <c r="AC476" s="14">
        <v>2</v>
      </c>
      <c r="AD476" s="14" t="s">
        <v>93</v>
      </c>
      <c r="AE476" s="17">
        <v>1.2</v>
      </c>
      <c r="AF476" s="15">
        <v>0</v>
      </c>
      <c r="AG476" s="20">
        <f t="shared" si="81"/>
        <v>302404</v>
      </c>
      <c r="AH476" s="14">
        <v>0</v>
      </c>
      <c r="AI476" s="14" t="s">
        <v>75</v>
      </c>
      <c r="AJ476" s="14">
        <v>120</v>
      </c>
      <c r="AK476" s="21">
        <f t="shared" si="82"/>
        <v>8.5000000000000006E-2</v>
      </c>
      <c r="AL476" s="20">
        <f t="shared" si="83"/>
        <v>0</v>
      </c>
      <c r="AM476" s="22">
        <f t="shared" si="84"/>
        <v>0</v>
      </c>
      <c r="AN476" s="20">
        <f t="shared" si="85"/>
        <v>2655.28</v>
      </c>
      <c r="AO476" s="16">
        <f t="shared" si="86"/>
        <v>0.10536686022671658</v>
      </c>
      <c r="AP476" s="15">
        <v>8328413</v>
      </c>
      <c r="AQ476" s="18">
        <f t="shared" si="87"/>
        <v>0</v>
      </c>
      <c r="AR476" s="23">
        <v>46202</v>
      </c>
      <c r="AS476" s="14" t="s">
        <v>94</v>
      </c>
    </row>
    <row r="477" spans="1:45" x14ac:dyDescent="0.25">
      <c r="A477" s="14" t="s">
        <v>1597</v>
      </c>
      <c r="B477" s="14" t="s">
        <v>1598</v>
      </c>
      <c r="C477" s="14"/>
      <c r="D477" s="15" t="s">
        <v>1603</v>
      </c>
      <c r="E477" s="14">
        <v>45</v>
      </c>
      <c r="F477" s="14" t="s">
        <v>89</v>
      </c>
      <c r="G477" s="14" t="s">
        <v>143</v>
      </c>
      <c r="H477" s="14" t="s">
        <v>103</v>
      </c>
      <c r="I477" s="14" t="s">
        <v>74</v>
      </c>
      <c r="J477" s="15">
        <v>400142</v>
      </c>
      <c r="K477" s="14">
        <v>3</v>
      </c>
      <c r="L477" s="14" t="s">
        <v>76</v>
      </c>
      <c r="M477" s="14" t="s">
        <v>76</v>
      </c>
      <c r="N477" s="14" t="s">
        <v>76</v>
      </c>
      <c r="O477" s="14" t="s">
        <v>75</v>
      </c>
      <c r="P477" s="14">
        <v>450</v>
      </c>
      <c r="Q477" s="15">
        <v>388786</v>
      </c>
      <c r="R477" s="15">
        <v>2204.5700000000002</v>
      </c>
      <c r="S477" s="14" t="s">
        <v>21</v>
      </c>
      <c r="T477" s="15"/>
      <c r="U477" s="16">
        <f t="shared" si="77"/>
        <v>6.6113629661470191E-2</v>
      </c>
      <c r="V477" s="14">
        <v>3</v>
      </c>
      <c r="W477" s="17">
        <v>42.7</v>
      </c>
      <c r="X477" s="14">
        <v>2.2999999999999998</v>
      </c>
      <c r="Y477" s="18">
        <f t="shared" si="78"/>
        <v>48.3</v>
      </c>
      <c r="Z477" s="18" t="str">
        <f t="shared" si="79"/>
        <v>Medium</v>
      </c>
      <c r="AA477" s="19" t="str">
        <f t="shared" si="80"/>
        <v>Not Eligible</v>
      </c>
      <c r="AB477" s="14" t="s">
        <v>77</v>
      </c>
      <c r="AC477" s="14">
        <v>3</v>
      </c>
      <c r="AD477" s="14" t="s">
        <v>78</v>
      </c>
      <c r="AE477" s="17">
        <v>9.8000000000000007</v>
      </c>
      <c r="AF477" s="15">
        <v>0</v>
      </c>
      <c r="AG477" s="20">
        <f t="shared" si="81"/>
        <v>400142</v>
      </c>
      <c r="AH477" s="14">
        <v>0</v>
      </c>
      <c r="AI477" s="14" t="s">
        <v>75</v>
      </c>
      <c r="AJ477" s="14">
        <v>24</v>
      </c>
      <c r="AK477" s="21">
        <f t="shared" si="82"/>
        <v>0.15500000000000003</v>
      </c>
      <c r="AL477" s="20">
        <f t="shared" si="83"/>
        <v>0</v>
      </c>
      <c r="AM477" s="22">
        <f t="shared" si="84"/>
        <v>0</v>
      </c>
      <c r="AN477" s="20">
        <f t="shared" si="85"/>
        <v>2204.5700000000002</v>
      </c>
      <c r="AO477" s="16">
        <f t="shared" si="86"/>
        <v>6.6113629661470191E-2</v>
      </c>
      <c r="AP477" s="15">
        <v>0</v>
      </c>
      <c r="AQ477" s="18" t="str">
        <f t="shared" si="87"/>
        <v>N/A</v>
      </c>
      <c r="AR477" s="23">
        <v>46107</v>
      </c>
      <c r="AS477" s="14" t="s">
        <v>94</v>
      </c>
    </row>
    <row r="478" spans="1:45" x14ac:dyDescent="0.25">
      <c r="A478" s="14" t="s">
        <v>1600</v>
      </c>
      <c r="B478" s="14" t="s">
        <v>1601</v>
      </c>
      <c r="C478" s="14">
        <v>9200061572</v>
      </c>
      <c r="D478" s="15" t="s">
        <v>1606</v>
      </c>
      <c r="E478" s="14">
        <v>39</v>
      </c>
      <c r="F478" s="14" t="s">
        <v>89</v>
      </c>
      <c r="G478" s="14" t="s">
        <v>90</v>
      </c>
      <c r="H478" s="14" t="s">
        <v>103</v>
      </c>
      <c r="I478" s="14" t="s">
        <v>74</v>
      </c>
      <c r="J478" s="15">
        <v>2250726</v>
      </c>
      <c r="K478" s="14">
        <v>1</v>
      </c>
      <c r="L478" s="14" t="s">
        <v>75</v>
      </c>
      <c r="M478" s="14" t="s">
        <v>75</v>
      </c>
      <c r="N478" s="14" t="s">
        <v>75</v>
      </c>
      <c r="O478" s="14" t="s">
        <v>76</v>
      </c>
      <c r="P478" s="14">
        <v>601</v>
      </c>
      <c r="Q478" s="15">
        <v>232456.78</v>
      </c>
      <c r="R478" s="15">
        <v>10888.64</v>
      </c>
      <c r="S478" s="14" t="s">
        <v>23</v>
      </c>
      <c r="T478" s="15">
        <v>6089038</v>
      </c>
      <c r="U478" s="16">
        <f t="shared" si="77"/>
        <v>5.8054014571298322E-2</v>
      </c>
      <c r="V478" s="14">
        <v>5</v>
      </c>
      <c r="W478" s="17">
        <v>87.5</v>
      </c>
      <c r="X478" s="14">
        <v>7.3</v>
      </c>
      <c r="Y478" s="18">
        <f t="shared" si="78"/>
        <v>50.4</v>
      </c>
      <c r="Z478" s="18" t="str">
        <f t="shared" si="79"/>
        <v>Medium</v>
      </c>
      <c r="AA478" s="19" t="str">
        <f t="shared" si="80"/>
        <v>Not Eligible</v>
      </c>
      <c r="AB478" s="14" t="s">
        <v>85</v>
      </c>
      <c r="AC478" s="14">
        <v>0</v>
      </c>
      <c r="AD478" s="14" t="s">
        <v>194</v>
      </c>
      <c r="AE478" s="17">
        <v>3.2</v>
      </c>
      <c r="AF478" s="15">
        <v>0</v>
      </c>
      <c r="AG478" s="20">
        <f t="shared" si="81"/>
        <v>2250726</v>
      </c>
      <c r="AH478" s="14">
        <v>0</v>
      </c>
      <c r="AI478" s="14" t="s">
        <v>75</v>
      </c>
      <c r="AJ478" s="14">
        <v>240</v>
      </c>
      <c r="AK478" s="21">
        <f t="shared" si="82"/>
        <v>0.1</v>
      </c>
      <c r="AL478" s="20">
        <f t="shared" si="83"/>
        <v>58760.53467678147</v>
      </c>
      <c r="AM478" s="22">
        <f t="shared" si="84"/>
        <v>2.7053661796238191</v>
      </c>
      <c r="AN478" s="20">
        <f t="shared" si="85"/>
        <v>69649.174676781462</v>
      </c>
      <c r="AO478" s="16">
        <f t="shared" si="86"/>
        <v>0.37134244511387771</v>
      </c>
      <c r="AP478" s="15">
        <v>2143482</v>
      </c>
      <c r="AQ478" s="18">
        <f t="shared" si="87"/>
        <v>2.8407227119238696</v>
      </c>
      <c r="AR478" s="23">
        <v>46155</v>
      </c>
      <c r="AS478" s="14" t="s">
        <v>79</v>
      </c>
    </row>
    <row r="479" spans="1:45" x14ac:dyDescent="0.25">
      <c r="A479" s="14" t="s">
        <v>1602</v>
      </c>
      <c r="B479" s="14" t="s">
        <v>278</v>
      </c>
      <c r="C479" s="14">
        <v>9971545262</v>
      </c>
      <c r="D479" s="15" t="s">
        <v>1609</v>
      </c>
      <c r="E479" s="14">
        <v>42</v>
      </c>
      <c r="F479" s="14" t="s">
        <v>89</v>
      </c>
      <c r="G479" s="14" t="s">
        <v>106</v>
      </c>
      <c r="H479" s="14" t="s">
        <v>103</v>
      </c>
      <c r="I479" s="14" t="s">
        <v>74</v>
      </c>
      <c r="J479" s="15">
        <v>1495071</v>
      </c>
      <c r="K479" s="14">
        <v>1</v>
      </c>
      <c r="L479" s="14" t="s">
        <v>76</v>
      </c>
      <c r="M479" s="14" t="s">
        <v>75</v>
      </c>
      <c r="N479" s="14" t="s">
        <v>75</v>
      </c>
      <c r="O479" s="14" t="s">
        <v>75</v>
      </c>
      <c r="P479" s="14">
        <v>799</v>
      </c>
      <c r="Q479" s="15">
        <v>690780</v>
      </c>
      <c r="R479" s="15">
        <v>8836.0400000000009</v>
      </c>
      <c r="S479" s="14" t="s">
        <v>20</v>
      </c>
      <c r="T479" s="15"/>
      <c r="U479" s="16">
        <f t="shared" si="77"/>
        <v>7.0921367613979547E-2</v>
      </c>
      <c r="V479" s="14">
        <v>3</v>
      </c>
      <c r="W479" s="17">
        <v>74.2</v>
      </c>
      <c r="X479" s="14">
        <v>8.6</v>
      </c>
      <c r="Y479" s="18">
        <f t="shared" si="78"/>
        <v>28.3</v>
      </c>
      <c r="Z479" s="18" t="str">
        <f t="shared" si="79"/>
        <v>Low</v>
      </c>
      <c r="AA479" s="19" t="str">
        <f t="shared" si="80"/>
        <v>Review</v>
      </c>
      <c r="AB479" s="14" t="s">
        <v>85</v>
      </c>
      <c r="AC479" s="14">
        <v>4</v>
      </c>
      <c r="AD479" s="14" t="s">
        <v>194</v>
      </c>
      <c r="AE479" s="17">
        <v>8.1</v>
      </c>
      <c r="AF479" s="15">
        <v>0</v>
      </c>
      <c r="AG479" s="20">
        <f t="shared" si="81"/>
        <v>1495071</v>
      </c>
      <c r="AH479" s="14">
        <v>0</v>
      </c>
      <c r="AI479" s="14" t="s">
        <v>75</v>
      </c>
      <c r="AJ479" s="14">
        <v>24</v>
      </c>
      <c r="AK479" s="21">
        <f t="shared" si="82"/>
        <v>0.36</v>
      </c>
      <c r="AL479" s="20">
        <f t="shared" si="83"/>
        <v>0</v>
      </c>
      <c r="AM479" s="22">
        <f t="shared" si="84"/>
        <v>0</v>
      </c>
      <c r="AN479" s="20">
        <f t="shared" si="85"/>
        <v>8836.0400000000009</v>
      </c>
      <c r="AO479" s="16">
        <f t="shared" si="86"/>
        <v>7.0921367613979547E-2</v>
      </c>
      <c r="AP479" s="15">
        <v>0</v>
      </c>
      <c r="AQ479" s="18" t="str">
        <f t="shared" si="87"/>
        <v>N/A</v>
      </c>
      <c r="AR479" s="23">
        <v>45968</v>
      </c>
      <c r="AS479" s="14" t="s">
        <v>79</v>
      </c>
    </row>
    <row r="480" spans="1:45" x14ac:dyDescent="0.25">
      <c r="A480" s="14" t="s">
        <v>1604</v>
      </c>
      <c r="B480" s="14" t="s">
        <v>1605</v>
      </c>
      <c r="C480" s="14">
        <v>9367080413</v>
      </c>
      <c r="D480" s="15" t="s">
        <v>1612</v>
      </c>
      <c r="E480" s="14">
        <v>38</v>
      </c>
      <c r="F480" s="14" t="s">
        <v>89</v>
      </c>
      <c r="G480" s="14" t="s">
        <v>131</v>
      </c>
      <c r="H480" s="14" t="s">
        <v>166</v>
      </c>
      <c r="I480" s="14" t="s">
        <v>74</v>
      </c>
      <c r="J480" s="15">
        <v>484605</v>
      </c>
      <c r="K480" s="14">
        <v>2</v>
      </c>
      <c r="L480" s="14" t="s">
        <v>76</v>
      </c>
      <c r="M480" s="14" t="s">
        <v>75</v>
      </c>
      <c r="N480" s="14" t="s">
        <v>76</v>
      </c>
      <c r="O480" s="14" t="s">
        <v>75</v>
      </c>
      <c r="P480" s="14">
        <v>727</v>
      </c>
      <c r="Q480" s="15">
        <v>957223.79</v>
      </c>
      <c r="R480" s="15">
        <v>11069.37</v>
      </c>
      <c r="S480" s="14" t="s">
        <v>23</v>
      </c>
      <c r="T480" s="15">
        <v>4905143</v>
      </c>
      <c r="U480" s="16">
        <f t="shared" si="77"/>
        <v>0.27410455938341538</v>
      </c>
      <c r="V480" s="14">
        <v>1</v>
      </c>
      <c r="W480" s="17">
        <v>99.1</v>
      </c>
      <c r="X480" s="14">
        <v>3.3</v>
      </c>
      <c r="Y480" s="18">
        <f t="shared" si="78"/>
        <v>33.700000000000003</v>
      </c>
      <c r="Z480" s="18" t="str">
        <f t="shared" si="79"/>
        <v>Medium</v>
      </c>
      <c r="AA480" s="19" t="str">
        <f t="shared" si="80"/>
        <v>Eligible</v>
      </c>
      <c r="AB480" s="14" t="s">
        <v>161</v>
      </c>
      <c r="AC480" s="14">
        <v>0</v>
      </c>
      <c r="AD480" s="14" t="s">
        <v>78</v>
      </c>
      <c r="AE480" s="17">
        <v>12.4</v>
      </c>
      <c r="AF480" s="15">
        <v>0</v>
      </c>
      <c r="AG480" s="20">
        <f t="shared" si="81"/>
        <v>484605</v>
      </c>
      <c r="AH480" s="14">
        <v>0</v>
      </c>
      <c r="AI480" s="14" t="s">
        <v>76</v>
      </c>
      <c r="AJ480" s="14">
        <v>180</v>
      </c>
      <c r="AK480" s="21">
        <f t="shared" si="82"/>
        <v>0.1</v>
      </c>
      <c r="AL480" s="20">
        <f t="shared" si="83"/>
        <v>52710.917708901419</v>
      </c>
      <c r="AM480" s="22">
        <f t="shared" si="84"/>
        <v>10.121940549519712</v>
      </c>
      <c r="AN480" s="20">
        <f t="shared" si="85"/>
        <v>63780.287708901422</v>
      </c>
      <c r="AO480" s="16">
        <f t="shared" si="86"/>
        <v>1.5793552532615576</v>
      </c>
      <c r="AP480" s="15">
        <v>8410212</v>
      </c>
      <c r="AQ480" s="18">
        <f t="shared" si="87"/>
        <v>0.58323654623688437</v>
      </c>
      <c r="AR480" s="23">
        <v>46147</v>
      </c>
      <c r="AS480" s="14" t="s">
        <v>79</v>
      </c>
    </row>
    <row r="481" spans="1:45" x14ac:dyDescent="0.25">
      <c r="A481" s="14" t="s">
        <v>1607</v>
      </c>
      <c r="B481" s="14" t="s">
        <v>1608</v>
      </c>
      <c r="C481" s="14">
        <v>9755597471</v>
      </c>
      <c r="D481" s="15"/>
      <c r="E481" s="14">
        <v>60</v>
      </c>
      <c r="F481" s="14" t="s">
        <v>89</v>
      </c>
      <c r="G481" s="14" t="s">
        <v>115</v>
      </c>
      <c r="H481" s="14" t="s">
        <v>84</v>
      </c>
      <c r="I481" s="14" t="s">
        <v>74</v>
      </c>
      <c r="J481" s="15">
        <v>1686636</v>
      </c>
      <c r="K481" s="14">
        <v>1</v>
      </c>
      <c r="L481" s="14" t="s">
        <v>75</v>
      </c>
      <c r="M481" s="14" t="s">
        <v>75</v>
      </c>
      <c r="N481" s="14" t="s">
        <v>76</v>
      </c>
      <c r="O481" s="14" t="s">
        <v>75</v>
      </c>
      <c r="P481" s="14">
        <v>832</v>
      </c>
      <c r="Q481" s="15"/>
      <c r="R481" s="15">
        <v>13815.6</v>
      </c>
      <c r="S481" s="14" t="s">
        <v>21</v>
      </c>
      <c r="T481" s="15"/>
      <c r="U481" s="16">
        <f t="shared" si="77"/>
        <v>9.8294593498537919E-2</v>
      </c>
      <c r="V481" s="14">
        <v>3</v>
      </c>
      <c r="W481" s="17">
        <v>46.2</v>
      </c>
      <c r="X481" s="14">
        <v>4.2</v>
      </c>
      <c r="Y481" s="18">
        <f t="shared" si="78"/>
        <v>24.1</v>
      </c>
      <c r="Z481" s="18" t="str">
        <f t="shared" si="79"/>
        <v>Low</v>
      </c>
      <c r="AA481" s="19" t="str">
        <f t="shared" si="80"/>
        <v>Review</v>
      </c>
      <c r="AB481" s="14" t="s">
        <v>77</v>
      </c>
      <c r="AC481" s="14">
        <v>1</v>
      </c>
      <c r="AD481" s="14" t="s">
        <v>194</v>
      </c>
      <c r="AE481" s="17">
        <v>29.7</v>
      </c>
      <c r="AF481" s="15">
        <v>593770</v>
      </c>
      <c r="AG481" s="20">
        <f t="shared" si="81"/>
        <v>2280406</v>
      </c>
      <c r="AH481" s="14">
        <v>2</v>
      </c>
      <c r="AI481" s="14" t="s">
        <v>75</v>
      </c>
      <c r="AJ481" s="14">
        <v>24</v>
      </c>
      <c r="AK481" s="21">
        <f t="shared" si="82"/>
        <v>0.14000000000000001</v>
      </c>
      <c r="AL481" s="20">
        <f t="shared" si="83"/>
        <v>0</v>
      </c>
      <c r="AM481" s="22">
        <f t="shared" si="84"/>
        <v>0</v>
      </c>
      <c r="AN481" s="20">
        <f t="shared" si="85"/>
        <v>13815.6</v>
      </c>
      <c r="AO481" s="16">
        <f t="shared" si="86"/>
        <v>9.8294593498537919E-2</v>
      </c>
      <c r="AP481" s="15">
        <v>0</v>
      </c>
      <c r="AQ481" s="18" t="str">
        <f t="shared" si="87"/>
        <v>N/A</v>
      </c>
      <c r="AR481" s="23">
        <v>46179</v>
      </c>
      <c r="AS481" s="14" t="s">
        <v>79</v>
      </c>
    </row>
    <row r="482" spans="1:45" x14ac:dyDescent="0.25">
      <c r="A482" s="14" t="s">
        <v>1610</v>
      </c>
      <c r="B482" s="14" t="s">
        <v>1611</v>
      </c>
      <c r="C482" s="14"/>
      <c r="D482" s="15" t="s">
        <v>1617</v>
      </c>
      <c r="E482" s="14">
        <v>27</v>
      </c>
      <c r="F482" s="14" t="s">
        <v>89</v>
      </c>
      <c r="G482" s="14" t="s">
        <v>174</v>
      </c>
      <c r="H482" s="14" t="s">
        <v>99</v>
      </c>
      <c r="I482" s="14" t="s">
        <v>74</v>
      </c>
      <c r="J482" s="15">
        <v>2058636</v>
      </c>
      <c r="K482" s="14">
        <v>2</v>
      </c>
      <c r="L482" s="14" t="s">
        <v>75</v>
      </c>
      <c r="M482" s="14" t="s">
        <v>76</v>
      </c>
      <c r="N482" s="14" t="s">
        <v>76</v>
      </c>
      <c r="O482" s="14" t="s">
        <v>75</v>
      </c>
      <c r="P482" s="14">
        <v>367</v>
      </c>
      <c r="Q482" s="15">
        <v>62464.45</v>
      </c>
      <c r="R482" s="15">
        <v>63814.92</v>
      </c>
      <c r="S482" s="14" t="s">
        <v>23</v>
      </c>
      <c r="T482" s="15">
        <v>630079</v>
      </c>
      <c r="U482" s="16">
        <f t="shared" si="77"/>
        <v>0.37198370182975526</v>
      </c>
      <c r="V482" s="14">
        <v>3</v>
      </c>
      <c r="W482" s="17">
        <v>19.600000000000001</v>
      </c>
      <c r="X482" s="14">
        <v>7.2</v>
      </c>
      <c r="Y482" s="18">
        <f t="shared" si="78"/>
        <v>60.7</v>
      </c>
      <c r="Z482" s="18" t="str">
        <f t="shared" si="79"/>
        <v>High</v>
      </c>
      <c r="AA482" s="19" t="str">
        <f t="shared" si="80"/>
        <v>Not Eligible</v>
      </c>
      <c r="AB482" s="14" t="s">
        <v>85</v>
      </c>
      <c r="AC482" s="14">
        <v>3</v>
      </c>
      <c r="AD482" s="14" t="s">
        <v>78</v>
      </c>
      <c r="AE482" s="17">
        <v>1.6</v>
      </c>
      <c r="AF482" s="15">
        <v>0</v>
      </c>
      <c r="AG482" s="20">
        <f t="shared" si="81"/>
        <v>2058636</v>
      </c>
      <c r="AH482" s="14">
        <v>0</v>
      </c>
      <c r="AI482" s="14" t="s">
        <v>76</v>
      </c>
      <c r="AJ482" s="14">
        <v>360</v>
      </c>
      <c r="AK482" s="21">
        <f t="shared" si="82"/>
        <v>0.115</v>
      </c>
      <c r="AL482" s="20">
        <f t="shared" si="83"/>
        <v>6239.6183590082992</v>
      </c>
      <c r="AM482" s="22">
        <f t="shared" si="84"/>
        <v>0.30606624969154334</v>
      </c>
      <c r="AN482" s="20">
        <f t="shared" si="85"/>
        <v>70054.538359008293</v>
      </c>
      <c r="AO482" s="16">
        <f t="shared" si="86"/>
        <v>0.40835507603485977</v>
      </c>
      <c r="AP482" s="15">
        <v>5903375</v>
      </c>
      <c r="AQ482" s="18">
        <f t="shared" si="87"/>
        <v>0.10673199652741017</v>
      </c>
      <c r="AR482" s="23">
        <v>46115</v>
      </c>
      <c r="AS482" s="14" t="s">
        <v>79</v>
      </c>
    </row>
    <row r="483" spans="1:45" x14ac:dyDescent="0.25">
      <c r="A483" s="14" t="s">
        <v>1613</v>
      </c>
      <c r="B483" s="14" t="s">
        <v>1614</v>
      </c>
      <c r="C483" s="14">
        <v>9530671434</v>
      </c>
      <c r="D483" s="15" t="s">
        <v>1620</v>
      </c>
      <c r="E483" s="14">
        <v>42</v>
      </c>
      <c r="F483" s="14" t="s">
        <v>71</v>
      </c>
      <c r="G483" s="14" t="s">
        <v>226</v>
      </c>
      <c r="H483" s="14" t="s">
        <v>99</v>
      </c>
      <c r="I483" s="14" t="s">
        <v>74</v>
      </c>
      <c r="J483" s="15">
        <v>647617</v>
      </c>
      <c r="K483" s="14">
        <v>3</v>
      </c>
      <c r="L483" s="14" t="s">
        <v>76</v>
      </c>
      <c r="M483" s="14" t="s">
        <v>76</v>
      </c>
      <c r="N483" s="14" t="s">
        <v>75</v>
      </c>
      <c r="O483" s="14" t="s">
        <v>76</v>
      </c>
      <c r="P483" s="14">
        <v>738</v>
      </c>
      <c r="Q483" s="15">
        <v>198019</v>
      </c>
      <c r="R483" s="15">
        <v>11260.5</v>
      </c>
      <c r="S483" s="14" t="s">
        <v>21</v>
      </c>
      <c r="T483" s="15">
        <v>206580</v>
      </c>
      <c r="U483" s="16">
        <f t="shared" si="77"/>
        <v>0.20865110088215721</v>
      </c>
      <c r="V483" s="14">
        <v>0</v>
      </c>
      <c r="W483" s="17">
        <v>21.9</v>
      </c>
      <c r="X483" s="14">
        <v>2.2000000000000002</v>
      </c>
      <c r="Y483" s="18">
        <f t="shared" si="78"/>
        <v>19.2</v>
      </c>
      <c r="Z483" s="18" t="str">
        <f t="shared" si="79"/>
        <v>Low</v>
      </c>
      <c r="AA483" s="19" t="str">
        <f t="shared" si="80"/>
        <v>Eligible</v>
      </c>
      <c r="AB483" s="14" t="s">
        <v>161</v>
      </c>
      <c r="AC483" s="14">
        <v>1</v>
      </c>
      <c r="AD483" s="14" t="s">
        <v>93</v>
      </c>
      <c r="AE483" s="17">
        <v>17.399999999999999</v>
      </c>
      <c r="AF483" s="15">
        <v>0</v>
      </c>
      <c r="AG483" s="20">
        <f t="shared" si="81"/>
        <v>647617</v>
      </c>
      <c r="AH483" s="14">
        <v>1</v>
      </c>
      <c r="AI483" s="14" t="s">
        <v>75</v>
      </c>
      <c r="AJ483" s="14">
        <v>36</v>
      </c>
      <c r="AK483" s="21">
        <f t="shared" si="82"/>
        <v>0.14000000000000001</v>
      </c>
      <c r="AL483" s="20">
        <f t="shared" si="83"/>
        <v>7060.4147554129331</v>
      </c>
      <c r="AM483" s="22">
        <f t="shared" si="84"/>
        <v>0.31898483208439554</v>
      </c>
      <c r="AN483" s="20">
        <f t="shared" si="85"/>
        <v>18320.914755412934</v>
      </c>
      <c r="AO483" s="16">
        <f t="shared" si="86"/>
        <v>0.33947684675503459</v>
      </c>
      <c r="AP483" s="15">
        <v>0</v>
      </c>
      <c r="AQ483" s="18" t="str">
        <f t="shared" si="87"/>
        <v>N/A</v>
      </c>
      <c r="AR483" s="23">
        <v>46064</v>
      </c>
      <c r="AS483" s="14" t="s">
        <v>79</v>
      </c>
    </row>
    <row r="484" spans="1:45" x14ac:dyDescent="0.25">
      <c r="A484" s="14" t="s">
        <v>1615</v>
      </c>
      <c r="B484" s="14" t="s">
        <v>1616</v>
      </c>
      <c r="C484" s="14">
        <v>9608124995</v>
      </c>
      <c r="D484" s="15" t="s">
        <v>1624</v>
      </c>
      <c r="E484" s="14">
        <v>33</v>
      </c>
      <c r="F484" s="14" t="s">
        <v>71</v>
      </c>
      <c r="G484" s="14" t="s">
        <v>153</v>
      </c>
      <c r="H484" s="14" t="s">
        <v>107</v>
      </c>
      <c r="I484" s="14" t="s">
        <v>92</v>
      </c>
      <c r="J484" s="15">
        <v>751049</v>
      </c>
      <c r="K484" s="14">
        <v>3</v>
      </c>
      <c r="L484" s="14" t="s">
        <v>76</v>
      </c>
      <c r="M484" s="14" t="s">
        <v>76</v>
      </c>
      <c r="N484" s="14" t="s">
        <v>75</v>
      </c>
      <c r="O484" s="14" t="s">
        <v>76</v>
      </c>
      <c r="P484" s="14">
        <v>591</v>
      </c>
      <c r="Q484" s="15">
        <v>851874</v>
      </c>
      <c r="R484" s="15">
        <v>1523.52</v>
      </c>
      <c r="S484" s="14" t="s">
        <v>22</v>
      </c>
      <c r="T484" s="15">
        <v>7448711</v>
      </c>
      <c r="U484" s="16">
        <f t="shared" si="77"/>
        <v>2.4342273273781068E-2</v>
      </c>
      <c r="V484" s="14">
        <v>1</v>
      </c>
      <c r="W484" s="17">
        <v>71.5</v>
      </c>
      <c r="X484" s="14">
        <v>1.6</v>
      </c>
      <c r="Y484" s="18">
        <f t="shared" si="78"/>
        <v>32.5</v>
      </c>
      <c r="Z484" s="18" t="str">
        <f t="shared" si="79"/>
        <v>Medium</v>
      </c>
      <c r="AA484" s="19" t="str">
        <f t="shared" si="80"/>
        <v>Review</v>
      </c>
      <c r="AB484" s="14" t="s">
        <v>77</v>
      </c>
      <c r="AC484" s="14">
        <v>2</v>
      </c>
      <c r="AD484" s="14" t="s">
        <v>78</v>
      </c>
      <c r="AE484" s="17">
        <v>10.3</v>
      </c>
      <c r="AF484" s="15">
        <v>0</v>
      </c>
      <c r="AG484" s="20">
        <f t="shared" si="81"/>
        <v>751049</v>
      </c>
      <c r="AH484" s="14">
        <v>1</v>
      </c>
      <c r="AI484" s="14" t="s">
        <v>75</v>
      </c>
      <c r="AJ484" s="14">
        <v>48</v>
      </c>
      <c r="AK484" s="21">
        <f t="shared" si="82"/>
        <v>0.105</v>
      </c>
      <c r="AL484" s="20">
        <f t="shared" si="83"/>
        <v>190712.17639518486</v>
      </c>
      <c r="AM484" s="22">
        <f t="shared" si="84"/>
        <v>9.9177430500539909</v>
      </c>
      <c r="AN484" s="20">
        <f t="shared" si="85"/>
        <v>192235.69639518484</v>
      </c>
      <c r="AO484" s="16">
        <f t="shared" si="86"/>
        <v>3.0714751723818527</v>
      </c>
      <c r="AP484" s="15">
        <v>781513</v>
      </c>
      <c r="AQ484" s="18">
        <f t="shared" si="87"/>
        <v>9.5311415165198792</v>
      </c>
      <c r="AR484" s="23">
        <v>46051</v>
      </c>
      <c r="AS484" s="14" t="s">
        <v>79</v>
      </c>
    </row>
    <row r="485" spans="1:45" x14ac:dyDescent="0.25">
      <c r="A485" s="14" t="s">
        <v>1618</v>
      </c>
      <c r="B485" s="14" t="s">
        <v>1619</v>
      </c>
      <c r="C485" s="14"/>
      <c r="D485" s="15" t="s">
        <v>1626</v>
      </c>
      <c r="E485" s="14">
        <v>40</v>
      </c>
      <c r="F485" s="14" t="s">
        <v>89</v>
      </c>
      <c r="G485" s="14" t="s">
        <v>388</v>
      </c>
      <c r="H485" s="14" t="s">
        <v>91</v>
      </c>
      <c r="I485" s="14" t="s">
        <v>92</v>
      </c>
      <c r="J485" s="15">
        <v>2234776</v>
      </c>
      <c r="K485" s="14">
        <v>3</v>
      </c>
      <c r="L485" s="14" t="s">
        <v>76</v>
      </c>
      <c r="M485" s="14" t="s">
        <v>76</v>
      </c>
      <c r="N485" s="14" t="s">
        <v>76</v>
      </c>
      <c r="O485" s="14" t="s">
        <v>75</v>
      </c>
      <c r="P485" s="14">
        <v>420</v>
      </c>
      <c r="Q485" s="15">
        <v>213865</v>
      </c>
      <c r="R485" s="15">
        <v>4950.47</v>
      </c>
      <c r="S485" s="14" t="s">
        <v>21</v>
      </c>
      <c r="T485" s="15"/>
      <c r="U485" s="16">
        <f t="shared" si="77"/>
        <v>2.6582368881713423E-2</v>
      </c>
      <c r="V485" s="14">
        <v>2</v>
      </c>
      <c r="W485" s="17">
        <v>31.8</v>
      </c>
      <c r="X485" s="14">
        <v>5.0999999999999996</v>
      </c>
      <c r="Y485" s="18">
        <f t="shared" si="78"/>
        <v>44</v>
      </c>
      <c r="Z485" s="18" t="str">
        <f t="shared" si="79"/>
        <v>Medium</v>
      </c>
      <c r="AA485" s="19" t="str">
        <f t="shared" si="80"/>
        <v>Not Eligible</v>
      </c>
      <c r="AB485" s="14" t="s">
        <v>85</v>
      </c>
      <c r="AC485" s="14">
        <v>0</v>
      </c>
      <c r="AD485" s="14" t="s">
        <v>93</v>
      </c>
      <c r="AE485" s="17">
        <v>8</v>
      </c>
      <c r="AF485" s="15">
        <v>0</v>
      </c>
      <c r="AG485" s="20">
        <f t="shared" si="81"/>
        <v>2234776</v>
      </c>
      <c r="AH485" s="14">
        <v>1</v>
      </c>
      <c r="AI485" s="14" t="s">
        <v>75</v>
      </c>
      <c r="AJ485" s="14">
        <v>60</v>
      </c>
      <c r="AK485" s="21">
        <f t="shared" si="82"/>
        <v>0.15500000000000003</v>
      </c>
      <c r="AL485" s="20">
        <f t="shared" si="83"/>
        <v>0</v>
      </c>
      <c r="AM485" s="22">
        <f t="shared" si="84"/>
        <v>0</v>
      </c>
      <c r="AN485" s="20">
        <f t="shared" si="85"/>
        <v>4950.47</v>
      </c>
      <c r="AO485" s="16">
        <f t="shared" si="86"/>
        <v>2.6582368881713423E-2</v>
      </c>
      <c r="AP485" s="15">
        <v>0</v>
      </c>
      <c r="AQ485" s="18" t="str">
        <f t="shared" si="87"/>
        <v>N/A</v>
      </c>
      <c r="AR485" s="23">
        <v>46049</v>
      </c>
      <c r="AS485" s="14" t="s">
        <v>94</v>
      </c>
    </row>
    <row r="486" spans="1:45" x14ac:dyDescent="0.25">
      <c r="A486" s="14" t="s">
        <v>1621</v>
      </c>
      <c r="B486" s="14" t="s">
        <v>1622</v>
      </c>
      <c r="C486" s="14">
        <v>9142332523</v>
      </c>
      <c r="D486" s="15" t="s">
        <v>1630</v>
      </c>
      <c r="E486" s="14">
        <v>44</v>
      </c>
      <c r="F486" s="14" t="s">
        <v>71</v>
      </c>
      <c r="G486" s="14" t="s">
        <v>153</v>
      </c>
      <c r="H486" s="14" t="s">
        <v>91</v>
      </c>
      <c r="I486" s="14" t="s">
        <v>92</v>
      </c>
      <c r="J486" s="15">
        <v>1747394</v>
      </c>
      <c r="K486" s="14">
        <v>2</v>
      </c>
      <c r="L486" s="14" t="s">
        <v>76</v>
      </c>
      <c r="M486" s="14" t="s">
        <v>76</v>
      </c>
      <c r="N486" s="14" t="s">
        <v>75</v>
      </c>
      <c r="O486" s="14" t="s">
        <v>75</v>
      </c>
      <c r="P486" s="14">
        <v>491</v>
      </c>
      <c r="Q486" s="15">
        <v>138569</v>
      </c>
      <c r="R486" s="15">
        <v>20777.419999999998</v>
      </c>
      <c r="S486" s="14" t="s">
        <v>23</v>
      </c>
      <c r="T486" s="15"/>
      <c r="U486" s="16">
        <f t="shared" si="77"/>
        <v>0.14268621730416836</v>
      </c>
      <c r="V486" s="14">
        <v>4</v>
      </c>
      <c r="W486" s="17">
        <v>47.7</v>
      </c>
      <c r="X486" s="14">
        <v>12.3</v>
      </c>
      <c r="Y486" s="18">
        <f t="shared" si="78"/>
        <v>52.3</v>
      </c>
      <c r="Z486" s="18" t="str">
        <f t="shared" si="79"/>
        <v>Medium</v>
      </c>
      <c r="AA486" s="19" t="str">
        <f t="shared" si="80"/>
        <v>Not Eligible</v>
      </c>
      <c r="AB486" s="14" t="s">
        <v>77</v>
      </c>
      <c r="AC486" s="14">
        <v>2</v>
      </c>
      <c r="AD486" s="14" t="s">
        <v>93</v>
      </c>
      <c r="AE486" s="17">
        <v>22</v>
      </c>
      <c r="AF486" s="15">
        <v>0</v>
      </c>
      <c r="AG486" s="20">
        <f t="shared" si="81"/>
        <v>1747394</v>
      </c>
      <c r="AH486" s="14">
        <v>2</v>
      </c>
      <c r="AI486" s="14" t="s">
        <v>75</v>
      </c>
      <c r="AJ486" s="14">
        <v>180</v>
      </c>
      <c r="AK486" s="21">
        <f t="shared" si="82"/>
        <v>0.1</v>
      </c>
      <c r="AL486" s="20">
        <f t="shared" si="83"/>
        <v>0</v>
      </c>
      <c r="AM486" s="22">
        <f t="shared" si="84"/>
        <v>0</v>
      </c>
      <c r="AN486" s="20">
        <f t="shared" si="85"/>
        <v>20777.419999999998</v>
      </c>
      <c r="AO486" s="16">
        <f t="shared" si="86"/>
        <v>0.14268621730416836</v>
      </c>
      <c r="AP486" s="15">
        <v>10343074</v>
      </c>
      <c r="AQ486" s="18">
        <f t="shared" si="87"/>
        <v>0</v>
      </c>
      <c r="AR486" s="23">
        <v>46107</v>
      </c>
      <c r="AS486" s="14" t="s">
        <v>79</v>
      </c>
    </row>
    <row r="487" spans="1:45" x14ac:dyDescent="0.25">
      <c r="A487" s="14" t="s">
        <v>1625</v>
      </c>
      <c r="B487" s="14" t="s">
        <v>677</v>
      </c>
      <c r="C487" s="14"/>
      <c r="D487" s="15" t="s">
        <v>1633</v>
      </c>
      <c r="E487" s="14">
        <v>36</v>
      </c>
      <c r="F487" s="14" t="s">
        <v>89</v>
      </c>
      <c r="G487" s="14" t="s">
        <v>215</v>
      </c>
      <c r="H487" s="14" t="s">
        <v>91</v>
      </c>
      <c r="I487" s="14" t="s">
        <v>92</v>
      </c>
      <c r="J487" s="15">
        <v>1057126</v>
      </c>
      <c r="K487" s="14">
        <v>1</v>
      </c>
      <c r="L487" s="14" t="s">
        <v>76</v>
      </c>
      <c r="M487" s="14" t="s">
        <v>75</v>
      </c>
      <c r="N487" s="14" t="s">
        <v>75</v>
      </c>
      <c r="O487" s="14" t="s">
        <v>75</v>
      </c>
      <c r="P487" s="14">
        <v>681</v>
      </c>
      <c r="Q487" s="15">
        <v>667886</v>
      </c>
      <c r="R487" s="15">
        <v>11881.39</v>
      </c>
      <c r="S487" s="14" t="s">
        <v>23</v>
      </c>
      <c r="T487" s="15">
        <v>280380</v>
      </c>
      <c r="U487" s="16">
        <f t="shared" si="77"/>
        <v>0.13487198309378445</v>
      </c>
      <c r="V487" s="14">
        <v>3</v>
      </c>
      <c r="W487" s="17">
        <v>52.6</v>
      </c>
      <c r="X487" s="14">
        <v>3.3</v>
      </c>
      <c r="Y487" s="18">
        <f t="shared" si="78"/>
        <v>35.9</v>
      </c>
      <c r="Z487" s="18" t="str">
        <f t="shared" si="79"/>
        <v>Medium</v>
      </c>
      <c r="AA487" s="19" t="str">
        <f t="shared" si="80"/>
        <v>Review</v>
      </c>
      <c r="AB487" s="14" t="s">
        <v>85</v>
      </c>
      <c r="AC487" s="14">
        <v>2</v>
      </c>
      <c r="AD487" s="14" t="s">
        <v>93</v>
      </c>
      <c r="AE487" s="17">
        <v>7.7</v>
      </c>
      <c r="AF487" s="15">
        <v>0</v>
      </c>
      <c r="AG487" s="20">
        <f t="shared" si="81"/>
        <v>1057126</v>
      </c>
      <c r="AH487" s="14">
        <v>2</v>
      </c>
      <c r="AI487" s="14" t="s">
        <v>76</v>
      </c>
      <c r="AJ487" s="14">
        <v>360</v>
      </c>
      <c r="AK487" s="21">
        <f t="shared" si="82"/>
        <v>0.1</v>
      </c>
      <c r="AL487" s="20">
        <f t="shared" si="83"/>
        <v>2460.535168214974</v>
      </c>
      <c r="AM487" s="22">
        <f t="shared" si="84"/>
        <v>0.26522855364450404</v>
      </c>
      <c r="AN487" s="20">
        <f t="shared" si="85"/>
        <v>14341.925168214973</v>
      </c>
      <c r="AO487" s="16">
        <f t="shared" si="86"/>
        <v>0.16280282768428708</v>
      </c>
      <c r="AP487" s="15">
        <v>11014997</v>
      </c>
      <c r="AQ487" s="18">
        <f t="shared" si="87"/>
        <v>2.5454387323028776E-2</v>
      </c>
      <c r="AR487" s="23">
        <v>45995</v>
      </c>
      <c r="AS487" s="14" t="s">
        <v>79</v>
      </c>
    </row>
    <row r="488" spans="1:45" x14ac:dyDescent="0.25">
      <c r="A488" s="14" t="s">
        <v>1627</v>
      </c>
      <c r="B488" s="14" t="s">
        <v>1628</v>
      </c>
      <c r="C488" s="14">
        <v>9794542361</v>
      </c>
      <c r="D488" s="15" t="s">
        <v>1636</v>
      </c>
      <c r="E488" s="14">
        <v>56</v>
      </c>
      <c r="F488" s="14" t="s">
        <v>89</v>
      </c>
      <c r="G488" s="14" t="s">
        <v>83</v>
      </c>
      <c r="H488" s="14" t="s">
        <v>107</v>
      </c>
      <c r="I488" s="14" t="s">
        <v>92</v>
      </c>
      <c r="J488" s="15">
        <v>486703</v>
      </c>
      <c r="K488" s="14">
        <v>2</v>
      </c>
      <c r="L488" s="14" t="s">
        <v>76</v>
      </c>
      <c r="M488" s="14" t="s">
        <v>76</v>
      </c>
      <c r="N488" s="14" t="s">
        <v>75</v>
      </c>
      <c r="O488" s="14" t="s">
        <v>75</v>
      </c>
      <c r="P488" s="14">
        <v>364</v>
      </c>
      <c r="Q488" s="15">
        <v>73567</v>
      </c>
      <c r="R488" s="15">
        <v>3646.57</v>
      </c>
      <c r="S488" s="14" t="s">
        <v>23</v>
      </c>
      <c r="T488" s="15">
        <v>421128</v>
      </c>
      <c r="U488" s="16">
        <f t="shared" si="77"/>
        <v>8.9908712294767046E-2</v>
      </c>
      <c r="V488" s="14">
        <v>1</v>
      </c>
      <c r="W488" s="17">
        <v>92.7</v>
      </c>
      <c r="X488" s="14">
        <v>12.6</v>
      </c>
      <c r="Y488" s="18">
        <f t="shared" si="78"/>
        <v>51.7</v>
      </c>
      <c r="Z488" s="18" t="str">
        <f t="shared" si="79"/>
        <v>Medium</v>
      </c>
      <c r="AA488" s="19" t="str">
        <f t="shared" si="80"/>
        <v>Not Eligible</v>
      </c>
      <c r="AB488" s="14" t="s">
        <v>85</v>
      </c>
      <c r="AC488" s="14">
        <v>1</v>
      </c>
      <c r="AD488" s="14" t="s">
        <v>93</v>
      </c>
      <c r="AE488" s="17">
        <v>25.6</v>
      </c>
      <c r="AF488" s="15">
        <v>0</v>
      </c>
      <c r="AG488" s="20">
        <f t="shared" si="81"/>
        <v>486703</v>
      </c>
      <c r="AH488" s="14">
        <v>1</v>
      </c>
      <c r="AI488" s="14" t="s">
        <v>75</v>
      </c>
      <c r="AJ488" s="14">
        <v>300</v>
      </c>
      <c r="AK488" s="21">
        <f t="shared" si="82"/>
        <v>0.1</v>
      </c>
      <c r="AL488" s="20">
        <f t="shared" si="83"/>
        <v>3826.7932756779464</v>
      </c>
      <c r="AM488" s="22">
        <f t="shared" si="84"/>
        <v>0.86526690815548701</v>
      </c>
      <c r="AN488" s="20">
        <f t="shared" si="85"/>
        <v>7473.3632756779461</v>
      </c>
      <c r="AO488" s="16">
        <f t="shared" si="86"/>
        <v>0.18426095443861112</v>
      </c>
      <c r="AP488" s="15">
        <v>8035945</v>
      </c>
      <c r="AQ488" s="18">
        <f t="shared" si="87"/>
        <v>5.2405535378850898E-2</v>
      </c>
      <c r="AR488" s="23">
        <v>46166</v>
      </c>
      <c r="AS488" s="14" t="s">
        <v>79</v>
      </c>
    </row>
    <row r="489" spans="1:45" x14ac:dyDescent="0.25">
      <c r="A489" s="14" t="s">
        <v>1631</v>
      </c>
      <c r="B489" s="14" t="s">
        <v>1632</v>
      </c>
      <c r="C489" s="14">
        <v>9230394179</v>
      </c>
      <c r="D489" s="15" t="s">
        <v>1640</v>
      </c>
      <c r="E489" s="14">
        <v>21</v>
      </c>
      <c r="F489" s="14" t="s">
        <v>89</v>
      </c>
      <c r="G489" s="14" t="s">
        <v>90</v>
      </c>
      <c r="H489" s="14" t="s">
        <v>73</v>
      </c>
      <c r="I489" s="14" t="s">
        <v>74</v>
      </c>
      <c r="J489" s="15">
        <v>1447707</v>
      </c>
      <c r="K489" s="14">
        <v>2</v>
      </c>
      <c r="L489" s="14" t="s">
        <v>76</v>
      </c>
      <c r="M489" s="14" t="s">
        <v>75</v>
      </c>
      <c r="N489" s="14" t="s">
        <v>75</v>
      </c>
      <c r="O489" s="14" t="s">
        <v>76</v>
      </c>
      <c r="P489" s="14">
        <v>613</v>
      </c>
      <c r="Q489" s="15">
        <v>368102.22</v>
      </c>
      <c r="R489" s="15">
        <v>12368.26</v>
      </c>
      <c r="S489" s="14" t="s">
        <v>20</v>
      </c>
      <c r="T489" s="15">
        <v>497584</v>
      </c>
      <c r="U489" s="16">
        <f t="shared" si="77"/>
        <v>0.10252013701667534</v>
      </c>
      <c r="V489" s="14">
        <v>8</v>
      </c>
      <c r="W489" s="17">
        <v>25.3</v>
      </c>
      <c r="X489" s="14">
        <v>10</v>
      </c>
      <c r="Y489" s="18">
        <f t="shared" si="78"/>
        <v>44.7</v>
      </c>
      <c r="Z489" s="18" t="str">
        <f t="shared" si="79"/>
        <v>Medium</v>
      </c>
      <c r="AA489" s="19" t="str">
        <f t="shared" si="80"/>
        <v>Not Eligible</v>
      </c>
      <c r="AB489" s="14" t="s">
        <v>85</v>
      </c>
      <c r="AC489" s="14">
        <v>0</v>
      </c>
      <c r="AD489" s="14" t="s">
        <v>78</v>
      </c>
      <c r="AE489" s="17">
        <v>0.3</v>
      </c>
      <c r="AF489" s="15">
        <v>0</v>
      </c>
      <c r="AG489" s="20">
        <f t="shared" si="81"/>
        <v>1447707</v>
      </c>
      <c r="AH489" s="14">
        <v>1</v>
      </c>
      <c r="AI489" s="14" t="s">
        <v>75</v>
      </c>
      <c r="AJ489" s="14">
        <v>18</v>
      </c>
      <c r="AK489" s="21">
        <f t="shared" si="82"/>
        <v>0.375</v>
      </c>
      <c r="AL489" s="20">
        <f t="shared" si="83"/>
        <v>36562.103506183848</v>
      </c>
      <c r="AM489" s="22">
        <f t="shared" si="84"/>
        <v>0.34370490713935897</v>
      </c>
      <c r="AN489" s="20">
        <f t="shared" si="85"/>
        <v>48930.36350618385</v>
      </c>
      <c r="AO489" s="16">
        <f t="shared" si="86"/>
        <v>0.40558231884919133</v>
      </c>
      <c r="AP489" s="15">
        <v>0</v>
      </c>
      <c r="AQ489" s="18" t="str">
        <f t="shared" si="87"/>
        <v>N/A</v>
      </c>
      <c r="AR489" s="23">
        <v>45902</v>
      </c>
      <c r="AS489" s="14" t="s">
        <v>79</v>
      </c>
    </row>
    <row r="490" spans="1:45" x14ac:dyDescent="0.25">
      <c r="A490" s="14" t="s">
        <v>1634</v>
      </c>
      <c r="B490" s="14" t="s">
        <v>1635</v>
      </c>
      <c r="C490" s="14">
        <v>9912560909</v>
      </c>
      <c r="D490" s="15" t="s">
        <v>1644</v>
      </c>
      <c r="E490" s="14">
        <v>22</v>
      </c>
      <c r="F490" s="14" t="s">
        <v>71</v>
      </c>
      <c r="G490" s="14" t="s">
        <v>72</v>
      </c>
      <c r="H490" s="14" t="s">
        <v>84</v>
      </c>
      <c r="I490" s="14" t="s">
        <v>74</v>
      </c>
      <c r="J490" s="15">
        <v>1008932</v>
      </c>
      <c r="K490" s="14">
        <v>0</v>
      </c>
      <c r="L490" s="14" t="s">
        <v>75</v>
      </c>
      <c r="M490" s="14" t="s">
        <v>75</v>
      </c>
      <c r="N490" s="14" t="s">
        <v>75</v>
      </c>
      <c r="O490" s="14" t="s">
        <v>75</v>
      </c>
      <c r="P490" s="14">
        <v>508</v>
      </c>
      <c r="Q490" s="15"/>
      <c r="R490" s="15">
        <v>2101.9299999999998</v>
      </c>
      <c r="S490" s="14" t="s">
        <v>20</v>
      </c>
      <c r="T490" s="15">
        <v>4748703</v>
      </c>
      <c r="U490" s="16">
        <f t="shared" si="77"/>
        <v>2.4999861239409591E-2</v>
      </c>
      <c r="V490" s="14">
        <v>5</v>
      </c>
      <c r="W490" s="17">
        <v>34.4</v>
      </c>
      <c r="X490" s="14">
        <v>8.1999999999999993</v>
      </c>
      <c r="Y490" s="18">
        <f t="shared" si="78"/>
        <v>50.3</v>
      </c>
      <c r="Z490" s="18" t="str">
        <f t="shared" si="79"/>
        <v>Medium</v>
      </c>
      <c r="AA490" s="19" t="str">
        <f t="shared" si="80"/>
        <v>Not Eligible</v>
      </c>
      <c r="AB490" s="14" t="s">
        <v>85</v>
      </c>
      <c r="AC490" s="14">
        <v>0</v>
      </c>
      <c r="AD490" s="14" t="s">
        <v>194</v>
      </c>
      <c r="AE490" s="17">
        <v>0.9</v>
      </c>
      <c r="AF490" s="15">
        <v>0</v>
      </c>
      <c r="AG490" s="20">
        <f t="shared" si="81"/>
        <v>1008932</v>
      </c>
      <c r="AH490" s="14">
        <v>0</v>
      </c>
      <c r="AI490" s="14" t="s">
        <v>75</v>
      </c>
      <c r="AJ490" s="14">
        <v>24</v>
      </c>
      <c r="AK490" s="21">
        <f t="shared" si="82"/>
        <v>0.375</v>
      </c>
      <c r="AL490" s="20">
        <f t="shared" si="83"/>
        <v>284187.74355613964</v>
      </c>
      <c r="AM490" s="22">
        <f t="shared" si="84"/>
        <v>4.7066630853219049</v>
      </c>
      <c r="AN490" s="20">
        <f t="shared" si="85"/>
        <v>286289.67355613963</v>
      </c>
      <c r="AO490" s="16">
        <f t="shared" si="86"/>
        <v>3.4050620682798001</v>
      </c>
      <c r="AP490" s="15">
        <v>0</v>
      </c>
      <c r="AQ490" s="18" t="str">
        <f t="shared" si="87"/>
        <v>N/A</v>
      </c>
      <c r="AR490" s="23">
        <v>45986</v>
      </c>
      <c r="AS490" s="14" t="s">
        <v>79</v>
      </c>
    </row>
    <row r="491" spans="1:45" x14ac:dyDescent="0.25">
      <c r="A491" s="14" t="s">
        <v>1637</v>
      </c>
      <c r="B491" s="14" t="s">
        <v>1638</v>
      </c>
      <c r="C491" s="14">
        <v>9738498957</v>
      </c>
      <c r="D491" s="15" t="s">
        <v>1648</v>
      </c>
      <c r="E491" s="14">
        <v>50</v>
      </c>
      <c r="F491" s="14" t="s">
        <v>71</v>
      </c>
      <c r="G491" s="14" t="s">
        <v>115</v>
      </c>
      <c r="H491" s="14" t="s">
        <v>84</v>
      </c>
      <c r="I491" s="14" t="s">
        <v>74</v>
      </c>
      <c r="J491" s="15">
        <v>649251</v>
      </c>
      <c r="K491" s="14">
        <v>3</v>
      </c>
      <c r="L491" s="14" t="s">
        <v>76</v>
      </c>
      <c r="M491" s="14" t="s">
        <v>76</v>
      </c>
      <c r="N491" s="14" t="s">
        <v>76</v>
      </c>
      <c r="O491" s="14" t="s">
        <v>75</v>
      </c>
      <c r="P491" s="14">
        <v>858</v>
      </c>
      <c r="Q491" s="15"/>
      <c r="R491" s="15">
        <v>6346.59</v>
      </c>
      <c r="S491" s="14" t="s">
        <v>20</v>
      </c>
      <c r="T491" s="15"/>
      <c r="U491" s="16">
        <f t="shared" si="77"/>
        <v>0.11730298451600382</v>
      </c>
      <c r="V491" s="14">
        <v>5</v>
      </c>
      <c r="W491" s="17">
        <v>81.400000000000006</v>
      </c>
      <c r="X491" s="14">
        <v>11.9</v>
      </c>
      <c r="Y491" s="18">
        <f t="shared" si="78"/>
        <v>34.5</v>
      </c>
      <c r="Z491" s="18" t="str">
        <f t="shared" si="79"/>
        <v>Medium</v>
      </c>
      <c r="AA491" s="19" t="str">
        <f t="shared" si="80"/>
        <v>Not Eligible</v>
      </c>
      <c r="AB491" s="14" t="s">
        <v>85</v>
      </c>
      <c r="AC491" s="14">
        <v>0</v>
      </c>
      <c r="AD491" s="14" t="s">
        <v>78</v>
      </c>
      <c r="AE491" s="17">
        <v>4.9000000000000004</v>
      </c>
      <c r="AF491" s="15">
        <v>0</v>
      </c>
      <c r="AG491" s="20">
        <f t="shared" si="81"/>
        <v>649251</v>
      </c>
      <c r="AH491" s="14">
        <v>0</v>
      </c>
      <c r="AI491" s="14" t="s">
        <v>75</v>
      </c>
      <c r="AJ491" s="14">
        <v>24</v>
      </c>
      <c r="AK491" s="21">
        <f t="shared" si="82"/>
        <v>0.375</v>
      </c>
      <c r="AL491" s="20">
        <f t="shared" si="83"/>
        <v>0</v>
      </c>
      <c r="AM491" s="22">
        <f t="shared" si="84"/>
        <v>0</v>
      </c>
      <c r="AN491" s="20">
        <f t="shared" si="85"/>
        <v>6346.59</v>
      </c>
      <c r="AO491" s="16">
        <f t="shared" si="86"/>
        <v>0.11730298451600382</v>
      </c>
      <c r="AP491" s="15">
        <v>0</v>
      </c>
      <c r="AQ491" s="18" t="str">
        <f t="shared" si="87"/>
        <v>N/A</v>
      </c>
      <c r="AR491" s="23">
        <v>45910</v>
      </c>
      <c r="AS491" s="14" t="s">
        <v>79</v>
      </c>
    </row>
    <row r="492" spans="1:45" x14ac:dyDescent="0.25">
      <c r="A492" s="14" t="s">
        <v>1641</v>
      </c>
      <c r="B492" s="14" t="s">
        <v>1642</v>
      </c>
      <c r="C492" s="14">
        <v>9124408555</v>
      </c>
      <c r="D492" s="15" t="s">
        <v>1652</v>
      </c>
      <c r="E492" s="14">
        <v>53</v>
      </c>
      <c r="F492" s="14" t="s">
        <v>89</v>
      </c>
      <c r="G492" s="14" t="s">
        <v>388</v>
      </c>
      <c r="H492" s="14" t="s">
        <v>132</v>
      </c>
      <c r="I492" s="14" t="s">
        <v>92</v>
      </c>
      <c r="J492" s="15">
        <v>1097520</v>
      </c>
      <c r="K492" s="14">
        <v>0</v>
      </c>
      <c r="L492" s="14" t="s">
        <v>75</v>
      </c>
      <c r="M492" s="14" t="s">
        <v>75</v>
      </c>
      <c r="N492" s="14" t="s">
        <v>75</v>
      </c>
      <c r="O492" s="14" t="s">
        <v>75</v>
      </c>
      <c r="P492" s="14">
        <v>532</v>
      </c>
      <c r="Q492" s="15"/>
      <c r="R492" s="15">
        <v>2129.98</v>
      </c>
      <c r="S492" s="14" t="s">
        <v>23</v>
      </c>
      <c r="T492" s="15"/>
      <c r="U492" s="16">
        <f t="shared" si="77"/>
        <v>2.328865077629565E-2</v>
      </c>
      <c r="V492" s="14">
        <v>0</v>
      </c>
      <c r="W492" s="17">
        <v>40</v>
      </c>
      <c r="X492" s="14">
        <v>13.5</v>
      </c>
      <c r="Y492" s="18">
        <f t="shared" si="78"/>
        <v>29.2</v>
      </c>
      <c r="Z492" s="18" t="str">
        <f t="shared" si="79"/>
        <v>Low</v>
      </c>
      <c r="AA492" s="19" t="str">
        <f t="shared" si="80"/>
        <v>Not Eligible</v>
      </c>
      <c r="AB492" s="14" t="s">
        <v>85</v>
      </c>
      <c r="AC492" s="14">
        <v>0</v>
      </c>
      <c r="AD492" s="14" t="s">
        <v>93</v>
      </c>
      <c r="AE492" s="17">
        <v>0.8</v>
      </c>
      <c r="AF492" s="15">
        <v>0</v>
      </c>
      <c r="AG492" s="20">
        <f t="shared" si="81"/>
        <v>1097520</v>
      </c>
      <c r="AH492" s="14">
        <v>0</v>
      </c>
      <c r="AI492" s="14" t="s">
        <v>75</v>
      </c>
      <c r="AJ492" s="14">
        <v>120</v>
      </c>
      <c r="AK492" s="21">
        <f t="shared" si="82"/>
        <v>8.5000000000000006E-2</v>
      </c>
      <c r="AL492" s="20">
        <f t="shared" si="83"/>
        <v>0</v>
      </c>
      <c r="AM492" s="22">
        <f t="shared" si="84"/>
        <v>0</v>
      </c>
      <c r="AN492" s="20">
        <f t="shared" si="85"/>
        <v>2129.98</v>
      </c>
      <c r="AO492" s="16">
        <f t="shared" si="86"/>
        <v>2.328865077629565E-2</v>
      </c>
      <c r="AP492" s="15">
        <v>6612075</v>
      </c>
      <c r="AQ492" s="18">
        <f t="shared" si="87"/>
        <v>0</v>
      </c>
      <c r="AR492" s="23">
        <v>46132</v>
      </c>
      <c r="AS492" s="14" t="s">
        <v>79</v>
      </c>
    </row>
    <row r="493" spans="1:45" x14ac:dyDescent="0.25">
      <c r="A493" s="14" t="s">
        <v>1645</v>
      </c>
      <c r="B493" s="14" t="s">
        <v>1646</v>
      </c>
      <c r="C493" s="14">
        <v>9143741483</v>
      </c>
      <c r="D493" s="15" t="s">
        <v>1656</v>
      </c>
      <c r="E493" s="14">
        <v>28</v>
      </c>
      <c r="F493" s="14" t="s">
        <v>71</v>
      </c>
      <c r="G493" s="14" t="s">
        <v>115</v>
      </c>
      <c r="H493" s="14" t="s">
        <v>107</v>
      </c>
      <c r="I493" s="14" t="s">
        <v>92</v>
      </c>
      <c r="J493" s="15">
        <v>1729013</v>
      </c>
      <c r="K493" s="14">
        <v>1</v>
      </c>
      <c r="L493" s="14" t="s">
        <v>76</v>
      </c>
      <c r="M493" s="14" t="s">
        <v>75</v>
      </c>
      <c r="N493" s="14" t="s">
        <v>75</v>
      </c>
      <c r="O493" s="14" t="s">
        <v>75</v>
      </c>
      <c r="P493" s="14">
        <v>551</v>
      </c>
      <c r="Q493" s="15"/>
      <c r="R493" s="15">
        <v>8300.81</v>
      </c>
      <c r="S493" s="14" t="s">
        <v>22</v>
      </c>
      <c r="T493" s="15"/>
      <c r="U493" s="16">
        <f t="shared" si="77"/>
        <v>5.761074092560322E-2</v>
      </c>
      <c r="V493" s="14">
        <v>4</v>
      </c>
      <c r="W493" s="17">
        <v>10.199999999999999</v>
      </c>
      <c r="X493" s="14">
        <v>4.5999999999999996</v>
      </c>
      <c r="Y493" s="18">
        <f t="shared" si="78"/>
        <v>42</v>
      </c>
      <c r="Z493" s="18" t="str">
        <f t="shared" si="79"/>
        <v>Medium</v>
      </c>
      <c r="AA493" s="19" t="str">
        <f t="shared" si="80"/>
        <v>Review</v>
      </c>
      <c r="AB493" s="14" t="s">
        <v>161</v>
      </c>
      <c r="AC493" s="14">
        <v>0</v>
      </c>
      <c r="AD493" s="14" t="s">
        <v>78</v>
      </c>
      <c r="AE493" s="17">
        <v>2.8</v>
      </c>
      <c r="AF493" s="15">
        <v>404956</v>
      </c>
      <c r="AG493" s="20">
        <f t="shared" si="81"/>
        <v>2133969</v>
      </c>
      <c r="AH493" s="14">
        <v>0</v>
      </c>
      <c r="AI493" s="14" t="s">
        <v>75</v>
      </c>
      <c r="AJ493" s="14">
        <v>72</v>
      </c>
      <c r="AK493" s="21">
        <f t="shared" si="82"/>
        <v>0.105</v>
      </c>
      <c r="AL493" s="20">
        <f t="shared" si="83"/>
        <v>0</v>
      </c>
      <c r="AM493" s="22">
        <f t="shared" si="84"/>
        <v>0</v>
      </c>
      <c r="AN493" s="20">
        <f t="shared" si="85"/>
        <v>8300.81</v>
      </c>
      <c r="AO493" s="16">
        <f t="shared" si="86"/>
        <v>5.761074092560322E-2</v>
      </c>
      <c r="AP493" s="15">
        <v>428511</v>
      </c>
      <c r="AQ493" s="18">
        <f t="shared" si="87"/>
        <v>0</v>
      </c>
      <c r="AR493" s="23">
        <v>46150</v>
      </c>
      <c r="AS493" s="14" t="s">
        <v>79</v>
      </c>
    </row>
    <row r="494" spans="1:45" x14ac:dyDescent="0.25">
      <c r="A494" s="14" t="s">
        <v>1649</v>
      </c>
      <c r="B494" s="14" t="s">
        <v>1650</v>
      </c>
      <c r="C494" s="14">
        <v>9832773091</v>
      </c>
      <c r="D494" s="15" t="s">
        <v>1659</v>
      </c>
      <c r="E494" s="14">
        <v>41</v>
      </c>
      <c r="F494" s="14" t="s">
        <v>71</v>
      </c>
      <c r="G494" s="14" t="s">
        <v>120</v>
      </c>
      <c r="H494" s="14" t="s">
        <v>132</v>
      </c>
      <c r="I494" s="14" t="s">
        <v>92</v>
      </c>
      <c r="J494" s="15">
        <v>719944</v>
      </c>
      <c r="K494" s="14">
        <v>2</v>
      </c>
      <c r="L494" s="14" t="s">
        <v>76</v>
      </c>
      <c r="M494" s="14" t="s">
        <v>76</v>
      </c>
      <c r="N494" s="14" t="s">
        <v>75</v>
      </c>
      <c r="O494" s="14" t="s">
        <v>75</v>
      </c>
      <c r="P494" s="14">
        <v>426</v>
      </c>
      <c r="Q494" s="15">
        <v>125488.65</v>
      </c>
      <c r="R494" s="15">
        <v>3155.41</v>
      </c>
      <c r="S494" s="14" t="s">
        <v>20</v>
      </c>
      <c r="T494" s="15"/>
      <c r="U494" s="16">
        <f t="shared" si="77"/>
        <v>5.259425733112575E-2</v>
      </c>
      <c r="V494" s="14">
        <v>0</v>
      </c>
      <c r="W494" s="17">
        <v>34.6</v>
      </c>
      <c r="X494" s="14">
        <v>11.5</v>
      </c>
      <c r="Y494" s="18">
        <f t="shared" si="78"/>
        <v>36.6</v>
      </c>
      <c r="Z494" s="18" t="str">
        <f t="shared" si="79"/>
        <v>Medium</v>
      </c>
      <c r="AA494" s="19" t="str">
        <f t="shared" si="80"/>
        <v>Not Eligible</v>
      </c>
      <c r="AB494" s="14" t="s">
        <v>77</v>
      </c>
      <c r="AC494" s="14">
        <v>3</v>
      </c>
      <c r="AD494" s="14" t="s">
        <v>78</v>
      </c>
      <c r="AE494" s="17">
        <v>14.3</v>
      </c>
      <c r="AF494" s="15">
        <v>0</v>
      </c>
      <c r="AG494" s="20">
        <f t="shared" si="81"/>
        <v>719944</v>
      </c>
      <c r="AH494" s="14">
        <v>2</v>
      </c>
      <c r="AI494" s="14" t="s">
        <v>75</v>
      </c>
      <c r="AJ494" s="14">
        <v>24</v>
      </c>
      <c r="AK494" s="21">
        <f t="shared" si="82"/>
        <v>0.375</v>
      </c>
      <c r="AL494" s="20">
        <f t="shared" si="83"/>
        <v>0</v>
      </c>
      <c r="AM494" s="22">
        <f t="shared" si="84"/>
        <v>0</v>
      </c>
      <c r="AN494" s="20">
        <f t="shared" si="85"/>
        <v>3155.41</v>
      </c>
      <c r="AO494" s="16">
        <f t="shared" si="86"/>
        <v>5.259425733112575E-2</v>
      </c>
      <c r="AP494" s="15">
        <v>0</v>
      </c>
      <c r="AQ494" s="18" t="str">
        <f t="shared" si="87"/>
        <v>N/A</v>
      </c>
      <c r="AR494" s="23">
        <v>45946</v>
      </c>
      <c r="AS494" s="14" t="s">
        <v>79</v>
      </c>
    </row>
    <row r="495" spans="1:45" x14ac:dyDescent="0.25">
      <c r="A495" s="14" t="s">
        <v>1653</v>
      </c>
      <c r="B495" s="14" t="s">
        <v>1654</v>
      </c>
      <c r="C495" s="14">
        <v>9842277684</v>
      </c>
      <c r="D495" s="15" t="s">
        <v>1663</v>
      </c>
      <c r="E495" s="14">
        <v>26</v>
      </c>
      <c r="F495" s="14" t="s">
        <v>89</v>
      </c>
      <c r="G495" s="14" t="s">
        <v>215</v>
      </c>
      <c r="H495" s="14" t="s">
        <v>166</v>
      </c>
      <c r="I495" s="14" t="s">
        <v>74</v>
      </c>
      <c r="J495" s="15">
        <v>874165</v>
      </c>
      <c r="K495" s="14">
        <v>2</v>
      </c>
      <c r="L495" s="14" t="s">
        <v>76</v>
      </c>
      <c r="M495" s="14" t="s">
        <v>75</v>
      </c>
      <c r="N495" s="14" t="s">
        <v>75</v>
      </c>
      <c r="O495" s="14" t="s">
        <v>76</v>
      </c>
      <c r="P495" s="14">
        <v>788</v>
      </c>
      <c r="Q495" s="15">
        <v>37386.57</v>
      </c>
      <c r="R495" s="15">
        <v>637.26</v>
      </c>
      <c r="S495" s="14" t="s">
        <v>23</v>
      </c>
      <c r="T495" s="15">
        <v>536167</v>
      </c>
      <c r="U495" s="16">
        <f t="shared" si="77"/>
        <v>8.7479137233817412E-3</v>
      </c>
      <c r="V495" s="14">
        <v>0</v>
      </c>
      <c r="W495" s="17">
        <v>20.100000000000001</v>
      </c>
      <c r="X495" s="14">
        <v>14.1</v>
      </c>
      <c r="Y495" s="18">
        <f t="shared" si="78"/>
        <v>9.6999999999999993</v>
      </c>
      <c r="Z495" s="18" t="str">
        <f t="shared" si="79"/>
        <v>Low</v>
      </c>
      <c r="AA495" s="19" t="str">
        <f t="shared" si="80"/>
        <v>Eligible</v>
      </c>
      <c r="AB495" s="14" t="s">
        <v>77</v>
      </c>
      <c r="AC495" s="14">
        <v>0</v>
      </c>
      <c r="AD495" s="14" t="s">
        <v>78</v>
      </c>
      <c r="AE495" s="17">
        <v>1.2</v>
      </c>
      <c r="AF495" s="15">
        <v>0</v>
      </c>
      <c r="AG495" s="20">
        <f t="shared" si="81"/>
        <v>874165</v>
      </c>
      <c r="AH495" s="14">
        <v>1</v>
      </c>
      <c r="AI495" s="14" t="s">
        <v>75</v>
      </c>
      <c r="AJ495" s="14">
        <v>120</v>
      </c>
      <c r="AK495" s="21">
        <f t="shared" si="82"/>
        <v>8.5000000000000006E-2</v>
      </c>
      <c r="AL495" s="20">
        <f t="shared" si="83"/>
        <v>6647.7034846780007</v>
      </c>
      <c r="AM495" s="22">
        <f t="shared" si="84"/>
        <v>0.61334759456166743</v>
      </c>
      <c r="AN495" s="20">
        <f t="shared" si="85"/>
        <v>7284.9634846780009</v>
      </c>
      <c r="AO495" s="16">
        <f t="shared" si="86"/>
        <v>0.10000350256088496</v>
      </c>
      <c r="AP495" s="15">
        <v>7664197</v>
      </c>
      <c r="AQ495" s="18">
        <f t="shared" si="87"/>
        <v>6.9957361482227032E-2</v>
      </c>
      <c r="AR495" s="23">
        <v>46257</v>
      </c>
      <c r="AS495" s="14" t="s">
        <v>79</v>
      </c>
    </row>
    <row r="496" spans="1:45" x14ac:dyDescent="0.25">
      <c r="A496" s="14" t="s">
        <v>1657</v>
      </c>
      <c r="B496" s="14" t="s">
        <v>1658</v>
      </c>
      <c r="C496" s="14"/>
      <c r="D496" s="15" t="s">
        <v>1666</v>
      </c>
      <c r="E496" s="14">
        <v>47</v>
      </c>
      <c r="F496" s="14" t="s">
        <v>71</v>
      </c>
      <c r="G496" s="14" t="s">
        <v>314</v>
      </c>
      <c r="H496" s="14" t="s">
        <v>84</v>
      </c>
      <c r="I496" s="14" t="s">
        <v>74</v>
      </c>
      <c r="J496" s="15">
        <v>1086641</v>
      </c>
      <c r="K496" s="14">
        <v>2</v>
      </c>
      <c r="L496" s="14" t="s">
        <v>76</v>
      </c>
      <c r="M496" s="14" t="s">
        <v>76</v>
      </c>
      <c r="N496" s="14" t="s">
        <v>75</v>
      </c>
      <c r="O496" s="14" t="s">
        <v>75</v>
      </c>
      <c r="P496" s="14">
        <v>697</v>
      </c>
      <c r="Q496" s="15">
        <v>1014445.57</v>
      </c>
      <c r="R496" s="15">
        <v>2788.64</v>
      </c>
      <c r="S496" s="14" t="s">
        <v>22</v>
      </c>
      <c r="T496" s="15"/>
      <c r="U496" s="16">
        <f t="shared" si="77"/>
        <v>3.0795524924975223E-2</v>
      </c>
      <c r="V496" s="14">
        <v>0</v>
      </c>
      <c r="W496" s="17">
        <v>97.5</v>
      </c>
      <c r="X496" s="14">
        <v>6.3</v>
      </c>
      <c r="Y496" s="18">
        <f t="shared" si="78"/>
        <v>24.2</v>
      </c>
      <c r="Z496" s="18" t="str">
        <f t="shared" si="79"/>
        <v>Low</v>
      </c>
      <c r="AA496" s="19" t="str">
        <f t="shared" si="80"/>
        <v>Eligible</v>
      </c>
      <c r="AB496" s="14" t="s">
        <v>85</v>
      </c>
      <c r="AC496" s="14">
        <v>1</v>
      </c>
      <c r="AD496" s="14" t="s">
        <v>93</v>
      </c>
      <c r="AE496" s="17">
        <v>23.2</v>
      </c>
      <c r="AF496" s="15">
        <v>0</v>
      </c>
      <c r="AG496" s="20">
        <f t="shared" si="81"/>
        <v>1086641</v>
      </c>
      <c r="AH496" s="14">
        <v>0</v>
      </c>
      <c r="AI496" s="14" t="s">
        <v>75</v>
      </c>
      <c r="AJ496" s="14">
        <v>24</v>
      </c>
      <c r="AK496" s="21">
        <f t="shared" si="82"/>
        <v>0.09</v>
      </c>
      <c r="AL496" s="20">
        <f t="shared" si="83"/>
        <v>0</v>
      </c>
      <c r="AM496" s="22">
        <f t="shared" si="84"/>
        <v>0</v>
      </c>
      <c r="AN496" s="20">
        <f t="shared" si="85"/>
        <v>2788.64</v>
      </c>
      <c r="AO496" s="16">
        <f t="shared" si="86"/>
        <v>3.0795524924975223E-2</v>
      </c>
      <c r="AP496" s="15">
        <v>1272943</v>
      </c>
      <c r="AQ496" s="18">
        <f t="shared" si="87"/>
        <v>0</v>
      </c>
      <c r="AR496" s="23">
        <v>46102</v>
      </c>
      <c r="AS496" s="14" t="s">
        <v>79</v>
      </c>
    </row>
    <row r="497" spans="1:45" x14ac:dyDescent="0.25">
      <c r="A497" s="14" t="s">
        <v>1660</v>
      </c>
      <c r="B497" s="14" t="s">
        <v>1661</v>
      </c>
      <c r="C497" s="14">
        <v>9943633823</v>
      </c>
      <c r="D497" s="15" t="s">
        <v>1668</v>
      </c>
      <c r="E497" s="14">
        <v>32</v>
      </c>
      <c r="F497" s="14" t="s">
        <v>71</v>
      </c>
      <c r="G497" s="14" t="s">
        <v>131</v>
      </c>
      <c r="H497" s="14" t="s">
        <v>132</v>
      </c>
      <c r="I497" s="14" t="s">
        <v>92</v>
      </c>
      <c r="J497" s="15">
        <v>468637</v>
      </c>
      <c r="K497" s="14">
        <v>4</v>
      </c>
      <c r="L497" s="14" t="s">
        <v>76</v>
      </c>
      <c r="M497" s="14" t="s">
        <v>76</v>
      </c>
      <c r="N497" s="14" t="s">
        <v>76</v>
      </c>
      <c r="O497" s="14" t="s">
        <v>76</v>
      </c>
      <c r="P497" s="14">
        <v>704</v>
      </c>
      <c r="Q497" s="15">
        <v>200748.98</v>
      </c>
      <c r="R497" s="15">
        <v>1495.46</v>
      </c>
      <c r="S497" s="14" t="s">
        <v>22</v>
      </c>
      <c r="T497" s="15">
        <v>509411</v>
      </c>
      <c r="U497" s="16">
        <f t="shared" si="77"/>
        <v>3.8293007167594532E-2</v>
      </c>
      <c r="V497" s="14">
        <v>1</v>
      </c>
      <c r="W497" s="17">
        <v>66.900000000000006</v>
      </c>
      <c r="X497" s="14">
        <v>10.8</v>
      </c>
      <c r="Y497" s="18">
        <f t="shared" si="78"/>
        <v>24.9</v>
      </c>
      <c r="Z497" s="18" t="str">
        <f t="shared" si="79"/>
        <v>Low</v>
      </c>
      <c r="AA497" s="19" t="str">
        <f t="shared" si="80"/>
        <v>Eligible</v>
      </c>
      <c r="AB497" s="14" t="s">
        <v>77</v>
      </c>
      <c r="AC497" s="14">
        <v>0</v>
      </c>
      <c r="AD497" s="14" t="s">
        <v>78</v>
      </c>
      <c r="AE497" s="17">
        <v>2.5</v>
      </c>
      <c r="AF497" s="15">
        <v>693236</v>
      </c>
      <c r="AG497" s="20">
        <f t="shared" si="81"/>
        <v>1161873</v>
      </c>
      <c r="AH497" s="14">
        <v>1</v>
      </c>
      <c r="AI497" s="14" t="s">
        <v>75</v>
      </c>
      <c r="AJ497" s="14">
        <v>48</v>
      </c>
      <c r="AK497" s="21">
        <f t="shared" si="82"/>
        <v>0.09</v>
      </c>
      <c r="AL497" s="20">
        <f t="shared" si="83"/>
        <v>12676.714320748199</v>
      </c>
      <c r="AM497" s="22">
        <f t="shared" si="84"/>
        <v>1.0870055074609986</v>
      </c>
      <c r="AN497" s="20">
        <f t="shared" si="85"/>
        <v>14172.1743207482</v>
      </c>
      <c r="AO497" s="16">
        <f t="shared" si="86"/>
        <v>0.36289514453399624</v>
      </c>
      <c r="AP497" s="15">
        <v>667769</v>
      </c>
      <c r="AQ497" s="18">
        <f t="shared" si="87"/>
        <v>0.76285511906063319</v>
      </c>
      <c r="AR497" s="23">
        <v>46088</v>
      </c>
      <c r="AS497" s="14" t="s">
        <v>79</v>
      </c>
    </row>
    <row r="498" spans="1:45" x14ac:dyDescent="0.25">
      <c r="A498" s="14" t="s">
        <v>1664</v>
      </c>
      <c r="B498" s="14" t="s">
        <v>1665</v>
      </c>
      <c r="C498" s="14">
        <v>9806837607</v>
      </c>
      <c r="D498" s="15" t="s">
        <v>1672</v>
      </c>
      <c r="E498" s="14">
        <v>61</v>
      </c>
      <c r="F498" s="14" t="s">
        <v>71</v>
      </c>
      <c r="G498" s="14" t="s">
        <v>388</v>
      </c>
      <c r="H498" s="14" t="s">
        <v>99</v>
      </c>
      <c r="I498" s="14" t="s">
        <v>74</v>
      </c>
      <c r="J498" s="15">
        <v>1781336</v>
      </c>
      <c r="K498" s="14">
        <v>1</v>
      </c>
      <c r="L498" s="14" t="s">
        <v>76</v>
      </c>
      <c r="M498" s="14" t="s">
        <v>75</v>
      </c>
      <c r="N498" s="14" t="s">
        <v>75</v>
      </c>
      <c r="O498" s="14" t="s">
        <v>75</v>
      </c>
      <c r="P498" s="14">
        <v>800</v>
      </c>
      <c r="Q498" s="15">
        <v>673609</v>
      </c>
      <c r="R498" s="15">
        <v>26011.42</v>
      </c>
      <c r="S498" s="14" t="s">
        <v>20</v>
      </c>
      <c r="T498" s="15">
        <v>708001</v>
      </c>
      <c r="U498" s="16">
        <f t="shared" si="77"/>
        <v>0.17522636942160266</v>
      </c>
      <c r="V498" s="14">
        <v>0</v>
      </c>
      <c r="W498" s="17">
        <v>49</v>
      </c>
      <c r="X498" s="14">
        <v>1.1000000000000001</v>
      </c>
      <c r="Y498" s="18">
        <f t="shared" si="78"/>
        <v>16.8</v>
      </c>
      <c r="Z498" s="18" t="str">
        <f t="shared" si="79"/>
        <v>Low</v>
      </c>
      <c r="AA498" s="19" t="str">
        <f t="shared" si="80"/>
        <v>Eligible</v>
      </c>
      <c r="AB498" s="14" t="s">
        <v>77</v>
      </c>
      <c r="AC498" s="14">
        <v>0</v>
      </c>
      <c r="AD498" s="14" t="s">
        <v>93</v>
      </c>
      <c r="AE498" s="17">
        <v>8.9</v>
      </c>
      <c r="AF498" s="15">
        <v>0</v>
      </c>
      <c r="AG498" s="20">
        <f t="shared" si="81"/>
        <v>1781336</v>
      </c>
      <c r="AH498" s="14">
        <v>2</v>
      </c>
      <c r="AI498" s="14" t="s">
        <v>75</v>
      </c>
      <c r="AJ498" s="14">
        <v>24</v>
      </c>
      <c r="AK498" s="21">
        <f t="shared" si="82"/>
        <v>0.36</v>
      </c>
      <c r="AL498" s="20">
        <f t="shared" si="83"/>
        <v>41805.629539286623</v>
      </c>
      <c r="AM498" s="22">
        <f t="shared" si="84"/>
        <v>0.39745505620500571</v>
      </c>
      <c r="AN498" s="20">
        <f t="shared" si="85"/>
        <v>67817.049539286614</v>
      </c>
      <c r="AO498" s="16">
        <f t="shared" si="86"/>
        <v>0.45685069771870068</v>
      </c>
      <c r="AP498" s="15">
        <v>0</v>
      </c>
      <c r="AQ498" s="18" t="str">
        <f t="shared" si="87"/>
        <v>N/A</v>
      </c>
      <c r="AR498" s="23">
        <v>45985</v>
      </c>
      <c r="AS498" s="14" t="s">
        <v>79</v>
      </c>
    </row>
    <row r="499" spans="1:45" x14ac:dyDescent="0.25">
      <c r="A499" s="14" t="s">
        <v>1667</v>
      </c>
      <c r="B499" s="14" t="s">
        <v>687</v>
      </c>
      <c r="C499" s="14">
        <v>9314175750</v>
      </c>
      <c r="D499" s="15" t="s">
        <v>1675</v>
      </c>
      <c r="E499" s="14">
        <v>25</v>
      </c>
      <c r="F499" s="14" t="s">
        <v>89</v>
      </c>
      <c r="G499" s="14" t="s">
        <v>106</v>
      </c>
      <c r="H499" s="14" t="s">
        <v>84</v>
      </c>
      <c r="I499" s="14" t="s">
        <v>74</v>
      </c>
      <c r="J499" s="15">
        <v>1240848</v>
      </c>
      <c r="K499" s="14">
        <v>1</v>
      </c>
      <c r="L499" s="14" t="s">
        <v>76</v>
      </c>
      <c r="M499" s="14" t="s">
        <v>75</v>
      </c>
      <c r="N499" s="14" t="s">
        <v>75</v>
      </c>
      <c r="O499" s="14" t="s">
        <v>75</v>
      </c>
      <c r="P499" s="14">
        <v>699</v>
      </c>
      <c r="Q499" s="15">
        <v>107433.14</v>
      </c>
      <c r="R499" s="15">
        <v>4779.74</v>
      </c>
      <c r="S499" s="14" t="s">
        <v>21</v>
      </c>
      <c r="T499" s="15">
        <v>1334211</v>
      </c>
      <c r="U499" s="16">
        <f t="shared" si="77"/>
        <v>4.6223937178445709E-2</v>
      </c>
      <c r="V499" s="14">
        <v>4</v>
      </c>
      <c r="W499" s="17">
        <v>6.6</v>
      </c>
      <c r="X499" s="14">
        <v>3.7</v>
      </c>
      <c r="Y499" s="18">
        <f t="shared" si="78"/>
        <v>31.4</v>
      </c>
      <c r="Z499" s="18" t="str">
        <f t="shared" si="79"/>
        <v>Medium</v>
      </c>
      <c r="AA499" s="19" t="str">
        <f t="shared" si="80"/>
        <v>Review</v>
      </c>
      <c r="AB499" s="14" t="s">
        <v>85</v>
      </c>
      <c r="AC499" s="14">
        <v>0</v>
      </c>
      <c r="AD499" s="14" t="s">
        <v>194</v>
      </c>
      <c r="AE499" s="17">
        <v>2.2000000000000002</v>
      </c>
      <c r="AF499" s="15">
        <v>0</v>
      </c>
      <c r="AG499" s="20">
        <f t="shared" si="81"/>
        <v>1240848</v>
      </c>
      <c r="AH499" s="14">
        <v>0</v>
      </c>
      <c r="AI499" s="14" t="s">
        <v>75</v>
      </c>
      <c r="AJ499" s="14">
        <v>60</v>
      </c>
      <c r="AK499" s="21">
        <f t="shared" si="82"/>
        <v>0.15500000000000003</v>
      </c>
      <c r="AL499" s="20">
        <f t="shared" si="83"/>
        <v>32092.032123648358</v>
      </c>
      <c r="AM499" s="22">
        <f t="shared" si="84"/>
        <v>1.0752412866039998</v>
      </c>
      <c r="AN499" s="20">
        <f t="shared" si="85"/>
        <v>36871.772123648356</v>
      </c>
      <c r="AO499" s="16">
        <f t="shared" si="86"/>
        <v>0.35657974666017134</v>
      </c>
      <c r="AP499" s="15">
        <v>0</v>
      </c>
      <c r="AQ499" s="18" t="str">
        <f t="shared" si="87"/>
        <v>N/A</v>
      </c>
      <c r="AR499" s="23">
        <v>46025</v>
      </c>
      <c r="AS499" s="14" t="s">
        <v>79</v>
      </c>
    </row>
    <row r="500" spans="1:45" x14ac:dyDescent="0.25">
      <c r="A500" s="14" t="s">
        <v>1669</v>
      </c>
      <c r="B500" s="14" t="s">
        <v>1670</v>
      </c>
      <c r="C500" s="14"/>
      <c r="D500" s="15" t="s">
        <v>1678</v>
      </c>
      <c r="E500" s="14">
        <v>46</v>
      </c>
      <c r="F500" s="14" t="s">
        <v>71</v>
      </c>
      <c r="G500" s="14" t="s">
        <v>120</v>
      </c>
      <c r="H500" s="14" t="s">
        <v>73</v>
      </c>
      <c r="I500" s="14" t="s">
        <v>74</v>
      </c>
      <c r="J500" s="15">
        <v>1311774</v>
      </c>
      <c r="K500" s="14">
        <v>2</v>
      </c>
      <c r="L500" s="14" t="s">
        <v>75</v>
      </c>
      <c r="M500" s="14" t="s">
        <v>76</v>
      </c>
      <c r="N500" s="14" t="s">
        <v>76</v>
      </c>
      <c r="O500" s="14" t="s">
        <v>75</v>
      </c>
      <c r="P500" s="14">
        <v>869</v>
      </c>
      <c r="Q500" s="15">
        <v>31175</v>
      </c>
      <c r="R500" s="15">
        <v>14033.52</v>
      </c>
      <c r="S500" s="14" t="s">
        <v>21</v>
      </c>
      <c r="T500" s="15">
        <v>796415</v>
      </c>
      <c r="U500" s="16">
        <f t="shared" si="77"/>
        <v>0.12837747965731902</v>
      </c>
      <c r="V500" s="14">
        <v>1</v>
      </c>
      <c r="W500" s="17">
        <v>55.2</v>
      </c>
      <c r="X500" s="14">
        <v>2.4</v>
      </c>
      <c r="Y500" s="18">
        <f t="shared" si="78"/>
        <v>15.4</v>
      </c>
      <c r="Z500" s="18" t="str">
        <f t="shared" si="79"/>
        <v>Low</v>
      </c>
      <c r="AA500" s="19" t="str">
        <f t="shared" si="80"/>
        <v>Eligible</v>
      </c>
      <c r="AB500" s="14" t="s">
        <v>85</v>
      </c>
      <c r="AC500" s="14">
        <v>2</v>
      </c>
      <c r="AD500" s="14" t="s">
        <v>93</v>
      </c>
      <c r="AE500" s="17">
        <v>10.7</v>
      </c>
      <c r="AF500" s="15">
        <v>510764</v>
      </c>
      <c r="AG500" s="20">
        <f t="shared" si="81"/>
        <v>1822538</v>
      </c>
      <c r="AH500" s="14">
        <v>0</v>
      </c>
      <c r="AI500" s="14" t="s">
        <v>75</v>
      </c>
      <c r="AJ500" s="14">
        <v>48</v>
      </c>
      <c r="AK500" s="21">
        <f t="shared" si="82"/>
        <v>0.14000000000000001</v>
      </c>
      <c r="AL500" s="20">
        <f t="shared" si="83"/>
        <v>21763.215777802787</v>
      </c>
      <c r="AM500" s="22">
        <f t="shared" si="84"/>
        <v>0.60712820958488278</v>
      </c>
      <c r="AN500" s="20">
        <f t="shared" si="85"/>
        <v>35796.735777802787</v>
      </c>
      <c r="AO500" s="16">
        <f t="shared" si="86"/>
        <v>0.32746557664173359</v>
      </c>
      <c r="AP500" s="15">
        <v>0</v>
      </c>
      <c r="AQ500" s="18" t="str">
        <f t="shared" si="87"/>
        <v>N/A</v>
      </c>
      <c r="AR500" s="23">
        <v>46023</v>
      </c>
      <c r="AS500" s="14" t="s">
        <v>79</v>
      </c>
    </row>
    <row r="501" spans="1:45" x14ac:dyDescent="0.25">
      <c r="A501" s="14" t="s">
        <v>1673</v>
      </c>
      <c r="B501" s="14" t="s">
        <v>1674</v>
      </c>
      <c r="C501" s="14">
        <v>9542176536</v>
      </c>
      <c r="D501" s="15" t="s">
        <v>1681</v>
      </c>
      <c r="E501" s="14">
        <v>63</v>
      </c>
      <c r="F501" s="14" t="s">
        <v>89</v>
      </c>
      <c r="G501" s="14" t="s">
        <v>139</v>
      </c>
      <c r="H501" s="14" t="s">
        <v>99</v>
      </c>
      <c r="I501" s="14" t="s">
        <v>74</v>
      </c>
      <c r="J501" s="15">
        <v>2279101</v>
      </c>
      <c r="K501" s="14">
        <v>0</v>
      </c>
      <c r="L501" s="14" t="s">
        <v>75</v>
      </c>
      <c r="M501" s="14" t="s">
        <v>75</v>
      </c>
      <c r="N501" s="14" t="s">
        <v>75</v>
      </c>
      <c r="O501" s="14" t="s">
        <v>75</v>
      </c>
      <c r="P501" s="14">
        <v>665</v>
      </c>
      <c r="Q501" s="15">
        <v>611576.72</v>
      </c>
      <c r="R501" s="15">
        <v>3979.01</v>
      </c>
      <c r="S501" s="14" t="s">
        <v>22</v>
      </c>
      <c r="T501" s="15">
        <v>348836</v>
      </c>
      <c r="U501" s="16">
        <f t="shared" si="77"/>
        <v>2.0950418608038871E-2</v>
      </c>
      <c r="V501" s="14">
        <v>0</v>
      </c>
      <c r="W501" s="17">
        <v>96</v>
      </c>
      <c r="X501" s="14">
        <v>0.4</v>
      </c>
      <c r="Y501" s="18">
        <f t="shared" si="78"/>
        <v>25.9</v>
      </c>
      <c r="Z501" s="18" t="str">
        <f t="shared" si="79"/>
        <v>Low</v>
      </c>
      <c r="AA501" s="19" t="str">
        <f t="shared" si="80"/>
        <v>Eligible</v>
      </c>
      <c r="AB501" s="14" t="s">
        <v>85</v>
      </c>
      <c r="AC501" s="14">
        <v>2</v>
      </c>
      <c r="AD501" s="14" t="s">
        <v>78</v>
      </c>
      <c r="AE501" s="17">
        <v>12.5</v>
      </c>
      <c r="AF501" s="15">
        <v>500312</v>
      </c>
      <c r="AG501" s="20">
        <f t="shared" si="81"/>
        <v>2779413</v>
      </c>
      <c r="AH501" s="14">
        <v>0</v>
      </c>
      <c r="AI501" s="14" t="s">
        <v>75</v>
      </c>
      <c r="AJ501" s="14">
        <v>24</v>
      </c>
      <c r="AK501" s="21">
        <f t="shared" si="82"/>
        <v>0.09</v>
      </c>
      <c r="AL501" s="20">
        <f t="shared" si="83"/>
        <v>15936.482757697626</v>
      </c>
      <c r="AM501" s="22">
        <f t="shared" si="84"/>
        <v>0.15305859635005206</v>
      </c>
      <c r="AN501" s="20">
        <f t="shared" si="85"/>
        <v>19915.492757697626</v>
      </c>
      <c r="AO501" s="16">
        <f t="shared" si="86"/>
        <v>0.10485972894240822</v>
      </c>
      <c r="AP501" s="15">
        <v>1582631</v>
      </c>
      <c r="AQ501" s="18">
        <f t="shared" si="87"/>
        <v>0.22041524524668099</v>
      </c>
      <c r="AR501" s="23">
        <v>46175</v>
      </c>
      <c r="AS501" s="14" t="s">
        <v>79</v>
      </c>
    </row>
    <row r="502" spans="1:45" x14ac:dyDescent="0.25">
      <c r="A502" s="14" t="s">
        <v>1676</v>
      </c>
      <c r="B502" s="14" t="s">
        <v>1677</v>
      </c>
      <c r="C502" s="14">
        <v>9133813100</v>
      </c>
      <c r="D502" s="15" t="s">
        <v>1684</v>
      </c>
      <c r="E502" s="14">
        <v>44</v>
      </c>
      <c r="F502" s="14" t="s">
        <v>71</v>
      </c>
      <c r="G502" s="14" t="s">
        <v>90</v>
      </c>
      <c r="H502" s="14" t="s">
        <v>84</v>
      </c>
      <c r="I502" s="14" t="s">
        <v>74</v>
      </c>
      <c r="J502" s="15">
        <v>349064</v>
      </c>
      <c r="K502" s="14">
        <v>0</v>
      </c>
      <c r="L502" s="14" t="s">
        <v>75</v>
      </c>
      <c r="M502" s="14" t="s">
        <v>75</v>
      </c>
      <c r="N502" s="14" t="s">
        <v>75</v>
      </c>
      <c r="O502" s="14" t="s">
        <v>75</v>
      </c>
      <c r="P502" s="14">
        <v>760</v>
      </c>
      <c r="Q502" s="15">
        <v>180814</v>
      </c>
      <c r="R502" s="15">
        <v>1833.82</v>
      </c>
      <c r="S502" s="14" t="s">
        <v>22</v>
      </c>
      <c r="T502" s="15">
        <v>2410368</v>
      </c>
      <c r="U502" s="16">
        <f t="shared" si="77"/>
        <v>6.3042422020030714E-2</v>
      </c>
      <c r="V502" s="14">
        <v>1</v>
      </c>
      <c r="W502" s="17">
        <v>13.9</v>
      </c>
      <c r="X502" s="14">
        <v>3.9</v>
      </c>
      <c r="Y502" s="18">
        <f t="shared" si="78"/>
        <v>16.600000000000001</v>
      </c>
      <c r="Z502" s="18" t="str">
        <f t="shared" si="79"/>
        <v>Low</v>
      </c>
      <c r="AA502" s="19" t="str">
        <f t="shared" si="80"/>
        <v>Eligible</v>
      </c>
      <c r="AB502" s="14" t="s">
        <v>85</v>
      </c>
      <c r="AC502" s="14">
        <v>2</v>
      </c>
      <c r="AD502" s="14" t="s">
        <v>194</v>
      </c>
      <c r="AE502" s="17">
        <v>5.8</v>
      </c>
      <c r="AF502" s="15">
        <v>0</v>
      </c>
      <c r="AG502" s="20">
        <f t="shared" si="81"/>
        <v>349064</v>
      </c>
      <c r="AH502" s="14">
        <v>0</v>
      </c>
      <c r="AI502" s="14" t="s">
        <v>75</v>
      </c>
      <c r="AJ502" s="14">
        <v>84</v>
      </c>
      <c r="AK502" s="21">
        <f t="shared" si="82"/>
        <v>0.09</v>
      </c>
      <c r="AL502" s="20">
        <f t="shared" si="83"/>
        <v>38780.599387492599</v>
      </c>
      <c r="AM502" s="22">
        <f t="shared" si="84"/>
        <v>6.9052322783214537</v>
      </c>
      <c r="AN502" s="20">
        <f t="shared" si="85"/>
        <v>40614.419387492599</v>
      </c>
      <c r="AO502" s="16">
        <f t="shared" si="86"/>
        <v>1.3962282923759288</v>
      </c>
      <c r="AP502" s="15">
        <v>952300</v>
      </c>
      <c r="AQ502" s="18">
        <f t="shared" si="87"/>
        <v>2.5311015436312085</v>
      </c>
      <c r="AR502" s="23">
        <v>46145</v>
      </c>
      <c r="AS502" s="14" t="s">
        <v>79</v>
      </c>
    </row>
    <row r="503" spans="1:45" x14ac:dyDescent="0.25">
      <c r="A503" s="14" t="s">
        <v>1679</v>
      </c>
      <c r="B503" s="14" t="s">
        <v>1680</v>
      </c>
      <c r="C503" s="14">
        <v>9454387726</v>
      </c>
      <c r="D503" s="15" t="s">
        <v>1687</v>
      </c>
      <c r="E503" s="14">
        <v>27</v>
      </c>
      <c r="F503" s="14" t="s">
        <v>71</v>
      </c>
      <c r="G503" s="14" t="s">
        <v>314</v>
      </c>
      <c r="H503" s="14" t="s">
        <v>91</v>
      </c>
      <c r="I503" s="14" t="s">
        <v>92</v>
      </c>
      <c r="J503" s="15">
        <v>1464632</v>
      </c>
      <c r="K503" s="14">
        <v>1</v>
      </c>
      <c r="L503" s="14" t="s">
        <v>76</v>
      </c>
      <c r="M503" s="14" t="s">
        <v>75</v>
      </c>
      <c r="N503" s="14" t="s">
        <v>75</v>
      </c>
      <c r="O503" s="14" t="s">
        <v>75</v>
      </c>
      <c r="P503" s="14">
        <v>869</v>
      </c>
      <c r="Q503" s="15">
        <v>94658</v>
      </c>
      <c r="R503" s="15">
        <v>47044.36</v>
      </c>
      <c r="S503" s="14" t="s">
        <v>20</v>
      </c>
      <c r="T503" s="15">
        <v>475529</v>
      </c>
      <c r="U503" s="16">
        <f t="shared" si="77"/>
        <v>0.38544311472096748</v>
      </c>
      <c r="V503" s="14">
        <v>1</v>
      </c>
      <c r="W503" s="17">
        <v>68.400000000000006</v>
      </c>
      <c r="X503" s="14">
        <v>3</v>
      </c>
      <c r="Y503" s="18">
        <f t="shared" si="78"/>
        <v>24.5</v>
      </c>
      <c r="Z503" s="18" t="str">
        <f t="shared" si="79"/>
        <v>Low</v>
      </c>
      <c r="AA503" s="19" t="str">
        <f t="shared" si="80"/>
        <v>Eligible</v>
      </c>
      <c r="AB503" s="14" t="s">
        <v>77</v>
      </c>
      <c r="AC503" s="14">
        <v>0</v>
      </c>
      <c r="AD503" s="14" t="s">
        <v>78</v>
      </c>
      <c r="AE503" s="17">
        <v>1.3</v>
      </c>
      <c r="AF503" s="15">
        <v>0</v>
      </c>
      <c r="AG503" s="20">
        <f t="shared" si="81"/>
        <v>1464632</v>
      </c>
      <c r="AH503" s="14">
        <v>0</v>
      </c>
      <c r="AI503" s="14" t="s">
        <v>75</v>
      </c>
      <c r="AJ503" s="14">
        <v>12</v>
      </c>
      <c r="AK503" s="21">
        <f t="shared" si="82"/>
        <v>0.36</v>
      </c>
      <c r="AL503" s="20">
        <f t="shared" si="83"/>
        <v>47772.635042872629</v>
      </c>
      <c r="AM503" s="22">
        <f t="shared" si="84"/>
        <v>0.32467473058078755</v>
      </c>
      <c r="AN503" s="20">
        <f t="shared" si="85"/>
        <v>94816.99504287263</v>
      </c>
      <c r="AO503" s="16">
        <f t="shared" si="86"/>
        <v>0.77685312113518723</v>
      </c>
      <c r="AP503" s="15">
        <v>0</v>
      </c>
      <c r="AQ503" s="18" t="str">
        <f t="shared" si="87"/>
        <v>N/A</v>
      </c>
      <c r="AR503" s="23">
        <v>46233</v>
      </c>
      <c r="AS503" s="14" t="s">
        <v>79</v>
      </c>
    </row>
    <row r="504" spans="1:45" x14ac:dyDescent="0.25">
      <c r="A504" s="14" t="s">
        <v>1682</v>
      </c>
      <c r="B504" s="14" t="s">
        <v>1683</v>
      </c>
      <c r="C504" s="14">
        <v>9864986259</v>
      </c>
      <c r="D504" s="15" t="s">
        <v>1691</v>
      </c>
      <c r="E504" s="14">
        <v>44</v>
      </c>
      <c r="F504" s="14" t="s">
        <v>89</v>
      </c>
      <c r="G504" s="14" t="s">
        <v>174</v>
      </c>
      <c r="H504" s="14" t="s">
        <v>132</v>
      </c>
      <c r="I504" s="14" t="s">
        <v>92</v>
      </c>
      <c r="J504" s="15">
        <v>565365</v>
      </c>
      <c r="K504" s="14">
        <v>2</v>
      </c>
      <c r="L504" s="14" t="s">
        <v>75</v>
      </c>
      <c r="M504" s="14" t="s">
        <v>76</v>
      </c>
      <c r="N504" s="14" t="s">
        <v>75</v>
      </c>
      <c r="O504" s="14" t="s">
        <v>76</v>
      </c>
      <c r="P504" s="14">
        <v>335</v>
      </c>
      <c r="Q504" s="15"/>
      <c r="R504" s="15">
        <v>3287.52</v>
      </c>
      <c r="S504" s="14" t="s">
        <v>23</v>
      </c>
      <c r="T504" s="15">
        <v>197792</v>
      </c>
      <c r="U504" s="16">
        <f t="shared" si="77"/>
        <v>6.9778355575601594E-2</v>
      </c>
      <c r="V504" s="14">
        <v>0</v>
      </c>
      <c r="W504" s="17">
        <v>20</v>
      </c>
      <c r="X504" s="14">
        <v>1.3</v>
      </c>
      <c r="Y504" s="18">
        <f t="shared" si="78"/>
        <v>41.8</v>
      </c>
      <c r="Z504" s="18" t="str">
        <f t="shared" si="79"/>
        <v>Medium</v>
      </c>
      <c r="AA504" s="19" t="str">
        <f t="shared" si="80"/>
        <v>Not Eligible</v>
      </c>
      <c r="AB504" s="14" t="s">
        <v>85</v>
      </c>
      <c r="AC504" s="14">
        <v>1</v>
      </c>
      <c r="AD504" s="14" t="s">
        <v>93</v>
      </c>
      <c r="AE504" s="17">
        <v>4.0999999999999996</v>
      </c>
      <c r="AF504" s="15">
        <v>0</v>
      </c>
      <c r="AG504" s="20">
        <f t="shared" si="81"/>
        <v>565365</v>
      </c>
      <c r="AH504" s="14">
        <v>1</v>
      </c>
      <c r="AI504" s="14" t="s">
        <v>76</v>
      </c>
      <c r="AJ504" s="14">
        <v>360</v>
      </c>
      <c r="AK504" s="21">
        <f t="shared" si="82"/>
        <v>0.1</v>
      </c>
      <c r="AL504" s="20">
        <f t="shared" si="83"/>
        <v>1735.766359910037</v>
      </c>
      <c r="AM504" s="22">
        <f t="shared" si="84"/>
        <v>0.349848328071246</v>
      </c>
      <c r="AN504" s="20">
        <f t="shared" si="85"/>
        <v>5023.2863599100365</v>
      </c>
      <c r="AO504" s="16">
        <f t="shared" si="86"/>
        <v>0.10662038916261254</v>
      </c>
      <c r="AP504" s="15">
        <v>3344366</v>
      </c>
      <c r="AQ504" s="18">
        <f t="shared" si="87"/>
        <v>5.9141852297266505E-2</v>
      </c>
      <c r="AR504" s="23">
        <v>46197</v>
      </c>
      <c r="AS504" s="14" t="s">
        <v>79</v>
      </c>
    </row>
    <row r="505" spans="1:45" x14ac:dyDescent="0.25">
      <c r="A505" s="14" t="s">
        <v>1685</v>
      </c>
      <c r="B505" s="14" t="s">
        <v>483</v>
      </c>
      <c r="C505" s="14"/>
      <c r="D505" s="15" t="s">
        <v>1693</v>
      </c>
      <c r="E505" s="14">
        <v>31</v>
      </c>
      <c r="F505" s="14" t="s">
        <v>71</v>
      </c>
      <c r="G505" s="14" t="s">
        <v>417</v>
      </c>
      <c r="H505" s="14" t="s">
        <v>99</v>
      </c>
      <c r="I505" s="14" t="s">
        <v>74</v>
      </c>
      <c r="J505" s="15">
        <v>1021986</v>
      </c>
      <c r="K505" s="14">
        <v>0</v>
      </c>
      <c r="L505" s="14" t="s">
        <v>75</v>
      </c>
      <c r="M505" s="14" t="s">
        <v>75</v>
      </c>
      <c r="N505" s="14" t="s">
        <v>75</v>
      </c>
      <c r="O505" s="14" t="s">
        <v>75</v>
      </c>
      <c r="P505" s="14">
        <v>519</v>
      </c>
      <c r="Q505" s="15">
        <v>678670.18</v>
      </c>
      <c r="R505" s="15">
        <v>7281.36</v>
      </c>
      <c r="S505" s="14" t="s">
        <v>21</v>
      </c>
      <c r="T505" s="15">
        <v>472400</v>
      </c>
      <c r="U505" s="16">
        <f t="shared" si="77"/>
        <v>8.5496591929830737E-2</v>
      </c>
      <c r="V505" s="14">
        <v>0</v>
      </c>
      <c r="W505" s="17">
        <v>78.400000000000006</v>
      </c>
      <c r="X505" s="14">
        <v>7.1</v>
      </c>
      <c r="Y505" s="18">
        <f t="shared" si="78"/>
        <v>35.799999999999997</v>
      </c>
      <c r="Z505" s="18" t="str">
        <f t="shared" si="79"/>
        <v>Medium</v>
      </c>
      <c r="AA505" s="19" t="str">
        <f t="shared" si="80"/>
        <v>Not Eligible</v>
      </c>
      <c r="AB505" s="14" t="s">
        <v>85</v>
      </c>
      <c r="AC505" s="14">
        <v>2</v>
      </c>
      <c r="AD505" s="14" t="s">
        <v>93</v>
      </c>
      <c r="AE505" s="17">
        <v>1.5</v>
      </c>
      <c r="AF505" s="15">
        <v>702753</v>
      </c>
      <c r="AG505" s="20">
        <f t="shared" si="81"/>
        <v>1724739</v>
      </c>
      <c r="AH505" s="14">
        <v>0</v>
      </c>
      <c r="AI505" s="14" t="s">
        <v>75</v>
      </c>
      <c r="AJ505" s="14">
        <v>60</v>
      </c>
      <c r="AK505" s="21">
        <f t="shared" si="82"/>
        <v>0.15500000000000003</v>
      </c>
      <c r="AL505" s="20">
        <f t="shared" si="83"/>
        <v>11362.727466054082</v>
      </c>
      <c r="AM505" s="22">
        <f t="shared" si="84"/>
        <v>0.46223725178231406</v>
      </c>
      <c r="AN505" s="20">
        <f t="shared" si="85"/>
        <v>18644.087466054083</v>
      </c>
      <c r="AO505" s="16">
        <f t="shared" si="86"/>
        <v>0.21891596322518017</v>
      </c>
      <c r="AP505" s="15">
        <v>0</v>
      </c>
      <c r="AQ505" s="18" t="str">
        <f t="shared" si="87"/>
        <v>N/A</v>
      </c>
      <c r="AR505" s="23">
        <v>46140</v>
      </c>
      <c r="AS505" s="14" t="s">
        <v>79</v>
      </c>
    </row>
    <row r="506" spans="1:45" x14ac:dyDescent="0.25">
      <c r="A506" s="14" t="s">
        <v>1688</v>
      </c>
      <c r="B506" s="14" t="s">
        <v>1689</v>
      </c>
      <c r="C506" s="14">
        <v>9127746847</v>
      </c>
      <c r="D506" s="15" t="s">
        <v>1696</v>
      </c>
      <c r="E506" s="14">
        <v>24</v>
      </c>
      <c r="F506" s="14" t="s">
        <v>71</v>
      </c>
      <c r="G506" s="14" t="s">
        <v>83</v>
      </c>
      <c r="H506" s="14" t="s">
        <v>91</v>
      </c>
      <c r="I506" s="14" t="s">
        <v>92</v>
      </c>
      <c r="J506" s="15">
        <v>830273</v>
      </c>
      <c r="K506" s="14">
        <v>2</v>
      </c>
      <c r="L506" s="14" t="s">
        <v>76</v>
      </c>
      <c r="M506" s="14" t="s">
        <v>76</v>
      </c>
      <c r="N506" s="14" t="s">
        <v>75</v>
      </c>
      <c r="O506" s="14" t="s">
        <v>75</v>
      </c>
      <c r="P506" s="14">
        <v>375</v>
      </c>
      <c r="Q506" s="15">
        <v>869549.15</v>
      </c>
      <c r="R506" s="15">
        <v>2559.66</v>
      </c>
      <c r="S506" s="14" t="s">
        <v>20</v>
      </c>
      <c r="T506" s="15"/>
      <c r="U506" s="16">
        <f t="shared" si="77"/>
        <v>3.6994964306920737E-2</v>
      </c>
      <c r="V506" s="14">
        <v>1</v>
      </c>
      <c r="W506" s="17">
        <v>13.9</v>
      </c>
      <c r="X506" s="14">
        <v>4.0999999999999996</v>
      </c>
      <c r="Y506" s="18">
        <f t="shared" si="78"/>
        <v>41.5</v>
      </c>
      <c r="Z506" s="18" t="str">
        <f t="shared" si="79"/>
        <v>Medium</v>
      </c>
      <c r="AA506" s="19" t="str">
        <f t="shared" si="80"/>
        <v>Not Eligible</v>
      </c>
      <c r="AB506" s="14" t="s">
        <v>85</v>
      </c>
      <c r="AC506" s="14">
        <v>3</v>
      </c>
      <c r="AD506" s="14" t="s">
        <v>78</v>
      </c>
      <c r="AE506" s="17">
        <v>1.6</v>
      </c>
      <c r="AF506" s="15">
        <v>0</v>
      </c>
      <c r="AG506" s="20">
        <f t="shared" si="81"/>
        <v>830273</v>
      </c>
      <c r="AH506" s="14">
        <v>0</v>
      </c>
      <c r="AI506" s="14" t="s">
        <v>75</v>
      </c>
      <c r="AJ506" s="14">
        <v>12</v>
      </c>
      <c r="AK506" s="21">
        <f t="shared" si="82"/>
        <v>0.375</v>
      </c>
      <c r="AL506" s="20">
        <f t="shared" si="83"/>
        <v>0</v>
      </c>
      <c r="AM506" s="22">
        <f t="shared" si="84"/>
        <v>0</v>
      </c>
      <c r="AN506" s="20">
        <f t="shared" si="85"/>
        <v>2559.66</v>
      </c>
      <c r="AO506" s="16">
        <f t="shared" si="86"/>
        <v>3.6994964306920737E-2</v>
      </c>
      <c r="AP506" s="15">
        <v>0</v>
      </c>
      <c r="AQ506" s="18" t="str">
        <f t="shared" si="87"/>
        <v>N/A</v>
      </c>
      <c r="AR506" s="23">
        <v>46160</v>
      </c>
      <c r="AS506" s="14" t="s">
        <v>79</v>
      </c>
    </row>
    <row r="507" spans="1:45" x14ac:dyDescent="0.25">
      <c r="A507" s="14" t="s">
        <v>1692</v>
      </c>
      <c r="B507" s="14" t="s">
        <v>641</v>
      </c>
      <c r="C507" s="14">
        <v>9505762456</v>
      </c>
      <c r="D507" s="15" t="s">
        <v>1699</v>
      </c>
      <c r="E507" s="14">
        <v>26</v>
      </c>
      <c r="F507" s="14" t="s">
        <v>89</v>
      </c>
      <c r="G507" s="14" t="s">
        <v>417</v>
      </c>
      <c r="H507" s="14" t="s">
        <v>132</v>
      </c>
      <c r="I507" s="14" t="s">
        <v>92</v>
      </c>
      <c r="J507" s="15">
        <v>1458933</v>
      </c>
      <c r="K507" s="14">
        <v>2</v>
      </c>
      <c r="L507" s="14" t="s">
        <v>75</v>
      </c>
      <c r="M507" s="14" t="s">
        <v>75</v>
      </c>
      <c r="N507" s="14" t="s">
        <v>76</v>
      </c>
      <c r="O507" s="14" t="s">
        <v>76</v>
      </c>
      <c r="P507" s="14">
        <v>327</v>
      </c>
      <c r="Q507" s="15">
        <v>285203</v>
      </c>
      <c r="R507" s="15">
        <v>12119.11</v>
      </c>
      <c r="S507" s="14" t="s">
        <v>20</v>
      </c>
      <c r="T507" s="15"/>
      <c r="U507" s="16">
        <f t="shared" si="77"/>
        <v>9.9681973058392673E-2</v>
      </c>
      <c r="V507" s="14">
        <v>3</v>
      </c>
      <c r="W507" s="17">
        <v>7.9</v>
      </c>
      <c r="X507" s="14">
        <v>5</v>
      </c>
      <c r="Y507" s="18">
        <f t="shared" si="78"/>
        <v>54</v>
      </c>
      <c r="Z507" s="18" t="str">
        <f t="shared" si="79"/>
        <v>Medium</v>
      </c>
      <c r="AA507" s="19" t="str">
        <f t="shared" si="80"/>
        <v>Not Eligible</v>
      </c>
      <c r="AB507" s="14" t="s">
        <v>77</v>
      </c>
      <c r="AC507" s="14">
        <v>3</v>
      </c>
      <c r="AD507" s="14" t="s">
        <v>93</v>
      </c>
      <c r="AE507" s="17">
        <v>0.7</v>
      </c>
      <c r="AF507" s="15">
        <v>864816</v>
      </c>
      <c r="AG507" s="20">
        <f t="shared" si="81"/>
        <v>2323749</v>
      </c>
      <c r="AH507" s="14">
        <v>0</v>
      </c>
      <c r="AI507" s="14" t="s">
        <v>75</v>
      </c>
      <c r="AJ507" s="14">
        <v>24</v>
      </c>
      <c r="AK507" s="21">
        <f t="shared" si="82"/>
        <v>0.375</v>
      </c>
      <c r="AL507" s="20">
        <f t="shared" si="83"/>
        <v>0</v>
      </c>
      <c r="AM507" s="22">
        <f t="shared" si="84"/>
        <v>0</v>
      </c>
      <c r="AN507" s="20">
        <f t="shared" si="85"/>
        <v>12119.11</v>
      </c>
      <c r="AO507" s="16">
        <f t="shared" si="86"/>
        <v>9.9681973058392673E-2</v>
      </c>
      <c r="AP507" s="15">
        <v>0</v>
      </c>
      <c r="AQ507" s="18" t="str">
        <f t="shared" si="87"/>
        <v>N/A</v>
      </c>
      <c r="AR507" s="23">
        <v>45924</v>
      </c>
      <c r="AS507" s="14" t="s">
        <v>79</v>
      </c>
    </row>
    <row r="508" spans="1:45" x14ac:dyDescent="0.25">
      <c r="A508" s="14" t="s">
        <v>1694</v>
      </c>
      <c r="B508" s="14" t="s">
        <v>1695</v>
      </c>
      <c r="C508" s="14">
        <v>9770442392</v>
      </c>
      <c r="D508" s="15" t="s">
        <v>1702</v>
      </c>
      <c r="E508" s="14">
        <v>43</v>
      </c>
      <c r="F508" s="14" t="s">
        <v>89</v>
      </c>
      <c r="G508" s="14" t="s">
        <v>153</v>
      </c>
      <c r="H508" s="14" t="s">
        <v>73</v>
      </c>
      <c r="I508" s="14" t="s">
        <v>74</v>
      </c>
      <c r="J508" s="15">
        <v>2414013</v>
      </c>
      <c r="K508" s="14">
        <v>1</v>
      </c>
      <c r="L508" s="14" t="s">
        <v>75</v>
      </c>
      <c r="M508" s="14" t="s">
        <v>75</v>
      </c>
      <c r="N508" s="14" t="s">
        <v>75</v>
      </c>
      <c r="O508" s="14" t="s">
        <v>76</v>
      </c>
      <c r="P508" s="14">
        <v>451</v>
      </c>
      <c r="Q508" s="15">
        <v>17686</v>
      </c>
      <c r="R508" s="15">
        <v>18115.61</v>
      </c>
      <c r="S508" s="14" t="s">
        <v>23</v>
      </c>
      <c r="T508" s="15">
        <v>157157</v>
      </c>
      <c r="U508" s="16">
        <f t="shared" si="77"/>
        <v>9.0052257382209622E-2</v>
      </c>
      <c r="V508" s="14">
        <v>1</v>
      </c>
      <c r="W508" s="17">
        <v>91.5</v>
      </c>
      <c r="X508" s="14">
        <v>1.3</v>
      </c>
      <c r="Y508" s="18">
        <f t="shared" si="78"/>
        <v>45.8</v>
      </c>
      <c r="Z508" s="18" t="str">
        <f t="shared" si="79"/>
        <v>Medium</v>
      </c>
      <c r="AA508" s="19" t="str">
        <f t="shared" si="80"/>
        <v>Not Eligible</v>
      </c>
      <c r="AB508" s="14" t="s">
        <v>85</v>
      </c>
      <c r="AC508" s="14">
        <v>2</v>
      </c>
      <c r="AD508" s="14" t="s">
        <v>93</v>
      </c>
      <c r="AE508" s="17">
        <v>17.399999999999999</v>
      </c>
      <c r="AF508" s="15">
        <v>501656</v>
      </c>
      <c r="AG508" s="20">
        <f t="shared" si="81"/>
        <v>2915669</v>
      </c>
      <c r="AH508" s="14">
        <v>0</v>
      </c>
      <c r="AI508" s="14" t="s">
        <v>75</v>
      </c>
      <c r="AJ508" s="14">
        <v>120</v>
      </c>
      <c r="AK508" s="21">
        <f t="shared" si="82"/>
        <v>0.1</v>
      </c>
      <c r="AL508" s="20">
        <f t="shared" si="83"/>
        <v>2076.8413356127016</v>
      </c>
      <c r="AM508" s="22">
        <f t="shared" si="84"/>
        <v>6.5101969210604918E-2</v>
      </c>
      <c r="AN508" s="20">
        <f t="shared" si="85"/>
        <v>20192.451335612703</v>
      </c>
      <c r="AO508" s="16">
        <f t="shared" si="86"/>
        <v>0.10037618522657188</v>
      </c>
      <c r="AP508" s="15">
        <v>5081023</v>
      </c>
      <c r="AQ508" s="18">
        <f t="shared" si="87"/>
        <v>3.0930188664762982E-2</v>
      </c>
      <c r="AR508" s="23">
        <v>45896</v>
      </c>
      <c r="AS508" s="14" t="s">
        <v>79</v>
      </c>
    </row>
    <row r="509" spans="1:45" x14ac:dyDescent="0.25">
      <c r="A509" s="14" t="s">
        <v>1697</v>
      </c>
      <c r="B509" s="14" t="s">
        <v>1698</v>
      </c>
      <c r="C509" s="14">
        <v>9170362901</v>
      </c>
      <c r="D509" s="15" t="s">
        <v>1705</v>
      </c>
      <c r="E509" s="14">
        <v>26</v>
      </c>
      <c r="F509" s="14" t="s">
        <v>89</v>
      </c>
      <c r="G509" s="14" t="s">
        <v>314</v>
      </c>
      <c r="H509" s="14" t="s">
        <v>84</v>
      </c>
      <c r="I509" s="14" t="s">
        <v>74</v>
      </c>
      <c r="J509" s="15">
        <v>928971</v>
      </c>
      <c r="K509" s="14">
        <v>3</v>
      </c>
      <c r="L509" s="14" t="s">
        <v>76</v>
      </c>
      <c r="M509" s="14" t="s">
        <v>75</v>
      </c>
      <c r="N509" s="14" t="s">
        <v>76</v>
      </c>
      <c r="O509" s="14" t="s">
        <v>76</v>
      </c>
      <c r="P509" s="14">
        <v>575</v>
      </c>
      <c r="Q509" s="15">
        <v>351258</v>
      </c>
      <c r="R509" s="15">
        <v>8912.59</v>
      </c>
      <c r="S509" s="14" t="s">
        <v>22</v>
      </c>
      <c r="T509" s="15">
        <v>3294107</v>
      </c>
      <c r="U509" s="16">
        <f t="shared" si="77"/>
        <v>0.11512854545513261</v>
      </c>
      <c r="V509" s="14">
        <v>0</v>
      </c>
      <c r="W509" s="17">
        <v>83</v>
      </c>
      <c r="X509" s="14">
        <v>11.8</v>
      </c>
      <c r="Y509" s="18">
        <f t="shared" si="78"/>
        <v>33.4</v>
      </c>
      <c r="Z509" s="18" t="str">
        <f t="shared" si="79"/>
        <v>Medium</v>
      </c>
      <c r="AA509" s="19" t="str">
        <f t="shared" si="80"/>
        <v>Review</v>
      </c>
      <c r="AB509" s="14" t="s">
        <v>85</v>
      </c>
      <c r="AC509" s="14">
        <v>0</v>
      </c>
      <c r="AD509" s="14" t="s">
        <v>93</v>
      </c>
      <c r="AE509" s="17">
        <v>3.2</v>
      </c>
      <c r="AF509" s="15">
        <v>305937</v>
      </c>
      <c r="AG509" s="20">
        <f t="shared" si="81"/>
        <v>1234908</v>
      </c>
      <c r="AH509" s="14">
        <v>0</v>
      </c>
      <c r="AI509" s="14" t="s">
        <v>75</v>
      </c>
      <c r="AJ509" s="14">
        <v>72</v>
      </c>
      <c r="AK509" s="21">
        <f t="shared" si="82"/>
        <v>0.105</v>
      </c>
      <c r="AL509" s="20">
        <f t="shared" si="83"/>
        <v>61859.936428659101</v>
      </c>
      <c r="AM509" s="22">
        <f t="shared" si="84"/>
        <v>3.5459739862708308</v>
      </c>
      <c r="AN509" s="20">
        <f t="shared" si="85"/>
        <v>70772.526428659097</v>
      </c>
      <c r="AO509" s="16">
        <f t="shared" si="86"/>
        <v>0.91420541345629647</v>
      </c>
      <c r="AP509" s="15">
        <v>459949</v>
      </c>
      <c r="AQ509" s="18">
        <f t="shared" si="87"/>
        <v>7.1618962102320038</v>
      </c>
      <c r="AR509" s="23">
        <v>46076</v>
      </c>
      <c r="AS509" s="14" t="s">
        <v>79</v>
      </c>
    </row>
    <row r="510" spans="1:45" x14ac:dyDescent="0.25">
      <c r="A510" s="14" t="s">
        <v>1700</v>
      </c>
      <c r="B510" s="14" t="s">
        <v>1701</v>
      </c>
      <c r="C510" s="14">
        <v>9874301128</v>
      </c>
      <c r="D510" s="15" t="s">
        <v>1707</v>
      </c>
      <c r="E510" s="14">
        <v>32</v>
      </c>
      <c r="F510" s="14" t="s">
        <v>71</v>
      </c>
      <c r="G510" s="14" t="s">
        <v>120</v>
      </c>
      <c r="H510" s="14" t="s">
        <v>166</v>
      </c>
      <c r="I510" s="14" t="s">
        <v>74</v>
      </c>
      <c r="J510" s="15">
        <v>1423279</v>
      </c>
      <c r="K510" s="14">
        <v>0</v>
      </c>
      <c r="L510" s="14" t="s">
        <v>75</v>
      </c>
      <c r="M510" s="14" t="s">
        <v>75</v>
      </c>
      <c r="N510" s="14" t="s">
        <v>75</v>
      </c>
      <c r="O510" s="14" t="s">
        <v>75</v>
      </c>
      <c r="P510" s="14">
        <v>841</v>
      </c>
      <c r="Q510" s="15">
        <v>20394.86</v>
      </c>
      <c r="R510" s="15">
        <v>376.3</v>
      </c>
      <c r="S510" s="14" t="s">
        <v>20</v>
      </c>
      <c r="T510" s="15">
        <v>424769</v>
      </c>
      <c r="U510" s="16">
        <f t="shared" si="77"/>
        <v>3.1726738046440653E-3</v>
      </c>
      <c r="V510" s="14">
        <v>1</v>
      </c>
      <c r="W510" s="17">
        <v>29.6</v>
      </c>
      <c r="X510" s="14">
        <v>12.9</v>
      </c>
      <c r="Y510" s="18">
        <f t="shared" si="78"/>
        <v>11</v>
      </c>
      <c r="Z510" s="18" t="str">
        <f t="shared" si="79"/>
        <v>Low</v>
      </c>
      <c r="AA510" s="19" t="str">
        <f t="shared" si="80"/>
        <v>Eligible</v>
      </c>
      <c r="AB510" s="14" t="s">
        <v>85</v>
      </c>
      <c r="AC510" s="14">
        <v>3</v>
      </c>
      <c r="AD510" s="14" t="s">
        <v>93</v>
      </c>
      <c r="AE510" s="17">
        <v>10.3</v>
      </c>
      <c r="AF510" s="15">
        <v>0</v>
      </c>
      <c r="AG510" s="20">
        <f t="shared" si="81"/>
        <v>1423279</v>
      </c>
      <c r="AH510" s="14">
        <v>0</v>
      </c>
      <c r="AI510" s="14" t="s">
        <v>75</v>
      </c>
      <c r="AJ510" s="14">
        <v>12</v>
      </c>
      <c r="AK510" s="21">
        <f t="shared" si="82"/>
        <v>0.36</v>
      </c>
      <c r="AL510" s="20">
        <f t="shared" si="83"/>
        <v>42673.179584265032</v>
      </c>
      <c r="AM510" s="22">
        <f t="shared" si="84"/>
        <v>0.29844394528409396</v>
      </c>
      <c r="AN510" s="20">
        <f t="shared" si="85"/>
        <v>43049.479584265035</v>
      </c>
      <c r="AO510" s="16">
        <f t="shared" si="86"/>
        <v>0.36296028748487147</v>
      </c>
      <c r="AP510" s="15">
        <v>0</v>
      </c>
      <c r="AQ510" s="18" t="str">
        <f t="shared" si="87"/>
        <v>N/A</v>
      </c>
      <c r="AR510" s="23">
        <v>46099</v>
      </c>
      <c r="AS510" s="14" t="s">
        <v>79</v>
      </c>
    </row>
    <row r="511" spans="1:45" x14ac:dyDescent="0.25">
      <c r="A511" s="14" t="s">
        <v>1703</v>
      </c>
      <c r="B511" s="14" t="s">
        <v>1704</v>
      </c>
      <c r="C511" s="14"/>
      <c r="D511" s="15" t="s">
        <v>1710</v>
      </c>
      <c r="E511" s="14">
        <v>60</v>
      </c>
      <c r="F511" s="14" t="s">
        <v>89</v>
      </c>
      <c r="G511" s="14" t="s">
        <v>98</v>
      </c>
      <c r="H511" s="14" t="s">
        <v>144</v>
      </c>
      <c r="I511" s="14" t="s">
        <v>92</v>
      </c>
      <c r="J511" s="15">
        <v>1589734</v>
      </c>
      <c r="K511" s="14">
        <v>3</v>
      </c>
      <c r="L511" s="14" t="s">
        <v>76</v>
      </c>
      <c r="M511" s="14" t="s">
        <v>76</v>
      </c>
      <c r="N511" s="14" t="s">
        <v>76</v>
      </c>
      <c r="O511" s="14" t="s">
        <v>75</v>
      </c>
      <c r="P511" s="14">
        <v>433</v>
      </c>
      <c r="Q511" s="15">
        <v>623567</v>
      </c>
      <c r="R511" s="15">
        <v>6056.17</v>
      </c>
      <c r="S511" s="14" t="s">
        <v>23</v>
      </c>
      <c r="T511" s="15">
        <v>7610690</v>
      </c>
      <c r="U511" s="16">
        <f t="shared" si="77"/>
        <v>4.5714591246082681E-2</v>
      </c>
      <c r="V511" s="14">
        <v>0</v>
      </c>
      <c r="W511" s="17">
        <v>96.3</v>
      </c>
      <c r="X511" s="14">
        <v>3.9</v>
      </c>
      <c r="Y511" s="18">
        <f t="shared" si="78"/>
        <v>42.1</v>
      </c>
      <c r="Z511" s="18" t="str">
        <f t="shared" si="79"/>
        <v>Medium</v>
      </c>
      <c r="AA511" s="19" t="str">
        <f t="shared" si="80"/>
        <v>Not Eligible</v>
      </c>
      <c r="AB511" s="14" t="s">
        <v>85</v>
      </c>
      <c r="AC511" s="14">
        <v>0</v>
      </c>
      <c r="AD511" s="14" t="s">
        <v>78</v>
      </c>
      <c r="AE511" s="17">
        <v>28.4</v>
      </c>
      <c r="AF511" s="15">
        <v>0</v>
      </c>
      <c r="AG511" s="20">
        <f t="shared" si="81"/>
        <v>1589734</v>
      </c>
      <c r="AH511" s="14">
        <v>0</v>
      </c>
      <c r="AI511" s="14" t="s">
        <v>76</v>
      </c>
      <c r="AJ511" s="14">
        <v>240</v>
      </c>
      <c r="AK511" s="21">
        <f t="shared" si="82"/>
        <v>0.1</v>
      </c>
      <c r="AL511" s="20">
        <f t="shared" si="83"/>
        <v>73444.805839483</v>
      </c>
      <c r="AM511" s="22">
        <f t="shared" si="84"/>
        <v>4.7873983949516079</v>
      </c>
      <c r="AN511" s="20">
        <f t="shared" si="85"/>
        <v>79500.975839482999</v>
      </c>
      <c r="AO511" s="16">
        <f t="shared" si="86"/>
        <v>0.60010776021258649</v>
      </c>
      <c r="AP511" s="15">
        <v>4412175</v>
      </c>
      <c r="AQ511" s="18">
        <f t="shared" si="87"/>
        <v>1.724929314907047</v>
      </c>
      <c r="AR511" s="23">
        <v>45916</v>
      </c>
      <c r="AS511" s="14" t="s">
        <v>79</v>
      </c>
    </row>
    <row r="512" spans="1:45" x14ac:dyDescent="0.25">
      <c r="A512" s="14" t="s">
        <v>1706</v>
      </c>
      <c r="B512" s="14" t="s">
        <v>1611</v>
      </c>
      <c r="C512" s="14">
        <v>9332768176</v>
      </c>
      <c r="D512" s="15" t="s">
        <v>1713</v>
      </c>
      <c r="E512" s="14">
        <v>42</v>
      </c>
      <c r="F512" s="14" t="s">
        <v>71</v>
      </c>
      <c r="G512" s="14" t="s">
        <v>143</v>
      </c>
      <c r="H512" s="14" t="s">
        <v>91</v>
      </c>
      <c r="I512" s="14" t="s">
        <v>92</v>
      </c>
      <c r="J512" s="15">
        <v>397576</v>
      </c>
      <c r="K512" s="14">
        <v>0</v>
      </c>
      <c r="L512" s="14" t="s">
        <v>75</v>
      </c>
      <c r="M512" s="14" t="s">
        <v>75</v>
      </c>
      <c r="N512" s="14" t="s">
        <v>75</v>
      </c>
      <c r="O512" s="14" t="s">
        <v>75</v>
      </c>
      <c r="P512" s="14">
        <v>597</v>
      </c>
      <c r="Q512" s="15">
        <v>99611.41</v>
      </c>
      <c r="R512" s="15">
        <v>453.22</v>
      </c>
      <c r="S512" s="14" t="s">
        <v>20</v>
      </c>
      <c r="T512" s="15">
        <v>2299499</v>
      </c>
      <c r="U512" s="16">
        <f t="shared" si="77"/>
        <v>1.3679497756403808E-2</v>
      </c>
      <c r="V512" s="14">
        <v>0</v>
      </c>
      <c r="W512" s="17">
        <v>15.4</v>
      </c>
      <c r="X512" s="14">
        <v>3.8</v>
      </c>
      <c r="Y512" s="18">
        <f t="shared" si="78"/>
        <v>22.2</v>
      </c>
      <c r="Z512" s="18" t="str">
        <f t="shared" si="79"/>
        <v>Low</v>
      </c>
      <c r="AA512" s="19" t="str">
        <f t="shared" si="80"/>
        <v>Review</v>
      </c>
      <c r="AB512" s="14" t="s">
        <v>77</v>
      </c>
      <c r="AC512" s="14">
        <v>2</v>
      </c>
      <c r="AD512" s="14" t="s">
        <v>93</v>
      </c>
      <c r="AE512" s="17">
        <v>6</v>
      </c>
      <c r="AF512" s="15">
        <v>0</v>
      </c>
      <c r="AG512" s="20">
        <f t="shared" si="81"/>
        <v>397576</v>
      </c>
      <c r="AH512" s="14">
        <v>0</v>
      </c>
      <c r="AI512" s="14" t="s">
        <v>75</v>
      </c>
      <c r="AJ512" s="14">
        <v>12</v>
      </c>
      <c r="AK512" s="21">
        <f t="shared" si="82"/>
        <v>0.36</v>
      </c>
      <c r="AL512" s="20">
        <f t="shared" si="83"/>
        <v>231012.46508299297</v>
      </c>
      <c r="AM512" s="22">
        <f t="shared" si="84"/>
        <v>5.7837973117089563</v>
      </c>
      <c r="AN512" s="20">
        <f t="shared" si="85"/>
        <v>231465.68508299298</v>
      </c>
      <c r="AO512" s="16">
        <f t="shared" si="86"/>
        <v>6.9863075764027895</v>
      </c>
      <c r="AP512" s="15">
        <v>0</v>
      </c>
      <c r="AQ512" s="18" t="str">
        <f t="shared" si="87"/>
        <v>N/A</v>
      </c>
      <c r="AR512" s="23">
        <v>46239</v>
      </c>
      <c r="AS512" s="14" t="s">
        <v>79</v>
      </c>
    </row>
    <row r="513" spans="1:45" x14ac:dyDescent="0.25">
      <c r="A513" s="14" t="s">
        <v>1708</v>
      </c>
      <c r="B513" s="14" t="s">
        <v>1709</v>
      </c>
      <c r="C513" s="14">
        <v>9741235032</v>
      </c>
      <c r="D513" s="15" t="s">
        <v>1717</v>
      </c>
      <c r="E513" s="14">
        <v>39</v>
      </c>
      <c r="F513" s="14" t="s">
        <v>71</v>
      </c>
      <c r="G513" s="14" t="s">
        <v>388</v>
      </c>
      <c r="H513" s="14" t="s">
        <v>91</v>
      </c>
      <c r="I513" s="14" t="s">
        <v>92</v>
      </c>
      <c r="J513" s="15">
        <v>1176346</v>
      </c>
      <c r="K513" s="14">
        <v>1</v>
      </c>
      <c r="L513" s="14" t="s">
        <v>75</v>
      </c>
      <c r="M513" s="14" t="s">
        <v>75</v>
      </c>
      <c r="N513" s="14" t="s">
        <v>76</v>
      </c>
      <c r="O513" s="14" t="s">
        <v>75</v>
      </c>
      <c r="P513" s="14">
        <v>622</v>
      </c>
      <c r="Q513" s="15">
        <v>1312332</v>
      </c>
      <c r="R513" s="15">
        <v>32819.32</v>
      </c>
      <c r="S513" s="14" t="s">
        <v>23</v>
      </c>
      <c r="T513" s="15">
        <v>460791</v>
      </c>
      <c r="U513" s="16">
        <f t="shared" si="77"/>
        <v>0.33479251852771208</v>
      </c>
      <c r="V513" s="14">
        <v>0</v>
      </c>
      <c r="W513" s="17">
        <v>18.399999999999999</v>
      </c>
      <c r="X513" s="14">
        <v>1.7</v>
      </c>
      <c r="Y513" s="18">
        <f t="shared" si="78"/>
        <v>30.4</v>
      </c>
      <c r="Z513" s="18" t="str">
        <f t="shared" si="79"/>
        <v>Medium</v>
      </c>
      <c r="AA513" s="19" t="str">
        <f t="shared" si="80"/>
        <v>Review</v>
      </c>
      <c r="AB513" s="14" t="s">
        <v>85</v>
      </c>
      <c r="AC513" s="14">
        <v>2</v>
      </c>
      <c r="AD513" s="14" t="s">
        <v>93</v>
      </c>
      <c r="AE513" s="17">
        <v>13.1</v>
      </c>
      <c r="AF513" s="15">
        <v>0</v>
      </c>
      <c r="AG513" s="20">
        <f t="shared" si="81"/>
        <v>1176346</v>
      </c>
      <c r="AH513" s="14">
        <v>0</v>
      </c>
      <c r="AI513" s="14" t="s">
        <v>75</v>
      </c>
      <c r="AJ513" s="14">
        <v>180</v>
      </c>
      <c r="AK513" s="21">
        <f t="shared" si="82"/>
        <v>0.1</v>
      </c>
      <c r="AL513" s="20">
        <f t="shared" si="83"/>
        <v>4951.6836679384051</v>
      </c>
      <c r="AM513" s="22">
        <f t="shared" si="84"/>
        <v>0.39171383249486119</v>
      </c>
      <c r="AN513" s="20">
        <f t="shared" si="85"/>
        <v>37771.003667938407</v>
      </c>
      <c r="AO513" s="16">
        <f t="shared" si="86"/>
        <v>0.38530504121683662</v>
      </c>
      <c r="AP513" s="15">
        <v>9211021</v>
      </c>
      <c r="AQ513" s="18">
        <f t="shared" si="87"/>
        <v>5.0026050315160504E-2</v>
      </c>
      <c r="AR513" s="23">
        <v>45941</v>
      </c>
      <c r="AS513" s="14" t="s">
        <v>79</v>
      </c>
    </row>
    <row r="514" spans="1:45" x14ac:dyDescent="0.25">
      <c r="A514" s="14" t="s">
        <v>1711</v>
      </c>
      <c r="B514" s="14" t="s">
        <v>1712</v>
      </c>
      <c r="C514" s="14">
        <v>9612547316</v>
      </c>
      <c r="D514" s="15" t="s">
        <v>1721</v>
      </c>
      <c r="E514" s="14">
        <v>62</v>
      </c>
      <c r="F514" s="14" t="s">
        <v>89</v>
      </c>
      <c r="G514" s="14" t="s">
        <v>131</v>
      </c>
      <c r="H514" s="14" t="s">
        <v>166</v>
      </c>
      <c r="I514" s="14" t="s">
        <v>74</v>
      </c>
      <c r="J514" s="15">
        <v>2005600</v>
      </c>
      <c r="K514" s="14">
        <v>0</v>
      </c>
      <c r="L514" s="14" t="s">
        <v>75</v>
      </c>
      <c r="M514" s="14" t="s">
        <v>75</v>
      </c>
      <c r="N514" s="14" t="s">
        <v>75</v>
      </c>
      <c r="O514" s="14" t="s">
        <v>75</v>
      </c>
      <c r="P514" s="14">
        <v>817</v>
      </c>
      <c r="Q514" s="15">
        <v>44786.74</v>
      </c>
      <c r="R514" s="15">
        <v>3112.86</v>
      </c>
      <c r="S514" s="14" t="s">
        <v>23</v>
      </c>
      <c r="T514" s="15">
        <v>1002947</v>
      </c>
      <c r="U514" s="16">
        <f t="shared" ref="U514:U577" si="88">IFERROR((R514*12)/J514,0)</f>
        <v>1.862500997207818E-2</v>
      </c>
      <c r="V514" s="14">
        <v>1</v>
      </c>
      <c r="W514" s="17">
        <v>52.6</v>
      </c>
      <c r="X514" s="14">
        <v>6.2</v>
      </c>
      <c r="Y514" s="18">
        <f t="shared" ref="Y514:Y577" si="89">ROUND(0.4*((900-P514)/600*100)+0.3*MIN(U514*100,100)+0.2*MIN(V514*20,100)+0.1*W514,1)</f>
        <v>15.4</v>
      </c>
      <c r="Z514" s="18" t="str">
        <f t="shared" ref="Z514:Z577" si="90">IF(Y514&lt;=30,"Low",IF(Y514&lt;=60,"Medium","High"))</f>
        <v>Low</v>
      </c>
      <c r="AA514" s="19" t="str">
        <f t="shared" ref="AA514:AA577" si="91">IF(AND(P514&gt;=650,U514&lt;=0.4,V514&lt;=2,Y514&lt;=50),"Eligible",IF(AND(P514&gt;=550,V514&lt;=4,Y514&lt;=75),"Review","Not Eligible"))</f>
        <v>Eligible</v>
      </c>
      <c r="AB514" s="14" t="s">
        <v>85</v>
      </c>
      <c r="AC514" s="14">
        <v>3</v>
      </c>
      <c r="AD514" s="14" t="s">
        <v>93</v>
      </c>
      <c r="AE514" s="17">
        <v>0.6</v>
      </c>
      <c r="AF514" s="15">
        <v>765262</v>
      </c>
      <c r="AG514" s="20">
        <f t="shared" ref="AG514:AG577" si="92">J514+AF514</f>
        <v>2770862</v>
      </c>
      <c r="AH514" s="14">
        <v>3</v>
      </c>
      <c r="AI514" s="14" t="s">
        <v>75</v>
      </c>
      <c r="AJ514" s="14">
        <v>120</v>
      </c>
      <c r="AK514" s="21">
        <f t="shared" ref="AK514:AK577" si="93">(IF(S514="Credit Card",0.36,IF(S514="Personal Loan",0.14,IF(S514="Car Loan",0.09,0.085))))+IF(Z514="Low",0,IF(Z514="Medium",0.015,0.03))</f>
        <v>8.5000000000000006E-2</v>
      </c>
      <c r="AL514" s="20">
        <f t="shared" ref="AL514:AL577" si="94">-PMT(AK514/12,AJ514,T514)</f>
        <v>12435.10746996243</v>
      </c>
      <c r="AM514" s="22">
        <f t="shared" ref="AM514:AM577" si="95">IFERROR(T514/J514,0)</f>
        <v>0.50007329477463103</v>
      </c>
      <c r="AN514" s="20">
        <f t="shared" ref="AN514:AN577" si="96">R514+AL514</f>
        <v>15547.96746996243</v>
      </c>
      <c r="AO514" s="16">
        <f t="shared" ref="AO514:AO577" si="97">IFERROR((AN514*12)/J514,0)</f>
        <v>9.3027328300533091E-2</v>
      </c>
      <c r="AP514" s="15">
        <v>2836770</v>
      </c>
      <c r="AQ514" s="18">
        <f t="shared" ref="AQ514:AQ577" si="98">IF(AP514&gt;0,T514/AP514,"N/A")</f>
        <v>0.35355245578598193</v>
      </c>
      <c r="AR514" s="23">
        <v>46107</v>
      </c>
      <c r="AS514" s="14" t="s">
        <v>79</v>
      </c>
    </row>
    <row r="515" spans="1:45" x14ac:dyDescent="0.25">
      <c r="A515" s="14" t="s">
        <v>1714</v>
      </c>
      <c r="B515" s="14" t="s">
        <v>1715</v>
      </c>
      <c r="C515" s="14"/>
      <c r="D515" s="15" t="s">
        <v>1724</v>
      </c>
      <c r="E515" s="14">
        <v>36</v>
      </c>
      <c r="F515" s="14" t="s">
        <v>89</v>
      </c>
      <c r="G515" s="14" t="s">
        <v>226</v>
      </c>
      <c r="H515" s="14" t="s">
        <v>107</v>
      </c>
      <c r="I515" s="14" t="s">
        <v>92</v>
      </c>
      <c r="J515" s="15">
        <v>2386044</v>
      </c>
      <c r="K515" s="14">
        <v>3</v>
      </c>
      <c r="L515" s="14" t="s">
        <v>76</v>
      </c>
      <c r="M515" s="14" t="s">
        <v>76</v>
      </c>
      <c r="N515" s="14" t="s">
        <v>75</v>
      </c>
      <c r="O515" s="14" t="s">
        <v>76</v>
      </c>
      <c r="P515" s="14">
        <v>725</v>
      </c>
      <c r="Q515" s="15">
        <v>652070</v>
      </c>
      <c r="R515" s="15">
        <v>25732</v>
      </c>
      <c r="S515" s="14" t="s">
        <v>21</v>
      </c>
      <c r="T515" s="15">
        <v>1119126</v>
      </c>
      <c r="U515" s="16">
        <f t="shared" si="88"/>
        <v>0.12941253388453861</v>
      </c>
      <c r="V515" s="14">
        <v>0</v>
      </c>
      <c r="W515" s="17">
        <v>80.2</v>
      </c>
      <c r="X515" s="14">
        <v>2.2000000000000002</v>
      </c>
      <c r="Y515" s="18">
        <f t="shared" si="89"/>
        <v>23.6</v>
      </c>
      <c r="Z515" s="18" t="str">
        <f t="shared" si="90"/>
        <v>Low</v>
      </c>
      <c r="AA515" s="19" t="str">
        <f t="shared" si="91"/>
        <v>Eligible</v>
      </c>
      <c r="AB515" s="14" t="s">
        <v>85</v>
      </c>
      <c r="AC515" s="14">
        <v>1</v>
      </c>
      <c r="AD515" s="14" t="s">
        <v>78</v>
      </c>
      <c r="AE515" s="17">
        <v>2.1</v>
      </c>
      <c r="AF515" s="15">
        <v>0</v>
      </c>
      <c r="AG515" s="20">
        <f t="shared" si="92"/>
        <v>2386044</v>
      </c>
      <c r="AH515" s="14">
        <v>1</v>
      </c>
      <c r="AI515" s="14" t="s">
        <v>75</v>
      </c>
      <c r="AJ515" s="14">
        <v>60</v>
      </c>
      <c r="AK515" s="21">
        <f t="shared" si="93"/>
        <v>0.14000000000000001</v>
      </c>
      <c r="AL515" s="20">
        <f t="shared" si="94"/>
        <v>26040.104500071859</v>
      </c>
      <c r="AM515" s="22">
        <f t="shared" si="95"/>
        <v>0.46902990892037194</v>
      </c>
      <c r="AN515" s="20">
        <f t="shared" si="96"/>
        <v>51772.104500071859</v>
      </c>
      <c r="AO515" s="16">
        <f t="shared" si="97"/>
        <v>0.26037460080403479</v>
      </c>
      <c r="AP515" s="15">
        <v>0</v>
      </c>
      <c r="AQ515" s="18" t="str">
        <f t="shared" si="98"/>
        <v>N/A</v>
      </c>
      <c r="AR515" s="23">
        <v>46044</v>
      </c>
      <c r="AS515" s="14" t="s">
        <v>79</v>
      </c>
    </row>
    <row r="516" spans="1:45" x14ac:dyDescent="0.25">
      <c r="A516" s="14" t="s">
        <v>1718</v>
      </c>
      <c r="B516" s="14" t="s">
        <v>1719</v>
      </c>
      <c r="C516" s="14">
        <v>9646615999</v>
      </c>
      <c r="D516" s="15" t="s">
        <v>1726</v>
      </c>
      <c r="E516" s="14">
        <v>58</v>
      </c>
      <c r="F516" s="14" t="s">
        <v>71</v>
      </c>
      <c r="G516" s="14" t="s">
        <v>174</v>
      </c>
      <c r="H516" s="14" t="s">
        <v>91</v>
      </c>
      <c r="I516" s="14" t="s">
        <v>92</v>
      </c>
      <c r="J516" s="15">
        <v>1015551</v>
      </c>
      <c r="K516" s="14">
        <v>2</v>
      </c>
      <c r="L516" s="14" t="s">
        <v>75</v>
      </c>
      <c r="M516" s="14" t="s">
        <v>76</v>
      </c>
      <c r="N516" s="14" t="s">
        <v>76</v>
      </c>
      <c r="O516" s="14" t="s">
        <v>75</v>
      </c>
      <c r="P516" s="14">
        <v>451</v>
      </c>
      <c r="Q516" s="15">
        <v>1037761.71</v>
      </c>
      <c r="R516" s="15">
        <v>1119.67</v>
      </c>
      <c r="S516" s="14" t="s">
        <v>22</v>
      </c>
      <c r="T516" s="15"/>
      <c r="U516" s="16">
        <f t="shared" si="88"/>
        <v>1.3230295672004656E-2</v>
      </c>
      <c r="V516" s="14">
        <v>0</v>
      </c>
      <c r="W516" s="17">
        <v>12.3</v>
      </c>
      <c r="X516" s="14">
        <v>4</v>
      </c>
      <c r="Y516" s="18">
        <f t="shared" si="89"/>
        <v>31.6</v>
      </c>
      <c r="Z516" s="18" t="str">
        <f t="shared" si="90"/>
        <v>Medium</v>
      </c>
      <c r="AA516" s="19" t="str">
        <f t="shared" si="91"/>
        <v>Not Eligible</v>
      </c>
      <c r="AB516" s="14" t="s">
        <v>85</v>
      </c>
      <c r="AC516" s="14">
        <v>2</v>
      </c>
      <c r="AD516" s="14" t="s">
        <v>93</v>
      </c>
      <c r="AE516" s="17">
        <v>4.2</v>
      </c>
      <c r="AF516" s="15">
        <v>0</v>
      </c>
      <c r="AG516" s="20">
        <f t="shared" si="92"/>
        <v>1015551</v>
      </c>
      <c r="AH516" s="14">
        <v>3</v>
      </c>
      <c r="AI516" s="14" t="s">
        <v>75</v>
      </c>
      <c r="AJ516" s="14">
        <v>48</v>
      </c>
      <c r="AK516" s="21">
        <f t="shared" si="93"/>
        <v>0.105</v>
      </c>
      <c r="AL516" s="20">
        <f t="shared" si="94"/>
        <v>0</v>
      </c>
      <c r="AM516" s="22">
        <f t="shared" si="95"/>
        <v>0</v>
      </c>
      <c r="AN516" s="20">
        <f t="shared" si="96"/>
        <v>1119.67</v>
      </c>
      <c r="AO516" s="16">
        <f t="shared" si="97"/>
        <v>1.3230295672004656E-2</v>
      </c>
      <c r="AP516" s="15">
        <v>1179562</v>
      </c>
      <c r="AQ516" s="18">
        <f t="shared" si="98"/>
        <v>0</v>
      </c>
      <c r="AR516" s="23">
        <v>46067</v>
      </c>
      <c r="AS516" s="14" t="s">
        <v>79</v>
      </c>
    </row>
    <row r="517" spans="1:45" x14ac:dyDescent="0.25">
      <c r="A517" s="14" t="s">
        <v>1722</v>
      </c>
      <c r="B517" s="14" t="s">
        <v>1723</v>
      </c>
      <c r="C517" s="14">
        <v>9501904358</v>
      </c>
      <c r="D517" s="15" t="s">
        <v>1730</v>
      </c>
      <c r="E517" s="14">
        <v>54</v>
      </c>
      <c r="F517" s="14" t="s">
        <v>71</v>
      </c>
      <c r="G517" s="14" t="s">
        <v>139</v>
      </c>
      <c r="H517" s="14" t="s">
        <v>132</v>
      </c>
      <c r="I517" s="14" t="s">
        <v>92</v>
      </c>
      <c r="J517" s="15">
        <v>2088937</v>
      </c>
      <c r="K517" s="14">
        <v>2</v>
      </c>
      <c r="L517" s="14" t="s">
        <v>75</v>
      </c>
      <c r="M517" s="14" t="s">
        <v>76</v>
      </c>
      <c r="N517" s="14" t="s">
        <v>76</v>
      </c>
      <c r="O517" s="14" t="s">
        <v>75</v>
      </c>
      <c r="P517" s="14">
        <v>356</v>
      </c>
      <c r="Q517" s="15">
        <v>181088</v>
      </c>
      <c r="R517" s="15">
        <v>26082.799999999999</v>
      </c>
      <c r="S517" s="14" t="s">
        <v>22</v>
      </c>
      <c r="T517" s="15"/>
      <c r="U517" s="16">
        <f t="shared" si="88"/>
        <v>0.14983391074024729</v>
      </c>
      <c r="V517" s="14">
        <v>0</v>
      </c>
      <c r="W517" s="17">
        <v>62.7</v>
      </c>
      <c r="X517" s="14">
        <v>12.3</v>
      </c>
      <c r="Y517" s="18">
        <f t="shared" si="89"/>
        <v>47</v>
      </c>
      <c r="Z517" s="18" t="str">
        <f t="shared" si="90"/>
        <v>Medium</v>
      </c>
      <c r="AA517" s="19" t="str">
        <f t="shared" si="91"/>
        <v>Not Eligible</v>
      </c>
      <c r="AB517" s="14" t="s">
        <v>77</v>
      </c>
      <c r="AC517" s="14">
        <v>1</v>
      </c>
      <c r="AD517" s="14" t="s">
        <v>93</v>
      </c>
      <c r="AE517" s="17">
        <v>2.5</v>
      </c>
      <c r="AF517" s="15">
        <v>0</v>
      </c>
      <c r="AG517" s="20">
        <f t="shared" si="92"/>
        <v>2088937</v>
      </c>
      <c r="AH517" s="14">
        <v>0</v>
      </c>
      <c r="AI517" s="14" t="s">
        <v>76</v>
      </c>
      <c r="AJ517" s="14">
        <v>36</v>
      </c>
      <c r="AK517" s="21">
        <f t="shared" si="93"/>
        <v>0.105</v>
      </c>
      <c r="AL517" s="20">
        <f t="shared" si="94"/>
        <v>0</v>
      </c>
      <c r="AM517" s="22">
        <f t="shared" si="95"/>
        <v>0</v>
      </c>
      <c r="AN517" s="20">
        <f t="shared" si="96"/>
        <v>26082.799999999999</v>
      </c>
      <c r="AO517" s="16">
        <f t="shared" si="97"/>
        <v>0.14983391074024729</v>
      </c>
      <c r="AP517" s="15">
        <v>1231940</v>
      </c>
      <c r="AQ517" s="18">
        <f t="shared" si="98"/>
        <v>0</v>
      </c>
      <c r="AR517" s="23">
        <v>46069</v>
      </c>
      <c r="AS517" s="14" t="s">
        <v>79</v>
      </c>
    </row>
    <row r="518" spans="1:45" x14ac:dyDescent="0.25">
      <c r="A518" s="14" t="s">
        <v>1725</v>
      </c>
      <c r="B518" s="14" t="s">
        <v>1539</v>
      </c>
      <c r="C518" s="14">
        <v>9749248785</v>
      </c>
      <c r="D518" s="15" t="s">
        <v>1734</v>
      </c>
      <c r="E518" s="14">
        <v>48</v>
      </c>
      <c r="F518" s="14" t="s">
        <v>71</v>
      </c>
      <c r="G518" s="14" t="s">
        <v>115</v>
      </c>
      <c r="H518" s="14" t="s">
        <v>107</v>
      </c>
      <c r="I518" s="14" t="s">
        <v>92</v>
      </c>
      <c r="J518" s="15">
        <v>2080371</v>
      </c>
      <c r="K518" s="14">
        <v>1</v>
      </c>
      <c r="L518" s="14" t="s">
        <v>75</v>
      </c>
      <c r="M518" s="14" t="s">
        <v>75</v>
      </c>
      <c r="N518" s="14" t="s">
        <v>76</v>
      </c>
      <c r="O518" s="14" t="s">
        <v>75</v>
      </c>
      <c r="P518" s="14">
        <v>837</v>
      </c>
      <c r="Q518" s="15"/>
      <c r="R518" s="15">
        <v>34592.06</v>
      </c>
      <c r="S518" s="14" t="s">
        <v>20</v>
      </c>
      <c r="T518" s="15">
        <v>174354</v>
      </c>
      <c r="U518" s="16">
        <f t="shared" si="88"/>
        <v>0.19953398696674773</v>
      </c>
      <c r="V518" s="14">
        <v>0</v>
      </c>
      <c r="W518" s="17">
        <v>90.2</v>
      </c>
      <c r="X518" s="14">
        <v>0.3</v>
      </c>
      <c r="Y518" s="18">
        <f t="shared" si="89"/>
        <v>19.2</v>
      </c>
      <c r="Z518" s="18" t="str">
        <f t="shared" si="90"/>
        <v>Low</v>
      </c>
      <c r="AA518" s="19" t="str">
        <f t="shared" si="91"/>
        <v>Eligible</v>
      </c>
      <c r="AB518" s="14" t="s">
        <v>85</v>
      </c>
      <c r="AC518" s="14">
        <v>1</v>
      </c>
      <c r="AD518" s="14" t="s">
        <v>78</v>
      </c>
      <c r="AE518" s="17">
        <v>8.3000000000000007</v>
      </c>
      <c r="AF518" s="15">
        <v>0</v>
      </c>
      <c r="AG518" s="20">
        <f t="shared" si="92"/>
        <v>2080371</v>
      </c>
      <c r="AH518" s="14">
        <v>1</v>
      </c>
      <c r="AI518" s="14" t="s">
        <v>75</v>
      </c>
      <c r="AJ518" s="14">
        <v>18</v>
      </c>
      <c r="AK518" s="21">
        <f t="shared" si="93"/>
        <v>0.36</v>
      </c>
      <c r="AL518" s="20">
        <f t="shared" si="94"/>
        <v>12677.051964302964</v>
      </c>
      <c r="AM518" s="22">
        <f t="shared" si="95"/>
        <v>8.3809089820998273E-2</v>
      </c>
      <c r="AN518" s="20">
        <f t="shared" si="96"/>
        <v>47269.11196430296</v>
      </c>
      <c r="AO518" s="16">
        <f t="shared" si="97"/>
        <v>0.27265778246843259</v>
      </c>
      <c r="AP518" s="15">
        <v>0</v>
      </c>
      <c r="AQ518" s="18" t="str">
        <f t="shared" si="98"/>
        <v>N/A</v>
      </c>
      <c r="AR518" s="23">
        <v>46103</v>
      </c>
      <c r="AS518" s="14" t="s">
        <v>79</v>
      </c>
    </row>
    <row r="519" spans="1:45" x14ac:dyDescent="0.25">
      <c r="A519" s="14" t="s">
        <v>1727</v>
      </c>
      <c r="B519" s="14" t="s">
        <v>1728</v>
      </c>
      <c r="C519" s="14">
        <v>9705499264</v>
      </c>
      <c r="D519" s="15" t="s">
        <v>1738</v>
      </c>
      <c r="E519" s="14">
        <v>24</v>
      </c>
      <c r="F519" s="14" t="s">
        <v>71</v>
      </c>
      <c r="G519" s="14" t="s">
        <v>106</v>
      </c>
      <c r="H519" s="14" t="s">
        <v>107</v>
      </c>
      <c r="I519" s="14" t="s">
        <v>92</v>
      </c>
      <c r="J519" s="15">
        <v>375724</v>
      </c>
      <c r="K519" s="14">
        <v>1</v>
      </c>
      <c r="L519" s="14" t="s">
        <v>75</v>
      </c>
      <c r="M519" s="14" t="s">
        <v>76</v>
      </c>
      <c r="N519" s="14" t="s">
        <v>75</v>
      </c>
      <c r="O519" s="14" t="s">
        <v>75</v>
      </c>
      <c r="P519" s="14">
        <v>366</v>
      </c>
      <c r="Q519" s="15"/>
      <c r="R519" s="15">
        <v>6036.28</v>
      </c>
      <c r="S519" s="14" t="s">
        <v>21</v>
      </c>
      <c r="T519" s="15"/>
      <c r="U519" s="16">
        <f t="shared" si="88"/>
        <v>0.19278874918823391</v>
      </c>
      <c r="V519" s="14">
        <v>2</v>
      </c>
      <c r="W519" s="17">
        <v>48</v>
      </c>
      <c r="X519" s="14">
        <v>4</v>
      </c>
      <c r="Y519" s="18">
        <f t="shared" si="89"/>
        <v>54.2</v>
      </c>
      <c r="Z519" s="18" t="str">
        <f t="shared" si="90"/>
        <v>Medium</v>
      </c>
      <c r="AA519" s="19" t="str">
        <f t="shared" si="91"/>
        <v>Not Eligible</v>
      </c>
      <c r="AB519" s="14" t="s">
        <v>77</v>
      </c>
      <c r="AC519" s="14">
        <v>1</v>
      </c>
      <c r="AD519" s="14" t="s">
        <v>93</v>
      </c>
      <c r="AE519" s="17">
        <v>1.8</v>
      </c>
      <c r="AF519" s="15">
        <v>0</v>
      </c>
      <c r="AG519" s="20">
        <f t="shared" si="92"/>
        <v>375724</v>
      </c>
      <c r="AH519" s="14">
        <v>0</v>
      </c>
      <c r="AI519" s="14" t="s">
        <v>75</v>
      </c>
      <c r="AJ519" s="14">
        <v>48</v>
      </c>
      <c r="AK519" s="21">
        <f t="shared" si="93"/>
        <v>0.15500000000000003</v>
      </c>
      <c r="AL519" s="20">
        <f t="shared" si="94"/>
        <v>0</v>
      </c>
      <c r="AM519" s="22">
        <f t="shared" si="95"/>
        <v>0</v>
      </c>
      <c r="AN519" s="20">
        <f t="shared" si="96"/>
        <v>6036.28</v>
      </c>
      <c r="AO519" s="16">
        <f t="shared" si="97"/>
        <v>0.19278874918823391</v>
      </c>
      <c r="AP519" s="15">
        <v>0</v>
      </c>
      <c r="AQ519" s="18" t="str">
        <f t="shared" si="98"/>
        <v>N/A</v>
      </c>
      <c r="AR519" s="23">
        <v>46231</v>
      </c>
      <c r="AS519" s="14" t="s">
        <v>79</v>
      </c>
    </row>
    <row r="520" spans="1:45" x14ac:dyDescent="0.25">
      <c r="A520" s="14" t="s">
        <v>1731</v>
      </c>
      <c r="B520" s="14" t="s">
        <v>1732</v>
      </c>
      <c r="C520" s="14">
        <v>9103298787</v>
      </c>
      <c r="D520" s="15" t="s">
        <v>1742</v>
      </c>
      <c r="E520" s="14">
        <v>64</v>
      </c>
      <c r="F520" s="14" t="s">
        <v>89</v>
      </c>
      <c r="G520" s="14" t="s">
        <v>120</v>
      </c>
      <c r="H520" s="14" t="s">
        <v>144</v>
      </c>
      <c r="I520" s="14" t="s">
        <v>92</v>
      </c>
      <c r="J520" s="15">
        <v>1539616</v>
      </c>
      <c r="K520" s="14">
        <v>1</v>
      </c>
      <c r="L520" s="14" t="s">
        <v>76</v>
      </c>
      <c r="M520" s="14" t="s">
        <v>75</v>
      </c>
      <c r="N520" s="14" t="s">
        <v>75</v>
      </c>
      <c r="O520" s="14" t="s">
        <v>75</v>
      </c>
      <c r="P520" s="14">
        <v>882</v>
      </c>
      <c r="Q520" s="15"/>
      <c r="R520" s="15">
        <v>6947.89</v>
      </c>
      <c r="S520" s="14" t="s">
        <v>20</v>
      </c>
      <c r="T520" s="15">
        <v>7044187</v>
      </c>
      <c r="U520" s="16">
        <f t="shared" si="88"/>
        <v>5.4152905659593048E-2</v>
      </c>
      <c r="V520" s="14">
        <v>0</v>
      </c>
      <c r="W520" s="17">
        <v>52.5</v>
      </c>
      <c r="X520" s="14">
        <v>4.8</v>
      </c>
      <c r="Y520" s="18">
        <f t="shared" si="89"/>
        <v>8.1</v>
      </c>
      <c r="Z520" s="18" t="str">
        <f t="shared" si="90"/>
        <v>Low</v>
      </c>
      <c r="AA520" s="19" t="str">
        <f t="shared" si="91"/>
        <v>Eligible</v>
      </c>
      <c r="AB520" s="14" t="s">
        <v>77</v>
      </c>
      <c r="AC520" s="14">
        <v>4</v>
      </c>
      <c r="AD520" s="14" t="s">
        <v>78</v>
      </c>
      <c r="AE520" s="17">
        <v>5.5</v>
      </c>
      <c r="AF520" s="15">
        <v>288716</v>
      </c>
      <c r="AG520" s="20">
        <f t="shared" si="92"/>
        <v>1828332</v>
      </c>
      <c r="AH520" s="14">
        <v>1</v>
      </c>
      <c r="AI520" s="14" t="s">
        <v>75</v>
      </c>
      <c r="AJ520" s="14">
        <v>24</v>
      </c>
      <c r="AK520" s="21">
        <f t="shared" si="93"/>
        <v>0.36</v>
      </c>
      <c r="AL520" s="20">
        <f t="shared" si="94"/>
        <v>415941.03981132625</v>
      </c>
      <c r="AM520" s="22">
        <f t="shared" si="95"/>
        <v>4.5752882536944277</v>
      </c>
      <c r="AN520" s="20">
        <f t="shared" si="96"/>
        <v>422888.92981132626</v>
      </c>
      <c r="AO520" s="16">
        <f t="shared" si="97"/>
        <v>3.2960602888875634</v>
      </c>
      <c r="AP520" s="15">
        <v>0</v>
      </c>
      <c r="AQ520" s="18" t="str">
        <f t="shared" si="98"/>
        <v>N/A</v>
      </c>
      <c r="AR520" s="23">
        <v>45967</v>
      </c>
      <c r="AS520" s="14" t="s">
        <v>79</v>
      </c>
    </row>
    <row r="521" spans="1:45" x14ac:dyDescent="0.25">
      <c r="A521" s="14" t="s">
        <v>1735</v>
      </c>
      <c r="B521" s="14" t="s">
        <v>1736</v>
      </c>
      <c r="C521" s="14">
        <v>9905759254</v>
      </c>
      <c r="D521" s="15" t="s">
        <v>1745</v>
      </c>
      <c r="E521" s="14">
        <v>47</v>
      </c>
      <c r="F521" s="14" t="s">
        <v>71</v>
      </c>
      <c r="G521" s="14" t="s">
        <v>83</v>
      </c>
      <c r="H521" s="14" t="s">
        <v>107</v>
      </c>
      <c r="I521" s="14" t="s">
        <v>92</v>
      </c>
      <c r="J521" s="15">
        <v>950120</v>
      </c>
      <c r="K521" s="14">
        <v>2</v>
      </c>
      <c r="L521" s="14" t="s">
        <v>76</v>
      </c>
      <c r="M521" s="14" t="s">
        <v>76</v>
      </c>
      <c r="N521" s="14" t="s">
        <v>75</v>
      </c>
      <c r="O521" s="14" t="s">
        <v>75</v>
      </c>
      <c r="P521" s="14">
        <v>331</v>
      </c>
      <c r="Q521" s="15">
        <v>474195</v>
      </c>
      <c r="R521" s="15">
        <v>15910.86</v>
      </c>
      <c r="S521" s="14" t="s">
        <v>21</v>
      </c>
      <c r="T521" s="15">
        <v>7811025</v>
      </c>
      <c r="U521" s="16">
        <f t="shared" si="88"/>
        <v>0.20095390055992929</v>
      </c>
      <c r="V521" s="14">
        <v>1</v>
      </c>
      <c r="W521" s="17">
        <v>99.5</v>
      </c>
      <c r="X521" s="14">
        <v>3.6</v>
      </c>
      <c r="Y521" s="18">
        <f t="shared" si="89"/>
        <v>57.9</v>
      </c>
      <c r="Z521" s="18" t="str">
        <f t="shared" si="90"/>
        <v>Medium</v>
      </c>
      <c r="AA521" s="19" t="str">
        <f t="shared" si="91"/>
        <v>Not Eligible</v>
      </c>
      <c r="AB521" s="14" t="s">
        <v>77</v>
      </c>
      <c r="AC521" s="14">
        <v>1</v>
      </c>
      <c r="AD521" s="14" t="s">
        <v>93</v>
      </c>
      <c r="AE521" s="17">
        <v>23.6</v>
      </c>
      <c r="AF521" s="15">
        <v>0</v>
      </c>
      <c r="AG521" s="20">
        <f t="shared" si="92"/>
        <v>950120</v>
      </c>
      <c r="AH521" s="14">
        <v>2</v>
      </c>
      <c r="AI521" s="14" t="s">
        <v>75</v>
      </c>
      <c r="AJ521" s="14">
        <v>60</v>
      </c>
      <c r="AK521" s="21">
        <f t="shared" si="93"/>
        <v>0.15500000000000003</v>
      </c>
      <c r="AL521" s="20">
        <f t="shared" si="94"/>
        <v>187880.07685337655</v>
      </c>
      <c r="AM521" s="22">
        <f t="shared" si="95"/>
        <v>8.2210931250789372</v>
      </c>
      <c r="AN521" s="20">
        <f t="shared" si="96"/>
        <v>203790.93685337657</v>
      </c>
      <c r="AO521" s="16">
        <f t="shared" si="97"/>
        <v>2.5738761864191035</v>
      </c>
      <c r="AP521" s="15">
        <v>0</v>
      </c>
      <c r="AQ521" s="18" t="str">
        <f t="shared" si="98"/>
        <v>N/A</v>
      </c>
      <c r="AR521" s="23">
        <v>45903</v>
      </c>
      <c r="AS521" s="14" t="s">
        <v>79</v>
      </c>
    </row>
    <row r="522" spans="1:45" x14ac:dyDescent="0.25">
      <c r="A522" s="14" t="s">
        <v>1739</v>
      </c>
      <c r="B522" s="14" t="s">
        <v>1740</v>
      </c>
      <c r="C522" s="14">
        <v>9984038250</v>
      </c>
      <c r="D522" s="15" t="s">
        <v>1747</v>
      </c>
      <c r="E522" s="14">
        <v>47</v>
      </c>
      <c r="F522" s="14" t="s">
        <v>71</v>
      </c>
      <c r="G522" s="14" t="s">
        <v>72</v>
      </c>
      <c r="H522" s="14" t="s">
        <v>99</v>
      </c>
      <c r="I522" s="14" t="s">
        <v>74</v>
      </c>
      <c r="J522" s="15">
        <v>1731682</v>
      </c>
      <c r="K522" s="14">
        <v>1</v>
      </c>
      <c r="L522" s="14" t="s">
        <v>76</v>
      </c>
      <c r="M522" s="14" t="s">
        <v>75</v>
      </c>
      <c r="N522" s="14" t="s">
        <v>75</v>
      </c>
      <c r="O522" s="14" t="s">
        <v>75</v>
      </c>
      <c r="P522" s="14">
        <v>667</v>
      </c>
      <c r="Q522" s="15"/>
      <c r="R522" s="15">
        <v>26940.05</v>
      </c>
      <c r="S522" s="14" t="s">
        <v>23</v>
      </c>
      <c r="T522" s="15"/>
      <c r="U522" s="16">
        <f t="shared" si="88"/>
        <v>0.18668589267544503</v>
      </c>
      <c r="V522" s="14">
        <v>0</v>
      </c>
      <c r="W522" s="17">
        <v>79.400000000000006</v>
      </c>
      <c r="X522" s="14">
        <v>5.9</v>
      </c>
      <c r="Y522" s="18">
        <f t="shared" si="89"/>
        <v>29.1</v>
      </c>
      <c r="Z522" s="18" t="str">
        <f t="shared" si="90"/>
        <v>Low</v>
      </c>
      <c r="AA522" s="19" t="str">
        <f t="shared" si="91"/>
        <v>Eligible</v>
      </c>
      <c r="AB522" s="14" t="s">
        <v>85</v>
      </c>
      <c r="AC522" s="14">
        <v>1</v>
      </c>
      <c r="AD522" s="14" t="s">
        <v>78</v>
      </c>
      <c r="AE522" s="17">
        <v>21.6</v>
      </c>
      <c r="AF522" s="15">
        <v>511447</v>
      </c>
      <c r="AG522" s="20">
        <f t="shared" si="92"/>
        <v>2243129</v>
      </c>
      <c r="AH522" s="14">
        <v>0</v>
      </c>
      <c r="AI522" s="14" t="s">
        <v>75</v>
      </c>
      <c r="AJ522" s="14">
        <v>180</v>
      </c>
      <c r="AK522" s="21">
        <f t="shared" si="93"/>
        <v>8.5000000000000006E-2</v>
      </c>
      <c r="AL522" s="20">
        <f t="shared" si="94"/>
        <v>0</v>
      </c>
      <c r="AM522" s="22">
        <f t="shared" si="95"/>
        <v>0</v>
      </c>
      <c r="AN522" s="20">
        <f t="shared" si="96"/>
        <v>26940.05</v>
      </c>
      <c r="AO522" s="16">
        <f t="shared" si="97"/>
        <v>0.18668589267544503</v>
      </c>
      <c r="AP522" s="15">
        <v>9450642</v>
      </c>
      <c r="AQ522" s="18">
        <f t="shared" si="98"/>
        <v>0</v>
      </c>
      <c r="AR522" s="23">
        <v>46165</v>
      </c>
      <c r="AS522" s="14" t="s">
        <v>79</v>
      </c>
    </row>
    <row r="523" spans="1:45" x14ac:dyDescent="0.25">
      <c r="A523" s="14" t="s">
        <v>1743</v>
      </c>
      <c r="B523" s="14" t="s">
        <v>1744</v>
      </c>
      <c r="C523" s="14"/>
      <c r="D523" s="15" t="s">
        <v>1750</v>
      </c>
      <c r="E523" s="14">
        <v>33</v>
      </c>
      <c r="F523" s="14" t="s">
        <v>89</v>
      </c>
      <c r="G523" s="14" t="s">
        <v>153</v>
      </c>
      <c r="H523" s="14" t="s">
        <v>144</v>
      </c>
      <c r="I523" s="14" t="s">
        <v>92</v>
      </c>
      <c r="J523" s="15">
        <v>924750</v>
      </c>
      <c r="K523" s="14">
        <v>1</v>
      </c>
      <c r="L523" s="14" t="s">
        <v>76</v>
      </c>
      <c r="M523" s="14" t="s">
        <v>75</v>
      </c>
      <c r="N523" s="14" t="s">
        <v>75</v>
      </c>
      <c r="O523" s="14" t="s">
        <v>75</v>
      </c>
      <c r="P523" s="14">
        <v>341</v>
      </c>
      <c r="Q523" s="15">
        <v>484722.71</v>
      </c>
      <c r="R523" s="15">
        <v>21554.33</v>
      </c>
      <c r="S523" s="14" t="s">
        <v>23</v>
      </c>
      <c r="T523" s="15">
        <v>642887</v>
      </c>
      <c r="U523" s="16">
        <f t="shared" si="88"/>
        <v>0.2796993349553934</v>
      </c>
      <c r="V523" s="14">
        <v>0</v>
      </c>
      <c r="W523" s="17">
        <v>5.6</v>
      </c>
      <c r="X523" s="14">
        <v>12.8</v>
      </c>
      <c r="Y523" s="18">
        <f t="shared" si="89"/>
        <v>46.2</v>
      </c>
      <c r="Z523" s="18" t="str">
        <f t="shared" si="90"/>
        <v>Medium</v>
      </c>
      <c r="AA523" s="19" t="str">
        <f t="shared" si="91"/>
        <v>Not Eligible</v>
      </c>
      <c r="AB523" s="14" t="s">
        <v>85</v>
      </c>
      <c r="AC523" s="14">
        <v>1</v>
      </c>
      <c r="AD523" s="14" t="s">
        <v>93</v>
      </c>
      <c r="AE523" s="17">
        <v>1</v>
      </c>
      <c r="AF523" s="15">
        <v>775283</v>
      </c>
      <c r="AG523" s="20">
        <f t="shared" si="92"/>
        <v>1700033</v>
      </c>
      <c r="AH523" s="14">
        <v>1</v>
      </c>
      <c r="AI523" s="14" t="s">
        <v>75</v>
      </c>
      <c r="AJ523" s="14">
        <v>120</v>
      </c>
      <c r="AK523" s="21">
        <f t="shared" si="93"/>
        <v>0.1</v>
      </c>
      <c r="AL523" s="20">
        <f t="shared" si="94"/>
        <v>8495.7990781705103</v>
      </c>
      <c r="AM523" s="22">
        <f t="shared" si="95"/>
        <v>0.69520086509867529</v>
      </c>
      <c r="AN523" s="20">
        <f t="shared" si="96"/>
        <v>30050.12907817051</v>
      </c>
      <c r="AO523" s="16">
        <f t="shared" si="97"/>
        <v>0.38994490287974704</v>
      </c>
      <c r="AP523" s="15">
        <v>9141270</v>
      </c>
      <c r="AQ523" s="18">
        <f t="shared" si="98"/>
        <v>7.0327974121757703E-2</v>
      </c>
      <c r="AR523" s="23">
        <v>45993</v>
      </c>
      <c r="AS523" s="14" t="s">
        <v>79</v>
      </c>
    </row>
    <row r="524" spans="1:45" x14ac:dyDescent="0.25">
      <c r="A524" s="14" t="s">
        <v>1746</v>
      </c>
      <c r="B524" s="14" t="s">
        <v>666</v>
      </c>
      <c r="C524" s="14">
        <v>9317560037</v>
      </c>
      <c r="D524" s="15" t="s">
        <v>1754</v>
      </c>
      <c r="E524" s="14">
        <v>24</v>
      </c>
      <c r="F524" s="14" t="s">
        <v>71</v>
      </c>
      <c r="G524" s="14" t="s">
        <v>153</v>
      </c>
      <c r="H524" s="14" t="s">
        <v>144</v>
      </c>
      <c r="I524" s="14" t="s">
        <v>92</v>
      </c>
      <c r="J524" s="15">
        <v>534823</v>
      </c>
      <c r="K524" s="14">
        <v>1</v>
      </c>
      <c r="L524" s="14" t="s">
        <v>75</v>
      </c>
      <c r="M524" s="14" t="s">
        <v>76</v>
      </c>
      <c r="N524" s="14" t="s">
        <v>75</v>
      </c>
      <c r="O524" s="14" t="s">
        <v>75</v>
      </c>
      <c r="P524" s="14">
        <v>629</v>
      </c>
      <c r="Q524" s="15"/>
      <c r="R524" s="15">
        <v>458.74</v>
      </c>
      <c r="S524" s="14" t="s">
        <v>21</v>
      </c>
      <c r="T524" s="15"/>
      <c r="U524" s="16">
        <f t="shared" si="88"/>
        <v>1.0292900641894608E-2</v>
      </c>
      <c r="V524" s="14">
        <v>1</v>
      </c>
      <c r="W524" s="17">
        <v>23.6</v>
      </c>
      <c r="X524" s="14">
        <v>8.8000000000000007</v>
      </c>
      <c r="Y524" s="18">
        <f t="shared" si="89"/>
        <v>24.7</v>
      </c>
      <c r="Z524" s="18" t="str">
        <f t="shared" si="90"/>
        <v>Low</v>
      </c>
      <c r="AA524" s="19" t="str">
        <f t="shared" si="91"/>
        <v>Review</v>
      </c>
      <c r="AB524" s="14" t="s">
        <v>85</v>
      </c>
      <c r="AC524" s="14">
        <v>1</v>
      </c>
      <c r="AD524" s="14" t="s">
        <v>78</v>
      </c>
      <c r="AE524" s="17">
        <v>2.2999999999999998</v>
      </c>
      <c r="AF524" s="15">
        <v>359850</v>
      </c>
      <c r="AG524" s="20">
        <f t="shared" si="92"/>
        <v>894673</v>
      </c>
      <c r="AH524" s="14">
        <v>0</v>
      </c>
      <c r="AI524" s="14" t="s">
        <v>75</v>
      </c>
      <c r="AJ524" s="14">
        <v>48</v>
      </c>
      <c r="AK524" s="21">
        <f t="shared" si="93"/>
        <v>0.14000000000000001</v>
      </c>
      <c r="AL524" s="20">
        <f t="shared" si="94"/>
        <v>0</v>
      </c>
      <c r="AM524" s="22">
        <f t="shared" si="95"/>
        <v>0</v>
      </c>
      <c r="AN524" s="20">
        <f t="shared" si="96"/>
        <v>458.74</v>
      </c>
      <c r="AO524" s="16">
        <f t="shared" si="97"/>
        <v>1.0292900641894608E-2</v>
      </c>
      <c r="AP524" s="15">
        <v>0</v>
      </c>
      <c r="AQ524" s="18" t="str">
        <f t="shared" si="98"/>
        <v>N/A</v>
      </c>
      <c r="AR524" s="23">
        <v>46201</v>
      </c>
      <c r="AS524" s="14" t="s">
        <v>79</v>
      </c>
    </row>
    <row r="525" spans="1:45" x14ac:dyDescent="0.25">
      <c r="A525" s="14" t="s">
        <v>1748</v>
      </c>
      <c r="B525" s="14" t="s">
        <v>1749</v>
      </c>
      <c r="C525" s="14">
        <v>9418609432</v>
      </c>
      <c r="D525" s="15" t="s">
        <v>1758</v>
      </c>
      <c r="E525" s="14">
        <v>29</v>
      </c>
      <c r="F525" s="14" t="s">
        <v>89</v>
      </c>
      <c r="G525" s="14" t="s">
        <v>174</v>
      </c>
      <c r="H525" s="14" t="s">
        <v>132</v>
      </c>
      <c r="I525" s="14" t="s">
        <v>92</v>
      </c>
      <c r="J525" s="15">
        <v>875429</v>
      </c>
      <c r="K525" s="14">
        <v>2</v>
      </c>
      <c r="L525" s="14" t="s">
        <v>76</v>
      </c>
      <c r="M525" s="14" t="s">
        <v>75</v>
      </c>
      <c r="N525" s="14" t="s">
        <v>76</v>
      </c>
      <c r="O525" s="14" t="s">
        <v>75</v>
      </c>
      <c r="P525" s="14">
        <v>785</v>
      </c>
      <c r="Q525" s="15">
        <v>129458</v>
      </c>
      <c r="R525" s="15">
        <v>32314.85</v>
      </c>
      <c r="S525" s="14" t="s">
        <v>21</v>
      </c>
      <c r="T525" s="15">
        <v>143998</v>
      </c>
      <c r="U525" s="16">
        <f t="shared" si="88"/>
        <v>0.44295790977909111</v>
      </c>
      <c r="V525" s="14">
        <v>2</v>
      </c>
      <c r="W525" s="17">
        <v>62.2</v>
      </c>
      <c r="X525" s="14">
        <v>11.6</v>
      </c>
      <c r="Y525" s="18">
        <f t="shared" si="89"/>
        <v>35.200000000000003</v>
      </c>
      <c r="Z525" s="18" t="str">
        <f t="shared" si="90"/>
        <v>Medium</v>
      </c>
      <c r="AA525" s="19" t="str">
        <f t="shared" si="91"/>
        <v>Review</v>
      </c>
      <c r="AB525" s="14" t="s">
        <v>85</v>
      </c>
      <c r="AC525" s="14">
        <v>1</v>
      </c>
      <c r="AD525" s="14" t="s">
        <v>93</v>
      </c>
      <c r="AE525" s="17">
        <v>4.4000000000000004</v>
      </c>
      <c r="AF525" s="15">
        <v>296451</v>
      </c>
      <c r="AG525" s="20">
        <f t="shared" si="92"/>
        <v>1171880</v>
      </c>
      <c r="AH525" s="14">
        <v>0</v>
      </c>
      <c r="AI525" s="14" t="s">
        <v>75</v>
      </c>
      <c r="AJ525" s="14">
        <v>24</v>
      </c>
      <c r="AK525" s="21">
        <f t="shared" si="93"/>
        <v>0.15500000000000003</v>
      </c>
      <c r="AL525" s="20">
        <f t="shared" si="94"/>
        <v>7016.2366678274066</v>
      </c>
      <c r="AM525" s="22">
        <f t="shared" si="95"/>
        <v>0.16448849649714598</v>
      </c>
      <c r="AN525" s="20">
        <f t="shared" si="96"/>
        <v>39331.086667827403</v>
      </c>
      <c r="AO525" s="16">
        <f t="shared" si="97"/>
        <v>0.53913343059680319</v>
      </c>
      <c r="AP525" s="15">
        <v>0</v>
      </c>
      <c r="AQ525" s="18" t="str">
        <f t="shared" si="98"/>
        <v>N/A</v>
      </c>
      <c r="AR525" s="23">
        <v>46055</v>
      </c>
      <c r="AS525" s="14" t="s">
        <v>79</v>
      </c>
    </row>
    <row r="526" spans="1:45" x14ac:dyDescent="0.25">
      <c r="A526" s="14" t="s">
        <v>1751</v>
      </c>
      <c r="B526" s="14" t="s">
        <v>1752</v>
      </c>
      <c r="C526" s="14">
        <v>9199072590</v>
      </c>
      <c r="D526" s="15" t="s">
        <v>1761</v>
      </c>
      <c r="E526" s="14">
        <v>27</v>
      </c>
      <c r="F526" s="14" t="s">
        <v>89</v>
      </c>
      <c r="G526" s="14" t="s">
        <v>83</v>
      </c>
      <c r="H526" s="14" t="s">
        <v>73</v>
      </c>
      <c r="I526" s="14" t="s">
        <v>74</v>
      </c>
      <c r="J526" s="15">
        <v>2247226</v>
      </c>
      <c r="K526" s="14">
        <v>2</v>
      </c>
      <c r="L526" s="14" t="s">
        <v>76</v>
      </c>
      <c r="M526" s="14" t="s">
        <v>75</v>
      </c>
      <c r="N526" s="14" t="s">
        <v>75</v>
      </c>
      <c r="O526" s="14" t="s">
        <v>76</v>
      </c>
      <c r="P526" s="14">
        <v>404</v>
      </c>
      <c r="Q526" s="15"/>
      <c r="R526" s="15">
        <v>4816.8999999999996</v>
      </c>
      <c r="S526" s="14" t="s">
        <v>20</v>
      </c>
      <c r="T526" s="15">
        <v>3461797</v>
      </c>
      <c r="U526" s="16">
        <f t="shared" si="88"/>
        <v>2.5721845510865395E-2</v>
      </c>
      <c r="V526" s="14">
        <v>0</v>
      </c>
      <c r="W526" s="17">
        <v>76.3</v>
      </c>
      <c r="X526" s="14">
        <v>3.7</v>
      </c>
      <c r="Y526" s="18">
        <f t="shared" si="89"/>
        <v>41.5</v>
      </c>
      <c r="Z526" s="18" t="str">
        <f t="shared" si="90"/>
        <v>Medium</v>
      </c>
      <c r="AA526" s="19" t="str">
        <f t="shared" si="91"/>
        <v>Not Eligible</v>
      </c>
      <c r="AB526" s="14" t="s">
        <v>85</v>
      </c>
      <c r="AC526" s="14">
        <v>2</v>
      </c>
      <c r="AD526" s="14" t="s">
        <v>78</v>
      </c>
      <c r="AE526" s="17">
        <v>3.1</v>
      </c>
      <c r="AF526" s="15">
        <v>0</v>
      </c>
      <c r="AG526" s="20">
        <f t="shared" si="92"/>
        <v>2247226</v>
      </c>
      <c r="AH526" s="14">
        <v>0</v>
      </c>
      <c r="AI526" s="14" t="s">
        <v>75</v>
      </c>
      <c r="AJ526" s="14">
        <v>18</v>
      </c>
      <c r="AK526" s="21">
        <f t="shared" si="93"/>
        <v>0.375</v>
      </c>
      <c r="AL526" s="20">
        <f t="shared" si="94"/>
        <v>254370.27764437106</v>
      </c>
      <c r="AM526" s="22">
        <f t="shared" si="95"/>
        <v>1.5404756797936656</v>
      </c>
      <c r="AN526" s="20">
        <f t="shared" si="96"/>
        <v>259187.17764437106</v>
      </c>
      <c r="AO526" s="16">
        <f t="shared" si="97"/>
        <v>1.384037979149606</v>
      </c>
      <c r="AP526" s="15">
        <v>0</v>
      </c>
      <c r="AQ526" s="18" t="str">
        <f t="shared" si="98"/>
        <v>N/A</v>
      </c>
      <c r="AR526" s="23">
        <v>46124</v>
      </c>
      <c r="AS526" s="14" t="s">
        <v>79</v>
      </c>
    </row>
    <row r="527" spans="1:45" x14ac:dyDescent="0.25">
      <c r="A527" s="14" t="s">
        <v>1755</v>
      </c>
      <c r="B527" s="14" t="s">
        <v>1756</v>
      </c>
      <c r="C527" s="14">
        <v>9943539825</v>
      </c>
      <c r="D527" s="15" t="s">
        <v>1763</v>
      </c>
      <c r="E527" s="14">
        <v>58</v>
      </c>
      <c r="F527" s="14" t="s">
        <v>71</v>
      </c>
      <c r="G527" s="14" t="s">
        <v>98</v>
      </c>
      <c r="H527" s="14" t="s">
        <v>103</v>
      </c>
      <c r="I527" s="14" t="s">
        <v>74</v>
      </c>
      <c r="J527" s="15">
        <v>500427</v>
      </c>
      <c r="K527" s="14">
        <v>1</v>
      </c>
      <c r="L527" s="14" t="s">
        <v>76</v>
      </c>
      <c r="M527" s="14" t="s">
        <v>75</v>
      </c>
      <c r="N527" s="14" t="s">
        <v>75</v>
      </c>
      <c r="O527" s="14" t="s">
        <v>75</v>
      </c>
      <c r="P527" s="14">
        <v>396</v>
      </c>
      <c r="Q527" s="15">
        <v>684881</v>
      </c>
      <c r="R527" s="15">
        <v>4315.28</v>
      </c>
      <c r="S527" s="14" t="s">
        <v>20</v>
      </c>
      <c r="T527" s="15">
        <v>211410</v>
      </c>
      <c r="U527" s="16">
        <f t="shared" si="88"/>
        <v>0.10347834948953594</v>
      </c>
      <c r="V527" s="14">
        <v>1</v>
      </c>
      <c r="W527" s="17">
        <v>69.8</v>
      </c>
      <c r="X527" s="14">
        <v>12.5</v>
      </c>
      <c r="Y527" s="18">
        <f t="shared" si="89"/>
        <v>47.7</v>
      </c>
      <c r="Z527" s="18" t="str">
        <f t="shared" si="90"/>
        <v>Medium</v>
      </c>
      <c r="AA527" s="19" t="str">
        <f t="shared" si="91"/>
        <v>Not Eligible</v>
      </c>
      <c r="AB527" s="14" t="s">
        <v>85</v>
      </c>
      <c r="AC527" s="14">
        <v>2</v>
      </c>
      <c r="AD527" s="14" t="s">
        <v>194</v>
      </c>
      <c r="AE527" s="17">
        <v>27.2</v>
      </c>
      <c r="AF527" s="15">
        <v>0</v>
      </c>
      <c r="AG527" s="20">
        <f t="shared" si="92"/>
        <v>500427</v>
      </c>
      <c r="AH527" s="14">
        <v>0</v>
      </c>
      <c r="AI527" s="14" t="s">
        <v>75</v>
      </c>
      <c r="AJ527" s="14">
        <v>18</v>
      </c>
      <c r="AK527" s="21">
        <f t="shared" si="93"/>
        <v>0.375</v>
      </c>
      <c r="AL527" s="20">
        <f t="shared" si="94"/>
        <v>15534.250100972553</v>
      </c>
      <c r="AM527" s="22">
        <f t="shared" si="95"/>
        <v>0.42245921982626838</v>
      </c>
      <c r="AN527" s="20">
        <f t="shared" si="96"/>
        <v>19849.530100972552</v>
      </c>
      <c r="AO527" s="16">
        <f t="shared" si="97"/>
        <v>0.4759822335958504</v>
      </c>
      <c r="AP527" s="15">
        <v>0</v>
      </c>
      <c r="AQ527" s="18" t="str">
        <f t="shared" si="98"/>
        <v>N/A</v>
      </c>
      <c r="AR527" s="23">
        <v>45933</v>
      </c>
      <c r="AS527" s="14" t="s">
        <v>79</v>
      </c>
    </row>
    <row r="528" spans="1:45" x14ac:dyDescent="0.25">
      <c r="A528" s="14" t="s">
        <v>1759</v>
      </c>
      <c r="B528" s="14" t="s">
        <v>1760</v>
      </c>
      <c r="C528" s="14">
        <v>9212636500</v>
      </c>
      <c r="D528" s="15"/>
      <c r="E528" s="14">
        <v>58</v>
      </c>
      <c r="F528" s="14" t="s">
        <v>71</v>
      </c>
      <c r="G528" s="14" t="s">
        <v>139</v>
      </c>
      <c r="H528" s="14" t="s">
        <v>91</v>
      </c>
      <c r="I528" s="14" t="s">
        <v>92</v>
      </c>
      <c r="J528" s="15">
        <v>1395125</v>
      </c>
      <c r="K528" s="14">
        <v>2</v>
      </c>
      <c r="L528" s="14" t="s">
        <v>76</v>
      </c>
      <c r="M528" s="14" t="s">
        <v>75</v>
      </c>
      <c r="N528" s="14" t="s">
        <v>76</v>
      </c>
      <c r="O528" s="14" t="s">
        <v>75</v>
      </c>
      <c r="P528" s="14">
        <v>803</v>
      </c>
      <c r="Q528" s="15">
        <v>466888</v>
      </c>
      <c r="R528" s="15">
        <v>11938.13</v>
      </c>
      <c r="S528" s="14" t="s">
        <v>23</v>
      </c>
      <c r="T528" s="15">
        <v>793290</v>
      </c>
      <c r="U528" s="16">
        <f t="shared" si="88"/>
        <v>0.10268439028760863</v>
      </c>
      <c r="V528" s="14">
        <v>2</v>
      </c>
      <c r="W528" s="17">
        <v>87.3</v>
      </c>
      <c r="X528" s="14">
        <v>3.6</v>
      </c>
      <c r="Y528" s="18">
        <f t="shared" si="89"/>
        <v>26.3</v>
      </c>
      <c r="Z528" s="18" t="str">
        <f t="shared" si="90"/>
        <v>Low</v>
      </c>
      <c r="AA528" s="19" t="str">
        <f t="shared" si="91"/>
        <v>Eligible</v>
      </c>
      <c r="AB528" s="14" t="s">
        <v>77</v>
      </c>
      <c r="AC528" s="14">
        <v>0</v>
      </c>
      <c r="AD528" s="14" t="s">
        <v>78</v>
      </c>
      <c r="AE528" s="17">
        <v>15.6</v>
      </c>
      <c r="AF528" s="15">
        <v>0</v>
      </c>
      <c r="AG528" s="20">
        <f t="shared" si="92"/>
        <v>1395125</v>
      </c>
      <c r="AH528" s="14">
        <v>3</v>
      </c>
      <c r="AI528" s="14" t="s">
        <v>75</v>
      </c>
      <c r="AJ528" s="14">
        <v>240</v>
      </c>
      <c r="AK528" s="21">
        <f t="shared" si="93"/>
        <v>8.5000000000000006E-2</v>
      </c>
      <c r="AL528" s="20">
        <f t="shared" si="94"/>
        <v>6884.3549279654444</v>
      </c>
      <c r="AM528" s="22">
        <f t="shared" si="95"/>
        <v>0.56861571543768474</v>
      </c>
      <c r="AN528" s="20">
        <f t="shared" si="96"/>
        <v>18822.484927965445</v>
      </c>
      <c r="AO528" s="16">
        <f t="shared" si="97"/>
        <v>0.16189934173323919</v>
      </c>
      <c r="AP528" s="15">
        <v>4179175</v>
      </c>
      <c r="AQ528" s="18">
        <f t="shared" si="98"/>
        <v>0.1898197610772461</v>
      </c>
      <c r="AR528" s="23">
        <v>46125</v>
      </c>
      <c r="AS528" s="14" t="s">
        <v>94</v>
      </c>
    </row>
    <row r="529" spans="1:45" x14ac:dyDescent="0.25">
      <c r="A529" s="14" t="s">
        <v>1762</v>
      </c>
      <c r="B529" s="14" t="s">
        <v>721</v>
      </c>
      <c r="C529" s="14">
        <v>9869605587</v>
      </c>
      <c r="D529" s="15"/>
      <c r="E529" s="14">
        <v>55</v>
      </c>
      <c r="F529" s="14" t="s">
        <v>89</v>
      </c>
      <c r="G529" s="14" t="s">
        <v>153</v>
      </c>
      <c r="H529" s="14" t="s">
        <v>73</v>
      </c>
      <c r="I529" s="14" t="s">
        <v>74</v>
      </c>
      <c r="J529" s="15">
        <v>2202426</v>
      </c>
      <c r="K529" s="14">
        <v>2</v>
      </c>
      <c r="L529" s="14" t="s">
        <v>76</v>
      </c>
      <c r="M529" s="14" t="s">
        <v>76</v>
      </c>
      <c r="N529" s="14" t="s">
        <v>75</v>
      </c>
      <c r="O529" s="14" t="s">
        <v>75</v>
      </c>
      <c r="P529" s="14">
        <v>714</v>
      </c>
      <c r="Q529" s="15">
        <v>292045.24</v>
      </c>
      <c r="R529" s="15">
        <v>32613.360000000001</v>
      </c>
      <c r="S529" s="14" t="s">
        <v>20</v>
      </c>
      <c r="T529" s="15"/>
      <c r="U529" s="16">
        <f t="shared" si="88"/>
        <v>0.17769510530660282</v>
      </c>
      <c r="V529" s="14">
        <v>2</v>
      </c>
      <c r="W529" s="17">
        <v>40.700000000000003</v>
      </c>
      <c r="X529" s="14">
        <v>2.2999999999999998</v>
      </c>
      <c r="Y529" s="18">
        <f t="shared" si="89"/>
        <v>29.8</v>
      </c>
      <c r="Z529" s="18" t="str">
        <f t="shared" si="90"/>
        <v>Low</v>
      </c>
      <c r="AA529" s="19" t="str">
        <f t="shared" si="91"/>
        <v>Eligible</v>
      </c>
      <c r="AB529" s="14" t="s">
        <v>77</v>
      </c>
      <c r="AC529" s="14">
        <v>0</v>
      </c>
      <c r="AD529" s="14" t="s">
        <v>78</v>
      </c>
      <c r="AE529" s="17">
        <v>10.7</v>
      </c>
      <c r="AF529" s="15">
        <v>0</v>
      </c>
      <c r="AG529" s="20">
        <f t="shared" si="92"/>
        <v>2202426</v>
      </c>
      <c r="AH529" s="14">
        <v>0</v>
      </c>
      <c r="AI529" s="14" t="s">
        <v>75</v>
      </c>
      <c r="AJ529" s="14">
        <v>24</v>
      </c>
      <c r="AK529" s="21">
        <f t="shared" si="93"/>
        <v>0.36</v>
      </c>
      <c r="AL529" s="20">
        <f t="shared" si="94"/>
        <v>0</v>
      </c>
      <c r="AM529" s="22">
        <f t="shared" si="95"/>
        <v>0</v>
      </c>
      <c r="AN529" s="20">
        <f t="shared" si="96"/>
        <v>32613.360000000001</v>
      </c>
      <c r="AO529" s="16">
        <f t="shared" si="97"/>
        <v>0.17769510530660282</v>
      </c>
      <c r="AP529" s="15">
        <v>0</v>
      </c>
      <c r="AQ529" s="18" t="str">
        <f t="shared" si="98"/>
        <v>N/A</v>
      </c>
      <c r="AR529" s="23">
        <v>45902</v>
      </c>
      <c r="AS529" s="14" t="s">
        <v>79</v>
      </c>
    </row>
    <row r="530" spans="1:45" x14ac:dyDescent="0.25">
      <c r="A530" s="14" t="s">
        <v>1764</v>
      </c>
      <c r="B530" s="14" t="s">
        <v>1213</v>
      </c>
      <c r="C530" s="14">
        <v>9183743117</v>
      </c>
      <c r="D530" s="15" t="s">
        <v>1770</v>
      </c>
      <c r="E530" s="14">
        <v>46</v>
      </c>
      <c r="F530" s="14" t="s">
        <v>71</v>
      </c>
      <c r="G530" s="14" t="s">
        <v>120</v>
      </c>
      <c r="H530" s="14" t="s">
        <v>144</v>
      </c>
      <c r="I530" s="14" t="s">
        <v>92</v>
      </c>
      <c r="J530" s="15">
        <v>1030709</v>
      </c>
      <c r="K530" s="14">
        <v>1</v>
      </c>
      <c r="L530" s="14" t="s">
        <v>76</v>
      </c>
      <c r="M530" s="14" t="s">
        <v>75</v>
      </c>
      <c r="N530" s="14" t="s">
        <v>75</v>
      </c>
      <c r="O530" s="14" t="s">
        <v>75</v>
      </c>
      <c r="P530" s="14">
        <v>767</v>
      </c>
      <c r="Q530" s="15">
        <v>705735</v>
      </c>
      <c r="R530" s="15">
        <v>33349.160000000003</v>
      </c>
      <c r="S530" s="14" t="s">
        <v>22</v>
      </c>
      <c r="T530" s="15"/>
      <c r="U530" s="16">
        <f t="shared" si="88"/>
        <v>0.38826663975962183</v>
      </c>
      <c r="V530" s="14">
        <v>0</v>
      </c>
      <c r="W530" s="17">
        <v>62.9</v>
      </c>
      <c r="X530" s="14">
        <v>4.5</v>
      </c>
      <c r="Y530" s="18">
        <f t="shared" si="89"/>
        <v>26.8</v>
      </c>
      <c r="Z530" s="18" t="str">
        <f t="shared" si="90"/>
        <v>Low</v>
      </c>
      <c r="AA530" s="19" t="str">
        <f t="shared" si="91"/>
        <v>Eligible</v>
      </c>
      <c r="AB530" s="14" t="s">
        <v>85</v>
      </c>
      <c r="AC530" s="14">
        <v>0</v>
      </c>
      <c r="AD530" s="14" t="s">
        <v>78</v>
      </c>
      <c r="AE530" s="17">
        <v>22.3</v>
      </c>
      <c r="AF530" s="15">
        <v>398161</v>
      </c>
      <c r="AG530" s="20">
        <f t="shared" si="92"/>
        <v>1428870</v>
      </c>
      <c r="AH530" s="14">
        <v>0</v>
      </c>
      <c r="AI530" s="14" t="s">
        <v>75</v>
      </c>
      <c r="AJ530" s="14">
        <v>84</v>
      </c>
      <c r="AK530" s="21">
        <f t="shared" si="93"/>
        <v>0.09</v>
      </c>
      <c r="AL530" s="20">
        <f t="shared" si="94"/>
        <v>0</v>
      </c>
      <c r="AM530" s="22">
        <f t="shared" si="95"/>
        <v>0</v>
      </c>
      <c r="AN530" s="20">
        <f t="shared" si="96"/>
        <v>33349.160000000003</v>
      </c>
      <c r="AO530" s="16">
        <f t="shared" si="97"/>
        <v>0.38826663975962183</v>
      </c>
      <c r="AP530" s="15">
        <v>869414</v>
      </c>
      <c r="AQ530" s="18">
        <f t="shared" si="98"/>
        <v>0</v>
      </c>
      <c r="AR530" s="23">
        <v>46172</v>
      </c>
      <c r="AS530" s="14" t="s">
        <v>79</v>
      </c>
    </row>
    <row r="531" spans="1:45" x14ac:dyDescent="0.25">
      <c r="A531" s="14" t="s">
        <v>1766</v>
      </c>
      <c r="B531" s="14" t="s">
        <v>1767</v>
      </c>
      <c r="C531" s="14"/>
      <c r="D531" s="15" t="s">
        <v>1773</v>
      </c>
      <c r="E531" s="14">
        <v>53</v>
      </c>
      <c r="F531" s="14" t="s">
        <v>89</v>
      </c>
      <c r="G531" s="14" t="s">
        <v>72</v>
      </c>
      <c r="H531" s="14" t="s">
        <v>84</v>
      </c>
      <c r="I531" s="14" t="s">
        <v>74</v>
      </c>
      <c r="J531" s="15">
        <v>1716504</v>
      </c>
      <c r="K531" s="14">
        <v>1</v>
      </c>
      <c r="L531" s="14" t="s">
        <v>75</v>
      </c>
      <c r="M531" s="14" t="s">
        <v>75</v>
      </c>
      <c r="N531" s="14" t="s">
        <v>75</v>
      </c>
      <c r="O531" s="14" t="s">
        <v>76</v>
      </c>
      <c r="P531" s="14">
        <v>386</v>
      </c>
      <c r="Q531" s="15"/>
      <c r="R531" s="15">
        <v>7301.13</v>
      </c>
      <c r="S531" s="14" t="s">
        <v>23</v>
      </c>
      <c r="T531" s="15">
        <v>682847</v>
      </c>
      <c r="U531" s="16">
        <f t="shared" si="88"/>
        <v>5.1041861830790958E-2</v>
      </c>
      <c r="V531" s="14">
        <v>5</v>
      </c>
      <c r="W531" s="17">
        <v>71.099999999999994</v>
      </c>
      <c r="X531" s="14">
        <v>6.7</v>
      </c>
      <c r="Y531" s="18">
        <f t="shared" si="89"/>
        <v>62.9</v>
      </c>
      <c r="Z531" s="18" t="str">
        <f t="shared" si="90"/>
        <v>High</v>
      </c>
      <c r="AA531" s="19" t="str">
        <f t="shared" si="91"/>
        <v>Not Eligible</v>
      </c>
      <c r="AB531" s="14" t="s">
        <v>85</v>
      </c>
      <c r="AC531" s="14">
        <v>0</v>
      </c>
      <c r="AD531" s="14" t="s">
        <v>93</v>
      </c>
      <c r="AE531" s="17">
        <v>12.2</v>
      </c>
      <c r="AF531" s="15">
        <v>0</v>
      </c>
      <c r="AG531" s="20">
        <f t="shared" si="92"/>
        <v>1716504</v>
      </c>
      <c r="AH531" s="14">
        <v>0</v>
      </c>
      <c r="AI531" s="14" t="s">
        <v>75</v>
      </c>
      <c r="AJ531" s="14">
        <v>180</v>
      </c>
      <c r="AK531" s="21">
        <f t="shared" si="93"/>
        <v>0.115</v>
      </c>
      <c r="AL531" s="20">
        <f t="shared" si="94"/>
        <v>7976.9490712624684</v>
      </c>
      <c r="AM531" s="22">
        <f t="shared" si="95"/>
        <v>0.39781264710131758</v>
      </c>
      <c r="AN531" s="20">
        <f t="shared" si="96"/>
        <v>15278.079071262469</v>
      </c>
      <c r="AO531" s="16">
        <f t="shared" si="97"/>
        <v>0.10680834350234525</v>
      </c>
      <c r="AP531" s="15">
        <v>9022637</v>
      </c>
      <c r="AQ531" s="18">
        <f t="shared" si="98"/>
        <v>7.5681533015237126E-2</v>
      </c>
      <c r="AR531" s="23">
        <v>46210</v>
      </c>
      <c r="AS531" s="14" t="s">
        <v>79</v>
      </c>
    </row>
    <row r="532" spans="1:45" x14ac:dyDescent="0.25">
      <c r="A532" s="14" t="s">
        <v>1768</v>
      </c>
      <c r="B532" s="14" t="s">
        <v>1769</v>
      </c>
      <c r="C532" s="14">
        <v>9338582374</v>
      </c>
      <c r="D532" s="15" t="s">
        <v>1776</v>
      </c>
      <c r="E532" s="14">
        <v>25</v>
      </c>
      <c r="F532" s="14" t="s">
        <v>89</v>
      </c>
      <c r="G532" s="14" t="s">
        <v>115</v>
      </c>
      <c r="H532" s="14" t="s">
        <v>144</v>
      </c>
      <c r="I532" s="14" t="s">
        <v>92</v>
      </c>
      <c r="J532" s="15">
        <v>2365573</v>
      </c>
      <c r="K532" s="14">
        <v>2</v>
      </c>
      <c r="L532" s="14" t="s">
        <v>76</v>
      </c>
      <c r="M532" s="14" t="s">
        <v>76</v>
      </c>
      <c r="N532" s="14" t="s">
        <v>75</v>
      </c>
      <c r="O532" s="14" t="s">
        <v>75</v>
      </c>
      <c r="P532" s="14">
        <v>817</v>
      </c>
      <c r="Q532" s="15">
        <v>428959</v>
      </c>
      <c r="R532" s="15">
        <v>33606.42</v>
      </c>
      <c r="S532" s="14" t="s">
        <v>21</v>
      </c>
      <c r="T532" s="15">
        <v>410029</v>
      </c>
      <c r="U532" s="16">
        <f t="shared" si="88"/>
        <v>0.17047752912296513</v>
      </c>
      <c r="V532" s="14">
        <v>1</v>
      </c>
      <c r="W532" s="17">
        <v>23.6</v>
      </c>
      <c r="X532" s="14">
        <v>14.9</v>
      </c>
      <c r="Y532" s="18">
        <f t="shared" si="89"/>
        <v>17</v>
      </c>
      <c r="Z532" s="18" t="str">
        <f t="shared" si="90"/>
        <v>Low</v>
      </c>
      <c r="AA532" s="19" t="str">
        <f t="shared" si="91"/>
        <v>Eligible</v>
      </c>
      <c r="AB532" s="14" t="s">
        <v>85</v>
      </c>
      <c r="AC532" s="14">
        <v>2</v>
      </c>
      <c r="AD532" s="14" t="s">
        <v>78</v>
      </c>
      <c r="AE532" s="17">
        <v>2.2000000000000002</v>
      </c>
      <c r="AF532" s="15">
        <v>0</v>
      </c>
      <c r="AG532" s="20">
        <f t="shared" si="92"/>
        <v>2365573</v>
      </c>
      <c r="AH532" s="14">
        <v>0</v>
      </c>
      <c r="AI532" s="14" t="s">
        <v>75</v>
      </c>
      <c r="AJ532" s="14">
        <v>24</v>
      </c>
      <c r="AK532" s="21">
        <f t="shared" si="93"/>
        <v>0.14000000000000001</v>
      </c>
      <c r="AL532" s="20">
        <f t="shared" si="94"/>
        <v>19686.674513653914</v>
      </c>
      <c r="AM532" s="22">
        <f t="shared" si="95"/>
        <v>0.17333178895768594</v>
      </c>
      <c r="AN532" s="20">
        <f t="shared" si="96"/>
        <v>53293.094513653909</v>
      </c>
      <c r="AO532" s="16">
        <f t="shared" si="97"/>
        <v>0.27034343652208026</v>
      </c>
      <c r="AP532" s="15">
        <v>0</v>
      </c>
      <c r="AQ532" s="18" t="str">
        <f t="shared" si="98"/>
        <v>N/A</v>
      </c>
      <c r="AR532" s="23">
        <v>46083</v>
      </c>
      <c r="AS532" s="14" t="s">
        <v>79</v>
      </c>
    </row>
    <row r="533" spans="1:45" x14ac:dyDescent="0.25">
      <c r="A533" s="14" t="s">
        <v>1771</v>
      </c>
      <c r="B533" s="14" t="s">
        <v>1772</v>
      </c>
      <c r="C533" s="14">
        <v>9492779292</v>
      </c>
      <c r="D533" s="15" t="s">
        <v>1780</v>
      </c>
      <c r="E533" s="14">
        <v>45</v>
      </c>
      <c r="F533" s="14" t="s">
        <v>89</v>
      </c>
      <c r="G533" s="14" t="s">
        <v>226</v>
      </c>
      <c r="H533" s="14" t="s">
        <v>107</v>
      </c>
      <c r="I533" s="14" t="s">
        <v>92</v>
      </c>
      <c r="J533" s="15">
        <v>460708</v>
      </c>
      <c r="K533" s="14">
        <v>2</v>
      </c>
      <c r="L533" s="14" t="s">
        <v>76</v>
      </c>
      <c r="M533" s="14" t="s">
        <v>76</v>
      </c>
      <c r="N533" s="14" t="s">
        <v>75</v>
      </c>
      <c r="O533" s="14" t="s">
        <v>75</v>
      </c>
      <c r="P533" s="14">
        <v>650</v>
      </c>
      <c r="Q533" s="15"/>
      <c r="R533" s="15">
        <v>8125.76</v>
      </c>
      <c r="S533" s="14" t="s">
        <v>22</v>
      </c>
      <c r="T533" s="15">
        <v>551611</v>
      </c>
      <c r="U533" s="16">
        <f t="shared" si="88"/>
        <v>0.21165058996153746</v>
      </c>
      <c r="V533" s="14">
        <v>5</v>
      </c>
      <c r="W533" s="17">
        <v>42.4</v>
      </c>
      <c r="X533" s="14">
        <v>9</v>
      </c>
      <c r="Y533" s="18">
        <f t="shared" si="89"/>
        <v>47.3</v>
      </c>
      <c r="Z533" s="18" t="str">
        <f t="shared" si="90"/>
        <v>Medium</v>
      </c>
      <c r="AA533" s="19" t="str">
        <f t="shared" si="91"/>
        <v>Not Eligible</v>
      </c>
      <c r="AB533" s="14" t="s">
        <v>85</v>
      </c>
      <c r="AC533" s="14">
        <v>1</v>
      </c>
      <c r="AD533" s="14" t="s">
        <v>93</v>
      </c>
      <c r="AE533" s="17">
        <v>7.3</v>
      </c>
      <c r="AF533" s="15">
        <v>0</v>
      </c>
      <c r="AG533" s="20">
        <f t="shared" si="92"/>
        <v>460708</v>
      </c>
      <c r="AH533" s="14">
        <v>1</v>
      </c>
      <c r="AI533" s="14" t="s">
        <v>75</v>
      </c>
      <c r="AJ533" s="14">
        <v>72</v>
      </c>
      <c r="AK533" s="21">
        <f t="shared" si="93"/>
        <v>0.105</v>
      </c>
      <c r="AL533" s="20">
        <f t="shared" si="94"/>
        <v>10358.686403735237</v>
      </c>
      <c r="AM533" s="22">
        <f t="shared" si="95"/>
        <v>1.1973115292115613</v>
      </c>
      <c r="AN533" s="20">
        <f t="shared" si="96"/>
        <v>18484.446403735237</v>
      </c>
      <c r="AO533" s="16">
        <f t="shared" si="97"/>
        <v>0.48146191697305635</v>
      </c>
      <c r="AP533" s="15">
        <v>817963</v>
      </c>
      <c r="AQ533" s="18">
        <f t="shared" si="98"/>
        <v>0.67437157915455836</v>
      </c>
      <c r="AR533" s="23">
        <v>46032</v>
      </c>
      <c r="AS533" s="14" t="s">
        <v>79</v>
      </c>
    </row>
    <row r="534" spans="1:45" x14ac:dyDescent="0.25">
      <c r="A534" s="14" t="s">
        <v>1774</v>
      </c>
      <c r="B534" s="14" t="s">
        <v>1498</v>
      </c>
      <c r="C534" s="14"/>
      <c r="D534" s="15" t="s">
        <v>1783</v>
      </c>
      <c r="E534" s="14">
        <v>55</v>
      </c>
      <c r="F534" s="14" t="s">
        <v>71</v>
      </c>
      <c r="G534" s="14" t="s">
        <v>226</v>
      </c>
      <c r="H534" s="14" t="s">
        <v>99</v>
      </c>
      <c r="I534" s="14" t="s">
        <v>74</v>
      </c>
      <c r="J534" s="15">
        <v>989633</v>
      </c>
      <c r="K534" s="14">
        <v>1</v>
      </c>
      <c r="L534" s="14" t="s">
        <v>76</v>
      </c>
      <c r="M534" s="14" t="s">
        <v>75</v>
      </c>
      <c r="N534" s="14" t="s">
        <v>75</v>
      </c>
      <c r="O534" s="14" t="s">
        <v>75</v>
      </c>
      <c r="P534" s="14">
        <v>645</v>
      </c>
      <c r="Q534" s="15">
        <v>819450.06</v>
      </c>
      <c r="R534" s="15">
        <v>10213.31</v>
      </c>
      <c r="S534" s="14" t="s">
        <v>21</v>
      </c>
      <c r="T534" s="15">
        <v>144858</v>
      </c>
      <c r="U534" s="16">
        <f t="shared" si="88"/>
        <v>0.12384360667035153</v>
      </c>
      <c r="V534" s="14">
        <v>0</v>
      </c>
      <c r="W534" s="17">
        <v>97</v>
      </c>
      <c r="X534" s="14">
        <v>2.7</v>
      </c>
      <c r="Y534" s="18">
        <f t="shared" si="89"/>
        <v>30.4</v>
      </c>
      <c r="Z534" s="18" t="str">
        <f t="shared" si="90"/>
        <v>Medium</v>
      </c>
      <c r="AA534" s="19" t="str">
        <f t="shared" si="91"/>
        <v>Review</v>
      </c>
      <c r="AB534" s="14" t="s">
        <v>77</v>
      </c>
      <c r="AC534" s="14">
        <v>0</v>
      </c>
      <c r="AD534" s="14" t="s">
        <v>93</v>
      </c>
      <c r="AE534" s="17">
        <v>10.5</v>
      </c>
      <c r="AF534" s="15">
        <v>0</v>
      </c>
      <c r="AG534" s="20">
        <f t="shared" si="92"/>
        <v>989633</v>
      </c>
      <c r="AH534" s="14">
        <v>1</v>
      </c>
      <c r="AI534" s="14" t="s">
        <v>75</v>
      </c>
      <c r="AJ534" s="14">
        <v>60</v>
      </c>
      <c r="AK534" s="21">
        <f t="shared" si="93"/>
        <v>0.15500000000000003</v>
      </c>
      <c r="AL534" s="20">
        <f t="shared" si="94"/>
        <v>3484.2971534243484</v>
      </c>
      <c r="AM534" s="22">
        <f t="shared" si="95"/>
        <v>0.1463754745446039</v>
      </c>
      <c r="AN534" s="20">
        <f t="shared" si="96"/>
        <v>13697.607153424347</v>
      </c>
      <c r="AO534" s="16">
        <f t="shared" si="97"/>
        <v>0.16609317377360311</v>
      </c>
      <c r="AP534" s="15">
        <v>0</v>
      </c>
      <c r="AQ534" s="18" t="str">
        <f t="shared" si="98"/>
        <v>N/A</v>
      </c>
      <c r="AR534" s="23">
        <v>45949</v>
      </c>
      <c r="AS534" s="14" t="s">
        <v>79</v>
      </c>
    </row>
    <row r="535" spans="1:45" x14ac:dyDescent="0.25">
      <c r="A535" s="14" t="s">
        <v>1777</v>
      </c>
      <c r="B535" s="14" t="s">
        <v>1778</v>
      </c>
      <c r="C535" s="14">
        <v>9511170520</v>
      </c>
      <c r="D535" s="15" t="s">
        <v>1787</v>
      </c>
      <c r="E535" s="14">
        <v>54</v>
      </c>
      <c r="F535" s="14" t="s">
        <v>89</v>
      </c>
      <c r="G535" s="14" t="s">
        <v>153</v>
      </c>
      <c r="H535" s="14" t="s">
        <v>144</v>
      </c>
      <c r="I535" s="14" t="s">
        <v>92</v>
      </c>
      <c r="J535" s="15">
        <v>1660533</v>
      </c>
      <c r="K535" s="14">
        <v>1</v>
      </c>
      <c r="L535" s="14" t="s">
        <v>76</v>
      </c>
      <c r="M535" s="14" t="s">
        <v>75</v>
      </c>
      <c r="N535" s="14" t="s">
        <v>75</v>
      </c>
      <c r="O535" s="14" t="s">
        <v>75</v>
      </c>
      <c r="P535" s="14">
        <v>567</v>
      </c>
      <c r="Q535" s="15"/>
      <c r="R535" s="15">
        <v>9307.57</v>
      </c>
      <c r="S535" s="14" t="s">
        <v>22</v>
      </c>
      <c r="T535" s="15">
        <v>2865577</v>
      </c>
      <c r="U535" s="16">
        <f t="shared" si="88"/>
        <v>6.726204176610763E-2</v>
      </c>
      <c r="V535" s="14">
        <v>4</v>
      </c>
      <c r="W535" s="17">
        <v>89.9</v>
      </c>
      <c r="X535" s="14">
        <v>12.4</v>
      </c>
      <c r="Y535" s="18">
        <f t="shared" si="89"/>
        <v>49.2</v>
      </c>
      <c r="Z535" s="18" t="str">
        <f t="shared" si="90"/>
        <v>Medium</v>
      </c>
      <c r="AA535" s="19" t="str">
        <f t="shared" si="91"/>
        <v>Review</v>
      </c>
      <c r="AB535" s="14" t="s">
        <v>85</v>
      </c>
      <c r="AC535" s="14">
        <v>3</v>
      </c>
      <c r="AD535" s="14" t="s">
        <v>194</v>
      </c>
      <c r="AE535" s="17">
        <v>18.100000000000001</v>
      </c>
      <c r="AF535" s="15">
        <v>299361</v>
      </c>
      <c r="AG535" s="20">
        <f t="shared" si="92"/>
        <v>1959894</v>
      </c>
      <c r="AH535" s="14">
        <v>2</v>
      </c>
      <c r="AI535" s="14" t="s">
        <v>75</v>
      </c>
      <c r="AJ535" s="14">
        <v>36</v>
      </c>
      <c r="AK535" s="21">
        <f t="shared" si="93"/>
        <v>0.105</v>
      </c>
      <c r="AL535" s="20">
        <f t="shared" si="94"/>
        <v>93138.254550830257</v>
      </c>
      <c r="AM535" s="22">
        <f t="shared" si="95"/>
        <v>1.7256971105060845</v>
      </c>
      <c r="AN535" s="20">
        <f t="shared" si="96"/>
        <v>102445.82455083026</v>
      </c>
      <c r="AO535" s="16">
        <f t="shared" si="97"/>
        <v>0.74033451585121346</v>
      </c>
      <c r="AP535" s="15">
        <v>608883</v>
      </c>
      <c r="AQ535" s="18">
        <f t="shared" si="98"/>
        <v>4.7062851155312266</v>
      </c>
      <c r="AR535" s="23">
        <v>45914</v>
      </c>
      <c r="AS535" s="14" t="s">
        <v>79</v>
      </c>
    </row>
    <row r="536" spans="1:45" x14ac:dyDescent="0.25">
      <c r="A536" s="14" t="s">
        <v>1781</v>
      </c>
      <c r="B536" s="14" t="s">
        <v>1782</v>
      </c>
      <c r="C536" s="14">
        <v>9629045335</v>
      </c>
      <c r="D536" s="15" t="s">
        <v>1790</v>
      </c>
      <c r="E536" s="14">
        <v>41</v>
      </c>
      <c r="F536" s="14" t="s">
        <v>89</v>
      </c>
      <c r="G536" s="14" t="s">
        <v>417</v>
      </c>
      <c r="H536" s="14" t="s">
        <v>73</v>
      </c>
      <c r="I536" s="14" t="s">
        <v>74</v>
      </c>
      <c r="J536" s="15">
        <v>1670563</v>
      </c>
      <c r="K536" s="14">
        <v>3</v>
      </c>
      <c r="L536" s="14" t="s">
        <v>75</v>
      </c>
      <c r="M536" s="14" t="s">
        <v>76</v>
      </c>
      <c r="N536" s="14" t="s">
        <v>76</v>
      </c>
      <c r="O536" s="14" t="s">
        <v>76</v>
      </c>
      <c r="P536" s="14">
        <v>519</v>
      </c>
      <c r="Q536" s="15">
        <v>30650.53</v>
      </c>
      <c r="R536" s="15">
        <v>19510.72</v>
      </c>
      <c r="S536" s="14" t="s">
        <v>20</v>
      </c>
      <c r="T536" s="15">
        <v>548843</v>
      </c>
      <c r="U536" s="16">
        <f t="shared" si="88"/>
        <v>0.14014954239977781</v>
      </c>
      <c r="V536" s="14">
        <v>3</v>
      </c>
      <c r="W536" s="17">
        <v>47.5</v>
      </c>
      <c r="X536" s="14">
        <v>4.9000000000000004</v>
      </c>
      <c r="Y536" s="18">
        <f t="shared" si="89"/>
        <v>46.4</v>
      </c>
      <c r="Z536" s="18" t="str">
        <f t="shared" si="90"/>
        <v>Medium</v>
      </c>
      <c r="AA536" s="19" t="str">
        <f t="shared" si="91"/>
        <v>Not Eligible</v>
      </c>
      <c r="AB536" s="14" t="s">
        <v>85</v>
      </c>
      <c r="AC536" s="14">
        <v>2</v>
      </c>
      <c r="AD536" s="14" t="s">
        <v>194</v>
      </c>
      <c r="AE536" s="17">
        <v>3.2</v>
      </c>
      <c r="AF536" s="15">
        <v>0</v>
      </c>
      <c r="AG536" s="20">
        <f t="shared" si="92"/>
        <v>1670563</v>
      </c>
      <c r="AH536" s="14">
        <v>2</v>
      </c>
      <c r="AI536" s="14" t="s">
        <v>75</v>
      </c>
      <c r="AJ536" s="14">
        <v>12</v>
      </c>
      <c r="AK536" s="21">
        <f t="shared" si="93"/>
        <v>0.375</v>
      </c>
      <c r="AL536" s="20">
        <f t="shared" si="94"/>
        <v>55550.142597695325</v>
      </c>
      <c r="AM536" s="22">
        <f t="shared" si="95"/>
        <v>0.32853774446099909</v>
      </c>
      <c r="AN536" s="20">
        <f t="shared" si="96"/>
        <v>75060.862597695319</v>
      </c>
      <c r="AO536" s="16">
        <f t="shared" si="97"/>
        <v>0.53917772102718897</v>
      </c>
      <c r="AP536" s="15">
        <v>0</v>
      </c>
      <c r="AQ536" s="18" t="str">
        <f t="shared" si="98"/>
        <v>N/A</v>
      </c>
      <c r="AR536" s="23">
        <v>45913</v>
      </c>
      <c r="AS536" s="14" t="s">
        <v>79</v>
      </c>
    </row>
    <row r="537" spans="1:45" x14ac:dyDescent="0.25">
      <c r="A537" s="14" t="s">
        <v>1784</v>
      </c>
      <c r="B537" s="14" t="s">
        <v>1785</v>
      </c>
      <c r="C537" s="14">
        <v>9986714725</v>
      </c>
      <c r="D537" s="15"/>
      <c r="E537" s="14">
        <v>28</v>
      </c>
      <c r="F537" s="14" t="s">
        <v>89</v>
      </c>
      <c r="G537" s="14" t="s">
        <v>83</v>
      </c>
      <c r="H537" s="14" t="s">
        <v>166</v>
      </c>
      <c r="I537" s="14" t="s">
        <v>74</v>
      </c>
      <c r="J537" s="15">
        <v>852114</v>
      </c>
      <c r="K537" s="14">
        <v>1</v>
      </c>
      <c r="L537" s="14" t="s">
        <v>75</v>
      </c>
      <c r="M537" s="14" t="s">
        <v>76</v>
      </c>
      <c r="N537" s="14" t="s">
        <v>75</v>
      </c>
      <c r="O537" s="14" t="s">
        <v>75</v>
      </c>
      <c r="P537" s="14">
        <v>826</v>
      </c>
      <c r="Q537" s="15"/>
      <c r="R537" s="15">
        <v>7921.4</v>
      </c>
      <c r="S537" s="14" t="s">
        <v>23</v>
      </c>
      <c r="T537" s="15">
        <v>168850</v>
      </c>
      <c r="U537" s="16">
        <f t="shared" si="88"/>
        <v>0.11155408783331806</v>
      </c>
      <c r="V537" s="14">
        <v>4</v>
      </c>
      <c r="W537" s="17">
        <v>93.8</v>
      </c>
      <c r="X537" s="14">
        <v>8.4</v>
      </c>
      <c r="Y537" s="18">
        <f t="shared" si="89"/>
        <v>33.700000000000003</v>
      </c>
      <c r="Z537" s="18" t="str">
        <f t="shared" si="90"/>
        <v>Medium</v>
      </c>
      <c r="AA537" s="19" t="str">
        <f t="shared" si="91"/>
        <v>Review</v>
      </c>
      <c r="AB537" s="14" t="s">
        <v>77</v>
      </c>
      <c r="AC537" s="14">
        <v>2</v>
      </c>
      <c r="AD537" s="14" t="s">
        <v>78</v>
      </c>
      <c r="AE537" s="17">
        <v>6.7</v>
      </c>
      <c r="AF537" s="15">
        <v>0</v>
      </c>
      <c r="AG537" s="20">
        <f t="shared" si="92"/>
        <v>852114</v>
      </c>
      <c r="AH537" s="14">
        <v>1</v>
      </c>
      <c r="AI537" s="14" t="s">
        <v>75</v>
      </c>
      <c r="AJ537" s="14">
        <v>300</v>
      </c>
      <c r="AK537" s="21">
        <f t="shared" si="93"/>
        <v>0.1</v>
      </c>
      <c r="AL537" s="20">
        <f t="shared" si="94"/>
        <v>1534.3412088443922</v>
      </c>
      <c r="AM537" s="22">
        <f t="shared" si="95"/>
        <v>0.19815423757853995</v>
      </c>
      <c r="AN537" s="20">
        <f t="shared" si="96"/>
        <v>9455.7412088443925</v>
      </c>
      <c r="AO537" s="16">
        <f t="shared" si="97"/>
        <v>0.13316163624366306</v>
      </c>
      <c r="AP537" s="15">
        <v>3681489</v>
      </c>
      <c r="AQ537" s="18">
        <f t="shared" si="98"/>
        <v>4.58645944616431E-2</v>
      </c>
      <c r="AR537" s="23">
        <v>46038</v>
      </c>
      <c r="AS537" s="14" t="s">
        <v>79</v>
      </c>
    </row>
    <row r="538" spans="1:45" x14ac:dyDescent="0.25">
      <c r="A538" s="14" t="s">
        <v>1788</v>
      </c>
      <c r="B538" s="14" t="s">
        <v>1789</v>
      </c>
      <c r="C538" s="14">
        <v>9573588674</v>
      </c>
      <c r="D538" s="15" t="s">
        <v>1795</v>
      </c>
      <c r="E538" s="14">
        <v>53</v>
      </c>
      <c r="F538" s="14" t="s">
        <v>89</v>
      </c>
      <c r="G538" s="14" t="s">
        <v>215</v>
      </c>
      <c r="H538" s="14" t="s">
        <v>144</v>
      </c>
      <c r="I538" s="14" t="s">
        <v>92</v>
      </c>
      <c r="J538" s="15">
        <v>1724118</v>
      </c>
      <c r="K538" s="14">
        <v>0</v>
      </c>
      <c r="L538" s="14" t="s">
        <v>75</v>
      </c>
      <c r="M538" s="14" t="s">
        <v>75</v>
      </c>
      <c r="N538" s="14" t="s">
        <v>75</v>
      </c>
      <c r="O538" s="14" t="s">
        <v>75</v>
      </c>
      <c r="P538" s="14">
        <v>594</v>
      </c>
      <c r="Q538" s="15"/>
      <c r="R538" s="15">
        <v>1532.53</v>
      </c>
      <c r="S538" s="14" t="s">
        <v>22</v>
      </c>
      <c r="T538" s="15"/>
      <c r="U538" s="16">
        <f t="shared" si="88"/>
        <v>1.0666532105111136E-2</v>
      </c>
      <c r="V538" s="14">
        <v>6</v>
      </c>
      <c r="W538" s="17">
        <v>82.2</v>
      </c>
      <c r="X538" s="14">
        <v>6.5</v>
      </c>
      <c r="Y538" s="18">
        <f t="shared" si="89"/>
        <v>48.9</v>
      </c>
      <c r="Z538" s="18" t="str">
        <f t="shared" si="90"/>
        <v>Medium</v>
      </c>
      <c r="AA538" s="19" t="str">
        <f t="shared" si="91"/>
        <v>Not Eligible</v>
      </c>
      <c r="AB538" s="14" t="s">
        <v>85</v>
      </c>
      <c r="AC538" s="14">
        <v>0</v>
      </c>
      <c r="AD538" s="14" t="s">
        <v>93</v>
      </c>
      <c r="AE538" s="17">
        <v>26.5</v>
      </c>
      <c r="AF538" s="15">
        <v>751216</v>
      </c>
      <c r="AG538" s="20">
        <f t="shared" si="92"/>
        <v>2475334</v>
      </c>
      <c r="AH538" s="14">
        <v>0</v>
      </c>
      <c r="AI538" s="14" t="s">
        <v>75</v>
      </c>
      <c r="AJ538" s="14">
        <v>84</v>
      </c>
      <c r="AK538" s="21">
        <f t="shared" si="93"/>
        <v>0.105</v>
      </c>
      <c r="AL538" s="20">
        <f t="shared" si="94"/>
        <v>0</v>
      </c>
      <c r="AM538" s="22">
        <f t="shared" si="95"/>
        <v>0</v>
      </c>
      <c r="AN538" s="20">
        <f t="shared" si="96"/>
        <v>1532.53</v>
      </c>
      <c r="AO538" s="16">
        <f t="shared" si="97"/>
        <v>1.0666532105111136E-2</v>
      </c>
      <c r="AP538" s="15">
        <v>672707</v>
      </c>
      <c r="AQ538" s="18">
        <f t="shared" si="98"/>
        <v>0</v>
      </c>
      <c r="AR538" s="23">
        <v>45932</v>
      </c>
      <c r="AS538" s="14" t="s">
        <v>94</v>
      </c>
    </row>
    <row r="539" spans="1:45" x14ac:dyDescent="0.25">
      <c r="A539" s="14" t="s">
        <v>1791</v>
      </c>
      <c r="B539" s="14" t="s">
        <v>1792</v>
      </c>
      <c r="C539" s="14">
        <v>9108713252</v>
      </c>
      <c r="D539" s="15" t="s">
        <v>1799</v>
      </c>
      <c r="E539" s="14">
        <v>41</v>
      </c>
      <c r="F539" s="14" t="s">
        <v>89</v>
      </c>
      <c r="G539" s="14" t="s">
        <v>120</v>
      </c>
      <c r="H539" s="14" t="s">
        <v>91</v>
      </c>
      <c r="I539" s="14" t="s">
        <v>92</v>
      </c>
      <c r="J539" s="15">
        <v>323361</v>
      </c>
      <c r="K539" s="14">
        <v>1</v>
      </c>
      <c r="L539" s="14" t="s">
        <v>76</v>
      </c>
      <c r="M539" s="14" t="s">
        <v>75</v>
      </c>
      <c r="N539" s="14" t="s">
        <v>75</v>
      </c>
      <c r="O539" s="14" t="s">
        <v>75</v>
      </c>
      <c r="P539" s="14">
        <v>735</v>
      </c>
      <c r="Q539" s="15">
        <v>1082883</v>
      </c>
      <c r="R539" s="15">
        <v>4686.3100000000004</v>
      </c>
      <c r="S539" s="14" t="s">
        <v>20</v>
      </c>
      <c r="T539" s="15">
        <v>368733</v>
      </c>
      <c r="U539" s="16">
        <f t="shared" si="88"/>
        <v>0.17391002625548535</v>
      </c>
      <c r="V539" s="14">
        <v>0</v>
      </c>
      <c r="W539" s="17">
        <v>85.9</v>
      </c>
      <c r="X539" s="14">
        <v>8</v>
      </c>
      <c r="Y539" s="18">
        <f t="shared" si="89"/>
        <v>24.8</v>
      </c>
      <c r="Z539" s="18" t="str">
        <f t="shared" si="90"/>
        <v>Low</v>
      </c>
      <c r="AA539" s="19" t="str">
        <f t="shared" si="91"/>
        <v>Eligible</v>
      </c>
      <c r="AB539" s="14" t="s">
        <v>85</v>
      </c>
      <c r="AC539" s="14">
        <v>2</v>
      </c>
      <c r="AD539" s="14" t="s">
        <v>194</v>
      </c>
      <c r="AE539" s="17">
        <v>10</v>
      </c>
      <c r="AF539" s="15">
        <v>0</v>
      </c>
      <c r="AG539" s="20">
        <f t="shared" si="92"/>
        <v>323361</v>
      </c>
      <c r="AH539" s="14">
        <v>2</v>
      </c>
      <c r="AI539" s="14" t="s">
        <v>76</v>
      </c>
      <c r="AJ539" s="14">
        <v>18</v>
      </c>
      <c r="AK539" s="21">
        <f t="shared" si="93"/>
        <v>0.36</v>
      </c>
      <c r="AL539" s="20">
        <f t="shared" si="94"/>
        <v>26810.095563929273</v>
      </c>
      <c r="AM539" s="22">
        <f t="shared" si="95"/>
        <v>1.1403137669663317</v>
      </c>
      <c r="AN539" s="20">
        <f t="shared" si="96"/>
        <v>31496.405563929275</v>
      </c>
      <c r="AO539" s="16">
        <f t="shared" si="97"/>
        <v>1.1688387491600758</v>
      </c>
      <c r="AP539" s="15">
        <v>0</v>
      </c>
      <c r="AQ539" s="18" t="str">
        <f t="shared" si="98"/>
        <v>N/A</v>
      </c>
      <c r="AR539" s="23">
        <v>46111</v>
      </c>
      <c r="AS539" s="14" t="s">
        <v>79</v>
      </c>
    </row>
    <row r="540" spans="1:45" x14ac:dyDescent="0.25">
      <c r="A540" s="14" t="s">
        <v>1793</v>
      </c>
      <c r="B540" s="14" t="s">
        <v>1794</v>
      </c>
      <c r="C540" s="14">
        <v>9976890591</v>
      </c>
      <c r="D540" s="15" t="s">
        <v>1802</v>
      </c>
      <c r="E540" s="14">
        <v>62</v>
      </c>
      <c r="F540" s="14" t="s">
        <v>89</v>
      </c>
      <c r="G540" s="14" t="s">
        <v>72</v>
      </c>
      <c r="H540" s="14" t="s">
        <v>166</v>
      </c>
      <c r="I540" s="14" t="s">
        <v>74</v>
      </c>
      <c r="J540" s="15">
        <v>844154</v>
      </c>
      <c r="K540" s="14">
        <v>2</v>
      </c>
      <c r="L540" s="14" t="s">
        <v>76</v>
      </c>
      <c r="M540" s="14" t="s">
        <v>75</v>
      </c>
      <c r="N540" s="14" t="s">
        <v>75</v>
      </c>
      <c r="O540" s="14" t="s">
        <v>76</v>
      </c>
      <c r="P540" s="14">
        <v>677</v>
      </c>
      <c r="Q540" s="15"/>
      <c r="R540" s="15">
        <v>9114.1200000000008</v>
      </c>
      <c r="S540" s="14" t="s">
        <v>21</v>
      </c>
      <c r="T540" s="15">
        <v>257954</v>
      </c>
      <c r="U540" s="16">
        <f t="shared" si="88"/>
        <v>0.12956100427173242</v>
      </c>
      <c r="V540" s="14">
        <v>3</v>
      </c>
      <c r="W540" s="17">
        <v>72.2</v>
      </c>
      <c r="X540" s="14">
        <v>12.2</v>
      </c>
      <c r="Y540" s="18">
        <f t="shared" si="89"/>
        <v>38</v>
      </c>
      <c r="Z540" s="18" t="str">
        <f t="shared" si="90"/>
        <v>Medium</v>
      </c>
      <c r="AA540" s="19" t="str">
        <f t="shared" si="91"/>
        <v>Review</v>
      </c>
      <c r="AB540" s="14" t="s">
        <v>85</v>
      </c>
      <c r="AC540" s="14">
        <v>0</v>
      </c>
      <c r="AD540" s="14" t="s">
        <v>93</v>
      </c>
      <c r="AE540" s="17">
        <v>4.0999999999999996</v>
      </c>
      <c r="AF540" s="15">
        <v>0</v>
      </c>
      <c r="AG540" s="20">
        <f t="shared" si="92"/>
        <v>844154</v>
      </c>
      <c r="AH540" s="14">
        <v>2</v>
      </c>
      <c r="AI540" s="14" t="s">
        <v>75</v>
      </c>
      <c r="AJ540" s="14">
        <v>36</v>
      </c>
      <c r="AK540" s="21">
        <f t="shared" si="93"/>
        <v>0.15500000000000003</v>
      </c>
      <c r="AL540" s="20">
        <f t="shared" si="94"/>
        <v>9005.3498122962192</v>
      </c>
      <c r="AM540" s="22">
        <f t="shared" si="95"/>
        <v>0.30557694449117107</v>
      </c>
      <c r="AN540" s="20">
        <f t="shared" si="96"/>
        <v>18119.469812296222</v>
      </c>
      <c r="AO540" s="16">
        <f t="shared" si="97"/>
        <v>0.25757579511268636</v>
      </c>
      <c r="AP540" s="15">
        <v>0</v>
      </c>
      <c r="AQ540" s="18" t="str">
        <f t="shared" si="98"/>
        <v>N/A</v>
      </c>
      <c r="AR540" s="23">
        <v>46214</v>
      </c>
      <c r="AS540" s="14" t="s">
        <v>79</v>
      </c>
    </row>
    <row r="541" spans="1:45" x14ac:dyDescent="0.25">
      <c r="A541" s="14" t="s">
        <v>1796</v>
      </c>
      <c r="B541" s="14" t="s">
        <v>1797</v>
      </c>
      <c r="C541" s="14">
        <v>9208243963</v>
      </c>
      <c r="D541" s="15" t="s">
        <v>1806</v>
      </c>
      <c r="E541" s="14">
        <v>54</v>
      </c>
      <c r="F541" s="14" t="s">
        <v>71</v>
      </c>
      <c r="G541" s="14" t="s">
        <v>174</v>
      </c>
      <c r="H541" s="14" t="s">
        <v>84</v>
      </c>
      <c r="I541" s="14" t="s">
        <v>74</v>
      </c>
      <c r="J541" s="15">
        <v>2353270</v>
      </c>
      <c r="K541" s="14">
        <v>2</v>
      </c>
      <c r="L541" s="14" t="s">
        <v>76</v>
      </c>
      <c r="M541" s="14" t="s">
        <v>75</v>
      </c>
      <c r="N541" s="14" t="s">
        <v>75</v>
      </c>
      <c r="O541" s="14" t="s">
        <v>76</v>
      </c>
      <c r="P541" s="14">
        <v>469</v>
      </c>
      <c r="Q541" s="15">
        <v>427881.98</v>
      </c>
      <c r="R541" s="15">
        <v>29267.11</v>
      </c>
      <c r="S541" s="14" t="s">
        <v>20</v>
      </c>
      <c r="T541" s="15">
        <v>385757</v>
      </c>
      <c r="U541" s="16">
        <f t="shared" si="88"/>
        <v>0.1492414045137192</v>
      </c>
      <c r="V541" s="14">
        <v>1</v>
      </c>
      <c r="W541" s="17">
        <v>79.8</v>
      </c>
      <c r="X541" s="14">
        <v>13.5</v>
      </c>
      <c r="Y541" s="18">
        <f t="shared" si="89"/>
        <v>45.2</v>
      </c>
      <c r="Z541" s="18" t="str">
        <f t="shared" si="90"/>
        <v>Medium</v>
      </c>
      <c r="AA541" s="19" t="str">
        <f t="shared" si="91"/>
        <v>Not Eligible</v>
      </c>
      <c r="AB541" s="14" t="s">
        <v>85</v>
      </c>
      <c r="AC541" s="14">
        <v>1</v>
      </c>
      <c r="AD541" s="14" t="s">
        <v>93</v>
      </c>
      <c r="AE541" s="17">
        <v>11.1</v>
      </c>
      <c r="AF541" s="15">
        <v>0</v>
      </c>
      <c r="AG541" s="20">
        <f t="shared" si="92"/>
        <v>2353270</v>
      </c>
      <c r="AH541" s="14">
        <v>0</v>
      </c>
      <c r="AI541" s="14" t="s">
        <v>75</v>
      </c>
      <c r="AJ541" s="14">
        <v>12</v>
      </c>
      <c r="AK541" s="21">
        <f t="shared" si="93"/>
        <v>0.375</v>
      </c>
      <c r="AL541" s="20">
        <f t="shared" si="94"/>
        <v>39043.69074226902</v>
      </c>
      <c r="AM541" s="22">
        <f t="shared" si="95"/>
        <v>0.16392381664662364</v>
      </c>
      <c r="AN541" s="20">
        <f t="shared" si="96"/>
        <v>68310.800742269028</v>
      </c>
      <c r="AO541" s="16">
        <f t="shared" si="97"/>
        <v>0.34833640377314473</v>
      </c>
      <c r="AP541" s="15">
        <v>0</v>
      </c>
      <c r="AQ541" s="18" t="str">
        <f t="shared" si="98"/>
        <v>N/A</v>
      </c>
      <c r="AR541" s="23">
        <v>46061</v>
      </c>
      <c r="AS541" s="14" t="s">
        <v>79</v>
      </c>
    </row>
    <row r="542" spans="1:45" x14ac:dyDescent="0.25">
      <c r="A542" s="14" t="s">
        <v>1800</v>
      </c>
      <c r="B542" s="14" t="s">
        <v>1801</v>
      </c>
      <c r="C542" s="14"/>
      <c r="D542" s="15" t="s">
        <v>1809</v>
      </c>
      <c r="E542" s="14">
        <v>45</v>
      </c>
      <c r="F542" s="14" t="s">
        <v>71</v>
      </c>
      <c r="G542" s="14" t="s">
        <v>139</v>
      </c>
      <c r="H542" s="14" t="s">
        <v>99</v>
      </c>
      <c r="I542" s="14" t="s">
        <v>74</v>
      </c>
      <c r="J542" s="15">
        <v>522702</v>
      </c>
      <c r="K542" s="14">
        <v>3</v>
      </c>
      <c r="L542" s="14" t="s">
        <v>76</v>
      </c>
      <c r="M542" s="14" t="s">
        <v>76</v>
      </c>
      <c r="N542" s="14" t="s">
        <v>75</v>
      </c>
      <c r="O542" s="14" t="s">
        <v>76</v>
      </c>
      <c r="P542" s="14">
        <v>780</v>
      </c>
      <c r="Q542" s="15"/>
      <c r="R542" s="15">
        <v>1342.83</v>
      </c>
      <c r="S542" s="14" t="s">
        <v>21</v>
      </c>
      <c r="T542" s="15"/>
      <c r="U542" s="16">
        <f t="shared" si="88"/>
        <v>3.0828196563242535E-2</v>
      </c>
      <c r="V542" s="14">
        <v>0</v>
      </c>
      <c r="W542" s="17">
        <v>73.099999999999994</v>
      </c>
      <c r="X542" s="14">
        <v>3.4</v>
      </c>
      <c r="Y542" s="18">
        <f t="shared" si="89"/>
        <v>16.2</v>
      </c>
      <c r="Z542" s="18" t="str">
        <f t="shared" si="90"/>
        <v>Low</v>
      </c>
      <c r="AA542" s="19" t="str">
        <f t="shared" si="91"/>
        <v>Eligible</v>
      </c>
      <c r="AB542" s="14" t="s">
        <v>85</v>
      </c>
      <c r="AC542" s="14">
        <v>2</v>
      </c>
      <c r="AD542" s="14" t="s">
        <v>78</v>
      </c>
      <c r="AE542" s="17">
        <v>20.2</v>
      </c>
      <c r="AF542" s="15">
        <v>286342</v>
      </c>
      <c r="AG542" s="20">
        <f t="shared" si="92"/>
        <v>809044</v>
      </c>
      <c r="AH542" s="14">
        <v>0</v>
      </c>
      <c r="AI542" s="14" t="s">
        <v>76</v>
      </c>
      <c r="AJ542" s="14">
        <v>60</v>
      </c>
      <c r="AK542" s="21">
        <f t="shared" si="93"/>
        <v>0.14000000000000001</v>
      </c>
      <c r="AL542" s="20">
        <f t="shared" si="94"/>
        <v>0</v>
      </c>
      <c r="AM542" s="22">
        <f t="shared" si="95"/>
        <v>0</v>
      </c>
      <c r="AN542" s="20">
        <f t="shared" si="96"/>
        <v>1342.83</v>
      </c>
      <c r="AO542" s="16">
        <f t="shared" si="97"/>
        <v>3.0828196563242535E-2</v>
      </c>
      <c r="AP542" s="15">
        <v>0</v>
      </c>
      <c r="AQ542" s="18" t="str">
        <f t="shared" si="98"/>
        <v>N/A</v>
      </c>
      <c r="AR542" s="23">
        <v>46004</v>
      </c>
      <c r="AS542" s="14" t="s">
        <v>79</v>
      </c>
    </row>
    <row r="543" spans="1:45" x14ac:dyDescent="0.25">
      <c r="A543" s="14" t="s">
        <v>1803</v>
      </c>
      <c r="B543" s="14" t="s">
        <v>1804</v>
      </c>
      <c r="C543" s="14"/>
      <c r="D543" s="15" t="s">
        <v>1811</v>
      </c>
      <c r="E543" s="14">
        <v>41</v>
      </c>
      <c r="F543" s="14" t="s">
        <v>71</v>
      </c>
      <c r="G543" s="14" t="s">
        <v>143</v>
      </c>
      <c r="H543" s="14" t="s">
        <v>91</v>
      </c>
      <c r="I543" s="14" t="s">
        <v>92</v>
      </c>
      <c r="J543" s="15">
        <v>903446</v>
      </c>
      <c r="K543" s="14">
        <v>2</v>
      </c>
      <c r="L543" s="14" t="s">
        <v>76</v>
      </c>
      <c r="M543" s="14" t="s">
        <v>76</v>
      </c>
      <c r="N543" s="14" t="s">
        <v>75</v>
      </c>
      <c r="O543" s="14" t="s">
        <v>75</v>
      </c>
      <c r="P543" s="14">
        <v>550</v>
      </c>
      <c r="Q543" s="15">
        <v>151387</v>
      </c>
      <c r="R543" s="15">
        <v>9301.7800000000007</v>
      </c>
      <c r="S543" s="14" t="s">
        <v>21</v>
      </c>
      <c r="T543" s="15">
        <v>4430249</v>
      </c>
      <c r="U543" s="16">
        <f t="shared" si="88"/>
        <v>0.12355067153985962</v>
      </c>
      <c r="V543" s="14">
        <v>1</v>
      </c>
      <c r="W543" s="17">
        <v>34.299999999999997</v>
      </c>
      <c r="X543" s="14">
        <v>6.4</v>
      </c>
      <c r="Y543" s="18">
        <f t="shared" si="89"/>
        <v>34.5</v>
      </c>
      <c r="Z543" s="18" t="str">
        <f t="shared" si="90"/>
        <v>Medium</v>
      </c>
      <c r="AA543" s="19" t="str">
        <f t="shared" si="91"/>
        <v>Review</v>
      </c>
      <c r="AB543" s="14" t="s">
        <v>85</v>
      </c>
      <c r="AC543" s="14">
        <v>2</v>
      </c>
      <c r="AD543" s="14" t="s">
        <v>93</v>
      </c>
      <c r="AE543" s="17">
        <v>17.7</v>
      </c>
      <c r="AF543" s="15">
        <v>756181</v>
      </c>
      <c r="AG543" s="20">
        <f t="shared" si="92"/>
        <v>1659627</v>
      </c>
      <c r="AH543" s="14">
        <v>0</v>
      </c>
      <c r="AI543" s="14" t="s">
        <v>76</v>
      </c>
      <c r="AJ543" s="14">
        <v>60</v>
      </c>
      <c r="AK543" s="21">
        <f t="shared" si="93"/>
        <v>0.15500000000000003</v>
      </c>
      <c r="AL543" s="20">
        <f t="shared" si="94"/>
        <v>106561.6257276855</v>
      </c>
      <c r="AM543" s="22">
        <f t="shared" si="95"/>
        <v>4.9037230780810361</v>
      </c>
      <c r="AN543" s="20">
        <f t="shared" si="96"/>
        <v>115863.4057276855</v>
      </c>
      <c r="AO543" s="16">
        <f t="shared" si="97"/>
        <v>1.5389529299285469</v>
      </c>
      <c r="AP543" s="15">
        <v>0</v>
      </c>
      <c r="AQ543" s="18" t="str">
        <f t="shared" si="98"/>
        <v>N/A</v>
      </c>
      <c r="AR543" s="23">
        <v>46065</v>
      </c>
      <c r="AS543" s="14" t="s">
        <v>79</v>
      </c>
    </row>
    <row r="544" spans="1:45" x14ac:dyDescent="0.25">
      <c r="A544" s="14" t="s">
        <v>1807</v>
      </c>
      <c r="B544" s="14" t="s">
        <v>1808</v>
      </c>
      <c r="C544" s="14"/>
      <c r="D544" s="15" t="s">
        <v>1813</v>
      </c>
      <c r="E544" s="14">
        <v>60</v>
      </c>
      <c r="F544" s="14" t="s">
        <v>71</v>
      </c>
      <c r="G544" s="14" t="s">
        <v>98</v>
      </c>
      <c r="H544" s="14" t="s">
        <v>107</v>
      </c>
      <c r="I544" s="14" t="s">
        <v>92</v>
      </c>
      <c r="J544" s="15">
        <v>2140443</v>
      </c>
      <c r="K544" s="14">
        <v>2</v>
      </c>
      <c r="L544" s="14" t="s">
        <v>76</v>
      </c>
      <c r="M544" s="14" t="s">
        <v>75</v>
      </c>
      <c r="N544" s="14" t="s">
        <v>75</v>
      </c>
      <c r="O544" s="14" t="s">
        <v>76</v>
      </c>
      <c r="P544" s="14">
        <v>639</v>
      </c>
      <c r="Q544" s="15">
        <v>311903</v>
      </c>
      <c r="R544" s="15">
        <v>6331.16</v>
      </c>
      <c r="S544" s="14" t="s">
        <v>23</v>
      </c>
      <c r="T544" s="15">
        <v>428391</v>
      </c>
      <c r="U544" s="16">
        <f t="shared" si="88"/>
        <v>3.5494484085771029E-2</v>
      </c>
      <c r="V544" s="14">
        <v>1</v>
      </c>
      <c r="W544" s="17">
        <v>52.3</v>
      </c>
      <c r="X544" s="14">
        <v>1.9</v>
      </c>
      <c r="Y544" s="18">
        <f t="shared" si="89"/>
        <v>27.7</v>
      </c>
      <c r="Z544" s="18" t="str">
        <f t="shared" si="90"/>
        <v>Low</v>
      </c>
      <c r="AA544" s="19" t="str">
        <f t="shared" si="91"/>
        <v>Review</v>
      </c>
      <c r="AB544" s="14" t="s">
        <v>85</v>
      </c>
      <c r="AC544" s="14">
        <v>3</v>
      </c>
      <c r="AD544" s="14" t="s">
        <v>78</v>
      </c>
      <c r="AE544" s="17">
        <v>17.5</v>
      </c>
      <c r="AF544" s="15">
        <v>0</v>
      </c>
      <c r="AG544" s="20">
        <f t="shared" si="92"/>
        <v>2140443</v>
      </c>
      <c r="AH544" s="14">
        <v>2</v>
      </c>
      <c r="AI544" s="14" t="s">
        <v>75</v>
      </c>
      <c r="AJ544" s="14">
        <v>180</v>
      </c>
      <c r="AK544" s="21">
        <f t="shared" si="93"/>
        <v>8.5000000000000006E-2</v>
      </c>
      <c r="AL544" s="20">
        <f t="shared" si="94"/>
        <v>4218.5356395930285</v>
      </c>
      <c r="AM544" s="22">
        <f t="shared" si="95"/>
        <v>0.20014127916510741</v>
      </c>
      <c r="AN544" s="20">
        <f t="shared" si="96"/>
        <v>10549.695639593028</v>
      </c>
      <c r="AO544" s="16">
        <f t="shared" si="97"/>
        <v>5.9144928257896308E-2</v>
      </c>
      <c r="AP544" s="15">
        <v>9109456</v>
      </c>
      <c r="AQ544" s="18">
        <f t="shared" si="98"/>
        <v>4.7027067258461973E-2</v>
      </c>
      <c r="AR544" s="23">
        <v>46240</v>
      </c>
      <c r="AS544" s="14" t="s">
        <v>79</v>
      </c>
    </row>
    <row r="545" spans="1:45" x14ac:dyDescent="0.25">
      <c r="A545" s="14" t="s">
        <v>1810</v>
      </c>
      <c r="B545" s="14" t="s">
        <v>1336</v>
      </c>
      <c r="C545" s="14">
        <v>9105274731</v>
      </c>
      <c r="D545" s="15" t="s">
        <v>1816</v>
      </c>
      <c r="E545" s="14">
        <v>24</v>
      </c>
      <c r="F545" s="14" t="s">
        <v>71</v>
      </c>
      <c r="G545" s="14" t="s">
        <v>98</v>
      </c>
      <c r="H545" s="14" t="s">
        <v>166</v>
      </c>
      <c r="I545" s="14" t="s">
        <v>74</v>
      </c>
      <c r="J545" s="15">
        <v>486502</v>
      </c>
      <c r="K545" s="14">
        <v>1</v>
      </c>
      <c r="L545" s="14" t="s">
        <v>76</v>
      </c>
      <c r="M545" s="14" t="s">
        <v>75</v>
      </c>
      <c r="N545" s="14" t="s">
        <v>75</v>
      </c>
      <c r="O545" s="14" t="s">
        <v>75</v>
      </c>
      <c r="P545" s="14">
        <v>776</v>
      </c>
      <c r="Q545" s="15"/>
      <c r="R545" s="15">
        <v>3440.61</v>
      </c>
      <c r="S545" s="14" t="s">
        <v>23</v>
      </c>
      <c r="T545" s="15"/>
      <c r="U545" s="16">
        <f t="shared" si="88"/>
        <v>8.4865673727960014E-2</v>
      </c>
      <c r="V545" s="14">
        <v>2</v>
      </c>
      <c r="W545" s="17">
        <v>70.900000000000006</v>
      </c>
      <c r="X545" s="14">
        <v>10.9</v>
      </c>
      <c r="Y545" s="18">
        <f t="shared" si="89"/>
        <v>25.9</v>
      </c>
      <c r="Z545" s="18" t="str">
        <f t="shared" si="90"/>
        <v>Low</v>
      </c>
      <c r="AA545" s="19" t="str">
        <f t="shared" si="91"/>
        <v>Eligible</v>
      </c>
      <c r="AB545" s="14" t="s">
        <v>77</v>
      </c>
      <c r="AC545" s="14">
        <v>2</v>
      </c>
      <c r="AD545" s="14" t="s">
        <v>78</v>
      </c>
      <c r="AE545" s="17">
        <v>0.9</v>
      </c>
      <c r="AF545" s="15">
        <v>0</v>
      </c>
      <c r="AG545" s="20">
        <f t="shared" si="92"/>
        <v>486502</v>
      </c>
      <c r="AH545" s="14">
        <v>2</v>
      </c>
      <c r="AI545" s="14" t="s">
        <v>75</v>
      </c>
      <c r="AJ545" s="14">
        <v>120</v>
      </c>
      <c r="AK545" s="21">
        <f t="shared" si="93"/>
        <v>8.5000000000000006E-2</v>
      </c>
      <c r="AL545" s="20">
        <f t="shared" si="94"/>
        <v>0</v>
      </c>
      <c r="AM545" s="22">
        <f t="shared" si="95"/>
        <v>0</v>
      </c>
      <c r="AN545" s="20">
        <f t="shared" si="96"/>
        <v>3440.61</v>
      </c>
      <c r="AO545" s="16">
        <f t="shared" si="97"/>
        <v>8.4865673727960014E-2</v>
      </c>
      <c r="AP545" s="15">
        <v>5318509</v>
      </c>
      <c r="AQ545" s="18">
        <f t="shared" si="98"/>
        <v>0</v>
      </c>
      <c r="AR545" s="23">
        <v>46037</v>
      </c>
      <c r="AS545" s="14" t="s">
        <v>94</v>
      </c>
    </row>
    <row r="546" spans="1:45" x14ac:dyDescent="0.25">
      <c r="A546" s="14" t="s">
        <v>1812</v>
      </c>
      <c r="B546" s="14" t="s">
        <v>714</v>
      </c>
      <c r="C546" s="14"/>
      <c r="D546" s="15" t="s">
        <v>1819</v>
      </c>
      <c r="E546" s="14">
        <v>57</v>
      </c>
      <c r="F546" s="14" t="s">
        <v>89</v>
      </c>
      <c r="G546" s="14" t="s">
        <v>139</v>
      </c>
      <c r="H546" s="14" t="s">
        <v>107</v>
      </c>
      <c r="I546" s="14" t="s">
        <v>92</v>
      </c>
      <c r="J546" s="15">
        <v>578537</v>
      </c>
      <c r="K546" s="14">
        <v>1</v>
      </c>
      <c r="L546" s="14" t="s">
        <v>76</v>
      </c>
      <c r="M546" s="14" t="s">
        <v>75</v>
      </c>
      <c r="N546" s="14" t="s">
        <v>75</v>
      </c>
      <c r="O546" s="14" t="s">
        <v>75</v>
      </c>
      <c r="P546" s="14">
        <v>884</v>
      </c>
      <c r="Q546" s="15">
        <v>376220</v>
      </c>
      <c r="R546" s="15">
        <v>18347.240000000002</v>
      </c>
      <c r="S546" s="14" t="s">
        <v>20</v>
      </c>
      <c r="T546" s="15"/>
      <c r="U546" s="16">
        <f t="shared" si="88"/>
        <v>0.38055799369789661</v>
      </c>
      <c r="V546" s="14">
        <v>0</v>
      </c>
      <c r="W546" s="17">
        <v>59.8</v>
      </c>
      <c r="X546" s="14">
        <v>11.7</v>
      </c>
      <c r="Y546" s="18">
        <f t="shared" si="89"/>
        <v>18.5</v>
      </c>
      <c r="Z546" s="18" t="str">
        <f t="shared" si="90"/>
        <v>Low</v>
      </c>
      <c r="AA546" s="19" t="str">
        <f t="shared" si="91"/>
        <v>Eligible</v>
      </c>
      <c r="AB546" s="14" t="s">
        <v>77</v>
      </c>
      <c r="AC546" s="14">
        <v>2</v>
      </c>
      <c r="AD546" s="14" t="s">
        <v>78</v>
      </c>
      <c r="AE546" s="17">
        <v>1</v>
      </c>
      <c r="AF546" s="15">
        <v>508477</v>
      </c>
      <c r="AG546" s="20">
        <f t="shared" si="92"/>
        <v>1087014</v>
      </c>
      <c r="AH546" s="14">
        <v>1</v>
      </c>
      <c r="AI546" s="14" t="s">
        <v>75</v>
      </c>
      <c r="AJ546" s="14">
        <v>18</v>
      </c>
      <c r="AK546" s="21">
        <f t="shared" si="93"/>
        <v>0.36</v>
      </c>
      <c r="AL546" s="20">
        <f t="shared" si="94"/>
        <v>0</v>
      </c>
      <c r="AM546" s="22">
        <f t="shared" si="95"/>
        <v>0</v>
      </c>
      <c r="AN546" s="20">
        <f t="shared" si="96"/>
        <v>18347.240000000002</v>
      </c>
      <c r="AO546" s="16">
        <f t="shared" si="97"/>
        <v>0.38055799369789661</v>
      </c>
      <c r="AP546" s="15">
        <v>0</v>
      </c>
      <c r="AQ546" s="18" t="str">
        <f t="shared" si="98"/>
        <v>N/A</v>
      </c>
      <c r="AR546" s="23">
        <v>45924</v>
      </c>
      <c r="AS546" s="14" t="s">
        <v>79</v>
      </c>
    </row>
    <row r="547" spans="1:45" x14ac:dyDescent="0.25">
      <c r="A547" s="14" t="s">
        <v>1814</v>
      </c>
      <c r="B547" s="14" t="s">
        <v>1815</v>
      </c>
      <c r="C547" s="14">
        <v>9250980140</v>
      </c>
      <c r="D547" s="15" t="s">
        <v>1822</v>
      </c>
      <c r="E547" s="14">
        <v>51</v>
      </c>
      <c r="F547" s="14" t="s">
        <v>71</v>
      </c>
      <c r="G547" s="14" t="s">
        <v>388</v>
      </c>
      <c r="H547" s="14" t="s">
        <v>107</v>
      </c>
      <c r="I547" s="14" t="s">
        <v>92</v>
      </c>
      <c r="J547" s="15">
        <v>689773</v>
      </c>
      <c r="K547" s="14">
        <v>1</v>
      </c>
      <c r="L547" s="14" t="s">
        <v>75</v>
      </c>
      <c r="M547" s="14" t="s">
        <v>76</v>
      </c>
      <c r="N547" s="14" t="s">
        <v>75</v>
      </c>
      <c r="O547" s="14" t="s">
        <v>75</v>
      </c>
      <c r="P547" s="14">
        <v>455</v>
      </c>
      <c r="Q547" s="15"/>
      <c r="R547" s="15">
        <v>2173.91</v>
      </c>
      <c r="S547" s="14" t="s">
        <v>20</v>
      </c>
      <c r="T547" s="15">
        <v>2053795</v>
      </c>
      <c r="U547" s="16">
        <f t="shared" si="88"/>
        <v>3.7819572526033927E-2</v>
      </c>
      <c r="V547" s="14">
        <v>2</v>
      </c>
      <c r="W547" s="17">
        <v>71.5</v>
      </c>
      <c r="X547" s="14">
        <v>7</v>
      </c>
      <c r="Y547" s="18">
        <f t="shared" si="89"/>
        <v>46</v>
      </c>
      <c r="Z547" s="18" t="str">
        <f t="shared" si="90"/>
        <v>Medium</v>
      </c>
      <c r="AA547" s="19" t="str">
        <f t="shared" si="91"/>
        <v>Not Eligible</v>
      </c>
      <c r="AB547" s="14" t="s">
        <v>85</v>
      </c>
      <c r="AC547" s="14">
        <v>2</v>
      </c>
      <c r="AD547" s="14" t="s">
        <v>78</v>
      </c>
      <c r="AE547" s="17">
        <v>18.3</v>
      </c>
      <c r="AF547" s="15">
        <v>0</v>
      </c>
      <c r="AG547" s="20">
        <f t="shared" si="92"/>
        <v>689773</v>
      </c>
      <c r="AH547" s="14">
        <v>0</v>
      </c>
      <c r="AI547" s="14" t="s">
        <v>75</v>
      </c>
      <c r="AJ547" s="14">
        <v>36</v>
      </c>
      <c r="AK547" s="21">
        <f t="shared" si="93"/>
        <v>0.375</v>
      </c>
      <c r="AL547" s="20">
        <f t="shared" si="94"/>
        <v>95834.370881865238</v>
      </c>
      <c r="AM547" s="22">
        <f t="shared" si="95"/>
        <v>2.9774940451423872</v>
      </c>
      <c r="AN547" s="20">
        <f t="shared" si="96"/>
        <v>98008.280881865241</v>
      </c>
      <c r="AO547" s="16">
        <f t="shared" si="97"/>
        <v>1.7050527790771499</v>
      </c>
      <c r="AP547" s="15">
        <v>0</v>
      </c>
      <c r="AQ547" s="18" t="str">
        <f t="shared" si="98"/>
        <v>N/A</v>
      </c>
      <c r="AR547" s="23">
        <v>45948</v>
      </c>
      <c r="AS547" s="14" t="s">
        <v>79</v>
      </c>
    </row>
    <row r="548" spans="1:45" x14ac:dyDescent="0.25">
      <c r="A548" s="14" t="s">
        <v>1817</v>
      </c>
      <c r="B548" s="14" t="s">
        <v>1818</v>
      </c>
      <c r="C548" s="14">
        <v>9555118480</v>
      </c>
      <c r="D548" s="15" t="s">
        <v>1825</v>
      </c>
      <c r="E548" s="14">
        <v>49</v>
      </c>
      <c r="F548" s="14" t="s">
        <v>71</v>
      </c>
      <c r="G548" s="14" t="s">
        <v>226</v>
      </c>
      <c r="H548" s="14" t="s">
        <v>144</v>
      </c>
      <c r="I548" s="14" t="s">
        <v>92</v>
      </c>
      <c r="J548" s="15">
        <v>2135582</v>
      </c>
      <c r="K548" s="14">
        <v>1</v>
      </c>
      <c r="L548" s="14" t="s">
        <v>75</v>
      </c>
      <c r="M548" s="14" t="s">
        <v>76</v>
      </c>
      <c r="N548" s="14" t="s">
        <v>75</v>
      </c>
      <c r="O548" s="14" t="s">
        <v>75</v>
      </c>
      <c r="P548" s="14">
        <v>337</v>
      </c>
      <c r="Q548" s="15">
        <v>1025621</v>
      </c>
      <c r="R548" s="15">
        <v>15675.82</v>
      </c>
      <c r="S548" s="14" t="s">
        <v>23</v>
      </c>
      <c r="T548" s="15">
        <v>93843</v>
      </c>
      <c r="U548" s="16">
        <f t="shared" si="88"/>
        <v>8.8083641836276941E-2</v>
      </c>
      <c r="V548" s="14">
        <v>0</v>
      </c>
      <c r="W548" s="17">
        <v>55.9</v>
      </c>
      <c r="X548" s="14">
        <v>10</v>
      </c>
      <c r="Y548" s="18">
        <f t="shared" si="89"/>
        <v>45.8</v>
      </c>
      <c r="Z548" s="18" t="str">
        <f t="shared" si="90"/>
        <v>Medium</v>
      </c>
      <c r="AA548" s="19" t="str">
        <f t="shared" si="91"/>
        <v>Not Eligible</v>
      </c>
      <c r="AB548" s="14" t="s">
        <v>85</v>
      </c>
      <c r="AC548" s="14">
        <v>3</v>
      </c>
      <c r="AD548" s="14" t="s">
        <v>93</v>
      </c>
      <c r="AE548" s="17">
        <v>21.8</v>
      </c>
      <c r="AF548" s="15">
        <v>723270</v>
      </c>
      <c r="AG548" s="20">
        <f t="shared" si="92"/>
        <v>2858852</v>
      </c>
      <c r="AH548" s="14">
        <v>0</v>
      </c>
      <c r="AI548" s="14" t="s">
        <v>75</v>
      </c>
      <c r="AJ548" s="14">
        <v>240</v>
      </c>
      <c r="AK548" s="21">
        <f t="shared" si="93"/>
        <v>0.1</v>
      </c>
      <c r="AL548" s="20">
        <f t="shared" si="94"/>
        <v>905.6052623868012</v>
      </c>
      <c r="AM548" s="22">
        <f t="shared" si="95"/>
        <v>4.3942588015819573E-2</v>
      </c>
      <c r="AN548" s="20">
        <f t="shared" si="96"/>
        <v>16581.425262386801</v>
      </c>
      <c r="AO548" s="16">
        <f t="shared" si="97"/>
        <v>9.3172307665377221E-2</v>
      </c>
      <c r="AP548" s="15">
        <v>5420185</v>
      </c>
      <c r="AQ548" s="18">
        <f t="shared" si="98"/>
        <v>1.7313615679169621E-2</v>
      </c>
      <c r="AR548" s="23">
        <v>46180</v>
      </c>
      <c r="AS548" s="14" t="s">
        <v>79</v>
      </c>
    </row>
    <row r="549" spans="1:45" x14ac:dyDescent="0.25">
      <c r="A549" s="14" t="s">
        <v>1820</v>
      </c>
      <c r="B549" s="14" t="s">
        <v>1821</v>
      </c>
      <c r="C549" s="14">
        <v>9542747932</v>
      </c>
      <c r="D549" s="15" t="s">
        <v>1828</v>
      </c>
      <c r="E549" s="14">
        <v>21</v>
      </c>
      <c r="F549" s="14" t="s">
        <v>89</v>
      </c>
      <c r="G549" s="14" t="s">
        <v>72</v>
      </c>
      <c r="H549" s="14" t="s">
        <v>132</v>
      </c>
      <c r="I549" s="14" t="s">
        <v>92</v>
      </c>
      <c r="J549" s="15">
        <v>1502561</v>
      </c>
      <c r="K549" s="14">
        <v>2</v>
      </c>
      <c r="L549" s="14" t="s">
        <v>76</v>
      </c>
      <c r="M549" s="14" t="s">
        <v>76</v>
      </c>
      <c r="N549" s="14" t="s">
        <v>75</v>
      </c>
      <c r="O549" s="14" t="s">
        <v>75</v>
      </c>
      <c r="P549" s="14">
        <v>675</v>
      </c>
      <c r="Q549" s="15"/>
      <c r="R549" s="15">
        <v>26371.72</v>
      </c>
      <c r="S549" s="14" t="s">
        <v>23</v>
      </c>
      <c r="T549" s="15">
        <v>367912</v>
      </c>
      <c r="U549" s="16">
        <f t="shared" si="88"/>
        <v>0.21061417140468841</v>
      </c>
      <c r="V549" s="14">
        <v>3</v>
      </c>
      <c r="W549" s="17">
        <v>74.900000000000006</v>
      </c>
      <c r="X549" s="14">
        <v>0.2</v>
      </c>
      <c r="Y549" s="18">
        <f t="shared" si="89"/>
        <v>40.799999999999997</v>
      </c>
      <c r="Z549" s="18" t="str">
        <f t="shared" si="90"/>
        <v>Medium</v>
      </c>
      <c r="AA549" s="19" t="str">
        <f t="shared" si="91"/>
        <v>Review</v>
      </c>
      <c r="AB549" s="14" t="s">
        <v>77</v>
      </c>
      <c r="AC549" s="14">
        <v>2</v>
      </c>
      <c r="AD549" s="14" t="s">
        <v>93</v>
      </c>
      <c r="AE549" s="17">
        <v>0.3</v>
      </c>
      <c r="AF549" s="15">
        <v>734414</v>
      </c>
      <c r="AG549" s="20">
        <f t="shared" si="92"/>
        <v>2236975</v>
      </c>
      <c r="AH549" s="14">
        <v>1</v>
      </c>
      <c r="AI549" s="14" t="s">
        <v>75</v>
      </c>
      <c r="AJ549" s="14">
        <v>120</v>
      </c>
      <c r="AK549" s="21">
        <f t="shared" si="93"/>
        <v>0.1</v>
      </c>
      <c r="AL549" s="20">
        <f t="shared" si="94"/>
        <v>4861.9841907642694</v>
      </c>
      <c r="AM549" s="22">
        <f t="shared" si="95"/>
        <v>0.24485661480632068</v>
      </c>
      <c r="AN549" s="20">
        <f t="shared" si="96"/>
        <v>31233.704190764271</v>
      </c>
      <c r="AO549" s="16">
        <f t="shared" si="97"/>
        <v>0.24944374989712315</v>
      </c>
      <c r="AP549" s="15">
        <v>2479374</v>
      </c>
      <c r="AQ549" s="18">
        <f t="shared" si="98"/>
        <v>0.14838906917633241</v>
      </c>
      <c r="AR549" s="23">
        <v>46127</v>
      </c>
      <c r="AS549" s="14" t="s">
        <v>79</v>
      </c>
    </row>
    <row r="550" spans="1:45" x14ac:dyDescent="0.25">
      <c r="A550" s="14" t="s">
        <v>1823</v>
      </c>
      <c r="B550" s="14" t="s">
        <v>1824</v>
      </c>
      <c r="C550" s="14">
        <v>9473696649</v>
      </c>
      <c r="D550" s="15" t="s">
        <v>1831</v>
      </c>
      <c r="E550" s="14">
        <v>56</v>
      </c>
      <c r="F550" s="14" t="s">
        <v>89</v>
      </c>
      <c r="G550" s="14" t="s">
        <v>83</v>
      </c>
      <c r="H550" s="14" t="s">
        <v>103</v>
      </c>
      <c r="I550" s="14" t="s">
        <v>74</v>
      </c>
      <c r="J550" s="15">
        <v>1924742</v>
      </c>
      <c r="K550" s="14">
        <v>3</v>
      </c>
      <c r="L550" s="14" t="s">
        <v>76</v>
      </c>
      <c r="M550" s="14" t="s">
        <v>75</v>
      </c>
      <c r="N550" s="14" t="s">
        <v>76</v>
      </c>
      <c r="O550" s="14" t="s">
        <v>76</v>
      </c>
      <c r="P550" s="14">
        <v>376</v>
      </c>
      <c r="Q550" s="15">
        <v>153334</v>
      </c>
      <c r="R550" s="15">
        <v>48839.08</v>
      </c>
      <c r="S550" s="14" t="s">
        <v>20</v>
      </c>
      <c r="T550" s="15">
        <v>423259</v>
      </c>
      <c r="U550" s="16">
        <f t="shared" si="88"/>
        <v>0.30449221765826273</v>
      </c>
      <c r="V550" s="14">
        <v>10</v>
      </c>
      <c r="W550" s="17">
        <v>93.4</v>
      </c>
      <c r="X550" s="14">
        <v>6.5</v>
      </c>
      <c r="Y550" s="18">
        <f t="shared" si="89"/>
        <v>73.400000000000006</v>
      </c>
      <c r="Z550" s="18" t="str">
        <f t="shared" si="90"/>
        <v>High</v>
      </c>
      <c r="AA550" s="19" t="str">
        <f t="shared" si="91"/>
        <v>Not Eligible</v>
      </c>
      <c r="AB550" s="14" t="s">
        <v>85</v>
      </c>
      <c r="AC550" s="14">
        <v>0</v>
      </c>
      <c r="AD550" s="14" t="s">
        <v>78</v>
      </c>
      <c r="AE550" s="17">
        <v>15</v>
      </c>
      <c r="AF550" s="15">
        <v>599300</v>
      </c>
      <c r="AG550" s="20">
        <f t="shared" si="92"/>
        <v>2524042</v>
      </c>
      <c r="AH550" s="14">
        <v>0</v>
      </c>
      <c r="AI550" s="14" t="s">
        <v>75</v>
      </c>
      <c r="AJ550" s="14">
        <v>12</v>
      </c>
      <c r="AK550" s="21">
        <f t="shared" si="93"/>
        <v>0.39</v>
      </c>
      <c r="AL550" s="20">
        <f t="shared" si="94"/>
        <v>43158.529937097424</v>
      </c>
      <c r="AM550" s="22">
        <f t="shared" si="95"/>
        <v>0.21990427807986732</v>
      </c>
      <c r="AN550" s="20">
        <f t="shared" si="96"/>
        <v>91997.609937097426</v>
      </c>
      <c r="AO550" s="16">
        <f t="shared" si="97"/>
        <v>0.5735684674856002</v>
      </c>
      <c r="AP550" s="15">
        <v>0</v>
      </c>
      <c r="AQ550" s="18" t="str">
        <f t="shared" si="98"/>
        <v>N/A</v>
      </c>
      <c r="AR550" s="23">
        <v>46115</v>
      </c>
      <c r="AS550" s="14" t="s">
        <v>79</v>
      </c>
    </row>
    <row r="551" spans="1:45" x14ac:dyDescent="0.25">
      <c r="A551" s="14" t="s">
        <v>1826</v>
      </c>
      <c r="B551" s="14" t="s">
        <v>1827</v>
      </c>
      <c r="C551" s="14">
        <v>9114097170</v>
      </c>
      <c r="D551" s="15"/>
      <c r="E551" s="14">
        <v>29</v>
      </c>
      <c r="F551" s="14" t="s">
        <v>89</v>
      </c>
      <c r="G551" s="14" t="s">
        <v>314</v>
      </c>
      <c r="H551" s="14" t="s">
        <v>73</v>
      </c>
      <c r="I551" s="14" t="s">
        <v>74</v>
      </c>
      <c r="J551" s="15">
        <v>1736089</v>
      </c>
      <c r="K551" s="14">
        <v>2</v>
      </c>
      <c r="L551" s="14" t="s">
        <v>76</v>
      </c>
      <c r="M551" s="14" t="s">
        <v>75</v>
      </c>
      <c r="N551" s="14" t="s">
        <v>76</v>
      </c>
      <c r="O551" s="14" t="s">
        <v>75</v>
      </c>
      <c r="P551" s="14">
        <v>307</v>
      </c>
      <c r="Q551" s="15">
        <v>256192</v>
      </c>
      <c r="R551" s="15">
        <v>4053.99</v>
      </c>
      <c r="S551" s="14" t="s">
        <v>22</v>
      </c>
      <c r="T551" s="15"/>
      <c r="U551" s="16">
        <f t="shared" si="88"/>
        <v>2.8021535762279465E-2</v>
      </c>
      <c r="V551" s="14">
        <v>0</v>
      </c>
      <c r="W551" s="17">
        <v>16.8</v>
      </c>
      <c r="X551" s="14">
        <v>9.3000000000000007</v>
      </c>
      <c r="Y551" s="18">
        <f t="shared" si="89"/>
        <v>42.1</v>
      </c>
      <c r="Z551" s="18" t="str">
        <f t="shared" si="90"/>
        <v>Medium</v>
      </c>
      <c r="AA551" s="19" t="str">
        <f t="shared" si="91"/>
        <v>Not Eligible</v>
      </c>
      <c r="AB551" s="14" t="s">
        <v>77</v>
      </c>
      <c r="AC551" s="14">
        <v>1</v>
      </c>
      <c r="AD551" s="14" t="s">
        <v>93</v>
      </c>
      <c r="AE551" s="17">
        <v>7.3</v>
      </c>
      <c r="AF551" s="15">
        <v>0</v>
      </c>
      <c r="AG551" s="20">
        <f t="shared" si="92"/>
        <v>1736089</v>
      </c>
      <c r="AH551" s="14">
        <v>0</v>
      </c>
      <c r="AI551" s="14" t="s">
        <v>76</v>
      </c>
      <c r="AJ551" s="14">
        <v>48</v>
      </c>
      <c r="AK551" s="21">
        <f t="shared" si="93"/>
        <v>0.105</v>
      </c>
      <c r="AL551" s="20">
        <f t="shared" si="94"/>
        <v>0</v>
      </c>
      <c r="AM551" s="22">
        <f t="shared" si="95"/>
        <v>0</v>
      </c>
      <c r="AN551" s="20">
        <f t="shared" si="96"/>
        <v>4053.99</v>
      </c>
      <c r="AO551" s="16">
        <f t="shared" si="97"/>
        <v>2.8021535762279465E-2</v>
      </c>
      <c r="AP551" s="15">
        <v>432143</v>
      </c>
      <c r="AQ551" s="18">
        <f t="shared" si="98"/>
        <v>0</v>
      </c>
      <c r="AR551" s="23">
        <v>46084</v>
      </c>
      <c r="AS551" s="14" t="s">
        <v>79</v>
      </c>
    </row>
    <row r="552" spans="1:45" x14ac:dyDescent="0.25">
      <c r="A552" s="14" t="s">
        <v>1829</v>
      </c>
      <c r="B552" s="14" t="s">
        <v>1830</v>
      </c>
      <c r="C552" s="14">
        <v>9855983760</v>
      </c>
      <c r="D552" s="15" t="s">
        <v>1835</v>
      </c>
      <c r="E552" s="14">
        <v>48</v>
      </c>
      <c r="F552" s="14" t="s">
        <v>71</v>
      </c>
      <c r="G552" s="14" t="s">
        <v>131</v>
      </c>
      <c r="H552" s="14" t="s">
        <v>84</v>
      </c>
      <c r="I552" s="14" t="s">
        <v>74</v>
      </c>
      <c r="J552" s="15">
        <v>2311468</v>
      </c>
      <c r="K552" s="14">
        <v>1</v>
      </c>
      <c r="L552" s="14" t="s">
        <v>75</v>
      </c>
      <c r="M552" s="14" t="s">
        <v>76</v>
      </c>
      <c r="N552" s="14" t="s">
        <v>75</v>
      </c>
      <c r="O552" s="14" t="s">
        <v>75</v>
      </c>
      <c r="P552" s="14">
        <v>302</v>
      </c>
      <c r="Q552" s="15">
        <v>129440.29</v>
      </c>
      <c r="R552" s="15">
        <v>3262.42</v>
      </c>
      <c r="S552" s="14" t="s">
        <v>20</v>
      </c>
      <c r="T552" s="15">
        <v>717259</v>
      </c>
      <c r="U552" s="16">
        <f t="shared" si="88"/>
        <v>1.6936873017493644E-2</v>
      </c>
      <c r="V552" s="14">
        <v>0</v>
      </c>
      <c r="W552" s="17">
        <v>79.400000000000006</v>
      </c>
      <c r="X552" s="14">
        <v>2</v>
      </c>
      <c r="Y552" s="18">
        <f t="shared" si="89"/>
        <v>48.3</v>
      </c>
      <c r="Z552" s="18" t="str">
        <f t="shared" si="90"/>
        <v>Medium</v>
      </c>
      <c r="AA552" s="19" t="str">
        <f t="shared" si="91"/>
        <v>Not Eligible</v>
      </c>
      <c r="AB552" s="14" t="s">
        <v>85</v>
      </c>
      <c r="AC552" s="14">
        <v>3</v>
      </c>
      <c r="AD552" s="14" t="s">
        <v>93</v>
      </c>
      <c r="AE552" s="17">
        <v>11.3</v>
      </c>
      <c r="AF552" s="15">
        <v>486994</v>
      </c>
      <c r="AG552" s="20">
        <f t="shared" si="92"/>
        <v>2798462</v>
      </c>
      <c r="AH552" s="14">
        <v>0</v>
      </c>
      <c r="AI552" s="14" t="s">
        <v>76</v>
      </c>
      <c r="AJ552" s="14">
        <v>36</v>
      </c>
      <c r="AK552" s="21">
        <f t="shared" si="93"/>
        <v>0.375</v>
      </c>
      <c r="AL552" s="20">
        <f t="shared" si="94"/>
        <v>33468.805321054817</v>
      </c>
      <c r="AM552" s="22">
        <f t="shared" si="95"/>
        <v>0.3103045337421933</v>
      </c>
      <c r="AN552" s="20">
        <f t="shared" si="96"/>
        <v>36731.225321054815</v>
      </c>
      <c r="AO552" s="16">
        <f t="shared" si="97"/>
        <v>0.19069037678767684</v>
      </c>
      <c r="AP552" s="15">
        <v>0</v>
      </c>
      <c r="AQ552" s="18" t="str">
        <f t="shared" si="98"/>
        <v>N/A</v>
      </c>
      <c r="AR552" s="23">
        <v>45977</v>
      </c>
      <c r="AS552" s="14" t="s">
        <v>79</v>
      </c>
    </row>
    <row r="553" spans="1:45" x14ac:dyDescent="0.25">
      <c r="A553" s="14" t="s">
        <v>1832</v>
      </c>
      <c r="B553" s="14" t="s">
        <v>477</v>
      </c>
      <c r="C553" s="14">
        <v>9358286271</v>
      </c>
      <c r="D553" s="15" t="s">
        <v>1838</v>
      </c>
      <c r="E553" s="14">
        <v>63</v>
      </c>
      <c r="F553" s="14" t="s">
        <v>89</v>
      </c>
      <c r="G553" s="14" t="s">
        <v>417</v>
      </c>
      <c r="H553" s="14" t="s">
        <v>73</v>
      </c>
      <c r="I553" s="14" t="s">
        <v>74</v>
      </c>
      <c r="J553" s="15">
        <v>921311</v>
      </c>
      <c r="K553" s="14">
        <v>1</v>
      </c>
      <c r="L553" s="14" t="s">
        <v>75</v>
      </c>
      <c r="M553" s="14" t="s">
        <v>75</v>
      </c>
      <c r="N553" s="14" t="s">
        <v>76</v>
      </c>
      <c r="O553" s="14" t="s">
        <v>75</v>
      </c>
      <c r="P553" s="14">
        <v>362</v>
      </c>
      <c r="Q553" s="15">
        <v>33943.949999999997</v>
      </c>
      <c r="R553" s="15">
        <v>10674.66</v>
      </c>
      <c r="S553" s="14" t="s">
        <v>20</v>
      </c>
      <c r="T553" s="15">
        <v>436863</v>
      </c>
      <c r="U553" s="16">
        <f t="shared" si="88"/>
        <v>0.13903656854200155</v>
      </c>
      <c r="V553" s="14">
        <v>1</v>
      </c>
      <c r="W553" s="17">
        <v>28.4</v>
      </c>
      <c r="X553" s="14">
        <v>7</v>
      </c>
      <c r="Y553" s="18">
        <f t="shared" si="89"/>
        <v>46.9</v>
      </c>
      <c r="Z553" s="18" t="str">
        <f t="shared" si="90"/>
        <v>Medium</v>
      </c>
      <c r="AA553" s="19" t="str">
        <f t="shared" si="91"/>
        <v>Not Eligible</v>
      </c>
      <c r="AB553" s="14" t="s">
        <v>85</v>
      </c>
      <c r="AC553" s="14">
        <v>0</v>
      </c>
      <c r="AD553" s="14" t="s">
        <v>78</v>
      </c>
      <c r="AE553" s="17">
        <v>26.1</v>
      </c>
      <c r="AF553" s="15">
        <v>0</v>
      </c>
      <c r="AG553" s="20">
        <f t="shared" si="92"/>
        <v>921311</v>
      </c>
      <c r="AH553" s="14">
        <v>0</v>
      </c>
      <c r="AI553" s="14" t="s">
        <v>75</v>
      </c>
      <c r="AJ553" s="14">
        <v>24</v>
      </c>
      <c r="AK553" s="21">
        <f t="shared" si="93"/>
        <v>0.375</v>
      </c>
      <c r="AL553" s="20">
        <f t="shared" si="94"/>
        <v>26144.214580942593</v>
      </c>
      <c r="AM553" s="22">
        <f t="shared" si="95"/>
        <v>0.474175387030004</v>
      </c>
      <c r="AN553" s="20">
        <f t="shared" si="96"/>
        <v>36818.874580942589</v>
      </c>
      <c r="AO553" s="16">
        <f t="shared" si="97"/>
        <v>0.47956281317742983</v>
      </c>
      <c r="AP553" s="15">
        <v>0</v>
      </c>
      <c r="AQ553" s="18" t="str">
        <f t="shared" si="98"/>
        <v>N/A</v>
      </c>
      <c r="AR553" s="23">
        <v>45997</v>
      </c>
      <c r="AS553" s="14" t="s">
        <v>79</v>
      </c>
    </row>
    <row r="554" spans="1:45" x14ac:dyDescent="0.25">
      <c r="A554" s="14" t="s">
        <v>1833</v>
      </c>
      <c r="B554" s="14" t="s">
        <v>1439</v>
      </c>
      <c r="C554" s="14">
        <v>9859918130</v>
      </c>
      <c r="D554" s="15" t="s">
        <v>1840</v>
      </c>
      <c r="E554" s="14">
        <v>22</v>
      </c>
      <c r="F554" s="14" t="s">
        <v>89</v>
      </c>
      <c r="G554" s="14" t="s">
        <v>98</v>
      </c>
      <c r="H554" s="14" t="s">
        <v>103</v>
      </c>
      <c r="I554" s="14" t="s">
        <v>74</v>
      </c>
      <c r="J554" s="15">
        <v>1790376</v>
      </c>
      <c r="K554" s="14">
        <v>1</v>
      </c>
      <c r="L554" s="14" t="s">
        <v>76</v>
      </c>
      <c r="M554" s="14" t="s">
        <v>75</v>
      </c>
      <c r="N554" s="14" t="s">
        <v>75</v>
      </c>
      <c r="O554" s="14" t="s">
        <v>75</v>
      </c>
      <c r="P554" s="14">
        <v>509</v>
      </c>
      <c r="Q554" s="15"/>
      <c r="R554" s="15">
        <v>10786.69</v>
      </c>
      <c r="S554" s="14" t="s">
        <v>22</v>
      </c>
      <c r="T554" s="15">
        <v>6859327</v>
      </c>
      <c r="U554" s="16">
        <f t="shared" si="88"/>
        <v>7.2297819005616701E-2</v>
      </c>
      <c r="V554" s="14">
        <v>10</v>
      </c>
      <c r="W554" s="17">
        <v>81.3</v>
      </c>
      <c r="X554" s="14">
        <v>11.7</v>
      </c>
      <c r="Y554" s="18">
        <f t="shared" si="89"/>
        <v>56.4</v>
      </c>
      <c r="Z554" s="18" t="str">
        <f t="shared" si="90"/>
        <v>Medium</v>
      </c>
      <c r="AA554" s="19" t="str">
        <f t="shared" si="91"/>
        <v>Not Eligible</v>
      </c>
      <c r="AB554" s="14" t="s">
        <v>77</v>
      </c>
      <c r="AC554" s="14">
        <v>0</v>
      </c>
      <c r="AD554" s="14" t="s">
        <v>93</v>
      </c>
      <c r="AE554" s="17">
        <v>1</v>
      </c>
      <c r="AF554" s="15">
        <v>0</v>
      </c>
      <c r="AG554" s="20">
        <f t="shared" si="92"/>
        <v>1790376</v>
      </c>
      <c r="AH554" s="14">
        <v>2</v>
      </c>
      <c r="AI554" s="14" t="s">
        <v>76</v>
      </c>
      <c r="AJ554" s="14">
        <v>60</v>
      </c>
      <c r="AK554" s="21">
        <f t="shared" si="93"/>
        <v>0.105</v>
      </c>
      <c r="AL554" s="20">
        <f t="shared" si="94"/>
        <v>147433.69119893131</v>
      </c>
      <c r="AM554" s="22">
        <f t="shared" si="95"/>
        <v>3.8312214864363687</v>
      </c>
      <c r="AN554" s="20">
        <f t="shared" si="96"/>
        <v>158220.38119893131</v>
      </c>
      <c r="AO554" s="16">
        <f t="shared" si="97"/>
        <v>1.0604725344772137</v>
      </c>
      <c r="AP554" s="15">
        <v>871210</v>
      </c>
      <c r="AQ554" s="18">
        <f t="shared" si="98"/>
        <v>7.8733336394210349</v>
      </c>
      <c r="AR554" s="23">
        <v>45935</v>
      </c>
      <c r="AS554" s="14" t="s">
        <v>79</v>
      </c>
    </row>
    <row r="555" spans="1:45" x14ac:dyDescent="0.25">
      <c r="A555" s="14" t="s">
        <v>1836</v>
      </c>
      <c r="B555" s="14" t="s">
        <v>1837</v>
      </c>
      <c r="C555" s="14">
        <v>9615279977</v>
      </c>
      <c r="D555" s="15" t="s">
        <v>1843</v>
      </c>
      <c r="E555" s="14">
        <v>65</v>
      </c>
      <c r="F555" s="14" t="s">
        <v>89</v>
      </c>
      <c r="G555" s="14" t="s">
        <v>127</v>
      </c>
      <c r="H555" s="14" t="s">
        <v>166</v>
      </c>
      <c r="I555" s="14" t="s">
        <v>74</v>
      </c>
      <c r="J555" s="15">
        <v>541511</v>
      </c>
      <c r="K555" s="14">
        <v>0</v>
      </c>
      <c r="L555" s="14" t="s">
        <v>75</v>
      </c>
      <c r="M555" s="14" t="s">
        <v>75</v>
      </c>
      <c r="N555" s="14" t="s">
        <v>75</v>
      </c>
      <c r="O555" s="14" t="s">
        <v>75</v>
      </c>
      <c r="P555" s="14">
        <v>638</v>
      </c>
      <c r="Q555" s="15"/>
      <c r="R555" s="15">
        <v>2611.0700000000002</v>
      </c>
      <c r="S555" s="14" t="s">
        <v>20</v>
      </c>
      <c r="T555" s="15"/>
      <c r="U555" s="16">
        <f t="shared" si="88"/>
        <v>5.7861871688663767E-2</v>
      </c>
      <c r="V555" s="14">
        <v>0</v>
      </c>
      <c r="W555" s="17">
        <v>47.5</v>
      </c>
      <c r="X555" s="14">
        <v>7.4</v>
      </c>
      <c r="Y555" s="18">
        <f t="shared" si="89"/>
        <v>24</v>
      </c>
      <c r="Z555" s="18" t="str">
        <f t="shared" si="90"/>
        <v>Low</v>
      </c>
      <c r="AA555" s="19" t="str">
        <f t="shared" si="91"/>
        <v>Review</v>
      </c>
      <c r="AB555" s="14" t="s">
        <v>85</v>
      </c>
      <c r="AC555" s="14">
        <v>3</v>
      </c>
      <c r="AD555" s="14" t="s">
        <v>78</v>
      </c>
      <c r="AE555" s="17">
        <v>22.5</v>
      </c>
      <c r="AF555" s="15">
        <v>326964</v>
      </c>
      <c r="AG555" s="20">
        <f t="shared" si="92"/>
        <v>868475</v>
      </c>
      <c r="AH555" s="14">
        <v>1</v>
      </c>
      <c r="AI555" s="14" t="s">
        <v>75</v>
      </c>
      <c r="AJ555" s="14">
        <v>24</v>
      </c>
      <c r="AK555" s="21">
        <f t="shared" si="93"/>
        <v>0.36</v>
      </c>
      <c r="AL555" s="20">
        <f t="shared" si="94"/>
        <v>0</v>
      </c>
      <c r="AM555" s="22">
        <f t="shared" si="95"/>
        <v>0</v>
      </c>
      <c r="AN555" s="20">
        <f t="shared" si="96"/>
        <v>2611.0700000000002</v>
      </c>
      <c r="AO555" s="16">
        <f t="shared" si="97"/>
        <v>5.7861871688663767E-2</v>
      </c>
      <c r="AP555" s="15">
        <v>0</v>
      </c>
      <c r="AQ555" s="18" t="str">
        <f t="shared" si="98"/>
        <v>N/A</v>
      </c>
      <c r="AR555" s="23">
        <v>46188</v>
      </c>
      <c r="AS555" s="14" t="s">
        <v>79</v>
      </c>
    </row>
    <row r="556" spans="1:45" x14ac:dyDescent="0.25">
      <c r="A556" s="14" t="s">
        <v>1839</v>
      </c>
      <c r="B556" s="14" t="s">
        <v>129</v>
      </c>
      <c r="C556" s="14">
        <v>9814422691</v>
      </c>
      <c r="D556" s="15" t="s">
        <v>1846</v>
      </c>
      <c r="E556" s="14">
        <v>32</v>
      </c>
      <c r="F556" s="14" t="s">
        <v>71</v>
      </c>
      <c r="G556" s="14" t="s">
        <v>215</v>
      </c>
      <c r="H556" s="14" t="s">
        <v>144</v>
      </c>
      <c r="I556" s="14" t="s">
        <v>92</v>
      </c>
      <c r="J556" s="15">
        <v>458954</v>
      </c>
      <c r="K556" s="14">
        <v>1</v>
      </c>
      <c r="L556" s="14" t="s">
        <v>75</v>
      </c>
      <c r="M556" s="14" t="s">
        <v>76</v>
      </c>
      <c r="N556" s="14" t="s">
        <v>75</v>
      </c>
      <c r="O556" s="14" t="s">
        <v>75</v>
      </c>
      <c r="P556" s="14">
        <v>704</v>
      </c>
      <c r="Q556" s="15"/>
      <c r="R556" s="15">
        <v>4793.47</v>
      </c>
      <c r="S556" s="14" t="s">
        <v>23</v>
      </c>
      <c r="T556" s="15">
        <v>2729819</v>
      </c>
      <c r="U556" s="16">
        <f t="shared" si="88"/>
        <v>0.12533203763340117</v>
      </c>
      <c r="V556" s="14">
        <v>0</v>
      </c>
      <c r="W556" s="17">
        <v>11.2</v>
      </c>
      <c r="X556" s="14">
        <v>7.1</v>
      </c>
      <c r="Y556" s="18">
        <f t="shared" si="89"/>
        <v>17.899999999999999</v>
      </c>
      <c r="Z556" s="18" t="str">
        <f t="shared" si="90"/>
        <v>Low</v>
      </c>
      <c r="AA556" s="19" t="str">
        <f t="shared" si="91"/>
        <v>Eligible</v>
      </c>
      <c r="AB556" s="14" t="s">
        <v>85</v>
      </c>
      <c r="AC556" s="14">
        <v>0</v>
      </c>
      <c r="AD556" s="14" t="s">
        <v>78</v>
      </c>
      <c r="AE556" s="17">
        <v>6.8</v>
      </c>
      <c r="AF556" s="15">
        <v>0</v>
      </c>
      <c r="AG556" s="20">
        <f t="shared" si="92"/>
        <v>458954</v>
      </c>
      <c r="AH556" s="14">
        <v>0</v>
      </c>
      <c r="AI556" s="14" t="s">
        <v>76</v>
      </c>
      <c r="AJ556" s="14">
        <v>120</v>
      </c>
      <c r="AK556" s="21">
        <f t="shared" si="93"/>
        <v>8.5000000000000006E-2</v>
      </c>
      <c r="AL556" s="20">
        <f t="shared" si="94"/>
        <v>33845.848921772915</v>
      </c>
      <c r="AM556" s="22">
        <f t="shared" si="95"/>
        <v>5.9479141700475431</v>
      </c>
      <c r="AN556" s="20">
        <f t="shared" si="96"/>
        <v>38639.318921772916</v>
      </c>
      <c r="AO556" s="16">
        <f t="shared" si="97"/>
        <v>1.0102795205211743</v>
      </c>
      <c r="AP556" s="15">
        <v>8142775</v>
      </c>
      <c r="AQ556" s="18">
        <f t="shared" si="98"/>
        <v>0.3352443116750739</v>
      </c>
      <c r="AR556" s="23">
        <v>46143</v>
      </c>
      <c r="AS556" s="14" t="s">
        <v>79</v>
      </c>
    </row>
    <row r="557" spans="1:45" x14ac:dyDescent="0.25">
      <c r="A557" s="14" t="s">
        <v>1841</v>
      </c>
      <c r="B557" s="14" t="s">
        <v>1842</v>
      </c>
      <c r="C557" s="14"/>
      <c r="D557" s="15" t="s">
        <v>1849</v>
      </c>
      <c r="E557" s="14">
        <v>36</v>
      </c>
      <c r="F557" s="14" t="s">
        <v>71</v>
      </c>
      <c r="G557" s="14" t="s">
        <v>98</v>
      </c>
      <c r="H557" s="14" t="s">
        <v>103</v>
      </c>
      <c r="I557" s="14" t="s">
        <v>74</v>
      </c>
      <c r="J557" s="15">
        <v>2132465</v>
      </c>
      <c r="K557" s="14">
        <v>1</v>
      </c>
      <c r="L557" s="14" t="s">
        <v>76</v>
      </c>
      <c r="M557" s="14" t="s">
        <v>75</v>
      </c>
      <c r="N557" s="14" t="s">
        <v>75</v>
      </c>
      <c r="O557" s="14" t="s">
        <v>75</v>
      </c>
      <c r="P557" s="14">
        <v>596</v>
      </c>
      <c r="Q557" s="15">
        <v>68889</v>
      </c>
      <c r="R557" s="15">
        <v>39250.639999999999</v>
      </c>
      <c r="S557" s="14" t="s">
        <v>23</v>
      </c>
      <c r="T557" s="15">
        <v>156053</v>
      </c>
      <c r="U557" s="16">
        <f t="shared" si="88"/>
        <v>0.22087475292677722</v>
      </c>
      <c r="V557" s="14">
        <v>0</v>
      </c>
      <c r="W557" s="17">
        <v>83.1</v>
      </c>
      <c r="X557" s="14">
        <v>4.0999999999999996</v>
      </c>
      <c r="Y557" s="18">
        <f t="shared" si="89"/>
        <v>35.200000000000003</v>
      </c>
      <c r="Z557" s="18" t="str">
        <f t="shared" si="90"/>
        <v>Medium</v>
      </c>
      <c r="AA557" s="19" t="str">
        <f t="shared" si="91"/>
        <v>Review</v>
      </c>
      <c r="AB557" s="14" t="s">
        <v>77</v>
      </c>
      <c r="AC557" s="14">
        <v>3</v>
      </c>
      <c r="AD557" s="14" t="s">
        <v>194</v>
      </c>
      <c r="AE557" s="17">
        <v>2.4</v>
      </c>
      <c r="AF557" s="15">
        <v>188236</v>
      </c>
      <c r="AG557" s="20">
        <f t="shared" si="92"/>
        <v>2320701</v>
      </c>
      <c r="AH557" s="14">
        <v>0</v>
      </c>
      <c r="AI557" s="14" t="s">
        <v>76</v>
      </c>
      <c r="AJ557" s="14">
        <v>180</v>
      </c>
      <c r="AK557" s="21">
        <f t="shared" si="93"/>
        <v>0.1</v>
      </c>
      <c r="AL557" s="20">
        <f t="shared" si="94"/>
        <v>1676.9535243370465</v>
      </c>
      <c r="AM557" s="22">
        <f t="shared" si="95"/>
        <v>7.3179630146332997E-2</v>
      </c>
      <c r="AN557" s="20">
        <f t="shared" si="96"/>
        <v>40927.593524337048</v>
      </c>
      <c r="AO557" s="16">
        <f t="shared" si="97"/>
        <v>0.23031145753484564</v>
      </c>
      <c r="AP557" s="15">
        <v>1909312</v>
      </c>
      <c r="AQ557" s="18">
        <f t="shared" si="98"/>
        <v>8.1732582207622431E-2</v>
      </c>
      <c r="AR557" s="23">
        <v>46105</v>
      </c>
      <c r="AS557" s="14" t="s">
        <v>79</v>
      </c>
    </row>
    <row r="558" spans="1:45" x14ac:dyDescent="0.25">
      <c r="A558" s="14" t="s">
        <v>1844</v>
      </c>
      <c r="B558" s="14" t="s">
        <v>1845</v>
      </c>
      <c r="C558" s="14">
        <v>9977399710</v>
      </c>
      <c r="D558" s="15" t="s">
        <v>1851</v>
      </c>
      <c r="E558" s="14">
        <v>61</v>
      </c>
      <c r="F558" s="14" t="s">
        <v>89</v>
      </c>
      <c r="G558" s="14" t="s">
        <v>139</v>
      </c>
      <c r="H558" s="14" t="s">
        <v>144</v>
      </c>
      <c r="I558" s="14" t="s">
        <v>92</v>
      </c>
      <c r="J558" s="15">
        <v>651014</v>
      </c>
      <c r="K558" s="14">
        <v>1</v>
      </c>
      <c r="L558" s="14" t="s">
        <v>76</v>
      </c>
      <c r="M558" s="14" t="s">
        <v>75</v>
      </c>
      <c r="N558" s="14" t="s">
        <v>75</v>
      </c>
      <c r="O558" s="14" t="s">
        <v>75</v>
      </c>
      <c r="P558" s="14">
        <v>816</v>
      </c>
      <c r="Q558" s="15">
        <v>371228</v>
      </c>
      <c r="R558" s="15">
        <v>7054.48</v>
      </c>
      <c r="S558" s="14" t="s">
        <v>23</v>
      </c>
      <c r="T558" s="15">
        <v>390460</v>
      </c>
      <c r="U558" s="16">
        <f t="shared" si="88"/>
        <v>0.13003370127216926</v>
      </c>
      <c r="V558" s="14">
        <v>4</v>
      </c>
      <c r="W558" s="17">
        <v>12.9</v>
      </c>
      <c r="X558" s="14">
        <v>6.8</v>
      </c>
      <c r="Y558" s="18">
        <f t="shared" si="89"/>
        <v>26.8</v>
      </c>
      <c r="Z558" s="18" t="str">
        <f t="shared" si="90"/>
        <v>Low</v>
      </c>
      <c r="AA558" s="19" t="str">
        <f t="shared" si="91"/>
        <v>Review</v>
      </c>
      <c r="AB558" s="14" t="s">
        <v>85</v>
      </c>
      <c r="AC558" s="14">
        <v>3</v>
      </c>
      <c r="AD558" s="14" t="s">
        <v>93</v>
      </c>
      <c r="AE558" s="17">
        <v>17.8</v>
      </c>
      <c r="AF558" s="15">
        <v>646115</v>
      </c>
      <c r="AG558" s="20">
        <f t="shared" si="92"/>
        <v>1297129</v>
      </c>
      <c r="AH558" s="14">
        <v>0</v>
      </c>
      <c r="AI558" s="14" t="s">
        <v>75</v>
      </c>
      <c r="AJ558" s="14">
        <v>120</v>
      </c>
      <c r="AK558" s="21">
        <f t="shared" si="93"/>
        <v>8.5000000000000006E-2</v>
      </c>
      <c r="AL558" s="20">
        <f t="shared" si="94"/>
        <v>4841.1452077941613</v>
      </c>
      <c r="AM558" s="22">
        <f t="shared" si="95"/>
        <v>0.59977204791294814</v>
      </c>
      <c r="AN558" s="20">
        <f t="shared" si="96"/>
        <v>11895.625207794161</v>
      </c>
      <c r="AO558" s="16">
        <f t="shared" si="97"/>
        <v>0.21926948190596504</v>
      </c>
      <c r="AP558" s="15">
        <v>3801620</v>
      </c>
      <c r="AQ558" s="18">
        <f t="shared" si="98"/>
        <v>0.10270884517653001</v>
      </c>
      <c r="AR558" s="23">
        <v>46099</v>
      </c>
      <c r="AS558" s="14" t="s">
        <v>79</v>
      </c>
    </row>
    <row r="559" spans="1:45" x14ac:dyDescent="0.25">
      <c r="A559" s="14" t="s">
        <v>1847</v>
      </c>
      <c r="B559" s="14" t="s">
        <v>1848</v>
      </c>
      <c r="C559" s="14">
        <v>9694006191</v>
      </c>
      <c r="D559" s="15" t="s">
        <v>1853</v>
      </c>
      <c r="E559" s="14">
        <v>49</v>
      </c>
      <c r="F559" s="14" t="s">
        <v>89</v>
      </c>
      <c r="G559" s="14" t="s">
        <v>314</v>
      </c>
      <c r="H559" s="14" t="s">
        <v>144</v>
      </c>
      <c r="I559" s="14" t="s">
        <v>92</v>
      </c>
      <c r="J559" s="15">
        <v>1277850</v>
      </c>
      <c r="K559" s="14">
        <v>0</v>
      </c>
      <c r="L559" s="14" t="s">
        <v>75</v>
      </c>
      <c r="M559" s="14" t="s">
        <v>75</v>
      </c>
      <c r="N559" s="14" t="s">
        <v>75</v>
      </c>
      <c r="O559" s="14" t="s">
        <v>75</v>
      </c>
      <c r="P559" s="14">
        <v>311</v>
      </c>
      <c r="Q559" s="15">
        <v>65317</v>
      </c>
      <c r="R559" s="15">
        <v>4592.59</v>
      </c>
      <c r="S559" s="14" t="s">
        <v>20</v>
      </c>
      <c r="T559" s="15">
        <v>7388895</v>
      </c>
      <c r="U559" s="16">
        <f t="shared" si="88"/>
        <v>4.3127972766756666E-2</v>
      </c>
      <c r="V559" s="14">
        <v>1</v>
      </c>
      <c r="W559" s="17">
        <v>44.8</v>
      </c>
      <c r="X559" s="14">
        <v>4.9000000000000004</v>
      </c>
      <c r="Y559" s="18">
        <f t="shared" si="89"/>
        <v>49</v>
      </c>
      <c r="Z559" s="18" t="str">
        <f t="shared" si="90"/>
        <v>Medium</v>
      </c>
      <c r="AA559" s="19" t="str">
        <f t="shared" si="91"/>
        <v>Not Eligible</v>
      </c>
      <c r="AB559" s="14" t="s">
        <v>77</v>
      </c>
      <c r="AC559" s="14">
        <v>3</v>
      </c>
      <c r="AD559" s="14" t="s">
        <v>78</v>
      </c>
      <c r="AE559" s="17">
        <v>5.5</v>
      </c>
      <c r="AF559" s="15">
        <v>0</v>
      </c>
      <c r="AG559" s="20">
        <f t="shared" si="92"/>
        <v>1277850</v>
      </c>
      <c r="AH559" s="14">
        <v>0</v>
      </c>
      <c r="AI559" s="14" t="s">
        <v>75</v>
      </c>
      <c r="AJ559" s="14">
        <v>12</v>
      </c>
      <c r="AK559" s="21">
        <f t="shared" si="93"/>
        <v>0.375</v>
      </c>
      <c r="AL559" s="20">
        <f t="shared" si="94"/>
        <v>747853.52257275395</v>
      </c>
      <c r="AM559" s="22">
        <f t="shared" si="95"/>
        <v>5.7822866533630704</v>
      </c>
      <c r="AN559" s="20">
        <f t="shared" si="96"/>
        <v>752446.11257275392</v>
      </c>
      <c r="AO559" s="16">
        <f t="shared" si="97"/>
        <v>7.0660510630144753</v>
      </c>
      <c r="AP559" s="15">
        <v>0</v>
      </c>
      <c r="AQ559" s="18" t="str">
        <f t="shared" si="98"/>
        <v>N/A</v>
      </c>
      <c r="AR559" s="23">
        <v>45975</v>
      </c>
      <c r="AS559" s="14" t="s">
        <v>79</v>
      </c>
    </row>
    <row r="560" spans="1:45" x14ac:dyDescent="0.25">
      <c r="A560" s="14" t="s">
        <v>1850</v>
      </c>
      <c r="B560" s="14" t="s">
        <v>1302</v>
      </c>
      <c r="C560" s="14">
        <v>9481791843</v>
      </c>
      <c r="D560" s="15" t="s">
        <v>1856</v>
      </c>
      <c r="E560" s="14">
        <v>31</v>
      </c>
      <c r="F560" s="14" t="s">
        <v>89</v>
      </c>
      <c r="G560" s="14" t="s">
        <v>83</v>
      </c>
      <c r="H560" s="14" t="s">
        <v>144</v>
      </c>
      <c r="I560" s="14" t="s">
        <v>92</v>
      </c>
      <c r="J560" s="15">
        <v>930978</v>
      </c>
      <c r="K560" s="14">
        <v>1</v>
      </c>
      <c r="L560" s="14" t="s">
        <v>76</v>
      </c>
      <c r="M560" s="14" t="s">
        <v>75</v>
      </c>
      <c r="N560" s="14" t="s">
        <v>75</v>
      </c>
      <c r="O560" s="14" t="s">
        <v>75</v>
      </c>
      <c r="P560" s="14">
        <v>788</v>
      </c>
      <c r="Q560" s="15">
        <v>264487.15999999997</v>
      </c>
      <c r="R560" s="15">
        <v>24748.5</v>
      </c>
      <c r="S560" s="14" t="s">
        <v>22</v>
      </c>
      <c r="T560" s="15"/>
      <c r="U560" s="16">
        <f t="shared" si="88"/>
        <v>0.31900001933450628</v>
      </c>
      <c r="V560" s="14">
        <v>1</v>
      </c>
      <c r="W560" s="17">
        <v>26.8</v>
      </c>
      <c r="X560" s="14">
        <v>1.9</v>
      </c>
      <c r="Y560" s="18">
        <f t="shared" si="89"/>
        <v>23.7</v>
      </c>
      <c r="Z560" s="18" t="str">
        <f t="shared" si="90"/>
        <v>Low</v>
      </c>
      <c r="AA560" s="19" t="str">
        <f t="shared" si="91"/>
        <v>Eligible</v>
      </c>
      <c r="AB560" s="14" t="s">
        <v>77</v>
      </c>
      <c r="AC560" s="14">
        <v>0</v>
      </c>
      <c r="AD560" s="14" t="s">
        <v>93</v>
      </c>
      <c r="AE560" s="17">
        <v>1.4</v>
      </c>
      <c r="AF560" s="15">
        <v>0</v>
      </c>
      <c r="AG560" s="20">
        <f t="shared" si="92"/>
        <v>930978</v>
      </c>
      <c r="AH560" s="14">
        <v>0</v>
      </c>
      <c r="AI560" s="14" t="s">
        <v>75</v>
      </c>
      <c r="AJ560" s="14">
        <v>36</v>
      </c>
      <c r="AK560" s="21">
        <f t="shared" si="93"/>
        <v>0.09</v>
      </c>
      <c r="AL560" s="20">
        <f t="shared" si="94"/>
        <v>0</v>
      </c>
      <c r="AM560" s="22">
        <f t="shared" si="95"/>
        <v>0</v>
      </c>
      <c r="AN560" s="20">
        <f t="shared" si="96"/>
        <v>24748.5</v>
      </c>
      <c r="AO560" s="16">
        <f t="shared" si="97"/>
        <v>0.31900001933450628</v>
      </c>
      <c r="AP560" s="15">
        <v>423808</v>
      </c>
      <c r="AQ560" s="18">
        <f t="shared" si="98"/>
        <v>0</v>
      </c>
      <c r="AR560" s="23">
        <v>46040</v>
      </c>
      <c r="AS560" s="14" t="s">
        <v>79</v>
      </c>
    </row>
    <row r="561" spans="1:45" x14ac:dyDescent="0.25">
      <c r="A561" s="14" t="s">
        <v>1852</v>
      </c>
      <c r="B561" s="14" t="s">
        <v>146</v>
      </c>
      <c r="C561" s="14">
        <v>9221275056</v>
      </c>
      <c r="D561" s="15" t="s">
        <v>1859</v>
      </c>
      <c r="E561" s="14">
        <v>42</v>
      </c>
      <c r="F561" s="14" t="s">
        <v>89</v>
      </c>
      <c r="G561" s="14" t="s">
        <v>106</v>
      </c>
      <c r="H561" s="14" t="s">
        <v>73</v>
      </c>
      <c r="I561" s="14" t="s">
        <v>74</v>
      </c>
      <c r="J561" s="15">
        <v>2230384</v>
      </c>
      <c r="K561" s="14">
        <v>0</v>
      </c>
      <c r="L561" s="14" t="s">
        <v>75</v>
      </c>
      <c r="M561" s="14" t="s">
        <v>75</v>
      </c>
      <c r="N561" s="14" t="s">
        <v>75</v>
      </c>
      <c r="O561" s="14" t="s">
        <v>75</v>
      </c>
      <c r="P561" s="14">
        <v>486</v>
      </c>
      <c r="Q561" s="15"/>
      <c r="R561" s="15">
        <v>4665.4799999999996</v>
      </c>
      <c r="S561" s="14" t="s">
        <v>23</v>
      </c>
      <c r="T561" s="15">
        <v>973642</v>
      </c>
      <c r="U561" s="16">
        <f t="shared" si="88"/>
        <v>2.5101399579623956E-2</v>
      </c>
      <c r="V561" s="14">
        <v>1</v>
      </c>
      <c r="W561" s="17">
        <v>84.3</v>
      </c>
      <c r="X561" s="14">
        <v>5.8</v>
      </c>
      <c r="Y561" s="18">
        <f t="shared" si="89"/>
        <v>40.799999999999997</v>
      </c>
      <c r="Z561" s="18" t="str">
        <f t="shared" si="90"/>
        <v>Medium</v>
      </c>
      <c r="AA561" s="19" t="str">
        <f t="shared" si="91"/>
        <v>Not Eligible</v>
      </c>
      <c r="AB561" s="14" t="s">
        <v>85</v>
      </c>
      <c r="AC561" s="14">
        <v>2</v>
      </c>
      <c r="AD561" s="14" t="s">
        <v>194</v>
      </c>
      <c r="AE561" s="17">
        <v>9.1999999999999993</v>
      </c>
      <c r="AF561" s="15">
        <v>533775</v>
      </c>
      <c r="AG561" s="20">
        <f t="shared" si="92"/>
        <v>2764159</v>
      </c>
      <c r="AH561" s="14">
        <v>0</v>
      </c>
      <c r="AI561" s="14" t="s">
        <v>75</v>
      </c>
      <c r="AJ561" s="14">
        <v>180</v>
      </c>
      <c r="AK561" s="21">
        <f t="shared" si="93"/>
        <v>0.1</v>
      </c>
      <c r="AL561" s="20">
        <f t="shared" si="94"/>
        <v>10462.806760155656</v>
      </c>
      <c r="AM561" s="22">
        <f t="shared" si="95"/>
        <v>0.43653559207741804</v>
      </c>
      <c r="AN561" s="20">
        <f t="shared" si="96"/>
        <v>15128.286760155655</v>
      </c>
      <c r="AO561" s="16">
        <f t="shared" si="97"/>
        <v>8.1393805336600275E-2</v>
      </c>
      <c r="AP561" s="15">
        <v>9533214</v>
      </c>
      <c r="AQ561" s="18">
        <f t="shared" si="98"/>
        <v>0.10213155815027335</v>
      </c>
      <c r="AR561" s="23">
        <v>45947</v>
      </c>
      <c r="AS561" s="14" t="s">
        <v>79</v>
      </c>
    </row>
    <row r="562" spans="1:45" x14ac:dyDescent="0.25">
      <c r="A562" s="14" t="s">
        <v>1854</v>
      </c>
      <c r="B562" s="14" t="s">
        <v>1855</v>
      </c>
      <c r="C562" s="14">
        <v>9410474779</v>
      </c>
      <c r="D562" s="15" t="s">
        <v>1862</v>
      </c>
      <c r="E562" s="14">
        <v>61</v>
      </c>
      <c r="F562" s="14" t="s">
        <v>89</v>
      </c>
      <c r="G562" s="14" t="s">
        <v>215</v>
      </c>
      <c r="H562" s="14" t="s">
        <v>144</v>
      </c>
      <c r="I562" s="14" t="s">
        <v>92</v>
      </c>
      <c r="J562" s="15">
        <v>824530</v>
      </c>
      <c r="K562" s="14">
        <v>1</v>
      </c>
      <c r="L562" s="14" t="s">
        <v>76</v>
      </c>
      <c r="M562" s="14" t="s">
        <v>75</v>
      </c>
      <c r="N562" s="14" t="s">
        <v>75</v>
      </c>
      <c r="O562" s="14" t="s">
        <v>75</v>
      </c>
      <c r="P562" s="14">
        <v>572</v>
      </c>
      <c r="Q562" s="15">
        <v>28798</v>
      </c>
      <c r="R562" s="15">
        <v>5749.72</v>
      </c>
      <c r="S562" s="14" t="s">
        <v>21</v>
      </c>
      <c r="T562" s="15"/>
      <c r="U562" s="16">
        <f t="shared" si="88"/>
        <v>8.3679963130510709E-2</v>
      </c>
      <c r="V562" s="14">
        <v>0</v>
      </c>
      <c r="W562" s="17">
        <v>46.4</v>
      </c>
      <c r="X562" s="14">
        <v>14.8</v>
      </c>
      <c r="Y562" s="18">
        <f t="shared" si="89"/>
        <v>29</v>
      </c>
      <c r="Z562" s="18" t="str">
        <f t="shared" si="90"/>
        <v>Low</v>
      </c>
      <c r="AA562" s="19" t="str">
        <f t="shared" si="91"/>
        <v>Review</v>
      </c>
      <c r="AB562" s="14" t="s">
        <v>85</v>
      </c>
      <c r="AC562" s="14">
        <v>0</v>
      </c>
      <c r="AD562" s="14" t="s">
        <v>194</v>
      </c>
      <c r="AE562" s="17">
        <v>16</v>
      </c>
      <c r="AF562" s="15">
        <v>0</v>
      </c>
      <c r="AG562" s="20">
        <f t="shared" si="92"/>
        <v>824530</v>
      </c>
      <c r="AH562" s="14">
        <v>0</v>
      </c>
      <c r="AI562" s="14" t="s">
        <v>75</v>
      </c>
      <c r="AJ562" s="14">
        <v>12</v>
      </c>
      <c r="AK562" s="21">
        <f t="shared" si="93"/>
        <v>0.14000000000000001</v>
      </c>
      <c r="AL562" s="20">
        <f t="shared" si="94"/>
        <v>0</v>
      </c>
      <c r="AM562" s="22">
        <f t="shared" si="95"/>
        <v>0</v>
      </c>
      <c r="AN562" s="20">
        <f t="shared" si="96"/>
        <v>5749.72</v>
      </c>
      <c r="AO562" s="16">
        <f t="shared" si="97"/>
        <v>8.3679963130510709E-2</v>
      </c>
      <c r="AP562" s="15">
        <v>0</v>
      </c>
      <c r="AQ562" s="18" t="str">
        <f t="shared" si="98"/>
        <v>N/A</v>
      </c>
      <c r="AR562" s="23">
        <v>45940</v>
      </c>
      <c r="AS562" s="14" t="s">
        <v>79</v>
      </c>
    </row>
    <row r="563" spans="1:45" x14ac:dyDescent="0.25">
      <c r="A563" s="14" t="s">
        <v>1857</v>
      </c>
      <c r="B563" s="14" t="s">
        <v>1858</v>
      </c>
      <c r="C563" s="14"/>
      <c r="D563" s="15" t="s">
        <v>1865</v>
      </c>
      <c r="E563" s="14">
        <v>43</v>
      </c>
      <c r="F563" s="14" t="s">
        <v>71</v>
      </c>
      <c r="G563" s="14" t="s">
        <v>388</v>
      </c>
      <c r="H563" s="14" t="s">
        <v>99</v>
      </c>
      <c r="I563" s="14" t="s">
        <v>74</v>
      </c>
      <c r="J563" s="15">
        <v>752819</v>
      </c>
      <c r="K563" s="14">
        <v>2</v>
      </c>
      <c r="L563" s="14" t="s">
        <v>76</v>
      </c>
      <c r="M563" s="14" t="s">
        <v>75</v>
      </c>
      <c r="N563" s="14" t="s">
        <v>75</v>
      </c>
      <c r="O563" s="14" t="s">
        <v>76</v>
      </c>
      <c r="P563" s="14">
        <v>491</v>
      </c>
      <c r="Q563" s="15">
        <v>61228</v>
      </c>
      <c r="R563" s="15">
        <v>31651.07</v>
      </c>
      <c r="S563" s="14" t="s">
        <v>22</v>
      </c>
      <c r="T563" s="15">
        <v>1013629</v>
      </c>
      <c r="U563" s="16">
        <f t="shared" si="88"/>
        <v>0.50452079450704612</v>
      </c>
      <c r="V563" s="14">
        <v>1</v>
      </c>
      <c r="W563" s="17">
        <v>14</v>
      </c>
      <c r="X563" s="14">
        <v>5.0999999999999996</v>
      </c>
      <c r="Y563" s="18">
        <f t="shared" si="89"/>
        <v>47.8</v>
      </c>
      <c r="Z563" s="18" t="str">
        <f t="shared" si="90"/>
        <v>Medium</v>
      </c>
      <c r="AA563" s="19" t="str">
        <f t="shared" si="91"/>
        <v>Not Eligible</v>
      </c>
      <c r="AB563" s="14" t="s">
        <v>77</v>
      </c>
      <c r="AC563" s="14">
        <v>0</v>
      </c>
      <c r="AD563" s="14" t="s">
        <v>78</v>
      </c>
      <c r="AE563" s="17">
        <v>20</v>
      </c>
      <c r="AF563" s="15">
        <v>376566</v>
      </c>
      <c r="AG563" s="20">
        <f t="shared" si="92"/>
        <v>1129385</v>
      </c>
      <c r="AH563" s="14">
        <v>0</v>
      </c>
      <c r="AI563" s="14" t="s">
        <v>75</v>
      </c>
      <c r="AJ563" s="14">
        <v>24</v>
      </c>
      <c r="AK563" s="21">
        <f t="shared" si="93"/>
        <v>0.105</v>
      </c>
      <c r="AL563" s="20">
        <f t="shared" si="94"/>
        <v>47008.100710874634</v>
      </c>
      <c r="AM563" s="22">
        <f t="shared" si="95"/>
        <v>1.3464444972828795</v>
      </c>
      <c r="AN563" s="20">
        <f t="shared" si="96"/>
        <v>78659.170710874634</v>
      </c>
      <c r="AO563" s="16">
        <f t="shared" si="97"/>
        <v>1.2538339873601698</v>
      </c>
      <c r="AP563" s="15">
        <v>1105847</v>
      </c>
      <c r="AQ563" s="18">
        <f t="shared" si="98"/>
        <v>0.91660871711909508</v>
      </c>
      <c r="AR563" s="23">
        <v>46227</v>
      </c>
      <c r="AS563" s="14" t="s">
        <v>79</v>
      </c>
    </row>
    <row r="564" spans="1:45" x14ac:dyDescent="0.25">
      <c r="A564" s="14" t="s">
        <v>1860</v>
      </c>
      <c r="B564" s="14" t="s">
        <v>1861</v>
      </c>
      <c r="C564" s="14">
        <v>9221749994</v>
      </c>
      <c r="D564" s="15" t="s">
        <v>1868</v>
      </c>
      <c r="E564" s="14">
        <v>57</v>
      </c>
      <c r="F564" s="14" t="s">
        <v>89</v>
      </c>
      <c r="G564" s="14" t="s">
        <v>153</v>
      </c>
      <c r="H564" s="14" t="s">
        <v>73</v>
      </c>
      <c r="I564" s="14" t="s">
        <v>74</v>
      </c>
      <c r="J564" s="15">
        <v>2271516</v>
      </c>
      <c r="K564" s="14">
        <v>0</v>
      </c>
      <c r="L564" s="14" t="s">
        <v>75</v>
      </c>
      <c r="M564" s="14" t="s">
        <v>75</v>
      </c>
      <c r="N564" s="14" t="s">
        <v>75</v>
      </c>
      <c r="O564" s="14" t="s">
        <v>75</v>
      </c>
      <c r="P564" s="14">
        <v>828</v>
      </c>
      <c r="Q564" s="15">
        <v>117386</v>
      </c>
      <c r="R564" s="15">
        <v>1028.49</v>
      </c>
      <c r="S564" s="14" t="s">
        <v>20</v>
      </c>
      <c r="T564" s="15">
        <v>987139</v>
      </c>
      <c r="U564" s="16">
        <f t="shared" si="88"/>
        <v>5.4333229437961263E-3</v>
      </c>
      <c r="V564" s="14">
        <v>1</v>
      </c>
      <c r="W564" s="17">
        <v>91.2</v>
      </c>
      <c r="X564" s="14">
        <v>0.2</v>
      </c>
      <c r="Y564" s="18">
        <f t="shared" si="89"/>
        <v>18.100000000000001</v>
      </c>
      <c r="Z564" s="18" t="str">
        <f t="shared" si="90"/>
        <v>Low</v>
      </c>
      <c r="AA564" s="19" t="str">
        <f t="shared" si="91"/>
        <v>Eligible</v>
      </c>
      <c r="AB564" s="14" t="s">
        <v>85</v>
      </c>
      <c r="AC564" s="14">
        <v>3</v>
      </c>
      <c r="AD564" s="14" t="s">
        <v>78</v>
      </c>
      <c r="AE564" s="17">
        <v>8.4</v>
      </c>
      <c r="AF564" s="15">
        <v>0</v>
      </c>
      <c r="AG564" s="20">
        <f t="shared" si="92"/>
        <v>2271516</v>
      </c>
      <c r="AH564" s="14">
        <v>0</v>
      </c>
      <c r="AI564" s="14" t="s">
        <v>75</v>
      </c>
      <c r="AJ564" s="14">
        <v>12</v>
      </c>
      <c r="AK564" s="21">
        <f t="shared" si="93"/>
        <v>0.36</v>
      </c>
      <c r="AL564" s="20">
        <f t="shared" si="94"/>
        <v>99170.042591695237</v>
      </c>
      <c r="AM564" s="22">
        <f t="shared" si="95"/>
        <v>0.43457276990344773</v>
      </c>
      <c r="AN564" s="20">
        <f t="shared" si="96"/>
        <v>100198.53259169524</v>
      </c>
      <c r="AO564" s="16">
        <f t="shared" si="97"/>
        <v>0.5293303639949456</v>
      </c>
      <c r="AP564" s="15">
        <v>0</v>
      </c>
      <c r="AQ564" s="18" t="str">
        <f t="shared" si="98"/>
        <v>N/A</v>
      </c>
      <c r="AR564" s="23">
        <v>46010</v>
      </c>
      <c r="AS564" s="14" t="s">
        <v>79</v>
      </c>
    </row>
    <row r="565" spans="1:45" x14ac:dyDescent="0.25">
      <c r="A565" s="14" t="s">
        <v>1863</v>
      </c>
      <c r="B565" s="14" t="s">
        <v>1864</v>
      </c>
      <c r="C565" s="14">
        <v>9895170314</v>
      </c>
      <c r="D565" s="15" t="s">
        <v>1870</v>
      </c>
      <c r="E565" s="14">
        <v>37</v>
      </c>
      <c r="F565" s="14" t="s">
        <v>89</v>
      </c>
      <c r="G565" s="14" t="s">
        <v>83</v>
      </c>
      <c r="H565" s="14" t="s">
        <v>91</v>
      </c>
      <c r="I565" s="14" t="s">
        <v>92</v>
      </c>
      <c r="J565" s="15">
        <v>1960221</v>
      </c>
      <c r="K565" s="14">
        <v>0</v>
      </c>
      <c r="L565" s="14" t="s">
        <v>75</v>
      </c>
      <c r="M565" s="14" t="s">
        <v>75</v>
      </c>
      <c r="N565" s="14" t="s">
        <v>75</v>
      </c>
      <c r="O565" s="14" t="s">
        <v>75</v>
      </c>
      <c r="P565" s="14">
        <v>880</v>
      </c>
      <c r="Q565" s="15">
        <v>381775</v>
      </c>
      <c r="R565" s="15">
        <v>3601.62</v>
      </c>
      <c r="S565" s="14" t="s">
        <v>22</v>
      </c>
      <c r="T565" s="15">
        <v>7844021</v>
      </c>
      <c r="U565" s="16">
        <f t="shared" si="88"/>
        <v>2.2048248641352176E-2</v>
      </c>
      <c r="V565" s="14">
        <v>1</v>
      </c>
      <c r="W565" s="17">
        <v>98</v>
      </c>
      <c r="X565" s="14">
        <v>12.1</v>
      </c>
      <c r="Y565" s="18">
        <f t="shared" si="89"/>
        <v>15.8</v>
      </c>
      <c r="Z565" s="18" t="str">
        <f t="shared" si="90"/>
        <v>Low</v>
      </c>
      <c r="AA565" s="19" t="str">
        <f t="shared" si="91"/>
        <v>Eligible</v>
      </c>
      <c r="AB565" s="14" t="s">
        <v>85</v>
      </c>
      <c r="AC565" s="14">
        <v>0</v>
      </c>
      <c r="AD565" s="14" t="s">
        <v>78</v>
      </c>
      <c r="AE565" s="17">
        <v>9.6999999999999993</v>
      </c>
      <c r="AF565" s="15">
        <v>783614</v>
      </c>
      <c r="AG565" s="20">
        <f t="shared" si="92"/>
        <v>2743835</v>
      </c>
      <c r="AH565" s="14">
        <v>1</v>
      </c>
      <c r="AI565" s="14" t="s">
        <v>76</v>
      </c>
      <c r="AJ565" s="14">
        <v>36</v>
      </c>
      <c r="AK565" s="21">
        <f t="shared" si="93"/>
        <v>0.09</v>
      </c>
      <c r="AL565" s="20">
        <f t="shared" si="94"/>
        <v>249437.77077896058</v>
      </c>
      <c r="AM565" s="22">
        <f t="shared" si="95"/>
        <v>4.0016003297587366</v>
      </c>
      <c r="AN565" s="20">
        <f t="shared" si="96"/>
        <v>253039.39077896057</v>
      </c>
      <c r="AO565" s="16">
        <f t="shared" si="97"/>
        <v>1.5490460970204518</v>
      </c>
      <c r="AP565" s="15">
        <v>1205608</v>
      </c>
      <c r="AQ565" s="18">
        <f t="shared" si="98"/>
        <v>6.5062781600652952</v>
      </c>
      <c r="AR565" s="23">
        <v>46090</v>
      </c>
      <c r="AS565" s="14" t="s">
        <v>79</v>
      </c>
    </row>
    <row r="566" spans="1:45" x14ac:dyDescent="0.25">
      <c r="A566" s="14" t="s">
        <v>1866</v>
      </c>
      <c r="B566" s="14" t="s">
        <v>1867</v>
      </c>
      <c r="C566" s="14">
        <v>9509375233</v>
      </c>
      <c r="D566" s="15" t="s">
        <v>1873</v>
      </c>
      <c r="E566" s="14">
        <v>26</v>
      </c>
      <c r="F566" s="14" t="s">
        <v>89</v>
      </c>
      <c r="G566" s="14" t="s">
        <v>90</v>
      </c>
      <c r="H566" s="14" t="s">
        <v>91</v>
      </c>
      <c r="I566" s="14" t="s">
        <v>92</v>
      </c>
      <c r="J566" s="15">
        <v>1956270</v>
      </c>
      <c r="K566" s="14">
        <v>1</v>
      </c>
      <c r="L566" s="14" t="s">
        <v>76</v>
      </c>
      <c r="M566" s="14" t="s">
        <v>75</v>
      </c>
      <c r="N566" s="14" t="s">
        <v>75</v>
      </c>
      <c r="O566" s="14" t="s">
        <v>75</v>
      </c>
      <c r="P566" s="14">
        <v>428</v>
      </c>
      <c r="Q566" s="15">
        <v>840008</v>
      </c>
      <c r="R566" s="15">
        <v>2395.63</v>
      </c>
      <c r="S566" s="14" t="s">
        <v>22</v>
      </c>
      <c r="T566" s="15">
        <v>2844393</v>
      </c>
      <c r="U566" s="16">
        <f t="shared" si="88"/>
        <v>1.4695088101335706E-2</v>
      </c>
      <c r="V566" s="14">
        <v>0</v>
      </c>
      <c r="W566" s="17">
        <v>10.3</v>
      </c>
      <c r="X566" s="14">
        <v>7.4</v>
      </c>
      <c r="Y566" s="18">
        <f t="shared" si="89"/>
        <v>32.9</v>
      </c>
      <c r="Z566" s="18" t="str">
        <f t="shared" si="90"/>
        <v>Medium</v>
      </c>
      <c r="AA566" s="19" t="str">
        <f t="shared" si="91"/>
        <v>Not Eligible</v>
      </c>
      <c r="AB566" s="14" t="s">
        <v>85</v>
      </c>
      <c r="AC566" s="14">
        <v>2</v>
      </c>
      <c r="AD566" s="14" t="s">
        <v>93</v>
      </c>
      <c r="AE566" s="17">
        <v>1.7</v>
      </c>
      <c r="AF566" s="15">
        <v>547765</v>
      </c>
      <c r="AG566" s="20">
        <f t="shared" si="92"/>
        <v>2504035</v>
      </c>
      <c r="AH566" s="14">
        <v>1</v>
      </c>
      <c r="AI566" s="14" t="s">
        <v>75</v>
      </c>
      <c r="AJ566" s="14">
        <v>48</v>
      </c>
      <c r="AK566" s="21">
        <f t="shared" si="93"/>
        <v>0.105</v>
      </c>
      <c r="AL566" s="20">
        <f t="shared" si="94"/>
        <v>72826.07414265757</v>
      </c>
      <c r="AM566" s="22">
        <f t="shared" si="95"/>
        <v>1.4539879464491099</v>
      </c>
      <c r="AN566" s="20">
        <f t="shared" si="96"/>
        <v>75221.704142657574</v>
      </c>
      <c r="AO566" s="16">
        <f t="shared" si="97"/>
        <v>0.4614191546728677</v>
      </c>
      <c r="AP566" s="15">
        <v>1218230</v>
      </c>
      <c r="AQ566" s="18">
        <f t="shared" si="98"/>
        <v>2.3348571287852047</v>
      </c>
      <c r="AR566" s="23">
        <v>46087</v>
      </c>
      <c r="AS566" s="14" t="s">
        <v>79</v>
      </c>
    </row>
    <row r="567" spans="1:45" x14ac:dyDescent="0.25">
      <c r="A567" s="14" t="s">
        <v>1869</v>
      </c>
      <c r="B567" s="14" t="s">
        <v>696</v>
      </c>
      <c r="C567" s="14">
        <v>9184895487</v>
      </c>
      <c r="D567" s="15" t="s">
        <v>1876</v>
      </c>
      <c r="E567" s="14">
        <v>60</v>
      </c>
      <c r="F567" s="14" t="s">
        <v>89</v>
      </c>
      <c r="G567" s="14" t="s">
        <v>174</v>
      </c>
      <c r="H567" s="14" t="s">
        <v>107</v>
      </c>
      <c r="I567" s="14" t="s">
        <v>92</v>
      </c>
      <c r="J567" s="15">
        <v>2021595</v>
      </c>
      <c r="K567" s="14">
        <v>2</v>
      </c>
      <c r="L567" s="14" t="s">
        <v>76</v>
      </c>
      <c r="M567" s="14" t="s">
        <v>75</v>
      </c>
      <c r="N567" s="14" t="s">
        <v>75</v>
      </c>
      <c r="O567" s="14" t="s">
        <v>76</v>
      </c>
      <c r="P567" s="14">
        <v>618</v>
      </c>
      <c r="Q567" s="15">
        <v>12193.89</v>
      </c>
      <c r="R567" s="15">
        <v>10907.87</v>
      </c>
      <c r="S567" s="14" t="s">
        <v>23</v>
      </c>
      <c r="T567" s="15">
        <v>5536601</v>
      </c>
      <c r="U567" s="16">
        <f t="shared" si="88"/>
        <v>6.4748102364716967E-2</v>
      </c>
      <c r="V567" s="14">
        <v>0</v>
      </c>
      <c r="W567" s="17">
        <v>56.1</v>
      </c>
      <c r="X567" s="14">
        <v>0.6</v>
      </c>
      <c r="Y567" s="18">
        <f t="shared" si="89"/>
        <v>26.4</v>
      </c>
      <c r="Z567" s="18" t="str">
        <f t="shared" si="90"/>
        <v>Low</v>
      </c>
      <c r="AA567" s="19" t="str">
        <f t="shared" si="91"/>
        <v>Review</v>
      </c>
      <c r="AB567" s="14" t="s">
        <v>85</v>
      </c>
      <c r="AC567" s="14">
        <v>4</v>
      </c>
      <c r="AD567" s="14" t="s">
        <v>93</v>
      </c>
      <c r="AE567" s="17">
        <v>29</v>
      </c>
      <c r="AF567" s="15">
        <v>529816</v>
      </c>
      <c r="AG567" s="20">
        <f t="shared" si="92"/>
        <v>2551411</v>
      </c>
      <c r="AH567" s="14">
        <v>1</v>
      </c>
      <c r="AI567" s="14" t="s">
        <v>75</v>
      </c>
      <c r="AJ567" s="14">
        <v>180</v>
      </c>
      <c r="AK567" s="21">
        <f t="shared" si="93"/>
        <v>8.5000000000000006E-2</v>
      </c>
      <c r="AL567" s="20">
        <f t="shared" si="94"/>
        <v>54521.100211503974</v>
      </c>
      <c r="AM567" s="22">
        <f t="shared" si="95"/>
        <v>2.7387290728360529</v>
      </c>
      <c r="AN567" s="20">
        <f t="shared" si="96"/>
        <v>65428.970211503976</v>
      </c>
      <c r="AO567" s="16">
        <f t="shared" si="97"/>
        <v>0.38838028514022233</v>
      </c>
      <c r="AP567" s="15">
        <v>10701279</v>
      </c>
      <c r="AQ567" s="18">
        <f t="shared" si="98"/>
        <v>0.51737750225930934</v>
      </c>
      <c r="AR567" s="23">
        <v>46084</v>
      </c>
      <c r="AS567" s="14" t="s">
        <v>79</v>
      </c>
    </row>
    <row r="568" spans="1:45" x14ac:dyDescent="0.25">
      <c r="A568" s="14" t="s">
        <v>1871</v>
      </c>
      <c r="B568" s="14" t="s">
        <v>1872</v>
      </c>
      <c r="C568" s="14">
        <v>9785685141</v>
      </c>
      <c r="D568" s="15" t="s">
        <v>1879</v>
      </c>
      <c r="E568" s="14">
        <v>61</v>
      </c>
      <c r="F568" s="14" t="s">
        <v>71</v>
      </c>
      <c r="G568" s="14" t="s">
        <v>174</v>
      </c>
      <c r="H568" s="14" t="s">
        <v>103</v>
      </c>
      <c r="I568" s="14" t="s">
        <v>74</v>
      </c>
      <c r="J568" s="15">
        <v>1512952</v>
      </c>
      <c r="K568" s="14">
        <v>1</v>
      </c>
      <c r="L568" s="14" t="s">
        <v>76</v>
      </c>
      <c r="M568" s="14" t="s">
        <v>75</v>
      </c>
      <c r="N568" s="14" t="s">
        <v>75</v>
      </c>
      <c r="O568" s="14" t="s">
        <v>75</v>
      </c>
      <c r="P568" s="14">
        <v>534</v>
      </c>
      <c r="Q568" s="15">
        <v>71713</v>
      </c>
      <c r="R568" s="15">
        <v>70000.679999999993</v>
      </c>
      <c r="S568" s="14" t="s">
        <v>23</v>
      </c>
      <c r="T568" s="15"/>
      <c r="U568" s="16">
        <f t="shared" si="88"/>
        <v>0.55521137484864025</v>
      </c>
      <c r="V568" s="14">
        <v>4</v>
      </c>
      <c r="W568" s="17">
        <v>16.2</v>
      </c>
      <c r="X568" s="14">
        <v>2.5</v>
      </c>
      <c r="Y568" s="18">
        <f t="shared" si="89"/>
        <v>58.7</v>
      </c>
      <c r="Z568" s="18" t="str">
        <f t="shared" si="90"/>
        <v>Medium</v>
      </c>
      <c r="AA568" s="19" t="str">
        <f t="shared" si="91"/>
        <v>Not Eligible</v>
      </c>
      <c r="AB568" s="14" t="s">
        <v>85</v>
      </c>
      <c r="AC568" s="14">
        <v>2</v>
      </c>
      <c r="AD568" s="14" t="s">
        <v>93</v>
      </c>
      <c r="AE568" s="17">
        <v>28.9</v>
      </c>
      <c r="AF568" s="15">
        <v>0</v>
      </c>
      <c r="AG568" s="20">
        <f t="shared" si="92"/>
        <v>1512952</v>
      </c>
      <c r="AH568" s="14">
        <v>1</v>
      </c>
      <c r="AI568" s="14" t="s">
        <v>75</v>
      </c>
      <c r="AJ568" s="14">
        <v>180</v>
      </c>
      <c r="AK568" s="21">
        <f t="shared" si="93"/>
        <v>0.1</v>
      </c>
      <c r="AL568" s="20">
        <f t="shared" si="94"/>
        <v>0</v>
      </c>
      <c r="AM568" s="22">
        <f t="shared" si="95"/>
        <v>0</v>
      </c>
      <c r="AN568" s="20">
        <f t="shared" si="96"/>
        <v>70000.679999999993</v>
      </c>
      <c r="AO568" s="16">
        <f t="shared" si="97"/>
        <v>0.55521137484864025</v>
      </c>
      <c r="AP568" s="15">
        <v>3814195</v>
      </c>
      <c r="AQ568" s="18">
        <f t="shared" si="98"/>
        <v>0</v>
      </c>
      <c r="AR568" s="23">
        <v>46208</v>
      </c>
      <c r="AS568" s="14" t="s">
        <v>79</v>
      </c>
    </row>
    <row r="569" spans="1:45" x14ac:dyDescent="0.25">
      <c r="A569" s="14" t="s">
        <v>1874</v>
      </c>
      <c r="B569" s="14" t="s">
        <v>1875</v>
      </c>
      <c r="C569" s="14"/>
      <c r="D569" s="15"/>
      <c r="E569" s="14">
        <v>27</v>
      </c>
      <c r="F569" s="14" t="s">
        <v>71</v>
      </c>
      <c r="G569" s="14" t="s">
        <v>106</v>
      </c>
      <c r="H569" s="14" t="s">
        <v>144</v>
      </c>
      <c r="I569" s="14" t="s">
        <v>92</v>
      </c>
      <c r="J569" s="15">
        <v>1353613</v>
      </c>
      <c r="K569" s="14">
        <v>2</v>
      </c>
      <c r="L569" s="14" t="s">
        <v>76</v>
      </c>
      <c r="M569" s="14" t="s">
        <v>75</v>
      </c>
      <c r="N569" s="14" t="s">
        <v>75</v>
      </c>
      <c r="O569" s="14" t="s">
        <v>76</v>
      </c>
      <c r="P569" s="14">
        <v>849</v>
      </c>
      <c r="Q569" s="15"/>
      <c r="R569" s="15">
        <v>290.33</v>
      </c>
      <c r="S569" s="14" t="s">
        <v>23</v>
      </c>
      <c r="T569" s="15">
        <v>797556</v>
      </c>
      <c r="U569" s="16">
        <f t="shared" si="88"/>
        <v>2.5738227986876602E-3</v>
      </c>
      <c r="V569" s="14">
        <v>2</v>
      </c>
      <c r="W569" s="17">
        <v>99.2</v>
      </c>
      <c r="X569" s="14">
        <v>2.1</v>
      </c>
      <c r="Y569" s="18">
        <f t="shared" si="89"/>
        <v>21.4</v>
      </c>
      <c r="Z569" s="18" t="str">
        <f t="shared" si="90"/>
        <v>Low</v>
      </c>
      <c r="AA569" s="19" t="str">
        <f t="shared" si="91"/>
        <v>Eligible</v>
      </c>
      <c r="AB569" s="14" t="s">
        <v>77</v>
      </c>
      <c r="AC569" s="14">
        <v>0</v>
      </c>
      <c r="AD569" s="14" t="s">
        <v>93</v>
      </c>
      <c r="AE569" s="17">
        <v>5.7</v>
      </c>
      <c r="AF569" s="15">
        <v>0</v>
      </c>
      <c r="AG569" s="20">
        <f t="shared" si="92"/>
        <v>1353613</v>
      </c>
      <c r="AH569" s="14">
        <v>1</v>
      </c>
      <c r="AI569" s="14" t="s">
        <v>75</v>
      </c>
      <c r="AJ569" s="14">
        <v>240</v>
      </c>
      <c r="AK569" s="21">
        <f t="shared" si="93"/>
        <v>8.5000000000000006E-2</v>
      </c>
      <c r="AL569" s="20">
        <f t="shared" si="94"/>
        <v>6921.376267100818</v>
      </c>
      <c r="AM569" s="22">
        <f t="shared" si="95"/>
        <v>0.58920533416862875</v>
      </c>
      <c r="AN569" s="20">
        <f t="shared" si="96"/>
        <v>7211.706267100818</v>
      </c>
      <c r="AO569" s="16">
        <f t="shared" si="97"/>
        <v>6.3932952184420383E-2</v>
      </c>
      <c r="AP569" s="15">
        <v>6984582</v>
      </c>
      <c r="AQ569" s="18">
        <f t="shared" si="98"/>
        <v>0.1141880788284825</v>
      </c>
      <c r="AR569" s="23">
        <v>46104</v>
      </c>
      <c r="AS569" s="14" t="s">
        <v>79</v>
      </c>
    </row>
    <row r="570" spans="1:45" x14ac:dyDescent="0.25">
      <c r="A570" s="14" t="s">
        <v>1877</v>
      </c>
      <c r="B570" s="14" t="s">
        <v>275</v>
      </c>
      <c r="C570" s="14">
        <v>9788822198</v>
      </c>
      <c r="D570" s="15" t="s">
        <v>1884</v>
      </c>
      <c r="E570" s="14">
        <v>25</v>
      </c>
      <c r="F570" s="14" t="s">
        <v>71</v>
      </c>
      <c r="G570" s="14" t="s">
        <v>139</v>
      </c>
      <c r="H570" s="14" t="s">
        <v>132</v>
      </c>
      <c r="I570" s="14" t="s">
        <v>92</v>
      </c>
      <c r="J570" s="15">
        <v>524274</v>
      </c>
      <c r="K570" s="14">
        <v>2</v>
      </c>
      <c r="L570" s="14" t="s">
        <v>76</v>
      </c>
      <c r="M570" s="14" t="s">
        <v>76</v>
      </c>
      <c r="N570" s="14" t="s">
        <v>75</v>
      </c>
      <c r="O570" s="14" t="s">
        <v>75</v>
      </c>
      <c r="P570" s="14">
        <v>650</v>
      </c>
      <c r="Q570" s="15">
        <v>123921</v>
      </c>
      <c r="R570" s="15">
        <v>2109.21</v>
      </c>
      <c r="S570" s="14" t="s">
        <v>23</v>
      </c>
      <c r="T570" s="15">
        <v>338106</v>
      </c>
      <c r="U570" s="16">
        <f t="shared" si="88"/>
        <v>4.8277274860092242E-2</v>
      </c>
      <c r="V570" s="14">
        <v>1</v>
      </c>
      <c r="W570" s="17">
        <v>48.8</v>
      </c>
      <c r="X570" s="14">
        <v>5.4</v>
      </c>
      <c r="Y570" s="18">
        <f t="shared" si="89"/>
        <v>27</v>
      </c>
      <c r="Z570" s="18" t="str">
        <f t="shared" si="90"/>
        <v>Low</v>
      </c>
      <c r="AA570" s="19" t="str">
        <f t="shared" si="91"/>
        <v>Eligible</v>
      </c>
      <c r="AB570" s="14" t="s">
        <v>77</v>
      </c>
      <c r="AC570" s="14">
        <v>0</v>
      </c>
      <c r="AD570" s="14" t="s">
        <v>194</v>
      </c>
      <c r="AE570" s="17">
        <v>3.8</v>
      </c>
      <c r="AF570" s="15">
        <v>245938</v>
      </c>
      <c r="AG570" s="20">
        <f t="shared" si="92"/>
        <v>770212</v>
      </c>
      <c r="AH570" s="14">
        <v>1</v>
      </c>
      <c r="AI570" s="14" t="s">
        <v>75</v>
      </c>
      <c r="AJ570" s="14">
        <v>180</v>
      </c>
      <c r="AK570" s="21">
        <f t="shared" si="93"/>
        <v>8.5000000000000006E-2</v>
      </c>
      <c r="AL570" s="20">
        <f t="shared" si="94"/>
        <v>3329.4635297199065</v>
      </c>
      <c r="AM570" s="22">
        <f t="shared" si="95"/>
        <v>0.64490323762002311</v>
      </c>
      <c r="AN570" s="20">
        <f t="shared" si="96"/>
        <v>5438.6735297199066</v>
      </c>
      <c r="AO570" s="16">
        <f t="shared" si="97"/>
        <v>0.12448468235433929</v>
      </c>
      <c r="AP570" s="15">
        <v>9968239</v>
      </c>
      <c r="AQ570" s="18">
        <f t="shared" si="98"/>
        <v>3.3918328001565773E-2</v>
      </c>
      <c r="AR570" s="23">
        <v>46024</v>
      </c>
      <c r="AS570" s="14" t="s">
        <v>79</v>
      </c>
    </row>
    <row r="571" spans="1:45" x14ac:dyDescent="0.25">
      <c r="A571" s="14" t="s">
        <v>1880</v>
      </c>
      <c r="B571" s="14" t="s">
        <v>1881</v>
      </c>
      <c r="C571" s="14">
        <v>9346443488</v>
      </c>
      <c r="D571" s="15"/>
      <c r="E571" s="14">
        <v>37</v>
      </c>
      <c r="F571" s="14" t="s">
        <v>89</v>
      </c>
      <c r="G571" s="14" t="s">
        <v>106</v>
      </c>
      <c r="H571" s="14" t="s">
        <v>84</v>
      </c>
      <c r="I571" s="14" t="s">
        <v>74</v>
      </c>
      <c r="J571" s="15">
        <v>2259679</v>
      </c>
      <c r="K571" s="14">
        <v>3</v>
      </c>
      <c r="L571" s="14" t="s">
        <v>76</v>
      </c>
      <c r="M571" s="14" t="s">
        <v>76</v>
      </c>
      <c r="N571" s="14" t="s">
        <v>76</v>
      </c>
      <c r="O571" s="14" t="s">
        <v>75</v>
      </c>
      <c r="P571" s="14">
        <v>414</v>
      </c>
      <c r="Q571" s="15">
        <v>49705</v>
      </c>
      <c r="R571" s="15">
        <v>7905.7</v>
      </c>
      <c r="S571" s="14" t="s">
        <v>21</v>
      </c>
      <c r="T571" s="15"/>
      <c r="U571" s="16">
        <f t="shared" si="88"/>
        <v>4.1983131232356453E-2</v>
      </c>
      <c r="V571" s="14">
        <v>8</v>
      </c>
      <c r="W571" s="17">
        <v>32.1</v>
      </c>
      <c r="X571" s="14">
        <v>8.1999999999999993</v>
      </c>
      <c r="Y571" s="18">
        <f t="shared" si="89"/>
        <v>56.9</v>
      </c>
      <c r="Z571" s="18" t="str">
        <f t="shared" si="90"/>
        <v>Medium</v>
      </c>
      <c r="AA571" s="19" t="str">
        <f t="shared" si="91"/>
        <v>Not Eligible</v>
      </c>
      <c r="AB571" s="14" t="s">
        <v>77</v>
      </c>
      <c r="AC571" s="14">
        <v>2</v>
      </c>
      <c r="AD571" s="14" t="s">
        <v>93</v>
      </c>
      <c r="AE571" s="17">
        <v>15.1</v>
      </c>
      <c r="AF571" s="15">
        <v>0</v>
      </c>
      <c r="AG571" s="20">
        <f t="shared" si="92"/>
        <v>2259679</v>
      </c>
      <c r="AH571" s="14">
        <v>3</v>
      </c>
      <c r="AI571" s="14" t="s">
        <v>75</v>
      </c>
      <c r="AJ571" s="14">
        <v>48</v>
      </c>
      <c r="AK571" s="21">
        <f t="shared" si="93"/>
        <v>0.15500000000000003</v>
      </c>
      <c r="AL571" s="20">
        <f t="shared" si="94"/>
        <v>0</v>
      </c>
      <c r="AM571" s="22">
        <f t="shared" si="95"/>
        <v>0</v>
      </c>
      <c r="AN571" s="20">
        <f t="shared" si="96"/>
        <v>7905.7</v>
      </c>
      <c r="AO571" s="16">
        <f t="shared" si="97"/>
        <v>4.1983131232356453E-2</v>
      </c>
      <c r="AP571" s="15">
        <v>0</v>
      </c>
      <c r="AQ571" s="18" t="str">
        <f t="shared" si="98"/>
        <v>N/A</v>
      </c>
      <c r="AR571" s="23">
        <v>46000</v>
      </c>
      <c r="AS571" s="14" t="s">
        <v>79</v>
      </c>
    </row>
    <row r="572" spans="1:45" x14ac:dyDescent="0.25">
      <c r="A572" s="14" t="s">
        <v>1882</v>
      </c>
      <c r="B572" s="14" t="s">
        <v>1883</v>
      </c>
      <c r="C572" s="14">
        <v>9693211288</v>
      </c>
      <c r="D572" s="15" t="s">
        <v>1888</v>
      </c>
      <c r="E572" s="14">
        <v>52</v>
      </c>
      <c r="F572" s="14" t="s">
        <v>71</v>
      </c>
      <c r="G572" s="14" t="s">
        <v>127</v>
      </c>
      <c r="H572" s="14" t="s">
        <v>91</v>
      </c>
      <c r="I572" s="14" t="s">
        <v>92</v>
      </c>
      <c r="J572" s="15">
        <v>1891767</v>
      </c>
      <c r="K572" s="14">
        <v>0</v>
      </c>
      <c r="L572" s="14" t="s">
        <v>75</v>
      </c>
      <c r="M572" s="14" t="s">
        <v>75</v>
      </c>
      <c r="N572" s="14" t="s">
        <v>75</v>
      </c>
      <c r="O572" s="14" t="s">
        <v>75</v>
      </c>
      <c r="P572" s="14">
        <v>312</v>
      </c>
      <c r="Q572" s="15">
        <v>404546</v>
      </c>
      <c r="R572" s="15">
        <v>8261.41</v>
      </c>
      <c r="S572" s="14" t="s">
        <v>20</v>
      </c>
      <c r="T572" s="15">
        <v>6418457</v>
      </c>
      <c r="U572" s="16">
        <f t="shared" si="88"/>
        <v>5.2404402867795026E-2</v>
      </c>
      <c r="V572" s="14">
        <v>3</v>
      </c>
      <c r="W572" s="17">
        <v>96.4</v>
      </c>
      <c r="X572" s="14">
        <v>12.4</v>
      </c>
      <c r="Y572" s="18">
        <f t="shared" si="89"/>
        <v>62.4</v>
      </c>
      <c r="Z572" s="18" t="str">
        <f t="shared" si="90"/>
        <v>High</v>
      </c>
      <c r="AA572" s="19" t="str">
        <f t="shared" si="91"/>
        <v>Not Eligible</v>
      </c>
      <c r="AB572" s="14" t="s">
        <v>85</v>
      </c>
      <c r="AC572" s="14">
        <v>2</v>
      </c>
      <c r="AD572" s="14" t="s">
        <v>78</v>
      </c>
      <c r="AE572" s="17">
        <v>11.8</v>
      </c>
      <c r="AF572" s="15">
        <v>0</v>
      </c>
      <c r="AG572" s="20">
        <f t="shared" si="92"/>
        <v>1891767</v>
      </c>
      <c r="AH572" s="14">
        <v>3</v>
      </c>
      <c r="AI572" s="14" t="s">
        <v>75</v>
      </c>
      <c r="AJ572" s="14">
        <v>18</v>
      </c>
      <c r="AK572" s="21">
        <f t="shared" si="93"/>
        <v>0.39</v>
      </c>
      <c r="AL572" s="20">
        <f t="shared" si="94"/>
        <v>476597.06607120263</v>
      </c>
      <c r="AM572" s="22">
        <f t="shared" si="95"/>
        <v>3.3928369614228391</v>
      </c>
      <c r="AN572" s="20">
        <f t="shared" si="96"/>
        <v>484858.4760712026</v>
      </c>
      <c r="AO572" s="16">
        <f t="shared" si="97"/>
        <v>3.0755910811714293</v>
      </c>
      <c r="AP572" s="15">
        <v>0</v>
      </c>
      <c r="AQ572" s="18" t="str">
        <f t="shared" si="98"/>
        <v>N/A</v>
      </c>
      <c r="AR572" s="23">
        <v>46031</v>
      </c>
      <c r="AS572" s="14" t="s">
        <v>79</v>
      </c>
    </row>
    <row r="573" spans="1:45" x14ac:dyDescent="0.25">
      <c r="A573" s="14" t="s">
        <v>1885</v>
      </c>
      <c r="B573" s="14" t="s">
        <v>595</v>
      </c>
      <c r="C573" s="14">
        <v>9349699944</v>
      </c>
      <c r="D573" s="15" t="s">
        <v>1891</v>
      </c>
      <c r="E573" s="14">
        <v>21</v>
      </c>
      <c r="F573" s="14" t="s">
        <v>71</v>
      </c>
      <c r="G573" s="14" t="s">
        <v>139</v>
      </c>
      <c r="H573" s="14" t="s">
        <v>144</v>
      </c>
      <c r="I573" s="14" t="s">
        <v>92</v>
      </c>
      <c r="J573" s="15">
        <v>589925</v>
      </c>
      <c r="K573" s="14">
        <v>0</v>
      </c>
      <c r="L573" s="14" t="s">
        <v>75</v>
      </c>
      <c r="M573" s="14" t="s">
        <v>75</v>
      </c>
      <c r="N573" s="14" t="s">
        <v>75</v>
      </c>
      <c r="O573" s="14" t="s">
        <v>75</v>
      </c>
      <c r="P573" s="14">
        <v>368</v>
      </c>
      <c r="Q573" s="15">
        <v>138965</v>
      </c>
      <c r="R573" s="15">
        <v>1461.9</v>
      </c>
      <c r="S573" s="14" t="s">
        <v>21</v>
      </c>
      <c r="T573" s="15">
        <v>645604</v>
      </c>
      <c r="U573" s="16">
        <f t="shared" si="88"/>
        <v>2.9737339492308348E-2</v>
      </c>
      <c r="V573" s="14">
        <v>0</v>
      </c>
      <c r="W573" s="17">
        <v>92.1</v>
      </c>
      <c r="X573" s="14">
        <v>14.3</v>
      </c>
      <c r="Y573" s="18">
        <f t="shared" si="89"/>
        <v>45.6</v>
      </c>
      <c r="Z573" s="18" t="str">
        <f t="shared" si="90"/>
        <v>Medium</v>
      </c>
      <c r="AA573" s="19" t="str">
        <f t="shared" si="91"/>
        <v>Not Eligible</v>
      </c>
      <c r="AB573" s="14" t="s">
        <v>85</v>
      </c>
      <c r="AC573" s="14">
        <v>1</v>
      </c>
      <c r="AD573" s="14" t="s">
        <v>93</v>
      </c>
      <c r="AE573" s="17">
        <v>0.3</v>
      </c>
      <c r="AF573" s="15">
        <v>551310</v>
      </c>
      <c r="AG573" s="20">
        <f t="shared" si="92"/>
        <v>1141235</v>
      </c>
      <c r="AH573" s="14">
        <v>0</v>
      </c>
      <c r="AI573" s="14" t="s">
        <v>75</v>
      </c>
      <c r="AJ573" s="14">
        <v>60</v>
      </c>
      <c r="AK573" s="21">
        <f t="shared" si="93"/>
        <v>0.15500000000000003</v>
      </c>
      <c r="AL573" s="20">
        <f t="shared" si="94"/>
        <v>15528.836373823835</v>
      </c>
      <c r="AM573" s="22">
        <f t="shared" si="95"/>
        <v>1.0943831843030893</v>
      </c>
      <c r="AN573" s="20">
        <f t="shared" si="96"/>
        <v>16990.736373823835</v>
      </c>
      <c r="AO573" s="16">
        <f t="shared" si="97"/>
        <v>0.34561823364984706</v>
      </c>
      <c r="AP573" s="15">
        <v>0</v>
      </c>
      <c r="AQ573" s="18" t="str">
        <f t="shared" si="98"/>
        <v>N/A</v>
      </c>
      <c r="AR573" s="23">
        <v>46212</v>
      </c>
      <c r="AS573" s="14" t="s">
        <v>79</v>
      </c>
    </row>
    <row r="574" spans="1:45" x14ac:dyDescent="0.25">
      <c r="A574" s="14" t="s">
        <v>1886</v>
      </c>
      <c r="B574" s="14" t="s">
        <v>1887</v>
      </c>
      <c r="C574" s="14">
        <v>9327731112</v>
      </c>
      <c r="D574" s="15" t="s">
        <v>1893</v>
      </c>
      <c r="E574" s="14">
        <v>62</v>
      </c>
      <c r="F574" s="14" t="s">
        <v>89</v>
      </c>
      <c r="G574" s="14" t="s">
        <v>131</v>
      </c>
      <c r="H574" s="14" t="s">
        <v>73</v>
      </c>
      <c r="I574" s="14" t="s">
        <v>74</v>
      </c>
      <c r="J574" s="15">
        <v>916913</v>
      </c>
      <c r="K574" s="14">
        <v>1</v>
      </c>
      <c r="L574" s="14" t="s">
        <v>76</v>
      </c>
      <c r="M574" s="14" t="s">
        <v>75</v>
      </c>
      <c r="N574" s="14" t="s">
        <v>75</v>
      </c>
      <c r="O574" s="14" t="s">
        <v>75</v>
      </c>
      <c r="P574" s="14">
        <v>851</v>
      </c>
      <c r="Q574" s="15">
        <v>297938.81</v>
      </c>
      <c r="R574" s="15">
        <v>7932.28</v>
      </c>
      <c r="S574" s="14" t="s">
        <v>23</v>
      </c>
      <c r="T574" s="15">
        <v>43755</v>
      </c>
      <c r="U574" s="16">
        <f t="shared" si="88"/>
        <v>0.10381285901715866</v>
      </c>
      <c r="V574" s="14">
        <v>1</v>
      </c>
      <c r="W574" s="17">
        <v>78.8</v>
      </c>
      <c r="X574" s="14">
        <v>13.3</v>
      </c>
      <c r="Y574" s="18">
        <f t="shared" si="89"/>
        <v>18.3</v>
      </c>
      <c r="Z574" s="18" t="str">
        <f t="shared" si="90"/>
        <v>Low</v>
      </c>
      <c r="AA574" s="19" t="str">
        <f t="shared" si="91"/>
        <v>Eligible</v>
      </c>
      <c r="AB574" s="14" t="s">
        <v>77</v>
      </c>
      <c r="AC574" s="14">
        <v>2</v>
      </c>
      <c r="AD574" s="14" t="s">
        <v>78</v>
      </c>
      <c r="AE574" s="17">
        <v>29.6</v>
      </c>
      <c r="AF574" s="15">
        <v>0</v>
      </c>
      <c r="AG574" s="20">
        <f t="shared" si="92"/>
        <v>916913</v>
      </c>
      <c r="AH574" s="14">
        <v>1</v>
      </c>
      <c r="AI574" s="14" t="s">
        <v>75</v>
      </c>
      <c r="AJ574" s="14">
        <v>120</v>
      </c>
      <c r="AK574" s="21">
        <f t="shared" si="93"/>
        <v>8.5000000000000006E-2</v>
      </c>
      <c r="AL574" s="20">
        <f t="shared" si="94"/>
        <v>542.49938167042342</v>
      </c>
      <c r="AM574" s="22">
        <f t="shared" si="95"/>
        <v>4.7719903633169122E-2</v>
      </c>
      <c r="AN574" s="20">
        <f t="shared" si="96"/>
        <v>8474.7793816704234</v>
      </c>
      <c r="AO574" s="16">
        <f t="shared" si="97"/>
        <v>0.11091276116713918</v>
      </c>
      <c r="AP574" s="15">
        <v>7821276</v>
      </c>
      <c r="AQ574" s="18">
        <f t="shared" si="98"/>
        <v>5.5943557035961905E-3</v>
      </c>
      <c r="AR574" s="23">
        <v>46125</v>
      </c>
      <c r="AS574" s="14" t="s">
        <v>79</v>
      </c>
    </row>
    <row r="575" spans="1:45" x14ac:dyDescent="0.25">
      <c r="A575" s="14" t="s">
        <v>1889</v>
      </c>
      <c r="B575" s="14" t="s">
        <v>1890</v>
      </c>
      <c r="C575" s="14">
        <v>9410057868</v>
      </c>
      <c r="D575" s="15" t="s">
        <v>1897</v>
      </c>
      <c r="E575" s="14">
        <v>59</v>
      </c>
      <c r="F575" s="14" t="s">
        <v>89</v>
      </c>
      <c r="G575" s="14" t="s">
        <v>215</v>
      </c>
      <c r="H575" s="14" t="s">
        <v>132</v>
      </c>
      <c r="I575" s="14" t="s">
        <v>92</v>
      </c>
      <c r="J575" s="15">
        <v>1423233</v>
      </c>
      <c r="K575" s="14">
        <v>2</v>
      </c>
      <c r="L575" s="14" t="s">
        <v>76</v>
      </c>
      <c r="M575" s="14" t="s">
        <v>76</v>
      </c>
      <c r="N575" s="14" t="s">
        <v>75</v>
      </c>
      <c r="O575" s="14" t="s">
        <v>75</v>
      </c>
      <c r="P575" s="14">
        <v>760</v>
      </c>
      <c r="Q575" s="15">
        <v>42130.5</v>
      </c>
      <c r="R575" s="15">
        <v>5146.8500000000004</v>
      </c>
      <c r="S575" s="14" t="s">
        <v>21</v>
      </c>
      <c r="T575" s="15">
        <v>948712</v>
      </c>
      <c r="U575" s="16">
        <f t="shared" si="88"/>
        <v>4.3395705411552431E-2</v>
      </c>
      <c r="V575" s="14">
        <v>3</v>
      </c>
      <c r="W575" s="17">
        <v>19.3</v>
      </c>
      <c r="X575" s="14">
        <v>1.9</v>
      </c>
      <c r="Y575" s="18">
        <f t="shared" si="89"/>
        <v>24.6</v>
      </c>
      <c r="Z575" s="18" t="str">
        <f t="shared" si="90"/>
        <v>Low</v>
      </c>
      <c r="AA575" s="19" t="str">
        <f t="shared" si="91"/>
        <v>Review</v>
      </c>
      <c r="AB575" s="14" t="s">
        <v>77</v>
      </c>
      <c r="AC575" s="14">
        <v>2</v>
      </c>
      <c r="AD575" s="14" t="s">
        <v>78</v>
      </c>
      <c r="AE575" s="17">
        <v>27.6</v>
      </c>
      <c r="AF575" s="15">
        <v>811173</v>
      </c>
      <c r="AG575" s="20">
        <f t="shared" si="92"/>
        <v>2234406</v>
      </c>
      <c r="AH575" s="14">
        <v>0</v>
      </c>
      <c r="AI575" s="14" t="s">
        <v>75</v>
      </c>
      <c r="AJ575" s="14">
        <v>60</v>
      </c>
      <c r="AK575" s="21">
        <f t="shared" si="93"/>
        <v>0.14000000000000001</v>
      </c>
      <c r="AL575" s="20">
        <f t="shared" si="94"/>
        <v>22074.8687998243</v>
      </c>
      <c r="AM575" s="22">
        <f t="shared" si="95"/>
        <v>0.66658937784607297</v>
      </c>
      <c r="AN575" s="20">
        <f t="shared" si="96"/>
        <v>27221.718799824303</v>
      </c>
      <c r="AO575" s="16">
        <f t="shared" si="97"/>
        <v>0.22952013169866889</v>
      </c>
      <c r="AP575" s="15">
        <v>0</v>
      </c>
      <c r="AQ575" s="18" t="str">
        <f t="shared" si="98"/>
        <v>N/A</v>
      </c>
      <c r="AR575" s="23">
        <v>45920</v>
      </c>
      <c r="AS575" s="14" t="s">
        <v>79</v>
      </c>
    </row>
    <row r="576" spans="1:45" x14ac:dyDescent="0.25">
      <c r="A576" s="14" t="s">
        <v>1892</v>
      </c>
      <c r="B576" s="14" t="s">
        <v>1080</v>
      </c>
      <c r="C576" s="14">
        <v>9507151520</v>
      </c>
      <c r="D576" s="15" t="s">
        <v>1900</v>
      </c>
      <c r="E576" s="14">
        <v>28</v>
      </c>
      <c r="F576" s="14" t="s">
        <v>71</v>
      </c>
      <c r="G576" s="14" t="s">
        <v>139</v>
      </c>
      <c r="H576" s="14" t="s">
        <v>166</v>
      </c>
      <c r="I576" s="14" t="s">
        <v>74</v>
      </c>
      <c r="J576" s="15">
        <v>1076425</v>
      </c>
      <c r="K576" s="14">
        <v>2</v>
      </c>
      <c r="L576" s="14" t="s">
        <v>76</v>
      </c>
      <c r="M576" s="14" t="s">
        <v>75</v>
      </c>
      <c r="N576" s="14" t="s">
        <v>76</v>
      </c>
      <c r="O576" s="14" t="s">
        <v>75</v>
      </c>
      <c r="P576" s="14">
        <v>695</v>
      </c>
      <c r="Q576" s="15">
        <v>1148703.92</v>
      </c>
      <c r="R576" s="15">
        <v>8276.08</v>
      </c>
      <c r="S576" s="14" t="s">
        <v>20</v>
      </c>
      <c r="T576" s="15">
        <v>927238</v>
      </c>
      <c r="U576" s="16">
        <f t="shared" si="88"/>
        <v>9.2261848247671682E-2</v>
      </c>
      <c r="V576" s="14">
        <v>5</v>
      </c>
      <c r="W576" s="17">
        <v>53.3</v>
      </c>
      <c r="X576" s="14">
        <v>9.5</v>
      </c>
      <c r="Y576" s="18">
        <f t="shared" si="89"/>
        <v>41.8</v>
      </c>
      <c r="Z576" s="18" t="str">
        <f t="shared" si="90"/>
        <v>Medium</v>
      </c>
      <c r="AA576" s="19" t="str">
        <f t="shared" si="91"/>
        <v>Not Eligible</v>
      </c>
      <c r="AB576" s="14" t="s">
        <v>77</v>
      </c>
      <c r="AC576" s="14">
        <v>2</v>
      </c>
      <c r="AD576" s="14" t="s">
        <v>93</v>
      </c>
      <c r="AE576" s="17">
        <v>3.5</v>
      </c>
      <c r="AF576" s="15">
        <v>0</v>
      </c>
      <c r="AG576" s="20">
        <f t="shared" si="92"/>
        <v>1076425</v>
      </c>
      <c r="AH576" s="14">
        <v>0</v>
      </c>
      <c r="AI576" s="14" t="s">
        <v>75</v>
      </c>
      <c r="AJ576" s="14">
        <v>24</v>
      </c>
      <c r="AK576" s="21">
        <f t="shared" si="93"/>
        <v>0.375</v>
      </c>
      <c r="AL576" s="20">
        <f t="shared" si="94"/>
        <v>55490.872973000798</v>
      </c>
      <c r="AM576" s="22">
        <f t="shared" si="95"/>
        <v>0.86140511415100918</v>
      </c>
      <c r="AN576" s="20">
        <f t="shared" si="96"/>
        <v>63766.9529730008</v>
      </c>
      <c r="AO576" s="16">
        <f t="shared" si="97"/>
        <v>0.71087482702093474</v>
      </c>
      <c r="AP576" s="15">
        <v>0</v>
      </c>
      <c r="AQ576" s="18" t="str">
        <f t="shared" si="98"/>
        <v>N/A</v>
      </c>
      <c r="AR576" s="23">
        <v>45991</v>
      </c>
      <c r="AS576" s="14" t="s">
        <v>79</v>
      </c>
    </row>
    <row r="577" spans="1:45" x14ac:dyDescent="0.25">
      <c r="A577" s="14" t="s">
        <v>1894</v>
      </c>
      <c r="B577" s="14" t="s">
        <v>1895</v>
      </c>
      <c r="C577" s="14">
        <v>9116153797</v>
      </c>
      <c r="D577" s="15"/>
      <c r="E577" s="14">
        <v>56</v>
      </c>
      <c r="F577" s="14" t="s">
        <v>89</v>
      </c>
      <c r="G577" s="14" t="s">
        <v>226</v>
      </c>
      <c r="H577" s="14" t="s">
        <v>91</v>
      </c>
      <c r="I577" s="14" t="s">
        <v>92</v>
      </c>
      <c r="J577" s="15">
        <v>656735</v>
      </c>
      <c r="K577" s="14">
        <v>0</v>
      </c>
      <c r="L577" s="14" t="s">
        <v>75</v>
      </c>
      <c r="M577" s="14" t="s">
        <v>75</v>
      </c>
      <c r="N577" s="14" t="s">
        <v>75</v>
      </c>
      <c r="O577" s="14" t="s">
        <v>75</v>
      </c>
      <c r="P577" s="14">
        <v>863</v>
      </c>
      <c r="Q577" s="15">
        <v>109779.03</v>
      </c>
      <c r="R577" s="15">
        <v>1755.44</v>
      </c>
      <c r="S577" s="14" t="s">
        <v>22</v>
      </c>
      <c r="T577" s="15">
        <v>1629407</v>
      </c>
      <c r="U577" s="16">
        <f t="shared" si="88"/>
        <v>3.2075768765179258E-2</v>
      </c>
      <c r="V577" s="14">
        <v>0</v>
      </c>
      <c r="W577" s="17">
        <v>98.3</v>
      </c>
      <c r="X577" s="14">
        <v>4.9000000000000004</v>
      </c>
      <c r="Y577" s="18">
        <f t="shared" si="89"/>
        <v>13.3</v>
      </c>
      <c r="Z577" s="18" t="str">
        <f t="shared" si="90"/>
        <v>Low</v>
      </c>
      <c r="AA577" s="19" t="str">
        <f t="shared" si="91"/>
        <v>Eligible</v>
      </c>
      <c r="AB577" s="14" t="s">
        <v>77</v>
      </c>
      <c r="AC577" s="14">
        <v>0</v>
      </c>
      <c r="AD577" s="14" t="s">
        <v>78</v>
      </c>
      <c r="AE577" s="17">
        <v>22.1</v>
      </c>
      <c r="AF577" s="15">
        <v>0</v>
      </c>
      <c r="AG577" s="20">
        <f t="shared" si="92"/>
        <v>656735</v>
      </c>
      <c r="AH577" s="14">
        <v>0</v>
      </c>
      <c r="AI577" s="14" t="s">
        <v>75</v>
      </c>
      <c r="AJ577" s="14">
        <v>36</v>
      </c>
      <c r="AK577" s="21">
        <f t="shared" si="93"/>
        <v>0.09</v>
      </c>
      <c r="AL577" s="20">
        <f t="shared" si="94"/>
        <v>51814.706994235967</v>
      </c>
      <c r="AM577" s="22">
        <f t="shared" si="95"/>
        <v>2.4810722742049687</v>
      </c>
      <c r="AN577" s="20">
        <f t="shared" si="96"/>
        <v>53570.146994235969</v>
      </c>
      <c r="AO577" s="16">
        <f t="shared" si="97"/>
        <v>0.97884498912168771</v>
      </c>
      <c r="AP577" s="15">
        <v>996813</v>
      </c>
      <c r="AQ577" s="18">
        <f t="shared" si="98"/>
        <v>1.6346165228583496</v>
      </c>
      <c r="AR577" s="23">
        <v>46037</v>
      </c>
      <c r="AS577" s="14" t="s">
        <v>94</v>
      </c>
    </row>
    <row r="578" spans="1:45" x14ac:dyDescent="0.25">
      <c r="A578" s="14" t="s">
        <v>1898</v>
      </c>
      <c r="B578" s="14" t="s">
        <v>1899</v>
      </c>
      <c r="C578" s="14">
        <v>9489791207</v>
      </c>
      <c r="D578" s="15" t="s">
        <v>1906</v>
      </c>
      <c r="E578" s="14">
        <v>42</v>
      </c>
      <c r="F578" s="14" t="s">
        <v>71</v>
      </c>
      <c r="G578" s="14" t="s">
        <v>90</v>
      </c>
      <c r="H578" s="14" t="s">
        <v>99</v>
      </c>
      <c r="I578" s="14" t="s">
        <v>74</v>
      </c>
      <c r="J578" s="15">
        <v>2115507</v>
      </c>
      <c r="K578" s="14">
        <v>1</v>
      </c>
      <c r="L578" s="14" t="s">
        <v>75</v>
      </c>
      <c r="M578" s="14" t="s">
        <v>75</v>
      </c>
      <c r="N578" s="14" t="s">
        <v>75</v>
      </c>
      <c r="O578" s="14" t="s">
        <v>76</v>
      </c>
      <c r="P578" s="14">
        <v>313</v>
      </c>
      <c r="Q578" s="15">
        <v>352639</v>
      </c>
      <c r="R578" s="15">
        <v>31046.05</v>
      </c>
      <c r="S578" s="14" t="s">
        <v>22</v>
      </c>
      <c r="T578" s="15">
        <v>448606</v>
      </c>
      <c r="U578" s="16">
        <f t="shared" ref="U578:U641" si="99">IFERROR((R578*12)/J578,0)</f>
        <v>0.17610558603682236</v>
      </c>
      <c r="V578" s="14">
        <v>4</v>
      </c>
      <c r="W578" s="17">
        <v>72.400000000000006</v>
      </c>
      <c r="X578" s="14">
        <v>10.6</v>
      </c>
      <c r="Y578" s="18">
        <f t="shared" ref="Y578:Y641" si="100">ROUND(0.4*((900-P578)/600*100)+0.3*MIN(U578*100,100)+0.2*MIN(V578*20,100)+0.1*W578,1)</f>
        <v>67.7</v>
      </c>
      <c r="Z578" s="18" t="str">
        <f t="shared" ref="Z578:Z641" si="101">IF(Y578&lt;=30,"Low",IF(Y578&lt;=60,"Medium","High"))</f>
        <v>High</v>
      </c>
      <c r="AA578" s="19" t="str">
        <f t="shared" ref="AA578:AA641" si="102">IF(AND(P578&gt;=650,U578&lt;=0.4,V578&lt;=2,Y578&lt;=50),"Eligible",IF(AND(P578&gt;=550,V578&lt;=4,Y578&lt;=75),"Review","Not Eligible"))</f>
        <v>Not Eligible</v>
      </c>
      <c r="AB578" s="14" t="s">
        <v>77</v>
      </c>
      <c r="AC578" s="14">
        <v>3</v>
      </c>
      <c r="AD578" s="14" t="s">
        <v>194</v>
      </c>
      <c r="AE578" s="17">
        <v>0.3</v>
      </c>
      <c r="AF578" s="15">
        <v>0</v>
      </c>
      <c r="AG578" s="20">
        <f t="shared" ref="AG578:AG641" si="103">J578+AF578</f>
        <v>2115507</v>
      </c>
      <c r="AH578" s="14">
        <v>0</v>
      </c>
      <c r="AI578" s="14" t="s">
        <v>75</v>
      </c>
      <c r="AJ578" s="14">
        <v>72</v>
      </c>
      <c r="AK578" s="21">
        <f t="shared" ref="AK578:AK641" si="104">(IF(S578="Credit Card",0.36,IF(S578="Personal Loan",0.14,IF(S578="Car Loan",0.09,0.085))))+IF(Z578="Low",0,IF(Z578="Medium",0.015,0.03))</f>
        <v>0.12</v>
      </c>
      <c r="AL578" s="20">
        <f t="shared" ref="AL578:AL641" si="105">-PMT(AK578/12,AJ578,T578)</f>
        <v>8770.3336578658054</v>
      </c>
      <c r="AM578" s="22">
        <f t="shared" ref="AM578:AM641" si="106">IFERROR(T578/J578,0)</f>
        <v>0.21205602250429803</v>
      </c>
      <c r="AN578" s="20">
        <f t="shared" ref="AN578:AN641" si="107">R578+AL578</f>
        <v>39816.383657865808</v>
      </c>
      <c r="AO578" s="16">
        <f t="shared" ref="AO578:AO641" si="108">IFERROR((AN578*12)/J578,0)</f>
        <v>0.22585441877261087</v>
      </c>
      <c r="AP578" s="15">
        <v>1023460</v>
      </c>
      <c r="AQ578" s="18">
        <f t="shared" ref="AQ578:AQ641" si="109">IF(AP578&gt;0,T578/AP578,"N/A")</f>
        <v>0.4383229437398628</v>
      </c>
      <c r="AR578" s="23">
        <v>46211</v>
      </c>
      <c r="AS578" s="14" t="s">
        <v>79</v>
      </c>
    </row>
    <row r="579" spans="1:45" x14ac:dyDescent="0.25">
      <c r="A579" s="14" t="s">
        <v>1901</v>
      </c>
      <c r="B579" s="14" t="s">
        <v>471</v>
      </c>
      <c r="C579" s="14">
        <v>9858132966</v>
      </c>
      <c r="D579" s="15"/>
      <c r="E579" s="14">
        <v>33</v>
      </c>
      <c r="F579" s="14" t="s">
        <v>89</v>
      </c>
      <c r="G579" s="14" t="s">
        <v>174</v>
      </c>
      <c r="H579" s="14" t="s">
        <v>144</v>
      </c>
      <c r="I579" s="14" t="s">
        <v>92</v>
      </c>
      <c r="J579" s="15">
        <v>1148516</v>
      </c>
      <c r="K579" s="14">
        <v>2</v>
      </c>
      <c r="L579" s="14" t="s">
        <v>76</v>
      </c>
      <c r="M579" s="14" t="s">
        <v>76</v>
      </c>
      <c r="N579" s="14" t="s">
        <v>75</v>
      </c>
      <c r="O579" s="14" t="s">
        <v>75</v>
      </c>
      <c r="P579" s="14">
        <v>714</v>
      </c>
      <c r="Q579" s="15">
        <v>33802.29</v>
      </c>
      <c r="R579" s="15">
        <v>2195.58</v>
      </c>
      <c r="S579" s="14" t="s">
        <v>23</v>
      </c>
      <c r="T579" s="15">
        <v>2655705</v>
      </c>
      <c r="U579" s="16">
        <f t="shared" si="99"/>
        <v>2.2940002577238803E-2</v>
      </c>
      <c r="V579" s="14">
        <v>1</v>
      </c>
      <c r="W579" s="17">
        <v>56.3</v>
      </c>
      <c r="X579" s="14">
        <v>8.5</v>
      </c>
      <c r="Y579" s="18">
        <f t="shared" si="100"/>
        <v>22.7</v>
      </c>
      <c r="Z579" s="18" t="str">
        <f t="shared" si="101"/>
        <v>Low</v>
      </c>
      <c r="AA579" s="19" t="str">
        <f t="shared" si="102"/>
        <v>Eligible</v>
      </c>
      <c r="AB579" s="14" t="s">
        <v>85</v>
      </c>
      <c r="AC579" s="14">
        <v>2</v>
      </c>
      <c r="AD579" s="14" t="s">
        <v>78</v>
      </c>
      <c r="AE579" s="17">
        <v>6.5</v>
      </c>
      <c r="AF579" s="15">
        <v>0</v>
      </c>
      <c r="AG579" s="20">
        <f t="shared" si="103"/>
        <v>1148516</v>
      </c>
      <c r="AH579" s="14">
        <v>1</v>
      </c>
      <c r="AI579" s="14" t="s">
        <v>75</v>
      </c>
      <c r="AJ579" s="14">
        <v>120</v>
      </c>
      <c r="AK579" s="21">
        <f t="shared" si="104"/>
        <v>8.5000000000000006E-2</v>
      </c>
      <c r="AL579" s="20">
        <f t="shared" si="105"/>
        <v>32926.941387248356</v>
      </c>
      <c r="AM579" s="22">
        <f t="shared" si="106"/>
        <v>2.3122925583970968</v>
      </c>
      <c r="AN579" s="20">
        <f t="shared" si="107"/>
        <v>35122.521387248358</v>
      </c>
      <c r="AO579" s="16">
        <f t="shared" si="108"/>
        <v>0.36696942545596256</v>
      </c>
      <c r="AP579" s="15">
        <v>2022128</v>
      </c>
      <c r="AQ579" s="18">
        <f t="shared" si="109"/>
        <v>1.3133219064272885</v>
      </c>
      <c r="AR579" s="23">
        <v>46084</v>
      </c>
      <c r="AS579" s="14" t="s">
        <v>79</v>
      </c>
    </row>
    <row r="580" spans="1:45" x14ac:dyDescent="0.25">
      <c r="A580" s="14" t="s">
        <v>1903</v>
      </c>
      <c r="B580" s="14" t="s">
        <v>1904</v>
      </c>
      <c r="C580" s="14">
        <v>9984019695</v>
      </c>
      <c r="D580" s="15" t="s">
        <v>1911</v>
      </c>
      <c r="E580" s="14">
        <v>57</v>
      </c>
      <c r="F580" s="14" t="s">
        <v>89</v>
      </c>
      <c r="G580" s="14" t="s">
        <v>153</v>
      </c>
      <c r="H580" s="14" t="s">
        <v>166</v>
      </c>
      <c r="I580" s="14" t="s">
        <v>74</v>
      </c>
      <c r="J580" s="15">
        <v>1292991</v>
      </c>
      <c r="K580" s="14">
        <v>2</v>
      </c>
      <c r="L580" s="14" t="s">
        <v>76</v>
      </c>
      <c r="M580" s="14" t="s">
        <v>75</v>
      </c>
      <c r="N580" s="14" t="s">
        <v>76</v>
      </c>
      <c r="O580" s="14" t="s">
        <v>75</v>
      </c>
      <c r="P580" s="14">
        <v>667</v>
      </c>
      <c r="Q580" s="15">
        <v>37163.4</v>
      </c>
      <c r="R580" s="15">
        <v>6781.52</v>
      </c>
      <c r="S580" s="14" t="s">
        <v>21</v>
      </c>
      <c r="T580" s="15"/>
      <c r="U580" s="16">
        <f t="shared" si="99"/>
        <v>6.2937978686626594E-2</v>
      </c>
      <c r="V580" s="14">
        <v>0</v>
      </c>
      <c r="W580" s="17">
        <v>97.9</v>
      </c>
      <c r="X580" s="14">
        <v>8.4</v>
      </c>
      <c r="Y580" s="18">
        <f t="shared" si="100"/>
        <v>27.2</v>
      </c>
      <c r="Z580" s="18" t="str">
        <f t="shared" si="101"/>
        <v>Low</v>
      </c>
      <c r="AA580" s="19" t="str">
        <f t="shared" si="102"/>
        <v>Eligible</v>
      </c>
      <c r="AB580" s="14" t="s">
        <v>85</v>
      </c>
      <c r="AC580" s="14">
        <v>3</v>
      </c>
      <c r="AD580" s="14" t="s">
        <v>93</v>
      </c>
      <c r="AE580" s="17">
        <v>11.2</v>
      </c>
      <c r="AF580" s="15">
        <v>204630</v>
      </c>
      <c r="AG580" s="20">
        <f t="shared" si="103"/>
        <v>1497621</v>
      </c>
      <c r="AH580" s="14">
        <v>0</v>
      </c>
      <c r="AI580" s="14" t="s">
        <v>75</v>
      </c>
      <c r="AJ580" s="14">
        <v>36</v>
      </c>
      <c r="AK580" s="21">
        <f t="shared" si="104"/>
        <v>0.14000000000000001</v>
      </c>
      <c r="AL580" s="20">
        <f t="shared" si="105"/>
        <v>0</v>
      </c>
      <c r="AM580" s="22">
        <f t="shared" si="106"/>
        <v>0</v>
      </c>
      <c r="AN580" s="20">
        <f t="shared" si="107"/>
        <v>6781.52</v>
      </c>
      <c r="AO580" s="16">
        <f t="shared" si="108"/>
        <v>6.2937978686626594E-2</v>
      </c>
      <c r="AP580" s="15">
        <v>0</v>
      </c>
      <c r="AQ580" s="18" t="str">
        <f t="shared" si="109"/>
        <v>N/A</v>
      </c>
      <c r="AR580" s="23">
        <v>45955</v>
      </c>
      <c r="AS580" s="14" t="s">
        <v>79</v>
      </c>
    </row>
    <row r="581" spans="1:45" x14ac:dyDescent="0.25">
      <c r="A581" s="14" t="s">
        <v>1907</v>
      </c>
      <c r="B581" s="14" t="s">
        <v>1908</v>
      </c>
      <c r="C581" s="14">
        <v>9640198103</v>
      </c>
      <c r="D581" s="15" t="s">
        <v>1914</v>
      </c>
      <c r="E581" s="14">
        <v>52</v>
      </c>
      <c r="F581" s="14" t="s">
        <v>89</v>
      </c>
      <c r="G581" s="14" t="s">
        <v>153</v>
      </c>
      <c r="H581" s="14" t="s">
        <v>132</v>
      </c>
      <c r="I581" s="14" t="s">
        <v>92</v>
      </c>
      <c r="J581" s="15">
        <v>613013</v>
      </c>
      <c r="K581" s="14">
        <v>1</v>
      </c>
      <c r="L581" s="14" t="s">
        <v>76</v>
      </c>
      <c r="M581" s="14" t="s">
        <v>75</v>
      </c>
      <c r="N581" s="14" t="s">
        <v>75</v>
      </c>
      <c r="O581" s="14" t="s">
        <v>75</v>
      </c>
      <c r="P581" s="14">
        <v>587</v>
      </c>
      <c r="Q581" s="15">
        <v>52619.34</v>
      </c>
      <c r="R581" s="15">
        <v>593.02</v>
      </c>
      <c r="S581" s="14" t="s">
        <v>23</v>
      </c>
      <c r="T581" s="15">
        <v>3516373</v>
      </c>
      <c r="U581" s="16">
        <f t="shared" si="99"/>
        <v>1.1608628202012028E-2</v>
      </c>
      <c r="V581" s="14">
        <v>0</v>
      </c>
      <c r="W581" s="17">
        <v>21.8</v>
      </c>
      <c r="X581" s="14">
        <v>2.2999999999999998</v>
      </c>
      <c r="Y581" s="18">
        <f t="shared" si="100"/>
        <v>23.4</v>
      </c>
      <c r="Z581" s="18" t="str">
        <f t="shared" si="101"/>
        <v>Low</v>
      </c>
      <c r="AA581" s="19" t="str">
        <f t="shared" si="102"/>
        <v>Review</v>
      </c>
      <c r="AB581" s="14" t="s">
        <v>77</v>
      </c>
      <c r="AC581" s="14">
        <v>1</v>
      </c>
      <c r="AD581" s="14" t="s">
        <v>93</v>
      </c>
      <c r="AE581" s="17">
        <v>13.6</v>
      </c>
      <c r="AF581" s="15">
        <v>0</v>
      </c>
      <c r="AG581" s="20">
        <f t="shared" si="103"/>
        <v>613013</v>
      </c>
      <c r="AH581" s="14">
        <v>2</v>
      </c>
      <c r="AI581" s="14" t="s">
        <v>76</v>
      </c>
      <c r="AJ581" s="14">
        <v>240</v>
      </c>
      <c r="AK581" s="21">
        <f t="shared" si="104"/>
        <v>8.5000000000000006E-2</v>
      </c>
      <c r="AL581" s="20">
        <f t="shared" si="105"/>
        <v>30515.901865792624</v>
      </c>
      <c r="AM581" s="22">
        <f t="shared" si="106"/>
        <v>5.7362127719966791</v>
      </c>
      <c r="AN581" s="20">
        <f t="shared" si="107"/>
        <v>31108.921865792625</v>
      </c>
      <c r="AO581" s="16">
        <f t="shared" si="108"/>
        <v>0.60897087401003158</v>
      </c>
      <c r="AP581" s="15">
        <v>3532756</v>
      </c>
      <c r="AQ581" s="18">
        <f t="shared" si="109"/>
        <v>0.99536254414400538</v>
      </c>
      <c r="AR581" s="23">
        <v>46082</v>
      </c>
      <c r="AS581" s="14" t="s">
        <v>79</v>
      </c>
    </row>
    <row r="582" spans="1:45" x14ac:dyDescent="0.25">
      <c r="A582" s="14" t="s">
        <v>1910</v>
      </c>
      <c r="B582" s="14" t="s">
        <v>291</v>
      </c>
      <c r="C582" s="14">
        <v>9291126315</v>
      </c>
      <c r="D582" s="15" t="s">
        <v>1917</v>
      </c>
      <c r="E582" s="14">
        <v>64</v>
      </c>
      <c r="F582" s="14" t="s">
        <v>89</v>
      </c>
      <c r="G582" s="14" t="s">
        <v>106</v>
      </c>
      <c r="H582" s="14" t="s">
        <v>107</v>
      </c>
      <c r="I582" s="14" t="s">
        <v>92</v>
      </c>
      <c r="J582" s="15">
        <v>490301</v>
      </c>
      <c r="K582" s="14">
        <v>2</v>
      </c>
      <c r="L582" s="14" t="s">
        <v>76</v>
      </c>
      <c r="M582" s="14" t="s">
        <v>75</v>
      </c>
      <c r="N582" s="14" t="s">
        <v>76</v>
      </c>
      <c r="O582" s="14" t="s">
        <v>75</v>
      </c>
      <c r="P582" s="14">
        <v>444</v>
      </c>
      <c r="Q582" s="15">
        <v>66848.070000000007</v>
      </c>
      <c r="R582" s="15">
        <v>1061.81</v>
      </c>
      <c r="S582" s="14" t="s">
        <v>23</v>
      </c>
      <c r="T582" s="15"/>
      <c r="U582" s="16">
        <f t="shared" si="99"/>
        <v>2.5987546425563071E-2</v>
      </c>
      <c r="V582" s="14">
        <v>2</v>
      </c>
      <c r="W582" s="17">
        <v>6.7</v>
      </c>
      <c r="X582" s="14">
        <v>11.1</v>
      </c>
      <c r="Y582" s="18">
        <f t="shared" si="100"/>
        <v>39.799999999999997</v>
      </c>
      <c r="Z582" s="18" t="str">
        <f t="shared" si="101"/>
        <v>Medium</v>
      </c>
      <c r="AA582" s="19" t="str">
        <f t="shared" si="102"/>
        <v>Not Eligible</v>
      </c>
      <c r="AB582" s="14" t="s">
        <v>85</v>
      </c>
      <c r="AC582" s="14">
        <v>1</v>
      </c>
      <c r="AD582" s="14" t="s">
        <v>194</v>
      </c>
      <c r="AE582" s="17">
        <v>27</v>
      </c>
      <c r="AF582" s="15">
        <v>0</v>
      </c>
      <c r="AG582" s="20">
        <f t="shared" si="103"/>
        <v>490301</v>
      </c>
      <c r="AH582" s="14">
        <v>3</v>
      </c>
      <c r="AI582" s="14" t="s">
        <v>75</v>
      </c>
      <c r="AJ582" s="14">
        <v>180</v>
      </c>
      <c r="AK582" s="21">
        <f t="shared" si="104"/>
        <v>0.1</v>
      </c>
      <c r="AL582" s="20">
        <f t="shared" si="105"/>
        <v>0</v>
      </c>
      <c r="AM582" s="22">
        <f t="shared" si="106"/>
        <v>0</v>
      </c>
      <c r="AN582" s="20">
        <f t="shared" si="107"/>
        <v>1061.81</v>
      </c>
      <c r="AO582" s="16">
        <f t="shared" si="108"/>
        <v>2.5987546425563071E-2</v>
      </c>
      <c r="AP582" s="15">
        <v>2035922</v>
      </c>
      <c r="AQ582" s="18">
        <f t="shared" si="109"/>
        <v>0</v>
      </c>
      <c r="AR582" s="23">
        <v>46037</v>
      </c>
      <c r="AS582" s="14" t="s">
        <v>79</v>
      </c>
    </row>
    <row r="583" spans="1:45" x14ac:dyDescent="0.25">
      <c r="A583" s="14" t="s">
        <v>1912</v>
      </c>
      <c r="B583" s="14" t="s">
        <v>1913</v>
      </c>
      <c r="C583" s="14">
        <v>9451359250</v>
      </c>
      <c r="D583" s="15" t="s">
        <v>1920</v>
      </c>
      <c r="E583" s="14">
        <v>60</v>
      </c>
      <c r="F583" s="14" t="s">
        <v>89</v>
      </c>
      <c r="G583" s="14" t="s">
        <v>215</v>
      </c>
      <c r="H583" s="14" t="s">
        <v>166</v>
      </c>
      <c r="I583" s="14" t="s">
        <v>74</v>
      </c>
      <c r="J583" s="15">
        <v>544992</v>
      </c>
      <c r="K583" s="14">
        <v>1</v>
      </c>
      <c r="L583" s="14" t="s">
        <v>76</v>
      </c>
      <c r="M583" s="14" t="s">
        <v>75</v>
      </c>
      <c r="N583" s="14" t="s">
        <v>75</v>
      </c>
      <c r="O583" s="14" t="s">
        <v>75</v>
      </c>
      <c r="P583" s="14">
        <v>487</v>
      </c>
      <c r="Q583" s="15"/>
      <c r="R583" s="15">
        <v>1879.26</v>
      </c>
      <c r="S583" s="14" t="s">
        <v>23</v>
      </c>
      <c r="T583" s="15">
        <v>7925599</v>
      </c>
      <c r="U583" s="16">
        <f t="shared" si="99"/>
        <v>4.1378809230227229E-2</v>
      </c>
      <c r="V583" s="14">
        <v>0</v>
      </c>
      <c r="W583" s="17">
        <v>99.4</v>
      </c>
      <c r="X583" s="14">
        <v>1.3</v>
      </c>
      <c r="Y583" s="18">
        <f t="shared" si="100"/>
        <v>38.700000000000003</v>
      </c>
      <c r="Z583" s="18" t="str">
        <f t="shared" si="101"/>
        <v>Medium</v>
      </c>
      <c r="AA583" s="19" t="str">
        <f t="shared" si="102"/>
        <v>Not Eligible</v>
      </c>
      <c r="AB583" s="14" t="s">
        <v>77</v>
      </c>
      <c r="AC583" s="14">
        <v>2</v>
      </c>
      <c r="AD583" s="14" t="s">
        <v>194</v>
      </c>
      <c r="AE583" s="17">
        <v>23.2</v>
      </c>
      <c r="AF583" s="15">
        <v>199433</v>
      </c>
      <c r="AG583" s="20">
        <f t="shared" si="103"/>
        <v>744425</v>
      </c>
      <c r="AH583" s="14">
        <v>1</v>
      </c>
      <c r="AI583" s="14" t="s">
        <v>76</v>
      </c>
      <c r="AJ583" s="14">
        <v>120</v>
      </c>
      <c r="AK583" s="21">
        <f t="shared" si="104"/>
        <v>0.1</v>
      </c>
      <c r="AL583" s="20">
        <f t="shared" si="105"/>
        <v>104737.37480793532</v>
      </c>
      <c r="AM583" s="22">
        <f t="shared" si="106"/>
        <v>14.542596955551641</v>
      </c>
      <c r="AN583" s="20">
        <f t="shared" si="107"/>
        <v>106616.63480793532</v>
      </c>
      <c r="AO583" s="16">
        <f t="shared" si="108"/>
        <v>2.3475566938509624</v>
      </c>
      <c r="AP583" s="15">
        <v>4124237</v>
      </c>
      <c r="AQ583" s="18">
        <f t="shared" si="109"/>
        <v>1.9217127919661261</v>
      </c>
      <c r="AR583" s="23">
        <v>46189</v>
      </c>
      <c r="AS583" s="14" t="s">
        <v>79</v>
      </c>
    </row>
    <row r="584" spans="1:45" x14ac:dyDescent="0.25">
      <c r="A584" s="14" t="s">
        <v>1915</v>
      </c>
      <c r="B584" s="14" t="s">
        <v>390</v>
      </c>
      <c r="C584" s="14">
        <v>9702884927</v>
      </c>
      <c r="D584" s="15" t="s">
        <v>1924</v>
      </c>
      <c r="E584" s="14">
        <v>27</v>
      </c>
      <c r="F584" s="14" t="s">
        <v>71</v>
      </c>
      <c r="G584" s="14" t="s">
        <v>226</v>
      </c>
      <c r="H584" s="14" t="s">
        <v>132</v>
      </c>
      <c r="I584" s="14" t="s">
        <v>92</v>
      </c>
      <c r="J584" s="15">
        <v>2092660</v>
      </c>
      <c r="K584" s="14">
        <v>1</v>
      </c>
      <c r="L584" s="14" t="s">
        <v>76</v>
      </c>
      <c r="M584" s="14" t="s">
        <v>75</v>
      </c>
      <c r="N584" s="14" t="s">
        <v>75</v>
      </c>
      <c r="O584" s="14" t="s">
        <v>75</v>
      </c>
      <c r="P584" s="14">
        <v>751</v>
      </c>
      <c r="Q584" s="15"/>
      <c r="R584" s="15">
        <v>1392.67</v>
      </c>
      <c r="S584" s="14" t="s">
        <v>21</v>
      </c>
      <c r="T584" s="15">
        <v>403784</v>
      </c>
      <c r="U584" s="16">
        <f t="shared" si="99"/>
        <v>7.9860273527472218E-3</v>
      </c>
      <c r="V584" s="14">
        <v>0</v>
      </c>
      <c r="W584" s="17">
        <v>48.9</v>
      </c>
      <c r="X584" s="14">
        <v>12.2</v>
      </c>
      <c r="Y584" s="18">
        <f t="shared" si="100"/>
        <v>15.1</v>
      </c>
      <c r="Z584" s="18" t="str">
        <f t="shared" si="101"/>
        <v>Low</v>
      </c>
      <c r="AA584" s="19" t="str">
        <f t="shared" si="102"/>
        <v>Eligible</v>
      </c>
      <c r="AB584" s="14" t="s">
        <v>85</v>
      </c>
      <c r="AC584" s="14">
        <v>2</v>
      </c>
      <c r="AD584" s="14" t="s">
        <v>78</v>
      </c>
      <c r="AE584" s="17">
        <v>3.1</v>
      </c>
      <c r="AF584" s="15">
        <v>0</v>
      </c>
      <c r="AG584" s="20">
        <f t="shared" si="103"/>
        <v>2092660</v>
      </c>
      <c r="AH584" s="14">
        <v>2</v>
      </c>
      <c r="AI584" s="14" t="s">
        <v>75</v>
      </c>
      <c r="AJ584" s="14">
        <v>60</v>
      </c>
      <c r="AK584" s="21">
        <f t="shared" si="104"/>
        <v>0.14000000000000001</v>
      </c>
      <c r="AL584" s="20">
        <f t="shared" si="105"/>
        <v>9395.3474009691618</v>
      </c>
      <c r="AM584" s="22">
        <f t="shared" si="106"/>
        <v>0.19295251020232623</v>
      </c>
      <c r="AN584" s="20">
        <f t="shared" si="107"/>
        <v>10788.017400969162</v>
      </c>
      <c r="AO584" s="16">
        <f t="shared" si="108"/>
        <v>6.1862036265628403E-2</v>
      </c>
      <c r="AP584" s="15">
        <v>0</v>
      </c>
      <c r="AQ584" s="18" t="str">
        <f t="shared" si="109"/>
        <v>N/A</v>
      </c>
      <c r="AR584" s="23">
        <v>46188</v>
      </c>
      <c r="AS584" s="14" t="s">
        <v>79</v>
      </c>
    </row>
    <row r="585" spans="1:45" x14ac:dyDescent="0.25">
      <c r="A585" s="14" t="s">
        <v>1918</v>
      </c>
      <c r="B585" s="14" t="s">
        <v>1919</v>
      </c>
      <c r="C585" s="14">
        <v>9687511227</v>
      </c>
      <c r="D585" s="15"/>
      <c r="E585" s="14">
        <v>35</v>
      </c>
      <c r="F585" s="14" t="s">
        <v>71</v>
      </c>
      <c r="G585" s="14" t="s">
        <v>314</v>
      </c>
      <c r="H585" s="14" t="s">
        <v>107</v>
      </c>
      <c r="I585" s="14" t="s">
        <v>92</v>
      </c>
      <c r="J585" s="15">
        <v>2033104</v>
      </c>
      <c r="K585" s="14">
        <v>0</v>
      </c>
      <c r="L585" s="14" t="s">
        <v>75</v>
      </c>
      <c r="M585" s="14" t="s">
        <v>75</v>
      </c>
      <c r="N585" s="14" t="s">
        <v>75</v>
      </c>
      <c r="O585" s="14" t="s">
        <v>75</v>
      </c>
      <c r="P585" s="14">
        <v>434</v>
      </c>
      <c r="Q585" s="15"/>
      <c r="R585" s="15">
        <v>4172.62</v>
      </c>
      <c r="S585" s="14" t="s">
        <v>23</v>
      </c>
      <c r="T585" s="15">
        <v>226293</v>
      </c>
      <c r="U585" s="16">
        <f t="shared" si="99"/>
        <v>2.4628076084646924E-2</v>
      </c>
      <c r="V585" s="14">
        <v>0</v>
      </c>
      <c r="W585" s="17">
        <v>84.5</v>
      </c>
      <c r="X585" s="14">
        <v>1.5</v>
      </c>
      <c r="Y585" s="18">
        <f t="shared" si="100"/>
        <v>40.299999999999997</v>
      </c>
      <c r="Z585" s="18" t="str">
        <f t="shared" si="101"/>
        <v>Medium</v>
      </c>
      <c r="AA585" s="19" t="str">
        <f t="shared" si="102"/>
        <v>Not Eligible</v>
      </c>
      <c r="AB585" s="14" t="s">
        <v>77</v>
      </c>
      <c r="AC585" s="14">
        <v>2</v>
      </c>
      <c r="AD585" s="14" t="s">
        <v>194</v>
      </c>
      <c r="AE585" s="17">
        <v>13.7</v>
      </c>
      <c r="AF585" s="15">
        <v>383141</v>
      </c>
      <c r="AG585" s="20">
        <f t="shared" si="103"/>
        <v>2416245</v>
      </c>
      <c r="AH585" s="14">
        <v>0</v>
      </c>
      <c r="AI585" s="14" t="s">
        <v>75</v>
      </c>
      <c r="AJ585" s="14">
        <v>120</v>
      </c>
      <c r="AK585" s="21">
        <f t="shared" si="104"/>
        <v>0.1</v>
      </c>
      <c r="AL585" s="20">
        <f t="shared" si="105"/>
        <v>2990.4786701184489</v>
      </c>
      <c r="AM585" s="22">
        <f t="shared" si="106"/>
        <v>0.1113041929975053</v>
      </c>
      <c r="AN585" s="20">
        <f t="shared" si="107"/>
        <v>7163.0986701184484</v>
      </c>
      <c r="AO585" s="16">
        <f t="shared" si="108"/>
        <v>4.227879343182709E-2</v>
      </c>
      <c r="AP585" s="15">
        <v>9184821</v>
      </c>
      <c r="AQ585" s="18">
        <f t="shared" si="109"/>
        <v>2.4637714768747262E-2</v>
      </c>
      <c r="AR585" s="23">
        <v>46065</v>
      </c>
      <c r="AS585" s="14" t="s">
        <v>79</v>
      </c>
    </row>
    <row r="586" spans="1:45" x14ac:dyDescent="0.25">
      <c r="A586" s="14" t="s">
        <v>1921</v>
      </c>
      <c r="B586" s="14" t="s">
        <v>1922</v>
      </c>
      <c r="C586" s="14"/>
      <c r="D586" s="15" t="s">
        <v>1928</v>
      </c>
      <c r="E586" s="14">
        <v>46</v>
      </c>
      <c r="F586" s="14" t="s">
        <v>71</v>
      </c>
      <c r="G586" s="14" t="s">
        <v>98</v>
      </c>
      <c r="H586" s="14" t="s">
        <v>73</v>
      </c>
      <c r="I586" s="14" t="s">
        <v>74</v>
      </c>
      <c r="J586" s="15">
        <v>2264075</v>
      </c>
      <c r="K586" s="14">
        <v>1</v>
      </c>
      <c r="L586" s="14" t="s">
        <v>75</v>
      </c>
      <c r="M586" s="14" t="s">
        <v>76</v>
      </c>
      <c r="N586" s="14" t="s">
        <v>75</v>
      </c>
      <c r="O586" s="14" t="s">
        <v>75</v>
      </c>
      <c r="P586" s="14">
        <v>668</v>
      </c>
      <c r="Q586" s="15"/>
      <c r="R586" s="15">
        <v>13217.68</v>
      </c>
      <c r="S586" s="14" t="s">
        <v>21</v>
      </c>
      <c r="T586" s="15"/>
      <c r="U586" s="16">
        <f t="shared" si="99"/>
        <v>7.0056053796804435E-2</v>
      </c>
      <c r="V586" s="14">
        <v>4</v>
      </c>
      <c r="W586" s="17">
        <v>19.399999999999999</v>
      </c>
      <c r="X586" s="14">
        <v>8</v>
      </c>
      <c r="Y586" s="18">
        <f t="shared" si="100"/>
        <v>35.5</v>
      </c>
      <c r="Z586" s="18" t="str">
        <f t="shared" si="101"/>
        <v>Medium</v>
      </c>
      <c r="AA586" s="19" t="str">
        <f t="shared" si="102"/>
        <v>Review</v>
      </c>
      <c r="AB586" s="14" t="s">
        <v>85</v>
      </c>
      <c r="AC586" s="14">
        <v>1</v>
      </c>
      <c r="AD586" s="14" t="s">
        <v>93</v>
      </c>
      <c r="AE586" s="17">
        <v>1.3</v>
      </c>
      <c r="AF586" s="15">
        <v>0</v>
      </c>
      <c r="AG586" s="20">
        <f t="shared" si="103"/>
        <v>2264075</v>
      </c>
      <c r="AH586" s="14">
        <v>0</v>
      </c>
      <c r="AI586" s="14" t="s">
        <v>75</v>
      </c>
      <c r="AJ586" s="14">
        <v>36</v>
      </c>
      <c r="AK586" s="21">
        <f t="shared" si="104"/>
        <v>0.15500000000000003</v>
      </c>
      <c r="AL586" s="20">
        <f t="shared" si="105"/>
        <v>0</v>
      </c>
      <c r="AM586" s="22">
        <f t="shared" si="106"/>
        <v>0</v>
      </c>
      <c r="AN586" s="20">
        <f t="shared" si="107"/>
        <v>13217.68</v>
      </c>
      <c r="AO586" s="16">
        <f t="shared" si="108"/>
        <v>7.0056053796804435E-2</v>
      </c>
      <c r="AP586" s="15">
        <v>0</v>
      </c>
      <c r="AQ586" s="18" t="str">
        <f t="shared" si="109"/>
        <v>N/A</v>
      </c>
      <c r="AR586" s="23">
        <v>46048</v>
      </c>
      <c r="AS586" s="14" t="s">
        <v>94</v>
      </c>
    </row>
    <row r="587" spans="1:45" x14ac:dyDescent="0.25">
      <c r="A587" s="14" t="s">
        <v>1925</v>
      </c>
      <c r="B587" s="14" t="s">
        <v>228</v>
      </c>
      <c r="C587" s="14">
        <v>9436883282</v>
      </c>
      <c r="D587" s="15" t="s">
        <v>1930</v>
      </c>
      <c r="E587" s="14">
        <v>41</v>
      </c>
      <c r="F587" s="14" t="s">
        <v>71</v>
      </c>
      <c r="G587" s="14" t="s">
        <v>153</v>
      </c>
      <c r="H587" s="14" t="s">
        <v>84</v>
      </c>
      <c r="I587" s="14" t="s">
        <v>74</v>
      </c>
      <c r="J587" s="15">
        <v>2002435</v>
      </c>
      <c r="K587" s="14">
        <v>1</v>
      </c>
      <c r="L587" s="14" t="s">
        <v>75</v>
      </c>
      <c r="M587" s="14" t="s">
        <v>75</v>
      </c>
      <c r="N587" s="14" t="s">
        <v>75</v>
      </c>
      <c r="O587" s="14" t="s">
        <v>76</v>
      </c>
      <c r="P587" s="14">
        <v>754</v>
      </c>
      <c r="Q587" s="15">
        <v>264198.57</v>
      </c>
      <c r="R587" s="15">
        <v>19539.8</v>
      </c>
      <c r="S587" s="14" t="s">
        <v>20</v>
      </c>
      <c r="T587" s="15">
        <v>971182</v>
      </c>
      <c r="U587" s="16">
        <f t="shared" si="99"/>
        <v>0.11709623533348147</v>
      </c>
      <c r="V587" s="14">
        <v>0</v>
      </c>
      <c r="W587" s="17">
        <v>63.9</v>
      </c>
      <c r="X587" s="14">
        <v>5.4</v>
      </c>
      <c r="Y587" s="18">
        <f t="shared" si="100"/>
        <v>19.600000000000001</v>
      </c>
      <c r="Z587" s="18" t="str">
        <f t="shared" si="101"/>
        <v>Low</v>
      </c>
      <c r="AA587" s="19" t="str">
        <f t="shared" si="102"/>
        <v>Eligible</v>
      </c>
      <c r="AB587" s="14" t="s">
        <v>85</v>
      </c>
      <c r="AC587" s="14">
        <v>1</v>
      </c>
      <c r="AD587" s="14" t="s">
        <v>78</v>
      </c>
      <c r="AE587" s="17">
        <v>3.9</v>
      </c>
      <c r="AF587" s="15">
        <v>0</v>
      </c>
      <c r="AG587" s="20">
        <f t="shared" si="103"/>
        <v>2002435</v>
      </c>
      <c r="AH587" s="14">
        <v>1</v>
      </c>
      <c r="AI587" s="14" t="s">
        <v>75</v>
      </c>
      <c r="AJ587" s="14">
        <v>24</v>
      </c>
      <c r="AK587" s="21">
        <f t="shared" si="104"/>
        <v>0.36</v>
      </c>
      <c r="AL587" s="20">
        <f t="shared" si="105"/>
        <v>57345.787516152464</v>
      </c>
      <c r="AM587" s="22">
        <f t="shared" si="106"/>
        <v>0.48500051187679</v>
      </c>
      <c r="AN587" s="20">
        <f t="shared" si="107"/>
        <v>76885.58751615246</v>
      </c>
      <c r="AO587" s="16">
        <f t="shared" si="108"/>
        <v>0.46075255885650696</v>
      </c>
      <c r="AP587" s="15">
        <v>0</v>
      </c>
      <c r="AQ587" s="18" t="str">
        <f t="shared" si="109"/>
        <v>N/A</v>
      </c>
      <c r="AR587" s="23">
        <v>46061</v>
      </c>
      <c r="AS587" s="14" t="s">
        <v>79</v>
      </c>
    </row>
    <row r="588" spans="1:45" x14ac:dyDescent="0.25">
      <c r="A588" s="14" t="s">
        <v>1926</v>
      </c>
      <c r="B588" s="14" t="s">
        <v>1927</v>
      </c>
      <c r="C588" s="14">
        <v>9597889349</v>
      </c>
      <c r="D588" s="15" t="s">
        <v>1933</v>
      </c>
      <c r="E588" s="14">
        <v>63</v>
      </c>
      <c r="F588" s="14" t="s">
        <v>71</v>
      </c>
      <c r="G588" s="14" t="s">
        <v>131</v>
      </c>
      <c r="H588" s="14" t="s">
        <v>73</v>
      </c>
      <c r="I588" s="14" t="s">
        <v>74</v>
      </c>
      <c r="J588" s="15">
        <v>649530</v>
      </c>
      <c r="K588" s="14">
        <v>0</v>
      </c>
      <c r="L588" s="14" t="s">
        <v>75</v>
      </c>
      <c r="M588" s="14" t="s">
        <v>75</v>
      </c>
      <c r="N588" s="14" t="s">
        <v>75</v>
      </c>
      <c r="O588" s="14" t="s">
        <v>75</v>
      </c>
      <c r="P588" s="14">
        <v>319</v>
      </c>
      <c r="Q588" s="15">
        <v>727927.06</v>
      </c>
      <c r="R588" s="15">
        <v>308.14999999999998</v>
      </c>
      <c r="S588" s="14" t="s">
        <v>23</v>
      </c>
      <c r="T588" s="15">
        <v>368832</v>
      </c>
      <c r="U588" s="16">
        <f t="shared" si="99"/>
        <v>5.6930395824673222E-3</v>
      </c>
      <c r="V588" s="14">
        <v>0</v>
      </c>
      <c r="W588" s="17">
        <v>70.2</v>
      </c>
      <c r="X588" s="14">
        <v>2.8</v>
      </c>
      <c r="Y588" s="18">
        <f t="shared" si="100"/>
        <v>45.9</v>
      </c>
      <c r="Z588" s="18" t="str">
        <f t="shared" si="101"/>
        <v>Medium</v>
      </c>
      <c r="AA588" s="19" t="str">
        <f t="shared" si="102"/>
        <v>Not Eligible</v>
      </c>
      <c r="AB588" s="14" t="s">
        <v>77</v>
      </c>
      <c r="AC588" s="14">
        <v>1</v>
      </c>
      <c r="AD588" s="14" t="s">
        <v>93</v>
      </c>
      <c r="AE588" s="17">
        <v>27.6</v>
      </c>
      <c r="AF588" s="15">
        <v>839938</v>
      </c>
      <c r="AG588" s="20">
        <f t="shared" si="103"/>
        <v>1489468</v>
      </c>
      <c r="AH588" s="14">
        <v>0</v>
      </c>
      <c r="AI588" s="14" t="s">
        <v>76</v>
      </c>
      <c r="AJ588" s="14">
        <v>180</v>
      </c>
      <c r="AK588" s="21">
        <f t="shared" si="104"/>
        <v>0.1</v>
      </c>
      <c r="AL588" s="20">
        <f t="shared" si="105"/>
        <v>3963.4875477451992</v>
      </c>
      <c r="AM588" s="22">
        <f t="shared" si="106"/>
        <v>0.56784444136529488</v>
      </c>
      <c r="AN588" s="20">
        <f t="shared" si="107"/>
        <v>4271.6375477451993</v>
      </c>
      <c r="AO588" s="16">
        <f t="shared" si="108"/>
        <v>7.8918064712857602E-2</v>
      </c>
      <c r="AP588" s="15">
        <v>10105945</v>
      </c>
      <c r="AQ588" s="18">
        <f t="shared" si="109"/>
        <v>3.6496537434153854E-2</v>
      </c>
      <c r="AR588" s="23">
        <v>45937</v>
      </c>
      <c r="AS588" s="14" t="s">
        <v>79</v>
      </c>
    </row>
    <row r="589" spans="1:45" x14ac:dyDescent="0.25">
      <c r="A589" s="14" t="s">
        <v>1929</v>
      </c>
      <c r="B589" s="14" t="s">
        <v>1785</v>
      </c>
      <c r="C589" s="14"/>
      <c r="D589" s="15" t="s">
        <v>1935</v>
      </c>
      <c r="E589" s="14">
        <v>43</v>
      </c>
      <c r="F589" s="14" t="s">
        <v>71</v>
      </c>
      <c r="G589" s="14" t="s">
        <v>127</v>
      </c>
      <c r="H589" s="14" t="s">
        <v>132</v>
      </c>
      <c r="I589" s="14" t="s">
        <v>92</v>
      </c>
      <c r="J589" s="15">
        <v>2051880</v>
      </c>
      <c r="K589" s="14">
        <v>1</v>
      </c>
      <c r="L589" s="14" t="s">
        <v>75</v>
      </c>
      <c r="M589" s="14" t="s">
        <v>75</v>
      </c>
      <c r="N589" s="14" t="s">
        <v>76</v>
      </c>
      <c r="O589" s="14" t="s">
        <v>75</v>
      </c>
      <c r="P589" s="14">
        <v>645</v>
      </c>
      <c r="Q589" s="15">
        <v>158799</v>
      </c>
      <c r="R589" s="15">
        <v>4555.1499999999996</v>
      </c>
      <c r="S589" s="14" t="s">
        <v>21</v>
      </c>
      <c r="T589" s="15">
        <v>2092753</v>
      </c>
      <c r="U589" s="16">
        <f t="shared" si="99"/>
        <v>2.663986198023276E-2</v>
      </c>
      <c r="V589" s="14">
        <v>0</v>
      </c>
      <c r="W589" s="17">
        <v>80.8</v>
      </c>
      <c r="X589" s="14">
        <v>10.4</v>
      </c>
      <c r="Y589" s="18">
        <f t="shared" si="100"/>
        <v>25.9</v>
      </c>
      <c r="Z589" s="18" t="str">
        <f t="shared" si="101"/>
        <v>Low</v>
      </c>
      <c r="AA589" s="19" t="str">
        <f t="shared" si="102"/>
        <v>Review</v>
      </c>
      <c r="AB589" s="14" t="s">
        <v>85</v>
      </c>
      <c r="AC589" s="14">
        <v>1</v>
      </c>
      <c r="AD589" s="14" t="s">
        <v>93</v>
      </c>
      <c r="AE589" s="17">
        <v>7.7</v>
      </c>
      <c r="AF589" s="15">
        <v>0</v>
      </c>
      <c r="AG589" s="20">
        <f t="shared" si="103"/>
        <v>2051880</v>
      </c>
      <c r="AH589" s="14">
        <v>0</v>
      </c>
      <c r="AI589" s="14" t="s">
        <v>75</v>
      </c>
      <c r="AJ589" s="14">
        <v>12</v>
      </c>
      <c r="AK589" s="21">
        <f t="shared" si="104"/>
        <v>0.14000000000000001</v>
      </c>
      <c r="AL589" s="20">
        <f t="shared" si="105"/>
        <v>187902.25974263847</v>
      </c>
      <c r="AM589" s="22">
        <f t="shared" si="106"/>
        <v>1.0199197808838723</v>
      </c>
      <c r="AN589" s="20">
        <f t="shared" si="107"/>
        <v>192457.40974263847</v>
      </c>
      <c r="AO589" s="16">
        <f t="shared" si="108"/>
        <v>1.125547749825361</v>
      </c>
      <c r="AP589" s="15">
        <v>0</v>
      </c>
      <c r="AQ589" s="18" t="str">
        <f t="shared" si="109"/>
        <v>N/A</v>
      </c>
      <c r="AR589" s="23">
        <v>46121</v>
      </c>
      <c r="AS589" s="14" t="s">
        <v>79</v>
      </c>
    </row>
    <row r="590" spans="1:45" x14ac:dyDescent="0.25">
      <c r="A590" s="14" t="s">
        <v>1931</v>
      </c>
      <c r="B590" s="14" t="s">
        <v>1932</v>
      </c>
      <c r="C590" s="14">
        <v>9846735731</v>
      </c>
      <c r="D590" s="15" t="s">
        <v>1939</v>
      </c>
      <c r="E590" s="14">
        <v>24</v>
      </c>
      <c r="F590" s="14" t="s">
        <v>89</v>
      </c>
      <c r="G590" s="14" t="s">
        <v>106</v>
      </c>
      <c r="H590" s="14" t="s">
        <v>166</v>
      </c>
      <c r="I590" s="14" t="s">
        <v>74</v>
      </c>
      <c r="J590" s="15">
        <v>1267204</v>
      </c>
      <c r="K590" s="14">
        <v>1</v>
      </c>
      <c r="L590" s="14" t="s">
        <v>75</v>
      </c>
      <c r="M590" s="14" t="s">
        <v>75</v>
      </c>
      <c r="N590" s="14" t="s">
        <v>76</v>
      </c>
      <c r="O590" s="14" t="s">
        <v>75</v>
      </c>
      <c r="P590" s="14">
        <v>594</v>
      </c>
      <c r="Q590" s="15">
        <v>575592.61</v>
      </c>
      <c r="R590" s="15">
        <v>14273.08</v>
      </c>
      <c r="S590" s="14" t="s">
        <v>21</v>
      </c>
      <c r="T590" s="15">
        <v>225851</v>
      </c>
      <c r="U590" s="16">
        <f t="shared" si="99"/>
        <v>0.13516131577867493</v>
      </c>
      <c r="V590" s="14">
        <v>3</v>
      </c>
      <c r="W590" s="17">
        <v>6.2</v>
      </c>
      <c r="X590" s="14">
        <v>10.4</v>
      </c>
      <c r="Y590" s="18">
        <f t="shared" si="100"/>
        <v>37.1</v>
      </c>
      <c r="Z590" s="18" t="str">
        <f t="shared" si="101"/>
        <v>Medium</v>
      </c>
      <c r="AA590" s="19" t="str">
        <f t="shared" si="102"/>
        <v>Review</v>
      </c>
      <c r="AB590" s="14" t="s">
        <v>85</v>
      </c>
      <c r="AC590" s="14">
        <v>0</v>
      </c>
      <c r="AD590" s="14" t="s">
        <v>78</v>
      </c>
      <c r="AE590" s="17">
        <v>2.8</v>
      </c>
      <c r="AF590" s="15">
        <v>0</v>
      </c>
      <c r="AG590" s="20">
        <f t="shared" si="103"/>
        <v>1267204</v>
      </c>
      <c r="AH590" s="14">
        <v>0</v>
      </c>
      <c r="AI590" s="14" t="s">
        <v>75</v>
      </c>
      <c r="AJ590" s="14">
        <v>36</v>
      </c>
      <c r="AK590" s="21">
        <f t="shared" si="104"/>
        <v>0.15500000000000003</v>
      </c>
      <c r="AL590" s="20">
        <f t="shared" si="105"/>
        <v>7884.6122194535201</v>
      </c>
      <c r="AM590" s="22">
        <f t="shared" si="106"/>
        <v>0.17822781493745285</v>
      </c>
      <c r="AN590" s="20">
        <f t="shared" si="107"/>
        <v>22157.692219453522</v>
      </c>
      <c r="AO590" s="16">
        <f t="shared" si="108"/>
        <v>0.20982596853659102</v>
      </c>
      <c r="AP590" s="15">
        <v>0</v>
      </c>
      <c r="AQ590" s="18" t="str">
        <f t="shared" si="109"/>
        <v>N/A</v>
      </c>
      <c r="AR590" s="23">
        <v>45927</v>
      </c>
      <c r="AS590" s="14" t="s">
        <v>79</v>
      </c>
    </row>
    <row r="591" spans="1:45" x14ac:dyDescent="0.25">
      <c r="A591" s="14" t="s">
        <v>1934</v>
      </c>
      <c r="B591" s="14" t="s">
        <v>970</v>
      </c>
      <c r="C591" s="14">
        <v>9297187203</v>
      </c>
      <c r="D591" s="15" t="s">
        <v>1943</v>
      </c>
      <c r="E591" s="14">
        <v>35</v>
      </c>
      <c r="F591" s="14" t="s">
        <v>89</v>
      </c>
      <c r="G591" s="14" t="s">
        <v>98</v>
      </c>
      <c r="H591" s="14" t="s">
        <v>144</v>
      </c>
      <c r="I591" s="14" t="s">
        <v>92</v>
      </c>
      <c r="J591" s="15">
        <v>1806485</v>
      </c>
      <c r="K591" s="14">
        <v>1</v>
      </c>
      <c r="L591" s="14" t="s">
        <v>76</v>
      </c>
      <c r="M591" s="14" t="s">
        <v>75</v>
      </c>
      <c r="N591" s="14" t="s">
        <v>75</v>
      </c>
      <c r="O591" s="14" t="s">
        <v>75</v>
      </c>
      <c r="P591" s="14">
        <v>648</v>
      </c>
      <c r="Q591" s="15">
        <v>33337</v>
      </c>
      <c r="R591" s="15">
        <v>4537.1000000000004</v>
      </c>
      <c r="S591" s="14" t="s">
        <v>23</v>
      </c>
      <c r="T591" s="15">
        <v>27986</v>
      </c>
      <c r="U591" s="16">
        <f t="shared" si="99"/>
        <v>3.0138750114172001E-2</v>
      </c>
      <c r="V591" s="14">
        <v>0</v>
      </c>
      <c r="W591" s="17">
        <v>43.7</v>
      </c>
      <c r="X591" s="14">
        <v>7.4</v>
      </c>
      <c r="Y591" s="18">
        <f t="shared" si="100"/>
        <v>22.1</v>
      </c>
      <c r="Z591" s="18" t="str">
        <f t="shared" si="101"/>
        <v>Low</v>
      </c>
      <c r="AA591" s="19" t="str">
        <f t="shared" si="102"/>
        <v>Review</v>
      </c>
      <c r="AB591" s="14" t="s">
        <v>77</v>
      </c>
      <c r="AC591" s="14">
        <v>0</v>
      </c>
      <c r="AD591" s="14" t="s">
        <v>78</v>
      </c>
      <c r="AE591" s="17">
        <v>8.1</v>
      </c>
      <c r="AF591" s="15">
        <v>0</v>
      </c>
      <c r="AG591" s="20">
        <f t="shared" si="103"/>
        <v>1806485</v>
      </c>
      <c r="AH591" s="14">
        <v>2</v>
      </c>
      <c r="AI591" s="14" t="s">
        <v>75</v>
      </c>
      <c r="AJ591" s="14">
        <v>120</v>
      </c>
      <c r="AK591" s="21">
        <f t="shared" si="104"/>
        <v>8.5000000000000006E-2</v>
      </c>
      <c r="AL591" s="20">
        <f t="shared" si="105"/>
        <v>346.98634888420685</v>
      </c>
      <c r="AM591" s="22">
        <f t="shared" si="106"/>
        <v>1.5491963675314215E-2</v>
      </c>
      <c r="AN591" s="20">
        <f t="shared" si="107"/>
        <v>4884.0863488842069</v>
      </c>
      <c r="AO591" s="16">
        <f t="shared" si="108"/>
        <v>3.244368826013528E-2</v>
      </c>
      <c r="AP591" s="15">
        <v>2692711</v>
      </c>
      <c r="AQ591" s="18">
        <f t="shared" si="109"/>
        <v>1.0393243092184791E-2</v>
      </c>
      <c r="AR591" s="23">
        <v>46119</v>
      </c>
      <c r="AS591" s="14" t="s">
        <v>79</v>
      </c>
    </row>
    <row r="592" spans="1:45" x14ac:dyDescent="0.25">
      <c r="A592" s="14" t="s">
        <v>1936</v>
      </c>
      <c r="B592" s="14" t="s">
        <v>1937</v>
      </c>
      <c r="C592" s="14">
        <v>9225250114</v>
      </c>
      <c r="D592" s="15" t="s">
        <v>1947</v>
      </c>
      <c r="E592" s="14">
        <v>51</v>
      </c>
      <c r="F592" s="14" t="s">
        <v>89</v>
      </c>
      <c r="G592" s="14" t="s">
        <v>72</v>
      </c>
      <c r="H592" s="14" t="s">
        <v>91</v>
      </c>
      <c r="I592" s="14" t="s">
        <v>92</v>
      </c>
      <c r="J592" s="15">
        <v>1113046</v>
      </c>
      <c r="K592" s="14">
        <v>1</v>
      </c>
      <c r="L592" s="14" t="s">
        <v>75</v>
      </c>
      <c r="M592" s="14" t="s">
        <v>76</v>
      </c>
      <c r="N592" s="14" t="s">
        <v>75</v>
      </c>
      <c r="O592" s="14" t="s">
        <v>75</v>
      </c>
      <c r="P592" s="14">
        <v>683</v>
      </c>
      <c r="Q592" s="15">
        <v>65596</v>
      </c>
      <c r="R592" s="15">
        <v>44276.35</v>
      </c>
      <c r="S592" s="14" t="s">
        <v>20</v>
      </c>
      <c r="T592" s="15">
        <v>4211849</v>
      </c>
      <c r="U592" s="16">
        <f t="shared" si="99"/>
        <v>0.47735331693389127</v>
      </c>
      <c r="V592" s="14">
        <v>1</v>
      </c>
      <c r="W592" s="17">
        <v>40.799999999999997</v>
      </c>
      <c r="X592" s="14">
        <v>12.8</v>
      </c>
      <c r="Y592" s="18">
        <f t="shared" si="100"/>
        <v>36.9</v>
      </c>
      <c r="Z592" s="18" t="str">
        <f t="shared" si="101"/>
        <v>Medium</v>
      </c>
      <c r="AA592" s="19" t="str">
        <f t="shared" si="102"/>
        <v>Review</v>
      </c>
      <c r="AB592" s="14" t="s">
        <v>85</v>
      </c>
      <c r="AC592" s="14">
        <v>1</v>
      </c>
      <c r="AD592" s="14" t="s">
        <v>78</v>
      </c>
      <c r="AE592" s="17">
        <v>19.100000000000001</v>
      </c>
      <c r="AF592" s="15">
        <v>0</v>
      </c>
      <c r="AG592" s="20">
        <f t="shared" si="103"/>
        <v>1113046</v>
      </c>
      <c r="AH592" s="14">
        <v>0</v>
      </c>
      <c r="AI592" s="14" t="s">
        <v>75</v>
      </c>
      <c r="AJ592" s="14">
        <v>36</v>
      </c>
      <c r="AK592" s="21">
        <f t="shared" si="104"/>
        <v>0.375</v>
      </c>
      <c r="AL592" s="20">
        <f t="shared" si="105"/>
        <v>196533.68479542175</v>
      </c>
      <c r="AM592" s="22">
        <f t="shared" si="106"/>
        <v>3.7840745126436821</v>
      </c>
      <c r="AN592" s="20">
        <f t="shared" si="107"/>
        <v>240810.03479542176</v>
      </c>
      <c r="AO592" s="16">
        <f t="shared" si="108"/>
        <v>2.5962273055606517</v>
      </c>
      <c r="AP592" s="15">
        <v>0</v>
      </c>
      <c r="AQ592" s="18" t="str">
        <f t="shared" si="109"/>
        <v>N/A</v>
      </c>
      <c r="AR592" s="23">
        <v>46055</v>
      </c>
      <c r="AS592" s="14" t="s">
        <v>79</v>
      </c>
    </row>
    <row r="593" spans="1:45" x14ac:dyDescent="0.25">
      <c r="A593" s="14" t="s">
        <v>1940</v>
      </c>
      <c r="B593" s="14" t="s">
        <v>1941</v>
      </c>
      <c r="C593" s="14">
        <v>9659055230</v>
      </c>
      <c r="D593" s="15" t="s">
        <v>1951</v>
      </c>
      <c r="E593" s="14">
        <v>50</v>
      </c>
      <c r="F593" s="14" t="s">
        <v>89</v>
      </c>
      <c r="G593" s="14" t="s">
        <v>98</v>
      </c>
      <c r="H593" s="14" t="s">
        <v>166</v>
      </c>
      <c r="I593" s="14" t="s">
        <v>74</v>
      </c>
      <c r="J593" s="15">
        <v>1083370</v>
      </c>
      <c r="K593" s="14">
        <v>0</v>
      </c>
      <c r="L593" s="14" t="s">
        <v>75</v>
      </c>
      <c r="M593" s="14" t="s">
        <v>75</v>
      </c>
      <c r="N593" s="14" t="s">
        <v>75</v>
      </c>
      <c r="O593" s="14" t="s">
        <v>75</v>
      </c>
      <c r="P593" s="14">
        <v>526</v>
      </c>
      <c r="Q593" s="15">
        <v>112214.77</v>
      </c>
      <c r="R593" s="15">
        <v>1852.05</v>
      </c>
      <c r="S593" s="14" t="s">
        <v>20</v>
      </c>
      <c r="T593" s="15">
        <v>114860</v>
      </c>
      <c r="U593" s="16">
        <f t="shared" si="99"/>
        <v>2.0514321053748948E-2</v>
      </c>
      <c r="V593" s="14">
        <v>2</v>
      </c>
      <c r="W593" s="17">
        <v>8</v>
      </c>
      <c r="X593" s="14">
        <v>0.8</v>
      </c>
      <c r="Y593" s="18">
        <f t="shared" si="100"/>
        <v>34.299999999999997</v>
      </c>
      <c r="Z593" s="18" t="str">
        <f t="shared" si="101"/>
        <v>Medium</v>
      </c>
      <c r="AA593" s="19" t="str">
        <f t="shared" si="102"/>
        <v>Not Eligible</v>
      </c>
      <c r="AB593" s="14" t="s">
        <v>77</v>
      </c>
      <c r="AC593" s="14">
        <v>1</v>
      </c>
      <c r="AD593" s="14" t="s">
        <v>93</v>
      </c>
      <c r="AE593" s="17">
        <v>10.5</v>
      </c>
      <c r="AF593" s="15">
        <v>723229</v>
      </c>
      <c r="AG593" s="20">
        <f t="shared" si="103"/>
        <v>1806599</v>
      </c>
      <c r="AH593" s="14">
        <v>0</v>
      </c>
      <c r="AI593" s="14" t="s">
        <v>76</v>
      </c>
      <c r="AJ593" s="14">
        <v>24</v>
      </c>
      <c r="AK593" s="21">
        <f t="shared" si="104"/>
        <v>0.375</v>
      </c>
      <c r="AL593" s="20">
        <f t="shared" si="105"/>
        <v>6873.8357031084488</v>
      </c>
      <c r="AM593" s="22">
        <f t="shared" si="106"/>
        <v>0.10602102698062527</v>
      </c>
      <c r="AN593" s="20">
        <f t="shared" si="107"/>
        <v>8725.8857031084481</v>
      </c>
      <c r="AO593" s="16">
        <f t="shared" si="108"/>
        <v>9.6652693389425018E-2</v>
      </c>
      <c r="AP593" s="15">
        <v>0</v>
      </c>
      <c r="AQ593" s="18" t="str">
        <f t="shared" si="109"/>
        <v>N/A</v>
      </c>
      <c r="AR593" s="23">
        <v>46019</v>
      </c>
      <c r="AS593" s="14" t="s">
        <v>79</v>
      </c>
    </row>
    <row r="594" spans="1:45" x14ac:dyDescent="0.25">
      <c r="A594" s="14" t="s">
        <v>1944</v>
      </c>
      <c r="B594" s="14" t="s">
        <v>1945</v>
      </c>
      <c r="C594" s="14">
        <v>9565719249</v>
      </c>
      <c r="D594" s="15" t="s">
        <v>1954</v>
      </c>
      <c r="E594" s="14">
        <v>46</v>
      </c>
      <c r="F594" s="14" t="s">
        <v>89</v>
      </c>
      <c r="G594" s="14" t="s">
        <v>131</v>
      </c>
      <c r="H594" s="14" t="s">
        <v>132</v>
      </c>
      <c r="I594" s="14" t="s">
        <v>92</v>
      </c>
      <c r="J594" s="15">
        <v>327242</v>
      </c>
      <c r="K594" s="14">
        <v>1</v>
      </c>
      <c r="L594" s="14" t="s">
        <v>76</v>
      </c>
      <c r="M594" s="14" t="s">
        <v>75</v>
      </c>
      <c r="N594" s="14" t="s">
        <v>75</v>
      </c>
      <c r="O594" s="14" t="s">
        <v>75</v>
      </c>
      <c r="P594" s="14">
        <v>767</v>
      </c>
      <c r="Q594" s="15"/>
      <c r="R594" s="15">
        <v>1366.57</v>
      </c>
      <c r="S594" s="14" t="s">
        <v>23</v>
      </c>
      <c r="T594" s="15">
        <v>2904918</v>
      </c>
      <c r="U594" s="16">
        <f t="shared" si="99"/>
        <v>5.0112271652171789E-2</v>
      </c>
      <c r="V594" s="14">
        <v>4</v>
      </c>
      <c r="W594" s="17">
        <v>86.8</v>
      </c>
      <c r="X594" s="14">
        <v>1.5</v>
      </c>
      <c r="Y594" s="18">
        <f t="shared" si="100"/>
        <v>35.1</v>
      </c>
      <c r="Z594" s="18" t="str">
        <f t="shared" si="101"/>
        <v>Medium</v>
      </c>
      <c r="AA594" s="19" t="str">
        <f t="shared" si="102"/>
        <v>Review</v>
      </c>
      <c r="AB594" s="14" t="s">
        <v>85</v>
      </c>
      <c r="AC594" s="14">
        <v>2</v>
      </c>
      <c r="AD594" s="14" t="s">
        <v>78</v>
      </c>
      <c r="AE594" s="17">
        <v>4.4000000000000004</v>
      </c>
      <c r="AF594" s="15">
        <v>864938</v>
      </c>
      <c r="AG594" s="20">
        <f t="shared" si="103"/>
        <v>1192180</v>
      </c>
      <c r="AH594" s="14">
        <v>0</v>
      </c>
      <c r="AI594" s="14" t="s">
        <v>75</v>
      </c>
      <c r="AJ594" s="14">
        <v>180</v>
      </c>
      <c r="AK594" s="21">
        <f t="shared" si="104"/>
        <v>0.1</v>
      </c>
      <c r="AL594" s="20">
        <f t="shared" si="105"/>
        <v>31216.397493224253</v>
      </c>
      <c r="AM594" s="22">
        <f t="shared" si="106"/>
        <v>8.876971782350676</v>
      </c>
      <c r="AN594" s="20">
        <f t="shared" si="107"/>
        <v>32582.967493224252</v>
      </c>
      <c r="AO594" s="16">
        <f t="shared" si="108"/>
        <v>1.1948209884999206</v>
      </c>
      <c r="AP594" s="15">
        <v>5683195</v>
      </c>
      <c r="AQ594" s="18">
        <f t="shared" si="109"/>
        <v>0.51114170814128324</v>
      </c>
      <c r="AR594" s="23">
        <v>46250</v>
      </c>
      <c r="AS594" s="14" t="s">
        <v>79</v>
      </c>
    </row>
    <row r="595" spans="1:45" x14ac:dyDescent="0.25">
      <c r="A595" s="14" t="s">
        <v>1948</v>
      </c>
      <c r="B595" s="14" t="s">
        <v>1949</v>
      </c>
      <c r="C595" s="14"/>
      <c r="D595" s="15" t="s">
        <v>1957</v>
      </c>
      <c r="E595" s="14">
        <v>37</v>
      </c>
      <c r="F595" s="14" t="s">
        <v>89</v>
      </c>
      <c r="G595" s="14" t="s">
        <v>417</v>
      </c>
      <c r="H595" s="14" t="s">
        <v>166</v>
      </c>
      <c r="I595" s="14" t="s">
        <v>74</v>
      </c>
      <c r="J595" s="15">
        <v>828827</v>
      </c>
      <c r="K595" s="14">
        <v>2</v>
      </c>
      <c r="L595" s="14" t="s">
        <v>76</v>
      </c>
      <c r="M595" s="14" t="s">
        <v>75</v>
      </c>
      <c r="N595" s="14" t="s">
        <v>76</v>
      </c>
      <c r="O595" s="14" t="s">
        <v>75</v>
      </c>
      <c r="P595" s="14">
        <v>465</v>
      </c>
      <c r="Q595" s="15">
        <v>51100</v>
      </c>
      <c r="R595" s="15">
        <v>1870.25</v>
      </c>
      <c r="S595" s="14" t="s">
        <v>20</v>
      </c>
      <c r="T595" s="15">
        <v>627974</v>
      </c>
      <c r="U595" s="16">
        <f t="shared" si="99"/>
        <v>2.7078027139559886E-2</v>
      </c>
      <c r="V595" s="14">
        <v>0</v>
      </c>
      <c r="W595" s="17">
        <v>71.5</v>
      </c>
      <c r="X595" s="14">
        <v>2.7</v>
      </c>
      <c r="Y595" s="18">
        <f t="shared" si="100"/>
        <v>37</v>
      </c>
      <c r="Z595" s="18" t="str">
        <f t="shared" si="101"/>
        <v>Medium</v>
      </c>
      <c r="AA595" s="19" t="str">
        <f t="shared" si="102"/>
        <v>Not Eligible</v>
      </c>
      <c r="AB595" s="14" t="s">
        <v>77</v>
      </c>
      <c r="AC595" s="14">
        <v>2</v>
      </c>
      <c r="AD595" s="14" t="s">
        <v>93</v>
      </c>
      <c r="AE595" s="17">
        <v>1.4</v>
      </c>
      <c r="AF595" s="15">
        <v>0</v>
      </c>
      <c r="AG595" s="20">
        <f t="shared" si="103"/>
        <v>828827</v>
      </c>
      <c r="AH595" s="14">
        <v>0</v>
      </c>
      <c r="AI595" s="14" t="s">
        <v>75</v>
      </c>
      <c r="AJ595" s="14">
        <v>36</v>
      </c>
      <c r="AK595" s="21">
        <f t="shared" si="104"/>
        <v>0.375</v>
      </c>
      <c r="AL595" s="20">
        <f t="shared" si="105"/>
        <v>29302.580452366688</v>
      </c>
      <c r="AM595" s="22">
        <f t="shared" si="106"/>
        <v>0.7576659544150951</v>
      </c>
      <c r="AN595" s="20">
        <f t="shared" si="107"/>
        <v>31172.830452366688</v>
      </c>
      <c r="AO595" s="16">
        <f t="shared" si="108"/>
        <v>0.45132936720015188</v>
      </c>
      <c r="AP595" s="15">
        <v>0</v>
      </c>
      <c r="AQ595" s="18" t="str">
        <f t="shared" si="109"/>
        <v>N/A</v>
      </c>
      <c r="AR595" s="23">
        <v>45897</v>
      </c>
      <c r="AS595" s="14" t="s">
        <v>79</v>
      </c>
    </row>
    <row r="596" spans="1:45" x14ac:dyDescent="0.25">
      <c r="A596" s="14" t="s">
        <v>1952</v>
      </c>
      <c r="B596" s="14" t="s">
        <v>1953</v>
      </c>
      <c r="C596" s="14">
        <v>9902914771</v>
      </c>
      <c r="D596" s="15" t="s">
        <v>1959</v>
      </c>
      <c r="E596" s="14">
        <v>53</v>
      </c>
      <c r="F596" s="14" t="s">
        <v>89</v>
      </c>
      <c r="G596" s="14" t="s">
        <v>388</v>
      </c>
      <c r="H596" s="14" t="s">
        <v>144</v>
      </c>
      <c r="I596" s="14" t="s">
        <v>92</v>
      </c>
      <c r="J596" s="15">
        <v>1857883</v>
      </c>
      <c r="K596" s="14">
        <v>1</v>
      </c>
      <c r="L596" s="14" t="s">
        <v>76</v>
      </c>
      <c r="M596" s="14" t="s">
        <v>75</v>
      </c>
      <c r="N596" s="14" t="s">
        <v>75</v>
      </c>
      <c r="O596" s="14" t="s">
        <v>75</v>
      </c>
      <c r="P596" s="14">
        <v>882</v>
      </c>
      <c r="Q596" s="15">
        <v>138064.28</v>
      </c>
      <c r="R596" s="15">
        <v>14921.95</v>
      </c>
      <c r="S596" s="14" t="s">
        <v>23</v>
      </c>
      <c r="T596" s="15">
        <v>279656</v>
      </c>
      <c r="U596" s="16">
        <f t="shared" si="99"/>
        <v>9.6380342572702379E-2</v>
      </c>
      <c r="V596" s="14">
        <v>2</v>
      </c>
      <c r="W596" s="17">
        <v>13.9</v>
      </c>
      <c r="X596" s="14">
        <v>8.4</v>
      </c>
      <c r="Y596" s="18">
        <f t="shared" si="100"/>
        <v>13.5</v>
      </c>
      <c r="Z596" s="18" t="str">
        <f t="shared" si="101"/>
        <v>Low</v>
      </c>
      <c r="AA596" s="19" t="str">
        <f t="shared" si="102"/>
        <v>Eligible</v>
      </c>
      <c r="AB596" s="14" t="s">
        <v>85</v>
      </c>
      <c r="AC596" s="14">
        <v>0</v>
      </c>
      <c r="AD596" s="14" t="s">
        <v>194</v>
      </c>
      <c r="AE596" s="17">
        <v>10.4</v>
      </c>
      <c r="AF596" s="15">
        <v>551234</v>
      </c>
      <c r="AG596" s="20">
        <f t="shared" si="103"/>
        <v>2409117</v>
      </c>
      <c r="AH596" s="14">
        <v>2</v>
      </c>
      <c r="AI596" s="14" t="s">
        <v>75</v>
      </c>
      <c r="AJ596" s="14">
        <v>180</v>
      </c>
      <c r="AK596" s="21">
        <f t="shared" si="104"/>
        <v>8.5000000000000006E-2</v>
      </c>
      <c r="AL596" s="20">
        <f t="shared" si="105"/>
        <v>2753.883258112397</v>
      </c>
      <c r="AM596" s="22">
        <f t="shared" si="106"/>
        <v>0.1505240103924736</v>
      </c>
      <c r="AN596" s="20">
        <f t="shared" si="107"/>
        <v>17675.833258112398</v>
      </c>
      <c r="AO596" s="16">
        <f t="shared" si="108"/>
        <v>0.11416757626683099</v>
      </c>
      <c r="AP596" s="15">
        <v>3389436</v>
      </c>
      <c r="AQ596" s="18">
        <f t="shared" si="109"/>
        <v>8.2508122295272726E-2</v>
      </c>
      <c r="AR596" s="23">
        <v>46087</v>
      </c>
      <c r="AS596" s="14" t="s">
        <v>79</v>
      </c>
    </row>
    <row r="597" spans="1:45" x14ac:dyDescent="0.25">
      <c r="A597" s="14" t="s">
        <v>1955</v>
      </c>
      <c r="B597" s="14" t="s">
        <v>1956</v>
      </c>
      <c r="C597" s="14">
        <v>9150503264</v>
      </c>
      <c r="D597" s="15" t="s">
        <v>1962</v>
      </c>
      <c r="E597" s="14">
        <v>53</v>
      </c>
      <c r="F597" s="14" t="s">
        <v>89</v>
      </c>
      <c r="G597" s="14" t="s">
        <v>226</v>
      </c>
      <c r="H597" s="14" t="s">
        <v>84</v>
      </c>
      <c r="I597" s="14" t="s">
        <v>74</v>
      </c>
      <c r="J597" s="15">
        <v>524061</v>
      </c>
      <c r="K597" s="14">
        <v>1</v>
      </c>
      <c r="L597" s="14" t="s">
        <v>75</v>
      </c>
      <c r="M597" s="14" t="s">
        <v>75</v>
      </c>
      <c r="N597" s="14" t="s">
        <v>76</v>
      </c>
      <c r="O597" s="14" t="s">
        <v>75</v>
      </c>
      <c r="P597" s="14">
        <v>788</v>
      </c>
      <c r="Q597" s="15">
        <v>62085.35</v>
      </c>
      <c r="R597" s="15">
        <v>3406.68</v>
      </c>
      <c r="S597" s="14" t="s">
        <v>21</v>
      </c>
      <c r="T597" s="15">
        <v>340395</v>
      </c>
      <c r="U597" s="16">
        <f t="shared" si="99"/>
        <v>7.8006491610709439E-2</v>
      </c>
      <c r="V597" s="14">
        <v>0</v>
      </c>
      <c r="W597" s="17">
        <v>33</v>
      </c>
      <c r="X597" s="14">
        <v>2.1</v>
      </c>
      <c r="Y597" s="18">
        <f t="shared" si="100"/>
        <v>13.1</v>
      </c>
      <c r="Z597" s="18" t="str">
        <f t="shared" si="101"/>
        <v>Low</v>
      </c>
      <c r="AA597" s="19" t="str">
        <f t="shared" si="102"/>
        <v>Eligible</v>
      </c>
      <c r="AB597" s="14" t="s">
        <v>77</v>
      </c>
      <c r="AC597" s="14">
        <v>4</v>
      </c>
      <c r="AD597" s="14" t="s">
        <v>78</v>
      </c>
      <c r="AE597" s="17">
        <v>28.4</v>
      </c>
      <c r="AF597" s="15">
        <v>216510</v>
      </c>
      <c r="AG597" s="20">
        <f t="shared" si="103"/>
        <v>740571</v>
      </c>
      <c r="AH597" s="14">
        <v>0</v>
      </c>
      <c r="AI597" s="14" t="s">
        <v>76</v>
      </c>
      <c r="AJ597" s="14">
        <v>24</v>
      </c>
      <c r="AK597" s="21">
        <f t="shared" si="104"/>
        <v>0.14000000000000001</v>
      </c>
      <c r="AL597" s="20">
        <f t="shared" si="105"/>
        <v>16343.345400142973</v>
      </c>
      <c r="AM597" s="22">
        <f t="shared" si="106"/>
        <v>0.64953316503231495</v>
      </c>
      <c r="AN597" s="20">
        <f t="shared" si="107"/>
        <v>19750.025400142971</v>
      </c>
      <c r="AO597" s="16">
        <f t="shared" si="108"/>
        <v>0.45223801199042796</v>
      </c>
      <c r="AP597" s="15">
        <v>0</v>
      </c>
      <c r="AQ597" s="18" t="str">
        <f t="shared" si="109"/>
        <v>N/A</v>
      </c>
      <c r="AR597" s="23">
        <v>45962</v>
      </c>
      <c r="AS597" s="14" t="s">
        <v>94</v>
      </c>
    </row>
    <row r="598" spans="1:45" x14ac:dyDescent="0.25">
      <c r="A598" s="14" t="s">
        <v>1958</v>
      </c>
      <c r="B598" s="14" t="s">
        <v>1230</v>
      </c>
      <c r="C598" s="14">
        <v>9270855252</v>
      </c>
      <c r="D598" s="15" t="s">
        <v>1965</v>
      </c>
      <c r="E598" s="14">
        <v>47</v>
      </c>
      <c r="F598" s="14" t="s">
        <v>89</v>
      </c>
      <c r="G598" s="14" t="s">
        <v>388</v>
      </c>
      <c r="H598" s="14" t="s">
        <v>166</v>
      </c>
      <c r="I598" s="14" t="s">
        <v>74</v>
      </c>
      <c r="J598" s="15">
        <v>830717</v>
      </c>
      <c r="K598" s="14">
        <v>1</v>
      </c>
      <c r="L598" s="14" t="s">
        <v>75</v>
      </c>
      <c r="M598" s="14" t="s">
        <v>75</v>
      </c>
      <c r="N598" s="14" t="s">
        <v>76</v>
      </c>
      <c r="O598" s="14" t="s">
        <v>75</v>
      </c>
      <c r="P598" s="14">
        <v>351</v>
      </c>
      <c r="Q598" s="15"/>
      <c r="R598" s="15">
        <v>2422.1799999999998</v>
      </c>
      <c r="S598" s="14" t="s">
        <v>21</v>
      </c>
      <c r="T598" s="15"/>
      <c r="U598" s="16">
        <f t="shared" si="99"/>
        <v>3.4989244231188231E-2</v>
      </c>
      <c r="V598" s="14">
        <v>4</v>
      </c>
      <c r="W598" s="17">
        <v>17.399999999999999</v>
      </c>
      <c r="X598" s="14">
        <v>6.7</v>
      </c>
      <c r="Y598" s="18">
        <f t="shared" si="100"/>
        <v>55.4</v>
      </c>
      <c r="Z598" s="18" t="str">
        <f t="shared" si="101"/>
        <v>Medium</v>
      </c>
      <c r="AA598" s="19" t="str">
        <f t="shared" si="102"/>
        <v>Not Eligible</v>
      </c>
      <c r="AB598" s="14" t="s">
        <v>85</v>
      </c>
      <c r="AC598" s="14">
        <v>3</v>
      </c>
      <c r="AD598" s="14" t="s">
        <v>93</v>
      </c>
      <c r="AE598" s="17">
        <v>3</v>
      </c>
      <c r="AF598" s="15">
        <v>0</v>
      </c>
      <c r="AG598" s="20">
        <f t="shared" si="103"/>
        <v>830717</v>
      </c>
      <c r="AH598" s="14">
        <v>0</v>
      </c>
      <c r="AI598" s="14" t="s">
        <v>76</v>
      </c>
      <c r="AJ598" s="14">
        <v>24</v>
      </c>
      <c r="AK598" s="21">
        <f t="shared" si="104"/>
        <v>0.15500000000000003</v>
      </c>
      <c r="AL598" s="20">
        <f t="shared" si="105"/>
        <v>0</v>
      </c>
      <c r="AM598" s="22">
        <f t="shared" si="106"/>
        <v>0</v>
      </c>
      <c r="AN598" s="20">
        <f t="shared" si="107"/>
        <v>2422.1799999999998</v>
      </c>
      <c r="AO598" s="16">
        <f t="shared" si="108"/>
        <v>3.4989244231188231E-2</v>
      </c>
      <c r="AP598" s="15">
        <v>0</v>
      </c>
      <c r="AQ598" s="18" t="str">
        <f t="shared" si="109"/>
        <v>N/A</v>
      </c>
      <c r="AR598" s="23">
        <v>46152</v>
      </c>
      <c r="AS598" s="14" t="s">
        <v>79</v>
      </c>
    </row>
    <row r="599" spans="1:45" x14ac:dyDescent="0.25">
      <c r="A599" s="14" t="s">
        <v>1960</v>
      </c>
      <c r="B599" s="14" t="s">
        <v>1961</v>
      </c>
      <c r="C599" s="14"/>
      <c r="D599" s="15" t="s">
        <v>1967</v>
      </c>
      <c r="E599" s="14">
        <v>46</v>
      </c>
      <c r="F599" s="14" t="s">
        <v>71</v>
      </c>
      <c r="G599" s="14" t="s">
        <v>127</v>
      </c>
      <c r="H599" s="14" t="s">
        <v>166</v>
      </c>
      <c r="I599" s="14" t="s">
        <v>74</v>
      </c>
      <c r="J599" s="15">
        <v>1744662</v>
      </c>
      <c r="K599" s="14">
        <v>0</v>
      </c>
      <c r="L599" s="14" t="s">
        <v>75</v>
      </c>
      <c r="M599" s="14" t="s">
        <v>75</v>
      </c>
      <c r="N599" s="14" t="s">
        <v>75</v>
      </c>
      <c r="O599" s="14" t="s">
        <v>75</v>
      </c>
      <c r="P599" s="14">
        <v>770</v>
      </c>
      <c r="Q599" s="15">
        <v>441395</v>
      </c>
      <c r="R599" s="15">
        <v>1267.05</v>
      </c>
      <c r="S599" s="14" t="s">
        <v>20</v>
      </c>
      <c r="T599" s="15">
        <v>5119560</v>
      </c>
      <c r="U599" s="16">
        <f t="shared" si="99"/>
        <v>8.7149258710283138E-3</v>
      </c>
      <c r="V599" s="14">
        <v>1</v>
      </c>
      <c r="W599" s="17">
        <v>17.5</v>
      </c>
      <c r="X599" s="14">
        <v>1.3</v>
      </c>
      <c r="Y599" s="18">
        <f t="shared" si="100"/>
        <v>14.7</v>
      </c>
      <c r="Z599" s="18" t="str">
        <f t="shared" si="101"/>
        <v>Low</v>
      </c>
      <c r="AA599" s="19" t="str">
        <f t="shared" si="102"/>
        <v>Eligible</v>
      </c>
      <c r="AB599" s="14" t="s">
        <v>85</v>
      </c>
      <c r="AC599" s="14">
        <v>0</v>
      </c>
      <c r="AD599" s="14" t="s">
        <v>93</v>
      </c>
      <c r="AE599" s="17">
        <v>10.6</v>
      </c>
      <c r="AF599" s="15">
        <v>0</v>
      </c>
      <c r="AG599" s="20">
        <f t="shared" si="103"/>
        <v>1744662</v>
      </c>
      <c r="AH599" s="14">
        <v>1</v>
      </c>
      <c r="AI599" s="14" t="s">
        <v>75</v>
      </c>
      <c r="AJ599" s="14">
        <v>36</v>
      </c>
      <c r="AK599" s="21">
        <f t="shared" si="104"/>
        <v>0.36</v>
      </c>
      <c r="AL599" s="20">
        <f t="shared" si="105"/>
        <v>234495.27255344312</v>
      </c>
      <c r="AM599" s="22">
        <f t="shared" si="106"/>
        <v>2.9344136572012229</v>
      </c>
      <c r="AN599" s="20">
        <f t="shared" si="107"/>
        <v>235762.32255344311</v>
      </c>
      <c r="AO599" s="16">
        <f t="shared" si="108"/>
        <v>1.6216022763385214</v>
      </c>
      <c r="AP599" s="15">
        <v>0</v>
      </c>
      <c r="AQ599" s="18" t="str">
        <f t="shared" si="109"/>
        <v>N/A</v>
      </c>
      <c r="AR599" s="23">
        <v>46047</v>
      </c>
      <c r="AS599" s="14" t="s">
        <v>79</v>
      </c>
    </row>
    <row r="600" spans="1:45" x14ac:dyDescent="0.25">
      <c r="A600" s="14" t="s">
        <v>1963</v>
      </c>
      <c r="B600" s="14" t="s">
        <v>233</v>
      </c>
      <c r="C600" s="14">
        <v>9417309724</v>
      </c>
      <c r="D600" s="15" t="s">
        <v>1969</v>
      </c>
      <c r="E600" s="14">
        <v>34</v>
      </c>
      <c r="F600" s="14" t="s">
        <v>71</v>
      </c>
      <c r="G600" s="14" t="s">
        <v>127</v>
      </c>
      <c r="H600" s="14" t="s">
        <v>84</v>
      </c>
      <c r="I600" s="14" t="s">
        <v>74</v>
      </c>
      <c r="J600" s="15">
        <v>1339941</v>
      </c>
      <c r="K600" s="14">
        <v>1</v>
      </c>
      <c r="L600" s="14" t="s">
        <v>75</v>
      </c>
      <c r="M600" s="14" t="s">
        <v>75</v>
      </c>
      <c r="N600" s="14" t="s">
        <v>75</v>
      </c>
      <c r="O600" s="14" t="s">
        <v>76</v>
      </c>
      <c r="P600" s="14">
        <v>696</v>
      </c>
      <c r="Q600" s="15">
        <v>118233.85</v>
      </c>
      <c r="R600" s="15">
        <v>15002.82</v>
      </c>
      <c r="S600" s="14" t="s">
        <v>20</v>
      </c>
      <c r="T600" s="15">
        <v>299865</v>
      </c>
      <c r="U600" s="16">
        <f t="shared" si="99"/>
        <v>0.13435952777025256</v>
      </c>
      <c r="V600" s="14">
        <v>4</v>
      </c>
      <c r="W600" s="17">
        <v>94.2</v>
      </c>
      <c r="X600" s="14">
        <v>6.4</v>
      </c>
      <c r="Y600" s="18">
        <f t="shared" si="100"/>
        <v>43.1</v>
      </c>
      <c r="Z600" s="18" t="str">
        <f t="shared" si="101"/>
        <v>Medium</v>
      </c>
      <c r="AA600" s="19" t="str">
        <f t="shared" si="102"/>
        <v>Review</v>
      </c>
      <c r="AB600" s="14" t="s">
        <v>85</v>
      </c>
      <c r="AC600" s="14">
        <v>0</v>
      </c>
      <c r="AD600" s="14" t="s">
        <v>78</v>
      </c>
      <c r="AE600" s="17">
        <v>11.5</v>
      </c>
      <c r="AF600" s="15">
        <v>0</v>
      </c>
      <c r="AG600" s="20">
        <f t="shared" si="103"/>
        <v>1339941</v>
      </c>
      <c r="AH600" s="14">
        <v>0</v>
      </c>
      <c r="AI600" s="14" t="s">
        <v>76</v>
      </c>
      <c r="AJ600" s="14">
        <v>36</v>
      </c>
      <c r="AK600" s="21">
        <f t="shared" si="104"/>
        <v>0.375</v>
      </c>
      <c r="AL600" s="20">
        <f t="shared" si="105"/>
        <v>13992.328165415984</v>
      </c>
      <c r="AM600" s="22">
        <f t="shared" si="106"/>
        <v>0.22378970417354196</v>
      </c>
      <c r="AN600" s="20">
        <f t="shared" si="107"/>
        <v>28995.148165415983</v>
      </c>
      <c r="AO600" s="16">
        <f t="shared" si="108"/>
        <v>0.25966947648067473</v>
      </c>
      <c r="AP600" s="15">
        <v>0</v>
      </c>
      <c r="AQ600" s="18" t="str">
        <f t="shared" si="109"/>
        <v>N/A</v>
      </c>
      <c r="AR600" s="23">
        <v>46130</v>
      </c>
      <c r="AS600" s="14" t="s">
        <v>94</v>
      </c>
    </row>
    <row r="601" spans="1:45" x14ac:dyDescent="0.25">
      <c r="A601" s="14" t="s">
        <v>1966</v>
      </c>
      <c r="B601" s="14" t="s">
        <v>1945</v>
      </c>
      <c r="C601" s="14">
        <v>9383113206</v>
      </c>
      <c r="D601" s="15"/>
      <c r="E601" s="14">
        <v>65</v>
      </c>
      <c r="F601" s="14" t="s">
        <v>89</v>
      </c>
      <c r="G601" s="14" t="s">
        <v>72</v>
      </c>
      <c r="H601" s="14" t="s">
        <v>73</v>
      </c>
      <c r="I601" s="14" t="s">
        <v>74</v>
      </c>
      <c r="J601" s="15">
        <v>2448091</v>
      </c>
      <c r="K601" s="14">
        <v>1</v>
      </c>
      <c r="L601" s="14" t="s">
        <v>75</v>
      </c>
      <c r="M601" s="14" t="s">
        <v>75</v>
      </c>
      <c r="N601" s="14" t="s">
        <v>76</v>
      </c>
      <c r="O601" s="14" t="s">
        <v>75</v>
      </c>
      <c r="P601" s="14">
        <v>560</v>
      </c>
      <c r="Q601" s="15"/>
      <c r="R601" s="15">
        <v>31528.240000000002</v>
      </c>
      <c r="S601" s="14" t="s">
        <v>23</v>
      </c>
      <c r="T601" s="15">
        <v>307449</v>
      </c>
      <c r="U601" s="16">
        <f t="shared" si="99"/>
        <v>0.15454445116623525</v>
      </c>
      <c r="V601" s="14">
        <v>0</v>
      </c>
      <c r="W601" s="17">
        <v>23.7</v>
      </c>
      <c r="X601" s="14">
        <v>4.7</v>
      </c>
      <c r="Y601" s="18">
        <f t="shared" si="100"/>
        <v>29.7</v>
      </c>
      <c r="Z601" s="18" t="str">
        <f t="shared" si="101"/>
        <v>Low</v>
      </c>
      <c r="AA601" s="19" t="str">
        <f t="shared" si="102"/>
        <v>Review</v>
      </c>
      <c r="AB601" s="14" t="s">
        <v>77</v>
      </c>
      <c r="AC601" s="14">
        <v>2</v>
      </c>
      <c r="AD601" s="14" t="s">
        <v>93</v>
      </c>
      <c r="AE601" s="17">
        <v>10.5</v>
      </c>
      <c r="AF601" s="15">
        <v>603389</v>
      </c>
      <c r="AG601" s="20">
        <f t="shared" si="103"/>
        <v>3051480</v>
      </c>
      <c r="AH601" s="14">
        <v>0</v>
      </c>
      <c r="AI601" s="14" t="s">
        <v>75</v>
      </c>
      <c r="AJ601" s="14">
        <v>180</v>
      </c>
      <c r="AK601" s="21">
        <f t="shared" si="104"/>
        <v>8.5000000000000006E-2</v>
      </c>
      <c r="AL601" s="20">
        <f t="shared" si="105"/>
        <v>3027.5719234466574</v>
      </c>
      <c r="AM601" s="22">
        <f t="shared" si="106"/>
        <v>0.12558724328466547</v>
      </c>
      <c r="AN601" s="20">
        <f t="shared" si="107"/>
        <v>34555.811923446658</v>
      </c>
      <c r="AO601" s="16">
        <f t="shared" si="108"/>
        <v>0.16938493833822349</v>
      </c>
      <c r="AP601" s="15">
        <v>6380687</v>
      </c>
      <c r="AQ601" s="18">
        <f t="shared" si="109"/>
        <v>4.8184309934024346E-2</v>
      </c>
      <c r="AR601" s="23">
        <v>46117</v>
      </c>
      <c r="AS601" s="14" t="s">
        <v>79</v>
      </c>
    </row>
    <row r="602" spans="1:45" x14ac:dyDescent="0.25">
      <c r="A602" s="14" t="s">
        <v>1968</v>
      </c>
      <c r="B602" s="14" t="s">
        <v>1530</v>
      </c>
      <c r="C602" s="14"/>
      <c r="D602" s="15"/>
      <c r="E602" s="14">
        <v>37</v>
      </c>
      <c r="F602" s="14" t="s">
        <v>71</v>
      </c>
      <c r="G602" s="14" t="s">
        <v>174</v>
      </c>
      <c r="H602" s="14" t="s">
        <v>132</v>
      </c>
      <c r="I602" s="14" t="s">
        <v>92</v>
      </c>
      <c r="J602" s="15">
        <v>1740838</v>
      </c>
      <c r="K602" s="14">
        <v>0</v>
      </c>
      <c r="L602" s="14" t="s">
        <v>75</v>
      </c>
      <c r="M602" s="14" t="s">
        <v>75</v>
      </c>
      <c r="N602" s="14" t="s">
        <v>75</v>
      </c>
      <c r="O602" s="14" t="s">
        <v>75</v>
      </c>
      <c r="P602" s="14">
        <v>403</v>
      </c>
      <c r="Q602" s="15">
        <v>1251303</v>
      </c>
      <c r="R602" s="15">
        <v>2687.13</v>
      </c>
      <c r="S602" s="14" t="s">
        <v>20</v>
      </c>
      <c r="T602" s="15">
        <v>507793</v>
      </c>
      <c r="U602" s="16">
        <f t="shared" si="99"/>
        <v>1.8523010182452358E-2</v>
      </c>
      <c r="V602" s="14">
        <v>2</v>
      </c>
      <c r="W602" s="17">
        <v>95.2</v>
      </c>
      <c r="X602" s="14">
        <v>9</v>
      </c>
      <c r="Y602" s="18">
        <f t="shared" si="100"/>
        <v>51.2</v>
      </c>
      <c r="Z602" s="18" t="str">
        <f t="shared" si="101"/>
        <v>Medium</v>
      </c>
      <c r="AA602" s="19" t="str">
        <f t="shared" si="102"/>
        <v>Not Eligible</v>
      </c>
      <c r="AB602" s="14" t="s">
        <v>77</v>
      </c>
      <c r="AC602" s="14">
        <v>0</v>
      </c>
      <c r="AD602" s="14" t="s">
        <v>93</v>
      </c>
      <c r="AE602" s="17">
        <v>6.7</v>
      </c>
      <c r="AF602" s="15">
        <v>0</v>
      </c>
      <c r="AG602" s="20">
        <f t="shared" si="103"/>
        <v>1740838</v>
      </c>
      <c r="AH602" s="14">
        <v>1</v>
      </c>
      <c r="AI602" s="14" t="s">
        <v>76</v>
      </c>
      <c r="AJ602" s="14">
        <v>12</v>
      </c>
      <c r="AK602" s="21">
        <f t="shared" si="104"/>
        <v>0.375</v>
      </c>
      <c r="AL602" s="20">
        <f t="shared" si="105"/>
        <v>51395.341764605728</v>
      </c>
      <c r="AM602" s="22">
        <f t="shared" si="106"/>
        <v>0.29169457468184862</v>
      </c>
      <c r="AN602" s="20">
        <f t="shared" si="107"/>
        <v>54082.471764605725</v>
      </c>
      <c r="AO602" s="16">
        <f t="shared" si="108"/>
        <v>0.37280301853203385</v>
      </c>
      <c r="AP602" s="15">
        <v>0</v>
      </c>
      <c r="AQ602" s="18" t="str">
        <f t="shared" si="109"/>
        <v>N/A</v>
      </c>
      <c r="AR602" s="23">
        <v>46231</v>
      </c>
      <c r="AS602" s="14" t="s">
        <v>79</v>
      </c>
    </row>
    <row r="603" spans="1:45" x14ac:dyDescent="0.25">
      <c r="A603" s="14" t="s">
        <v>1970</v>
      </c>
      <c r="B603" s="14" t="s">
        <v>840</v>
      </c>
      <c r="C603" s="14">
        <v>9497219073</v>
      </c>
      <c r="D603" s="15" t="s">
        <v>1976</v>
      </c>
      <c r="E603" s="14">
        <v>56</v>
      </c>
      <c r="F603" s="14" t="s">
        <v>89</v>
      </c>
      <c r="G603" s="14" t="s">
        <v>131</v>
      </c>
      <c r="H603" s="14" t="s">
        <v>132</v>
      </c>
      <c r="I603" s="14" t="s">
        <v>92</v>
      </c>
      <c r="J603" s="15">
        <v>1481675</v>
      </c>
      <c r="K603" s="14">
        <v>1</v>
      </c>
      <c r="L603" s="14" t="s">
        <v>75</v>
      </c>
      <c r="M603" s="14" t="s">
        <v>75</v>
      </c>
      <c r="N603" s="14" t="s">
        <v>76</v>
      </c>
      <c r="O603" s="14" t="s">
        <v>75</v>
      </c>
      <c r="P603" s="14">
        <v>358</v>
      </c>
      <c r="Q603" s="15">
        <v>1147180</v>
      </c>
      <c r="R603" s="15">
        <v>12007.18</v>
      </c>
      <c r="S603" s="14" t="s">
        <v>21</v>
      </c>
      <c r="T603" s="15">
        <v>4830905</v>
      </c>
      <c r="U603" s="16">
        <f t="shared" si="99"/>
        <v>9.7245455312399823E-2</v>
      </c>
      <c r="V603" s="14">
        <v>0</v>
      </c>
      <c r="W603" s="17">
        <v>24.2</v>
      </c>
      <c r="X603" s="14">
        <v>12.3</v>
      </c>
      <c r="Y603" s="18">
        <f t="shared" si="100"/>
        <v>41.5</v>
      </c>
      <c r="Z603" s="18" t="str">
        <f t="shared" si="101"/>
        <v>Medium</v>
      </c>
      <c r="AA603" s="19" t="str">
        <f t="shared" si="102"/>
        <v>Not Eligible</v>
      </c>
      <c r="AB603" s="14" t="s">
        <v>77</v>
      </c>
      <c r="AC603" s="14">
        <v>0</v>
      </c>
      <c r="AD603" s="14" t="s">
        <v>78</v>
      </c>
      <c r="AE603" s="17">
        <v>25.1</v>
      </c>
      <c r="AF603" s="15">
        <v>0</v>
      </c>
      <c r="AG603" s="20">
        <f t="shared" si="103"/>
        <v>1481675</v>
      </c>
      <c r="AH603" s="14">
        <v>0</v>
      </c>
      <c r="AI603" s="14" t="s">
        <v>75</v>
      </c>
      <c r="AJ603" s="14">
        <v>36</v>
      </c>
      <c r="AK603" s="21">
        <f t="shared" si="104"/>
        <v>0.15500000000000003</v>
      </c>
      <c r="AL603" s="20">
        <f t="shared" si="105"/>
        <v>168650.18350159668</v>
      </c>
      <c r="AM603" s="22">
        <f t="shared" si="106"/>
        <v>3.2604349806806487</v>
      </c>
      <c r="AN603" s="20">
        <f t="shared" si="107"/>
        <v>180657.36350159667</v>
      </c>
      <c r="AO603" s="16">
        <f t="shared" si="108"/>
        <v>1.4631335225465503</v>
      </c>
      <c r="AP603" s="15">
        <v>0</v>
      </c>
      <c r="AQ603" s="18" t="str">
        <f t="shared" si="109"/>
        <v>N/A</v>
      </c>
      <c r="AR603" s="23">
        <v>46031</v>
      </c>
      <c r="AS603" s="14" t="s">
        <v>79</v>
      </c>
    </row>
    <row r="604" spans="1:45" x14ac:dyDescent="0.25">
      <c r="A604" s="14" t="s">
        <v>1972</v>
      </c>
      <c r="B604" s="14" t="s">
        <v>251</v>
      </c>
      <c r="C604" s="14">
        <v>9798646390</v>
      </c>
      <c r="D604" s="15" t="s">
        <v>1980</v>
      </c>
      <c r="E604" s="14">
        <v>64</v>
      </c>
      <c r="F604" s="14" t="s">
        <v>89</v>
      </c>
      <c r="G604" s="14" t="s">
        <v>115</v>
      </c>
      <c r="H604" s="14" t="s">
        <v>103</v>
      </c>
      <c r="I604" s="14" t="s">
        <v>74</v>
      </c>
      <c r="J604" s="15">
        <v>2202248</v>
      </c>
      <c r="K604" s="14">
        <v>1</v>
      </c>
      <c r="L604" s="14" t="s">
        <v>76</v>
      </c>
      <c r="M604" s="14" t="s">
        <v>75</v>
      </c>
      <c r="N604" s="14" t="s">
        <v>75</v>
      </c>
      <c r="O604" s="14" t="s">
        <v>75</v>
      </c>
      <c r="P604" s="14">
        <v>643</v>
      </c>
      <c r="Q604" s="15">
        <v>214081.13</v>
      </c>
      <c r="R604" s="15">
        <v>35751.519999999997</v>
      </c>
      <c r="S604" s="14" t="s">
        <v>21</v>
      </c>
      <c r="T604" s="15">
        <v>739738</v>
      </c>
      <c r="U604" s="16">
        <f t="shared" si="99"/>
        <v>0.19480923129456809</v>
      </c>
      <c r="V604" s="14">
        <v>0</v>
      </c>
      <c r="W604" s="17">
        <v>49.9</v>
      </c>
      <c r="X604" s="14">
        <v>12.9</v>
      </c>
      <c r="Y604" s="18">
        <f t="shared" si="100"/>
        <v>28</v>
      </c>
      <c r="Z604" s="18" t="str">
        <f t="shared" si="101"/>
        <v>Low</v>
      </c>
      <c r="AA604" s="19" t="str">
        <f t="shared" si="102"/>
        <v>Review</v>
      </c>
      <c r="AB604" s="14" t="s">
        <v>85</v>
      </c>
      <c r="AC604" s="14">
        <v>3</v>
      </c>
      <c r="AD604" s="14" t="s">
        <v>93</v>
      </c>
      <c r="AE604" s="17">
        <v>15.2</v>
      </c>
      <c r="AF604" s="15">
        <v>0</v>
      </c>
      <c r="AG604" s="20">
        <f t="shared" si="103"/>
        <v>2202248</v>
      </c>
      <c r="AH604" s="14">
        <v>0</v>
      </c>
      <c r="AI604" s="14" t="s">
        <v>75</v>
      </c>
      <c r="AJ604" s="14">
        <v>36</v>
      </c>
      <c r="AK604" s="21">
        <f t="shared" si="104"/>
        <v>0.14000000000000001</v>
      </c>
      <c r="AL604" s="20">
        <f t="shared" si="105"/>
        <v>25282.491481942354</v>
      </c>
      <c r="AM604" s="22">
        <f t="shared" si="106"/>
        <v>0.33590131538319029</v>
      </c>
      <c r="AN604" s="20">
        <f t="shared" si="107"/>
        <v>61034.011481942347</v>
      </c>
      <c r="AO604" s="16">
        <f t="shared" si="108"/>
        <v>0.33257296080337373</v>
      </c>
      <c r="AP604" s="15">
        <v>0</v>
      </c>
      <c r="AQ604" s="18" t="str">
        <f t="shared" si="109"/>
        <v>N/A</v>
      </c>
      <c r="AR604" s="23">
        <v>45959</v>
      </c>
      <c r="AS604" s="14" t="s">
        <v>79</v>
      </c>
    </row>
    <row r="605" spans="1:45" x14ac:dyDescent="0.25">
      <c r="A605" s="14" t="s">
        <v>1973</v>
      </c>
      <c r="B605" s="14" t="s">
        <v>1974</v>
      </c>
      <c r="C605" s="14">
        <v>9579569759</v>
      </c>
      <c r="D605" s="15" t="s">
        <v>1983</v>
      </c>
      <c r="E605" s="14">
        <v>65</v>
      </c>
      <c r="F605" s="14" t="s">
        <v>71</v>
      </c>
      <c r="G605" s="14" t="s">
        <v>226</v>
      </c>
      <c r="H605" s="14" t="s">
        <v>84</v>
      </c>
      <c r="I605" s="14" t="s">
        <v>74</v>
      </c>
      <c r="J605" s="15">
        <v>2430897</v>
      </c>
      <c r="K605" s="14">
        <v>1</v>
      </c>
      <c r="L605" s="14" t="s">
        <v>76</v>
      </c>
      <c r="M605" s="14" t="s">
        <v>75</v>
      </c>
      <c r="N605" s="14" t="s">
        <v>75</v>
      </c>
      <c r="O605" s="14" t="s">
        <v>75</v>
      </c>
      <c r="P605" s="14">
        <v>630</v>
      </c>
      <c r="Q605" s="15">
        <v>871587.24</v>
      </c>
      <c r="R605" s="15">
        <v>32776.58</v>
      </c>
      <c r="S605" s="14" t="s">
        <v>23</v>
      </c>
      <c r="T605" s="15">
        <v>1344497</v>
      </c>
      <c r="U605" s="16">
        <f t="shared" si="99"/>
        <v>0.16179992817466146</v>
      </c>
      <c r="V605" s="14">
        <v>0</v>
      </c>
      <c r="W605" s="17">
        <v>47.4</v>
      </c>
      <c r="X605" s="14">
        <v>1.9</v>
      </c>
      <c r="Y605" s="18">
        <f t="shared" si="100"/>
        <v>27.6</v>
      </c>
      <c r="Z605" s="18" t="str">
        <f t="shared" si="101"/>
        <v>Low</v>
      </c>
      <c r="AA605" s="19" t="str">
        <f t="shared" si="102"/>
        <v>Review</v>
      </c>
      <c r="AB605" s="14" t="s">
        <v>77</v>
      </c>
      <c r="AC605" s="14">
        <v>0</v>
      </c>
      <c r="AD605" s="14" t="s">
        <v>93</v>
      </c>
      <c r="AE605" s="17">
        <v>8.5</v>
      </c>
      <c r="AF605" s="15">
        <v>732690</v>
      </c>
      <c r="AG605" s="20">
        <f t="shared" si="103"/>
        <v>3163587</v>
      </c>
      <c r="AH605" s="14">
        <v>1</v>
      </c>
      <c r="AI605" s="14" t="s">
        <v>75</v>
      </c>
      <c r="AJ605" s="14">
        <v>180</v>
      </c>
      <c r="AK605" s="21">
        <f t="shared" si="104"/>
        <v>8.5000000000000006E-2</v>
      </c>
      <c r="AL605" s="20">
        <f t="shared" si="105"/>
        <v>13239.793814122864</v>
      </c>
      <c r="AM605" s="22">
        <f t="shared" si="106"/>
        <v>0.55308678236881281</v>
      </c>
      <c r="AN605" s="20">
        <f t="shared" si="107"/>
        <v>46016.373814122868</v>
      </c>
      <c r="AO605" s="16">
        <f t="shared" si="108"/>
        <v>0.2271575002023839</v>
      </c>
      <c r="AP605" s="15">
        <v>6020281</v>
      </c>
      <c r="AQ605" s="18">
        <f t="shared" si="109"/>
        <v>0.22332794764895525</v>
      </c>
      <c r="AR605" s="23">
        <v>46041</v>
      </c>
      <c r="AS605" s="14" t="s">
        <v>79</v>
      </c>
    </row>
    <row r="606" spans="1:45" x14ac:dyDescent="0.25">
      <c r="A606" s="14" t="s">
        <v>1977</v>
      </c>
      <c r="B606" s="14" t="s">
        <v>1978</v>
      </c>
      <c r="C606" s="14">
        <v>9561681813</v>
      </c>
      <c r="D606" s="15" t="s">
        <v>1986</v>
      </c>
      <c r="E606" s="14">
        <v>33</v>
      </c>
      <c r="F606" s="14" t="s">
        <v>71</v>
      </c>
      <c r="G606" s="14" t="s">
        <v>98</v>
      </c>
      <c r="H606" s="14" t="s">
        <v>99</v>
      </c>
      <c r="I606" s="14" t="s">
        <v>74</v>
      </c>
      <c r="J606" s="15">
        <v>787981</v>
      </c>
      <c r="K606" s="14">
        <v>1</v>
      </c>
      <c r="L606" s="14" t="s">
        <v>76</v>
      </c>
      <c r="M606" s="14" t="s">
        <v>75</v>
      </c>
      <c r="N606" s="14" t="s">
        <v>75</v>
      </c>
      <c r="O606" s="14" t="s">
        <v>75</v>
      </c>
      <c r="P606" s="14">
        <v>357</v>
      </c>
      <c r="Q606" s="15">
        <v>153739</v>
      </c>
      <c r="R606" s="15">
        <v>5633.71</v>
      </c>
      <c r="S606" s="14" t="s">
        <v>21</v>
      </c>
      <c r="T606" s="15">
        <v>32890</v>
      </c>
      <c r="U606" s="16">
        <f t="shared" si="99"/>
        <v>8.5794606722750938E-2</v>
      </c>
      <c r="V606" s="14">
        <v>3</v>
      </c>
      <c r="W606" s="17">
        <v>26.5</v>
      </c>
      <c r="X606" s="14">
        <v>14.4</v>
      </c>
      <c r="Y606" s="18">
        <f t="shared" si="100"/>
        <v>53.4</v>
      </c>
      <c r="Z606" s="18" t="str">
        <f t="shared" si="101"/>
        <v>Medium</v>
      </c>
      <c r="AA606" s="19" t="str">
        <f t="shared" si="102"/>
        <v>Not Eligible</v>
      </c>
      <c r="AB606" s="14" t="s">
        <v>77</v>
      </c>
      <c r="AC606" s="14">
        <v>0</v>
      </c>
      <c r="AD606" s="14" t="s">
        <v>93</v>
      </c>
      <c r="AE606" s="17">
        <v>8.3000000000000007</v>
      </c>
      <c r="AF606" s="15">
        <v>855110</v>
      </c>
      <c r="AG606" s="20">
        <f t="shared" si="103"/>
        <v>1643091</v>
      </c>
      <c r="AH606" s="14">
        <v>2</v>
      </c>
      <c r="AI606" s="14" t="s">
        <v>76</v>
      </c>
      <c r="AJ606" s="14">
        <v>24</v>
      </c>
      <c r="AK606" s="21">
        <f t="shared" si="104"/>
        <v>0.15500000000000003</v>
      </c>
      <c r="AL606" s="20">
        <f t="shared" si="105"/>
        <v>1602.5502021197753</v>
      </c>
      <c r="AM606" s="22">
        <f t="shared" si="106"/>
        <v>4.1739585091518705E-2</v>
      </c>
      <c r="AN606" s="20">
        <f t="shared" si="107"/>
        <v>7236.2602021197754</v>
      </c>
      <c r="AO606" s="16">
        <f t="shared" si="108"/>
        <v>0.11019951296470004</v>
      </c>
      <c r="AP606" s="15">
        <v>0</v>
      </c>
      <c r="AQ606" s="18" t="str">
        <f t="shared" si="109"/>
        <v>N/A</v>
      </c>
      <c r="AR606" s="23">
        <v>45956</v>
      </c>
      <c r="AS606" s="14" t="s">
        <v>79</v>
      </c>
    </row>
    <row r="607" spans="1:45" x14ac:dyDescent="0.25">
      <c r="A607" s="14" t="s">
        <v>1981</v>
      </c>
      <c r="B607" s="14" t="s">
        <v>1982</v>
      </c>
      <c r="C607" s="14">
        <v>9309237446</v>
      </c>
      <c r="D607" s="15" t="s">
        <v>1989</v>
      </c>
      <c r="E607" s="14">
        <v>38</v>
      </c>
      <c r="F607" s="14" t="s">
        <v>89</v>
      </c>
      <c r="G607" s="14" t="s">
        <v>98</v>
      </c>
      <c r="H607" s="14" t="s">
        <v>91</v>
      </c>
      <c r="I607" s="14" t="s">
        <v>92</v>
      </c>
      <c r="J607" s="15">
        <v>1821475</v>
      </c>
      <c r="K607" s="14">
        <v>1</v>
      </c>
      <c r="L607" s="14" t="s">
        <v>75</v>
      </c>
      <c r="M607" s="14" t="s">
        <v>75</v>
      </c>
      <c r="N607" s="14" t="s">
        <v>75</v>
      </c>
      <c r="O607" s="14" t="s">
        <v>76</v>
      </c>
      <c r="P607" s="14">
        <v>817</v>
      </c>
      <c r="Q607" s="15"/>
      <c r="R607" s="15">
        <v>31128.12</v>
      </c>
      <c r="S607" s="14" t="s">
        <v>22</v>
      </c>
      <c r="T607" s="15"/>
      <c r="U607" s="16">
        <f t="shared" si="99"/>
        <v>0.20507415144319852</v>
      </c>
      <c r="V607" s="14">
        <v>0</v>
      </c>
      <c r="W607" s="17">
        <v>52.2</v>
      </c>
      <c r="X607" s="14">
        <v>9.6999999999999993</v>
      </c>
      <c r="Y607" s="18">
        <f t="shared" si="100"/>
        <v>16.899999999999999</v>
      </c>
      <c r="Z607" s="18" t="str">
        <f t="shared" si="101"/>
        <v>Low</v>
      </c>
      <c r="AA607" s="19" t="str">
        <f t="shared" si="102"/>
        <v>Eligible</v>
      </c>
      <c r="AB607" s="14" t="s">
        <v>85</v>
      </c>
      <c r="AC607" s="14">
        <v>2</v>
      </c>
      <c r="AD607" s="14" t="s">
        <v>93</v>
      </c>
      <c r="AE607" s="17">
        <v>0.7</v>
      </c>
      <c r="AF607" s="15">
        <v>0</v>
      </c>
      <c r="AG607" s="20">
        <f t="shared" si="103"/>
        <v>1821475</v>
      </c>
      <c r="AH607" s="14">
        <v>1</v>
      </c>
      <c r="AI607" s="14" t="s">
        <v>75</v>
      </c>
      <c r="AJ607" s="14">
        <v>36</v>
      </c>
      <c r="AK607" s="21">
        <f t="shared" si="104"/>
        <v>0.09</v>
      </c>
      <c r="AL607" s="20">
        <f t="shared" si="105"/>
        <v>0</v>
      </c>
      <c r="AM607" s="22">
        <f t="shared" si="106"/>
        <v>0</v>
      </c>
      <c r="AN607" s="20">
        <f t="shared" si="107"/>
        <v>31128.12</v>
      </c>
      <c r="AO607" s="16">
        <f t="shared" si="108"/>
        <v>0.20507415144319852</v>
      </c>
      <c r="AP607" s="15">
        <v>1471569</v>
      </c>
      <c r="AQ607" s="18">
        <f t="shared" si="109"/>
        <v>0</v>
      </c>
      <c r="AR607" s="23">
        <v>46122</v>
      </c>
      <c r="AS607" s="14" t="s">
        <v>79</v>
      </c>
    </row>
    <row r="608" spans="1:45" x14ac:dyDescent="0.25">
      <c r="A608" s="14" t="s">
        <v>1984</v>
      </c>
      <c r="B608" s="14" t="s">
        <v>537</v>
      </c>
      <c r="C608" s="14">
        <v>9760748777</v>
      </c>
      <c r="D608" s="15" t="s">
        <v>1991</v>
      </c>
      <c r="E608" s="14">
        <v>47</v>
      </c>
      <c r="F608" s="14" t="s">
        <v>71</v>
      </c>
      <c r="G608" s="14" t="s">
        <v>388</v>
      </c>
      <c r="H608" s="14" t="s">
        <v>107</v>
      </c>
      <c r="I608" s="14" t="s">
        <v>92</v>
      </c>
      <c r="J608" s="15">
        <v>314282</v>
      </c>
      <c r="K608" s="14">
        <v>2</v>
      </c>
      <c r="L608" s="14" t="s">
        <v>76</v>
      </c>
      <c r="M608" s="14" t="s">
        <v>75</v>
      </c>
      <c r="N608" s="14" t="s">
        <v>75</v>
      </c>
      <c r="O608" s="14" t="s">
        <v>76</v>
      </c>
      <c r="P608" s="14">
        <v>665</v>
      </c>
      <c r="Q608" s="15">
        <v>1843</v>
      </c>
      <c r="R608" s="15">
        <v>3843.47</v>
      </c>
      <c r="S608" s="14" t="s">
        <v>20</v>
      </c>
      <c r="T608" s="15">
        <v>7298121</v>
      </c>
      <c r="U608" s="16">
        <f t="shared" si="99"/>
        <v>0.14675240707390177</v>
      </c>
      <c r="V608" s="14">
        <v>5</v>
      </c>
      <c r="W608" s="17">
        <v>39.9</v>
      </c>
      <c r="X608" s="14">
        <v>9.8000000000000007</v>
      </c>
      <c r="Y608" s="18">
        <f t="shared" si="100"/>
        <v>44.1</v>
      </c>
      <c r="Z608" s="18" t="str">
        <f t="shared" si="101"/>
        <v>Medium</v>
      </c>
      <c r="AA608" s="19" t="str">
        <f t="shared" si="102"/>
        <v>Not Eligible</v>
      </c>
      <c r="AB608" s="14" t="s">
        <v>77</v>
      </c>
      <c r="AC608" s="14">
        <v>0</v>
      </c>
      <c r="AD608" s="14" t="s">
        <v>78</v>
      </c>
      <c r="AE608" s="17">
        <v>4.2</v>
      </c>
      <c r="AF608" s="15">
        <v>0</v>
      </c>
      <c r="AG608" s="20">
        <f t="shared" si="103"/>
        <v>314282</v>
      </c>
      <c r="AH608" s="14">
        <v>0</v>
      </c>
      <c r="AI608" s="14" t="s">
        <v>75</v>
      </c>
      <c r="AJ608" s="14">
        <v>24</v>
      </c>
      <c r="AK608" s="21">
        <f t="shared" si="104"/>
        <v>0.375</v>
      </c>
      <c r="AL608" s="20">
        <f t="shared" si="105"/>
        <v>436758.52947419061</v>
      </c>
      <c r="AM608" s="22">
        <f t="shared" si="106"/>
        <v>23.221568527628055</v>
      </c>
      <c r="AN608" s="20">
        <f t="shared" si="107"/>
        <v>440601.99947419058</v>
      </c>
      <c r="AO608" s="16">
        <f t="shared" si="108"/>
        <v>16.823184253919369</v>
      </c>
      <c r="AP608" s="15">
        <v>0</v>
      </c>
      <c r="AQ608" s="18" t="str">
        <f t="shared" si="109"/>
        <v>N/A</v>
      </c>
      <c r="AR608" s="23">
        <v>45990</v>
      </c>
      <c r="AS608" s="14" t="s">
        <v>79</v>
      </c>
    </row>
    <row r="609" spans="1:45" x14ac:dyDescent="0.25">
      <c r="A609" s="14" t="s">
        <v>1987</v>
      </c>
      <c r="B609" s="14" t="s">
        <v>319</v>
      </c>
      <c r="C609" s="14">
        <v>9301259541</v>
      </c>
      <c r="D609" s="15" t="s">
        <v>1994</v>
      </c>
      <c r="E609" s="14">
        <v>22</v>
      </c>
      <c r="F609" s="14" t="s">
        <v>89</v>
      </c>
      <c r="G609" s="14" t="s">
        <v>131</v>
      </c>
      <c r="H609" s="14" t="s">
        <v>73</v>
      </c>
      <c r="I609" s="14" t="s">
        <v>74</v>
      </c>
      <c r="J609" s="15">
        <v>1212750</v>
      </c>
      <c r="K609" s="14">
        <v>1</v>
      </c>
      <c r="L609" s="14" t="s">
        <v>75</v>
      </c>
      <c r="M609" s="14" t="s">
        <v>75</v>
      </c>
      <c r="N609" s="14" t="s">
        <v>75</v>
      </c>
      <c r="O609" s="14" t="s">
        <v>76</v>
      </c>
      <c r="P609" s="14">
        <v>468</v>
      </c>
      <c r="Q609" s="15">
        <v>241959</v>
      </c>
      <c r="R609" s="15">
        <v>27542.560000000001</v>
      </c>
      <c r="S609" s="14" t="s">
        <v>20</v>
      </c>
      <c r="T609" s="15">
        <v>986324</v>
      </c>
      <c r="U609" s="16">
        <f t="shared" si="99"/>
        <v>0.27252996907854055</v>
      </c>
      <c r="V609" s="14">
        <v>0</v>
      </c>
      <c r="W609" s="17">
        <v>37.9</v>
      </c>
      <c r="X609" s="14">
        <v>10.7</v>
      </c>
      <c r="Y609" s="18">
        <f t="shared" si="100"/>
        <v>40.799999999999997</v>
      </c>
      <c r="Z609" s="18" t="str">
        <f t="shared" si="101"/>
        <v>Medium</v>
      </c>
      <c r="AA609" s="19" t="str">
        <f t="shared" si="102"/>
        <v>Not Eligible</v>
      </c>
      <c r="AB609" s="14" t="s">
        <v>85</v>
      </c>
      <c r="AC609" s="14">
        <v>1</v>
      </c>
      <c r="AD609" s="14" t="s">
        <v>194</v>
      </c>
      <c r="AE609" s="17">
        <v>0.3</v>
      </c>
      <c r="AF609" s="15">
        <v>0</v>
      </c>
      <c r="AG609" s="20">
        <f t="shared" si="103"/>
        <v>1212750</v>
      </c>
      <c r="AH609" s="14">
        <v>1</v>
      </c>
      <c r="AI609" s="14" t="s">
        <v>75</v>
      </c>
      <c r="AJ609" s="14">
        <v>36</v>
      </c>
      <c r="AK609" s="21">
        <f t="shared" si="104"/>
        <v>0.375</v>
      </c>
      <c r="AL609" s="20">
        <f t="shared" si="105"/>
        <v>46023.941058228716</v>
      </c>
      <c r="AM609" s="22">
        <f t="shared" si="106"/>
        <v>0.81329540300968872</v>
      </c>
      <c r="AN609" s="20">
        <f t="shared" si="107"/>
        <v>73566.501058228721</v>
      </c>
      <c r="AO609" s="16">
        <f t="shared" si="108"/>
        <v>0.72793074640176847</v>
      </c>
      <c r="AP609" s="15">
        <v>0</v>
      </c>
      <c r="AQ609" s="18" t="str">
        <f t="shared" si="109"/>
        <v>N/A</v>
      </c>
      <c r="AR609" s="23">
        <v>46021</v>
      </c>
      <c r="AS609" s="14" t="s">
        <v>79</v>
      </c>
    </row>
    <row r="610" spans="1:45" x14ac:dyDescent="0.25">
      <c r="A610" s="14" t="s">
        <v>1990</v>
      </c>
      <c r="B610" s="14" t="s">
        <v>1501</v>
      </c>
      <c r="C610" s="14">
        <v>9613760094</v>
      </c>
      <c r="D610" s="15" t="s">
        <v>1997</v>
      </c>
      <c r="E610" s="14">
        <v>36</v>
      </c>
      <c r="F610" s="14" t="s">
        <v>71</v>
      </c>
      <c r="G610" s="14" t="s">
        <v>98</v>
      </c>
      <c r="H610" s="14" t="s">
        <v>132</v>
      </c>
      <c r="I610" s="14" t="s">
        <v>92</v>
      </c>
      <c r="J610" s="15">
        <v>2156792</v>
      </c>
      <c r="K610" s="14">
        <v>1</v>
      </c>
      <c r="L610" s="14" t="s">
        <v>76</v>
      </c>
      <c r="M610" s="14" t="s">
        <v>75</v>
      </c>
      <c r="N610" s="14" t="s">
        <v>75</v>
      </c>
      <c r="O610" s="14" t="s">
        <v>75</v>
      </c>
      <c r="P610" s="14">
        <v>478</v>
      </c>
      <c r="Q610" s="15">
        <v>112374.18</v>
      </c>
      <c r="R610" s="15">
        <v>52.66</v>
      </c>
      <c r="S610" s="14" t="s">
        <v>23</v>
      </c>
      <c r="T610" s="15"/>
      <c r="U610" s="16">
        <f t="shared" si="99"/>
        <v>2.929907010040838E-4</v>
      </c>
      <c r="V610" s="14">
        <v>2</v>
      </c>
      <c r="W610" s="17">
        <v>90</v>
      </c>
      <c r="X610" s="14">
        <v>12.5</v>
      </c>
      <c r="Y610" s="18">
        <f t="shared" si="100"/>
        <v>45.1</v>
      </c>
      <c r="Z610" s="18" t="str">
        <f t="shared" si="101"/>
        <v>Medium</v>
      </c>
      <c r="AA610" s="19" t="str">
        <f t="shared" si="102"/>
        <v>Not Eligible</v>
      </c>
      <c r="AB610" s="14" t="s">
        <v>77</v>
      </c>
      <c r="AC610" s="14">
        <v>0</v>
      </c>
      <c r="AD610" s="14" t="s">
        <v>78</v>
      </c>
      <c r="AE610" s="17">
        <v>6.6</v>
      </c>
      <c r="AF610" s="15">
        <v>0</v>
      </c>
      <c r="AG610" s="20">
        <f t="shared" si="103"/>
        <v>2156792</v>
      </c>
      <c r="AH610" s="14">
        <v>3</v>
      </c>
      <c r="AI610" s="14" t="s">
        <v>75</v>
      </c>
      <c r="AJ610" s="14">
        <v>120</v>
      </c>
      <c r="AK610" s="21">
        <f t="shared" si="104"/>
        <v>0.1</v>
      </c>
      <c r="AL610" s="20">
        <f t="shared" si="105"/>
        <v>0</v>
      </c>
      <c r="AM610" s="22">
        <f t="shared" si="106"/>
        <v>0</v>
      </c>
      <c r="AN610" s="20">
        <f t="shared" si="107"/>
        <v>52.66</v>
      </c>
      <c r="AO610" s="16">
        <f t="shared" si="108"/>
        <v>2.929907010040838E-4</v>
      </c>
      <c r="AP610" s="15">
        <v>10048414</v>
      </c>
      <c r="AQ610" s="18">
        <f t="shared" si="109"/>
        <v>0</v>
      </c>
      <c r="AR610" s="23">
        <v>46177</v>
      </c>
      <c r="AS610" s="14" t="s">
        <v>94</v>
      </c>
    </row>
    <row r="611" spans="1:45" x14ac:dyDescent="0.25">
      <c r="A611" s="14" t="s">
        <v>1992</v>
      </c>
      <c r="B611" s="14" t="s">
        <v>1993</v>
      </c>
      <c r="C611" s="14">
        <v>9161374984</v>
      </c>
      <c r="D611" s="15" t="s">
        <v>2001</v>
      </c>
      <c r="E611" s="14">
        <v>52</v>
      </c>
      <c r="F611" s="14" t="s">
        <v>71</v>
      </c>
      <c r="G611" s="14" t="s">
        <v>314</v>
      </c>
      <c r="H611" s="14" t="s">
        <v>132</v>
      </c>
      <c r="I611" s="14" t="s">
        <v>92</v>
      </c>
      <c r="J611" s="15">
        <v>1138455</v>
      </c>
      <c r="K611" s="14">
        <v>3</v>
      </c>
      <c r="L611" s="14" t="s">
        <v>76</v>
      </c>
      <c r="M611" s="14" t="s">
        <v>76</v>
      </c>
      <c r="N611" s="14" t="s">
        <v>75</v>
      </c>
      <c r="O611" s="14" t="s">
        <v>76</v>
      </c>
      <c r="P611" s="14">
        <v>402</v>
      </c>
      <c r="Q611" s="15"/>
      <c r="R611" s="15">
        <v>5148.0600000000004</v>
      </c>
      <c r="S611" s="14" t="s">
        <v>21</v>
      </c>
      <c r="T611" s="15"/>
      <c r="U611" s="16">
        <f t="shared" si="99"/>
        <v>5.4263646784457886E-2</v>
      </c>
      <c r="V611" s="14">
        <v>6</v>
      </c>
      <c r="W611" s="17">
        <v>69.400000000000006</v>
      </c>
      <c r="X611" s="14">
        <v>9.6</v>
      </c>
      <c r="Y611" s="18">
        <f t="shared" si="100"/>
        <v>61.8</v>
      </c>
      <c r="Z611" s="18" t="str">
        <f t="shared" si="101"/>
        <v>High</v>
      </c>
      <c r="AA611" s="19" t="str">
        <f t="shared" si="102"/>
        <v>Not Eligible</v>
      </c>
      <c r="AB611" s="14" t="s">
        <v>85</v>
      </c>
      <c r="AC611" s="14">
        <v>0</v>
      </c>
      <c r="AD611" s="14" t="s">
        <v>93</v>
      </c>
      <c r="AE611" s="17">
        <v>20.100000000000001</v>
      </c>
      <c r="AF611" s="15">
        <v>0</v>
      </c>
      <c r="AG611" s="20">
        <f t="shared" si="103"/>
        <v>1138455</v>
      </c>
      <c r="AH611" s="14">
        <v>0</v>
      </c>
      <c r="AI611" s="14" t="s">
        <v>75</v>
      </c>
      <c r="AJ611" s="14">
        <v>36</v>
      </c>
      <c r="AK611" s="21">
        <f t="shared" si="104"/>
        <v>0.17</v>
      </c>
      <c r="AL611" s="20">
        <f t="shared" si="105"/>
        <v>0</v>
      </c>
      <c r="AM611" s="22">
        <f t="shared" si="106"/>
        <v>0</v>
      </c>
      <c r="AN611" s="20">
        <f t="shared" si="107"/>
        <v>5148.0600000000004</v>
      </c>
      <c r="AO611" s="16">
        <f t="shared" si="108"/>
        <v>5.4263646784457886E-2</v>
      </c>
      <c r="AP611" s="15">
        <v>0</v>
      </c>
      <c r="AQ611" s="18" t="str">
        <f t="shared" si="109"/>
        <v>N/A</v>
      </c>
      <c r="AR611" s="23">
        <v>46168</v>
      </c>
      <c r="AS611" s="14" t="s">
        <v>79</v>
      </c>
    </row>
    <row r="612" spans="1:45" x14ac:dyDescent="0.25">
      <c r="A612" s="14" t="s">
        <v>1995</v>
      </c>
      <c r="B612" s="14" t="s">
        <v>1996</v>
      </c>
      <c r="C612" s="14">
        <v>9114551406</v>
      </c>
      <c r="D612" s="15" t="s">
        <v>2003</v>
      </c>
      <c r="E612" s="14">
        <v>49</v>
      </c>
      <c r="F612" s="14" t="s">
        <v>89</v>
      </c>
      <c r="G612" s="14" t="s">
        <v>72</v>
      </c>
      <c r="H612" s="14" t="s">
        <v>132</v>
      </c>
      <c r="I612" s="14" t="s">
        <v>92</v>
      </c>
      <c r="J612" s="15">
        <v>1180049</v>
      </c>
      <c r="K612" s="14">
        <v>0</v>
      </c>
      <c r="L612" s="14" t="s">
        <v>75</v>
      </c>
      <c r="M612" s="14" t="s">
        <v>75</v>
      </c>
      <c r="N612" s="14" t="s">
        <v>75</v>
      </c>
      <c r="O612" s="14" t="s">
        <v>75</v>
      </c>
      <c r="P612" s="14">
        <v>445</v>
      </c>
      <c r="Q612" s="15">
        <v>213004</v>
      </c>
      <c r="R612" s="15">
        <v>1971.48</v>
      </c>
      <c r="S612" s="14" t="s">
        <v>20</v>
      </c>
      <c r="T612" s="15">
        <v>184537</v>
      </c>
      <c r="U612" s="16">
        <f t="shared" si="99"/>
        <v>2.0048116646003686E-2</v>
      </c>
      <c r="V612" s="14">
        <v>0</v>
      </c>
      <c r="W612" s="17">
        <v>62.7</v>
      </c>
      <c r="X612" s="14">
        <v>4</v>
      </c>
      <c r="Y612" s="18">
        <f t="shared" si="100"/>
        <v>37.200000000000003</v>
      </c>
      <c r="Z612" s="18" t="str">
        <f t="shared" si="101"/>
        <v>Medium</v>
      </c>
      <c r="AA612" s="19" t="str">
        <f t="shared" si="102"/>
        <v>Not Eligible</v>
      </c>
      <c r="AB612" s="14" t="s">
        <v>85</v>
      </c>
      <c r="AC612" s="14">
        <v>2</v>
      </c>
      <c r="AD612" s="14" t="s">
        <v>93</v>
      </c>
      <c r="AE612" s="17">
        <v>20.8</v>
      </c>
      <c r="AF612" s="15">
        <v>761765</v>
      </c>
      <c r="AG612" s="20">
        <f t="shared" si="103"/>
        <v>1941814</v>
      </c>
      <c r="AH612" s="14">
        <v>3</v>
      </c>
      <c r="AI612" s="14" t="s">
        <v>75</v>
      </c>
      <c r="AJ612" s="14">
        <v>18</v>
      </c>
      <c r="AK612" s="21">
        <f t="shared" si="104"/>
        <v>0.375</v>
      </c>
      <c r="AL612" s="20">
        <f t="shared" si="105"/>
        <v>13559.641979486174</v>
      </c>
      <c r="AM612" s="22">
        <f t="shared" si="106"/>
        <v>0.15638079435684452</v>
      </c>
      <c r="AN612" s="20">
        <f t="shared" si="107"/>
        <v>15531.121979486174</v>
      </c>
      <c r="AO612" s="16">
        <f t="shared" si="108"/>
        <v>0.15793705494757768</v>
      </c>
      <c r="AP612" s="15">
        <v>0</v>
      </c>
      <c r="AQ612" s="18" t="str">
        <f t="shared" si="109"/>
        <v>N/A</v>
      </c>
      <c r="AR612" s="23">
        <v>45986</v>
      </c>
      <c r="AS612" s="14" t="s">
        <v>79</v>
      </c>
    </row>
    <row r="613" spans="1:45" x14ac:dyDescent="0.25">
      <c r="A613" s="14" t="s">
        <v>1998</v>
      </c>
      <c r="B613" s="14" t="s">
        <v>1999</v>
      </c>
      <c r="C613" s="14">
        <v>9822875673</v>
      </c>
      <c r="D613" s="15" t="s">
        <v>2006</v>
      </c>
      <c r="E613" s="14">
        <v>60</v>
      </c>
      <c r="F613" s="14" t="s">
        <v>89</v>
      </c>
      <c r="G613" s="14" t="s">
        <v>388</v>
      </c>
      <c r="H613" s="14" t="s">
        <v>103</v>
      </c>
      <c r="I613" s="14" t="s">
        <v>74</v>
      </c>
      <c r="J613" s="15">
        <v>506816</v>
      </c>
      <c r="K613" s="14">
        <v>1</v>
      </c>
      <c r="L613" s="14" t="s">
        <v>75</v>
      </c>
      <c r="M613" s="14" t="s">
        <v>76</v>
      </c>
      <c r="N613" s="14" t="s">
        <v>75</v>
      </c>
      <c r="O613" s="14" t="s">
        <v>75</v>
      </c>
      <c r="P613" s="14">
        <v>790</v>
      </c>
      <c r="Q613" s="15">
        <v>906404</v>
      </c>
      <c r="R613" s="15">
        <v>9736.42</v>
      </c>
      <c r="S613" s="14" t="s">
        <v>20</v>
      </c>
      <c r="T613" s="15">
        <v>1504428</v>
      </c>
      <c r="U613" s="16">
        <f t="shared" si="99"/>
        <v>0.23053147493370377</v>
      </c>
      <c r="V613" s="14">
        <v>1</v>
      </c>
      <c r="W613" s="17">
        <v>55.5</v>
      </c>
      <c r="X613" s="14">
        <v>4.2</v>
      </c>
      <c r="Y613" s="18">
        <f t="shared" si="100"/>
        <v>23.8</v>
      </c>
      <c r="Z613" s="18" t="str">
        <f t="shared" si="101"/>
        <v>Low</v>
      </c>
      <c r="AA613" s="19" t="str">
        <f t="shared" si="102"/>
        <v>Eligible</v>
      </c>
      <c r="AB613" s="14" t="s">
        <v>77</v>
      </c>
      <c r="AC613" s="14">
        <v>1</v>
      </c>
      <c r="AD613" s="14" t="s">
        <v>78</v>
      </c>
      <c r="AE613" s="17">
        <v>7.3</v>
      </c>
      <c r="AF613" s="15">
        <v>0</v>
      </c>
      <c r="AG613" s="20">
        <f t="shared" si="103"/>
        <v>506816</v>
      </c>
      <c r="AH613" s="14">
        <v>0</v>
      </c>
      <c r="AI613" s="14" t="s">
        <v>75</v>
      </c>
      <c r="AJ613" s="14">
        <v>24</v>
      </c>
      <c r="AK613" s="21">
        <f t="shared" si="104"/>
        <v>0.36</v>
      </c>
      <c r="AL613" s="20">
        <f t="shared" si="105"/>
        <v>88832.585881276857</v>
      </c>
      <c r="AM613" s="22">
        <f t="shared" si="106"/>
        <v>2.9683908953150651</v>
      </c>
      <c r="AN613" s="20">
        <f t="shared" si="107"/>
        <v>98569.005881276855</v>
      </c>
      <c r="AO613" s="16">
        <f t="shared" si="108"/>
        <v>2.3338412176713486</v>
      </c>
      <c r="AP613" s="15">
        <v>0</v>
      </c>
      <c r="AQ613" s="18" t="str">
        <f t="shared" si="109"/>
        <v>N/A</v>
      </c>
      <c r="AR613" s="23">
        <v>45957</v>
      </c>
      <c r="AS613" s="14" t="s">
        <v>79</v>
      </c>
    </row>
    <row r="614" spans="1:45" x14ac:dyDescent="0.25">
      <c r="A614" s="14" t="s">
        <v>2002</v>
      </c>
      <c r="B614" s="14" t="s">
        <v>659</v>
      </c>
      <c r="C614" s="14">
        <v>9561705191</v>
      </c>
      <c r="D614" s="15" t="s">
        <v>2010</v>
      </c>
      <c r="E614" s="14">
        <v>35</v>
      </c>
      <c r="F614" s="14" t="s">
        <v>89</v>
      </c>
      <c r="G614" s="14" t="s">
        <v>98</v>
      </c>
      <c r="H614" s="14" t="s">
        <v>99</v>
      </c>
      <c r="I614" s="14" t="s">
        <v>74</v>
      </c>
      <c r="J614" s="15">
        <v>540467</v>
      </c>
      <c r="K614" s="14">
        <v>2</v>
      </c>
      <c r="L614" s="14" t="s">
        <v>76</v>
      </c>
      <c r="M614" s="14" t="s">
        <v>76</v>
      </c>
      <c r="N614" s="14" t="s">
        <v>75</v>
      </c>
      <c r="O614" s="14" t="s">
        <v>75</v>
      </c>
      <c r="P614" s="14">
        <v>784</v>
      </c>
      <c r="Q614" s="15">
        <v>589489</v>
      </c>
      <c r="R614" s="15">
        <v>5916.77</v>
      </c>
      <c r="S614" s="14" t="s">
        <v>20</v>
      </c>
      <c r="T614" s="15">
        <v>133784</v>
      </c>
      <c r="U614" s="16">
        <f t="shared" si="99"/>
        <v>0.13137016691120829</v>
      </c>
      <c r="V614" s="14">
        <v>2</v>
      </c>
      <c r="W614" s="17">
        <v>80.099999999999994</v>
      </c>
      <c r="X614" s="14">
        <v>0.9</v>
      </c>
      <c r="Y614" s="18">
        <f t="shared" si="100"/>
        <v>27.7</v>
      </c>
      <c r="Z614" s="18" t="str">
        <f t="shared" si="101"/>
        <v>Low</v>
      </c>
      <c r="AA614" s="19" t="str">
        <f t="shared" si="102"/>
        <v>Eligible</v>
      </c>
      <c r="AB614" s="14" t="s">
        <v>85</v>
      </c>
      <c r="AC614" s="14">
        <v>2</v>
      </c>
      <c r="AD614" s="14" t="s">
        <v>93</v>
      </c>
      <c r="AE614" s="17">
        <v>13.1</v>
      </c>
      <c r="AF614" s="15">
        <v>0</v>
      </c>
      <c r="AG614" s="20">
        <f t="shared" si="103"/>
        <v>540467</v>
      </c>
      <c r="AH614" s="14">
        <v>0</v>
      </c>
      <c r="AI614" s="14" t="s">
        <v>75</v>
      </c>
      <c r="AJ614" s="14">
        <v>24</v>
      </c>
      <c r="AK614" s="21">
        <f t="shared" si="104"/>
        <v>0.36</v>
      </c>
      <c r="AL614" s="20">
        <f t="shared" si="105"/>
        <v>7899.5994953169866</v>
      </c>
      <c r="AM614" s="22">
        <f t="shared" si="106"/>
        <v>0.24753407701117738</v>
      </c>
      <c r="AN614" s="20">
        <f t="shared" si="107"/>
        <v>13816.369495316987</v>
      </c>
      <c r="AO614" s="16">
        <f t="shared" si="108"/>
        <v>0.30676513819308826</v>
      </c>
      <c r="AP614" s="15">
        <v>0</v>
      </c>
      <c r="AQ614" s="18" t="str">
        <f t="shared" si="109"/>
        <v>N/A</v>
      </c>
      <c r="AR614" s="23">
        <v>45931</v>
      </c>
      <c r="AS614" s="14" t="s">
        <v>79</v>
      </c>
    </row>
    <row r="615" spans="1:45" x14ac:dyDescent="0.25">
      <c r="A615" s="14" t="s">
        <v>2004</v>
      </c>
      <c r="B615" s="14" t="s">
        <v>2005</v>
      </c>
      <c r="C615" s="14"/>
      <c r="D615" s="15" t="s">
        <v>2012</v>
      </c>
      <c r="E615" s="14">
        <v>48</v>
      </c>
      <c r="F615" s="14" t="s">
        <v>89</v>
      </c>
      <c r="G615" s="14" t="s">
        <v>127</v>
      </c>
      <c r="H615" s="14" t="s">
        <v>73</v>
      </c>
      <c r="I615" s="14" t="s">
        <v>74</v>
      </c>
      <c r="J615" s="15">
        <v>1876954</v>
      </c>
      <c r="K615" s="14">
        <v>1</v>
      </c>
      <c r="L615" s="14" t="s">
        <v>75</v>
      </c>
      <c r="M615" s="14" t="s">
        <v>76</v>
      </c>
      <c r="N615" s="14" t="s">
        <v>75</v>
      </c>
      <c r="O615" s="14" t="s">
        <v>75</v>
      </c>
      <c r="P615" s="14">
        <v>666</v>
      </c>
      <c r="Q615" s="15">
        <v>276076.53000000003</v>
      </c>
      <c r="R615" s="15">
        <v>60426.92</v>
      </c>
      <c r="S615" s="14" t="s">
        <v>23</v>
      </c>
      <c r="T615" s="15"/>
      <c r="U615" s="16">
        <f t="shared" si="99"/>
        <v>0.38632968096181369</v>
      </c>
      <c r="V615" s="14">
        <v>3</v>
      </c>
      <c r="W615" s="17">
        <v>6.7</v>
      </c>
      <c r="X615" s="14">
        <v>2.7</v>
      </c>
      <c r="Y615" s="18">
        <f t="shared" si="100"/>
        <v>39.9</v>
      </c>
      <c r="Z615" s="18" t="str">
        <f t="shared" si="101"/>
        <v>Medium</v>
      </c>
      <c r="AA615" s="19" t="str">
        <f t="shared" si="102"/>
        <v>Review</v>
      </c>
      <c r="AB615" s="14" t="s">
        <v>161</v>
      </c>
      <c r="AC615" s="14">
        <v>2</v>
      </c>
      <c r="AD615" s="14" t="s">
        <v>78</v>
      </c>
      <c r="AE615" s="17">
        <v>23.4</v>
      </c>
      <c r="AF615" s="15">
        <v>0</v>
      </c>
      <c r="AG615" s="20">
        <f t="shared" si="103"/>
        <v>1876954</v>
      </c>
      <c r="AH615" s="14">
        <v>0</v>
      </c>
      <c r="AI615" s="14" t="s">
        <v>75</v>
      </c>
      <c r="AJ615" s="14">
        <v>180</v>
      </c>
      <c r="AK615" s="21">
        <f t="shared" si="104"/>
        <v>0.1</v>
      </c>
      <c r="AL615" s="20">
        <f t="shared" si="105"/>
        <v>0</v>
      </c>
      <c r="AM615" s="22">
        <f t="shared" si="106"/>
        <v>0</v>
      </c>
      <c r="AN615" s="20">
        <f t="shared" si="107"/>
        <v>60426.92</v>
      </c>
      <c r="AO615" s="16">
        <f t="shared" si="108"/>
        <v>0.38632968096181369</v>
      </c>
      <c r="AP615" s="15">
        <v>1845738</v>
      </c>
      <c r="AQ615" s="18">
        <f t="shared" si="109"/>
        <v>0</v>
      </c>
      <c r="AR615" s="23">
        <v>45998</v>
      </c>
      <c r="AS615" s="14" t="s">
        <v>79</v>
      </c>
    </row>
    <row r="616" spans="1:45" x14ac:dyDescent="0.25">
      <c r="A616" s="14" t="s">
        <v>2007</v>
      </c>
      <c r="B616" s="14" t="s">
        <v>2008</v>
      </c>
      <c r="C616" s="14">
        <v>9101278408</v>
      </c>
      <c r="D616" s="15" t="s">
        <v>2016</v>
      </c>
      <c r="E616" s="14">
        <v>46</v>
      </c>
      <c r="F616" s="14" t="s">
        <v>89</v>
      </c>
      <c r="G616" s="14" t="s">
        <v>83</v>
      </c>
      <c r="H616" s="14" t="s">
        <v>107</v>
      </c>
      <c r="I616" s="14" t="s">
        <v>92</v>
      </c>
      <c r="J616" s="15">
        <v>2002817</v>
      </c>
      <c r="K616" s="14">
        <v>2</v>
      </c>
      <c r="L616" s="14" t="s">
        <v>76</v>
      </c>
      <c r="M616" s="14" t="s">
        <v>75</v>
      </c>
      <c r="N616" s="14" t="s">
        <v>75</v>
      </c>
      <c r="O616" s="14" t="s">
        <v>76</v>
      </c>
      <c r="P616" s="14">
        <v>736</v>
      </c>
      <c r="Q616" s="15">
        <v>568231.88</v>
      </c>
      <c r="R616" s="15">
        <v>14035.44</v>
      </c>
      <c r="S616" s="14" t="s">
        <v>21</v>
      </c>
      <c r="T616" s="15">
        <v>240090</v>
      </c>
      <c r="U616" s="16">
        <f t="shared" si="99"/>
        <v>8.4094193328696526E-2</v>
      </c>
      <c r="V616" s="14">
        <v>3</v>
      </c>
      <c r="W616" s="17">
        <v>98.6</v>
      </c>
      <c r="X616" s="14">
        <v>2.9</v>
      </c>
      <c r="Y616" s="18">
        <f t="shared" si="100"/>
        <v>35.299999999999997</v>
      </c>
      <c r="Z616" s="18" t="str">
        <f t="shared" si="101"/>
        <v>Medium</v>
      </c>
      <c r="AA616" s="19" t="str">
        <f t="shared" si="102"/>
        <v>Review</v>
      </c>
      <c r="AB616" s="14" t="s">
        <v>85</v>
      </c>
      <c r="AC616" s="14">
        <v>1</v>
      </c>
      <c r="AD616" s="14" t="s">
        <v>93</v>
      </c>
      <c r="AE616" s="17">
        <v>11.7</v>
      </c>
      <c r="AF616" s="15">
        <v>582582</v>
      </c>
      <c r="AG616" s="20">
        <f t="shared" si="103"/>
        <v>2585399</v>
      </c>
      <c r="AH616" s="14">
        <v>0</v>
      </c>
      <c r="AI616" s="14" t="s">
        <v>75</v>
      </c>
      <c r="AJ616" s="14">
        <v>60</v>
      </c>
      <c r="AK616" s="21">
        <f t="shared" si="104"/>
        <v>0.15500000000000003</v>
      </c>
      <c r="AL616" s="20">
        <f t="shared" si="105"/>
        <v>5774.9306463271059</v>
      </c>
      <c r="AM616" s="22">
        <f t="shared" si="106"/>
        <v>0.11987615443647623</v>
      </c>
      <c r="AN616" s="20">
        <f t="shared" si="107"/>
        <v>19810.370646327108</v>
      </c>
      <c r="AO616" s="16">
        <f t="shared" si="108"/>
        <v>0.1186950419114304</v>
      </c>
      <c r="AP616" s="15">
        <v>0</v>
      </c>
      <c r="AQ616" s="18" t="str">
        <f t="shared" si="109"/>
        <v>N/A</v>
      </c>
      <c r="AR616" s="23">
        <v>46110</v>
      </c>
      <c r="AS616" s="14" t="s">
        <v>79</v>
      </c>
    </row>
    <row r="617" spans="1:45" x14ac:dyDescent="0.25">
      <c r="A617" s="14" t="s">
        <v>2011</v>
      </c>
      <c r="B617" s="14" t="s">
        <v>1188</v>
      </c>
      <c r="C617" s="14">
        <v>9392486848</v>
      </c>
      <c r="D617" s="15" t="s">
        <v>2020</v>
      </c>
      <c r="E617" s="14">
        <v>65</v>
      </c>
      <c r="F617" s="14" t="s">
        <v>89</v>
      </c>
      <c r="G617" s="14" t="s">
        <v>388</v>
      </c>
      <c r="H617" s="14" t="s">
        <v>73</v>
      </c>
      <c r="I617" s="14" t="s">
        <v>74</v>
      </c>
      <c r="J617" s="15">
        <v>684598</v>
      </c>
      <c r="K617" s="14">
        <v>1</v>
      </c>
      <c r="L617" s="14" t="s">
        <v>75</v>
      </c>
      <c r="M617" s="14" t="s">
        <v>75</v>
      </c>
      <c r="N617" s="14" t="s">
        <v>75</v>
      </c>
      <c r="O617" s="14" t="s">
        <v>76</v>
      </c>
      <c r="P617" s="14">
        <v>824</v>
      </c>
      <c r="Q617" s="15">
        <v>84420</v>
      </c>
      <c r="R617" s="15">
        <v>5634.21</v>
      </c>
      <c r="S617" s="14" t="s">
        <v>22</v>
      </c>
      <c r="T617" s="15">
        <v>384234</v>
      </c>
      <c r="U617" s="16">
        <f t="shared" si="99"/>
        <v>9.8759447150006285E-2</v>
      </c>
      <c r="V617" s="14">
        <v>0</v>
      </c>
      <c r="W617" s="17">
        <v>18.7</v>
      </c>
      <c r="X617" s="14">
        <v>2.5</v>
      </c>
      <c r="Y617" s="18">
        <f t="shared" si="100"/>
        <v>9.9</v>
      </c>
      <c r="Z617" s="18" t="str">
        <f t="shared" si="101"/>
        <v>Low</v>
      </c>
      <c r="AA617" s="19" t="str">
        <f t="shared" si="102"/>
        <v>Eligible</v>
      </c>
      <c r="AB617" s="14" t="s">
        <v>85</v>
      </c>
      <c r="AC617" s="14">
        <v>1</v>
      </c>
      <c r="AD617" s="14" t="s">
        <v>78</v>
      </c>
      <c r="AE617" s="17">
        <v>10.7</v>
      </c>
      <c r="AF617" s="15">
        <v>0</v>
      </c>
      <c r="AG617" s="20">
        <f t="shared" si="103"/>
        <v>684598</v>
      </c>
      <c r="AH617" s="14">
        <v>0</v>
      </c>
      <c r="AI617" s="14" t="s">
        <v>75</v>
      </c>
      <c r="AJ617" s="14">
        <v>84</v>
      </c>
      <c r="AK617" s="21">
        <f t="shared" si="104"/>
        <v>0.09</v>
      </c>
      <c r="AL617" s="20">
        <f t="shared" si="105"/>
        <v>6181.9708961676515</v>
      </c>
      <c r="AM617" s="22">
        <f t="shared" si="106"/>
        <v>0.561254926248689</v>
      </c>
      <c r="AN617" s="20">
        <f t="shared" si="107"/>
        <v>11816.180896167651</v>
      </c>
      <c r="AO617" s="16">
        <f t="shared" si="108"/>
        <v>0.20712034033697413</v>
      </c>
      <c r="AP617" s="15">
        <v>777203</v>
      </c>
      <c r="AQ617" s="18">
        <f t="shared" si="109"/>
        <v>0.49438049003928186</v>
      </c>
      <c r="AR617" s="23">
        <v>46040</v>
      </c>
      <c r="AS617" s="14" t="s">
        <v>79</v>
      </c>
    </row>
    <row r="618" spans="1:45" x14ac:dyDescent="0.25">
      <c r="A618" s="14" t="s">
        <v>2013</v>
      </c>
      <c r="B618" s="14" t="s">
        <v>2014</v>
      </c>
      <c r="C618" s="14">
        <v>9766541261</v>
      </c>
      <c r="D618" s="15" t="s">
        <v>2024</v>
      </c>
      <c r="E618" s="14">
        <v>56</v>
      </c>
      <c r="F618" s="14" t="s">
        <v>89</v>
      </c>
      <c r="G618" s="14" t="s">
        <v>153</v>
      </c>
      <c r="H618" s="14" t="s">
        <v>84</v>
      </c>
      <c r="I618" s="14" t="s">
        <v>74</v>
      </c>
      <c r="J618" s="15">
        <v>1596823</v>
      </c>
      <c r="K618" s="14">
        <v>1</v>
      </c>
      <c r="L618" s="14" t="s">
        <v>76</v>
      </c>
      <c r="M618" s="14" t="s">
        <v>75</v>
      </c>
      <c r="N618" s="14" t="s">
        <v>75</v>
      </c>
      <c r="O618" s="14" t="s">
        <v>75</v>
      </c>
      <c r="P618" s="14">
        <v>758</v>
      </c>
      <c r="Q618" s="15">
        <v>777487</v>
      </c>
      <c r="R618" s="15">
        <v>18330.060000000001</v>
      </c>
      <c r="S618" s="14" t="s">
        <v>20</v>
      </c>
      <c r="T618" s="15"/>
      <c r="U618" s="16">
        <f t="shared" si="99"/>
        <v>0.13774896779417634</v>
      </c>
      <c r="V618" s="14">
        <v>3</v>
      </c>
      <c r="W618" s="17">
        <v>41.6</v>
      </c>
      <c r="X618" s="14">
        <v>5.3</v>
      </c>
      <c r="Y618" s="18">
        <f t="shared" si="100"/>
        <v>29.8</v>
      </c>
      <c r="Z618" s="18" t="str">
        <f t="shared" si="101"/>
        <v>Low</v>
      </c>
      <c r="AA618" s="19" t="str">
        <f t="shared" si="102"/>
        <v>Review</v>
      </c>
      <c r="AB618" s="14" t="s">
        <v>77</v>
      </c>
      <c r="AC618" s="14">
        <v>0</v>
      </c>
      <c r="AD618" s="14" t="s">
        <v>93</v>
      </c>
      <c r="AE618" s="17">
        <v>1.3</v>
      </c>
      <c r="AF618" s="15">
        <v>0</v>
      </c>
      <c r="AG618" s="20">
        <f t="shared" si="103"/>
        <v>1596823</v>
      </c>
      <c r="AH618" s="14">
        <v>0</v>
      </c>
      <c r="AI618" s="14" t="s">
        <v>75</v>
      </c>
      <c r="AJ618" s="14">
        <v>36</v>
      </c>
      <c r="AK618" s="21">
        <f t="shared" si="104"/>
        <v>0.36</v>
      </c>
      <c r="AL618" s="20">
        <f t="shared" si="105"/>
        <v>0</v>
      </c>
      <c r="AM618" s="22">
        <f t="shared" si="106"/>
        <v>0</v>
      </c>
      <c r="AN618" s="20">
        <f t="shared" si="107"/>
        <v>18330.060000000001</v>
      </c>
      <c r="AO618" s="16">
        <f t="shared" si="108"/>
        <v>0.13774896779417634</v>
      </c>
      <c r="AP618" s="15">
        <v>0</v>
      </c>
      <c r="AQ618" s="18" t="str">
        <f t="shared" si="109"/>
        <v>N/A</v>
      </c>
      <c r="AR618" s="23">
        <v>45996</v>
      </c>
      <c r="AS618" s="14" t="s">
        <v>79</v>
      </c>
    </row>
    <row r="619" spans="1:45" x14ac:dyDescent="0.25">
      <c r="A619" s="14" t="s">
        <v>2017</v>
      </c>
      <c r="B619" s="14" t="s">
        <v>2018</v>
      </c>
      <c r="C619" s="14">
        <v>9717315552</v>
      </c>
      <c r="D619" s="15" t="s">
        <v>2027</v>
      </c>
      <c r="E619" s="14">
        <v>60</v>
      </c>
      <c r="F619" s="14" t="s">
        <v>71</v>
      </c>
      <c r="G619" s="14" t="s">
        <v>417</v>
      </c>
      <c r="H619" s="14" t="s">
        <v>107</v>
      </c>
      <c r="I619" s="14" t="s">
        <v>92</v>
      </c>
      <c r="J619" s="15">
        <v>631677</v>
      </c>
      <c r="K619" s="14">
        <v>2</v>
      </c>
      <c r="L619" s="14" t="s">
        <v>76</v>
      </c>
      <c r="M619" s="14" t="s">
        <v>75</v>
      </c>
      <c r="N619" s="14" t="s">
        <v>75</v>
      </c>
      <c r="O619" s="14" t="s">
        <v>76</v>
      </c>
      <c r="P619" s="14">
        <v>689</v>
      </c>
      <c r="Q619" s="15"/>
      <c r="R619" s="15">
        <v>3376.8</v>
      </c>
      <c r="S619" s="14" t="s">
        <v>20</v>
      </c>
      <c r="T619" s="15">
        <v>509209</v>
      </c>
      <c r="U619" s="16">
        <f t="shared" si="99"/>
        <v>6.4149240830361096E-2</v>
      </c>
      <c r="V619" s="14">
        <v>0</v>
      </c>
      <c r="W619" s="17">
        <v>49.3</v>
      </c>
      <c r="X619" s="14">
        <v>0.3</v>
      </c>
      <c r="Y619" s="18">
        <f t="shared" si="100"/>
        <v>20.9</v>
      </c>
      <c r="Z619" s="18" t="str">
        <f t="shared" si="101"/>
        <v>Low</v>
      </c>
      <c r="AA619" s="19" t="str">
        <f t="shared" si="102"/>
        <v>Eligible</v>
      </c>
      <c r="AB619" s="14" t="s">
        <v>85</v>
      </c>
      <c r="AC619" s="14">
        <v>0</v>
      </c>
      <c r="AD619" s="14" t="s">
        <v>93</v>
      </c>
      <c r="AE619" s="17">
        <v>14</v>
      </c>
      <c r="AF619" s="15">
        <v>0</v>
      </c>
      <c r="AG619" s="20">
        <f t="shared" si="103"/>
        <v>631677</v>
      </c>
      <c r="AH619" s="14">
        <v>0</v>
      </c>
      <c r="AI619" s="14" t="s">
        <v>75</v>
      </c>
      <c r="AJ619" s="14">
        <v>12</v>
      </c>
      <c r="AK619" s="21">
        <f t="shared" si="104"/>
        <v>0.36</v>
      </c>
      <c r="AL619" s="20">
        <f t="shared" si="105"/>
        <v>51156.19808160203</v>
      </c>
      <c r="AM619" s="22">
        <f t="shared" si="106"/>
        <v>0.80612243282563711</v>
      </c>
      <c r="AN619" s="20">
        <f t="shared" si="107"/>
        <v>54532.998081602032</v>
      </c>
      <c r="AO619" s="16">
        <f t="shared" si="108"/>
        <v>1.0359661298087857</v>
      </c>
      <c r="AP619" s="15">
        <v>0</v>
      </c>
      <c r="AQ619" s="18" t="str">
        <f t="shared" si="109"/>
        <v>N/A</v>
      </c>
      <c r="AR619" s="23">
        <v>46055</v>
      </c>
      <c r="AS619" s="14" t="s">
        <v>79</v>
      </c>
    </row>
    <row r="620" spans="1:45" x14ac:dyDescent="0.25">
      <c r="A620" s="14" t="s">
        <v>2021</v>
      </c>
      <c r="B620" s="14" t="s">
        <v>2022</v>
      </c>
      <c r="C620" s="14">
        <v>9497868623</v>
      </c>
      <c r="D620" s="15" t="s">
        <v>2031</v>
      </c>
      <c r="E620" s="14">
        <v>57</v>
      </c>
      <c r="F620" s="14" t="s">
        <v>89</v>
      </c>
      <c r="G620" s="14" t="s">
        <v>153</v>
      </c>
      <c r="H620" s="14" t="s">
        <v>103</v>
      </c>
      <c r="I620" s="14" t="s">
        <v>74</v>
      </c>
      <c r="J620" s="15">
        <v>1481505</v>
      </c>
      <c r="K620" s="14">
        <v>1</v>
      </c>
      <c r="L620" s="14" t="s">
        <v>76</v>
      </c>
      <c r="M620" s="14" t="s">
        <v>75</v>
      </c>
      <c r="N620" s="14" t="s">
        <v>75</v>
      </c>
      <c r="O620" s="14" t="s">
        <v>75</v>
      </c>
      <c r="P620" s="14">
        <v>568</v>
      </c>
      <c r="Q620" s="15">
        <v>738603</v>
      </c>
      <c r="R620" s="15">
        <v>25916.23</v>
      </c>
      <c r="S620" s="14" t="s">
        <v>21</v>
      </c>
      <c r="T620" s="15">
        <v>644095</v>
      </c>
      <c r="U620" s="16">
        <f t="shared" si="99"/>
        <v>0.20991813054967753</v>
      </c>
      <c r="V620" s="14">
        <v>2</v>
      </c>
      <c r="W620" s="17">
        <v>79.599999999999994</v>
      </c>
      <c r="X620" s="14">
        <v>11.9</v>
      </c>
      <c r="Y620" s="18">
        <f t="shared" si="100"/>
        <v>44.4</v>
      </c>
      <c r="Z620" s="18" t="str">
        <f t="shared" si="101"/>
        <v>Medium</v>
      </c>
      <c r="AA620" s="19" t="str">
        <f t="shared" si="102"/>
        <v>Review</v>
      </c>
      <c r="AB620" s="14" t="s">
        <v>85</v>
      </c>
      <c r="AC620" s="14">
        <v>0</v>
      </c>
      <c r="AD620" s="14" t="s">
        <v>93</v>
      </c>
      <c r="AE620" s="17">
        <v>18.2</v>
      </c>
      <c r="AF620" s="15">
        <v>605596</v>
      </c>
      <c r="AG620" s="20">
        <f t="shared" si="103"/>
        <v>2087101</v>
      </c>
      <c r="AH620" s="14">
        <v>2</v>
      </c>
      <c r="AI620" s="14" t="s">
        <v>76</v>
      </c>
      <c r="AJ620" s="14">
        <v>36</v>
      </c>
      <c r="AK620" s="21">
        <f t="shared" si="104"/>
        <v>0.15500000000000003</v>
      </c>
      <c r="AL620" s="20">
        <f t="shared" si="105"/>
        <v>22485.79509273333</v>
      </c>
      <c r="AM620" s="22">
        <f t="shared" si="106"/>
        <v>0.43475722322908122</v>
      </c>
      <c r="AN620" s="20">
        <f t="shared" si="107"/>
        <v>48402.025092733325</v>
      </c>
      <c r="AO620" s="16">
        <f t="shared" si="108"/>
        <v>0.39205017945454107</v>
      </c>
      <c r="AP620" s="15">
        <v>0</v>
      </c>
      <c r="AQ620" s="18" t="str">
        <f t="shared" si="109"/>
        <v>N/A</v>
      </c>
      <c r="AR620" s="23">
        <v>46036</v>
      </c>
      <c r="AS620" s="14" t="s">
        <v>79</v>
      </c>
    </row>
    <row r="621" spans="1:45" x14ac:dyDescent="0.25">
      <c r="A621" s="14" t="s">
        <v>2025</v>
      </c>
      <c r="B621" s="14" t="s">
        <v>1614</v>
      </c>
      <c r="C621" s="14">
        <v>9455158753</v>
      </c>
      <c r="D621" s="15" t="s">
        <v>2035</v>
      </c>
      <c r="E621" s="14">
        <v>47</v>
      </c>
      <c r="F621" s="14" t="s">
        <v>89</v>
      </c>
      <c r="G621" s="14" t="s">
        <v>127</v>
      </c>
      <c r="H621" s="14" t="s">
        <v>144</v>
      </c>
      <c r="I621" s="14" t="s">
        <v>92</v>
      </c>
      <c r="J621" s="15">
        <v>1018640</v>
      </c>
      <c r="K621" s="14">
        <v>2</v>
      </c>
      <c r="L621" s="14" t="s">
        <v>76</v>
      </c>
      <c r="M621" s="14" t="s">
        <v>76</v>
      </c>
      <c r="N621" s="14" t="s">
        <v>75</v>
      </c>
      <c r="O621" s="14" t="s">
        <v>75</v>
      </c>
      <c r="P621" s="14">
        <v>788</v>
      </c>
      <c r="Q621" s="15">
        <v>329692</v>
      </c>
      <c r="R621" s="15">
        <v>17688.79</v>
      </c>
      <c r="S621" s="14" t="s">
        <v>22</v>
      </c>
      <c r="T621" s="15"/>
      <c r="U621" s="16">
        <f t="shared" si="99"/>
        <v>0.20838125343595384</v>
      </c>
      <c r="V621" s="14">
        <v>0</v>
      </c>
      <c r="W621" s="17">
        <v>14.8</v>
      </c>
      <c r="X621" s="14">
        <v>0.3</v>
      </c>
      <c r="Y621" s="18">
        <f t="shared" si="100"/>
        <v>15.2</v>
      </c>
      <c r="Z621" s="18" t="str">
        <f t="shared" si="101"/>
        <v>Low</v>
      </c>
      <c r="AA621" s="19" t="str">
        <f t="shared" si="102"/>
        <v>Eligible</v>
      </c>
      <c r="AB621" s="14" t="s">
        <v>77</v>
      </c>
      <c r="AC621" s="14">
        <v>2</v>
      </c>
      <c r="AD621" s="14" t="s">
        <v>78</v>
      </c>
      <c r="AE621" s="17">
        <v>18.100000000000001</v>
      </c>
      <c r="AF621" s="15">
        <v>509053</v>
      </c>
      <c r="AG621" s="20">
        <f t="shared" si="103"/>
        <v>1527693</v>
      </c>
      <c r="AH621" s="14">
        <v>0</v>
      </c>
      <c r="AI621" s="14" t="s">
        <v>75</v>
      </c>
      <c r="AJ621" s="14">
        <v>72</v>
      </c>
      <c r="AK621" s="21">
        <f t="shared" si="104"/>
        <v>0.09</v>
      </c>
      <c r="AL621" s="20">
        <f t="shared" si="105"/>
        <v>0</v>
      </c>
      <c r="AM621" s="22">
        <f t="shared" si="106"/>
        <v>0</v>
      </c>
      <c r="AN621" s="20">
        <f t="shared" si="107"/>
        <v>17688.79</v>
      </c>
      <c r="AO621" s="16">
        <f t="shared" si="108"/>
        <v>0.20838125343595384</v>
      </c>
      <c r="AP621" s="15">
        <v>570085</v>
      </c>
      <c r="AQ621" s="18">
        <f t="shared" si="109"/>
        <v>0</v>
      </c>
      <c r="AR621" s="23">
        <v>46041</v>
      </c>
      <c r="AS621" s="14" t="s">
        <v>79</v>
      </c>
    </row>
    <row r="622" spans="1:45" x14ac:dyDescent="0.25">
      <c r="A622" s="14" t="s">
        <v>2028</v>
      </c>
      <c r="B622" s="14" t="s">
        <v>2029</v>
      </c>
      <c r="C622" s="14">
        <v>9366997758</v>
      </c>
      <c r="D622" s="15" t="s">
        <v>2039</v>
      </c>
      <c r="E622" s="14">
        <v>58</v>
      </c>
      <c r="F622" s="14" t="s">
        <v>71</v>
      </c>
      <c r="G622" s="14" t="s">
        <v>72</v>
      </c>
      <c r="H622" s="14" t="s">
        <v>166</v>
      </c>
      <c r="I622" s="14" t="s">
        <v>74</v>
      </c>
      <c r="J622" s="15">
        <v>1325229</v>
      </c>
      <c r="K622" s="14">
        <v>1</v>
      </c>
      <c r="L622" s="14" t="s">
        <v>76</v>
      </c>
      <c r="M622" s="14" t="s">
        <v>75</v>
      </c>
      <c r="N622" s="14" t="s">
        <v>75</v>
      </c>
      <c r="O622" s="14" t="s">
        <v>75</v>
      </c>
      <c r="P622" s="14">
        <v>690</v>
      </c>
      <c r="Q622" s="15"/>
      <c r="R622" s="15">
        <v>35171.589999999997</v>
      </c>
      <c r="S622" s="14" t="s">
        <v>21</v>
      </c>
      <c r="T622" s="15">
        <v>6032132</v>
      </c>
      <c r="U622" s="16">
        <f t="shared" si="99"/>
        <v>0.31848011173917862</v>
      </c>
      <c r="V622" s="14">
        <v>0</v>
      </c>
      <c r="W622" s="17">
        <v>7.6</v>
      </c>
      <c r="X622" s="14">
        <v>13.5</v>
      </c>
      <c r="Y622" s="18">
        <f t="shared" si="100"/>
        <v>24.3</v>
      </c>
      <c r="Z622" s="18" t="str">
        <f t="shared" si="101"/>
        <v>Low</v>
      </c>
      <c r="AA622" s="19" t="str">
        <f t="shared" si="102"/>
        <v>Eligible</v>
      </c>
      <c r="AB622" s="14" t="s">
        <v>77</v>
      </c>
      <c r="AC622" s="14">
        <v>0</v>
      </c>
      <c r="AD622" s="14" t="s">
        <v>93</v>
      </c>
      <c r="AE622" s="17">
        <v>6.4</v>
      </c>
      <c r="AF622" s="15">
        <v>0</v>
      </c>
      <c r="AG622" s="20">
        <f t="shared" si="103"/>
        <v>1325229</v>
      </c>
      <c r="AH622" s="14">
        <v>0</v>
      </c>
      <c r="AI622" s="14" t="s">
        <v>75</v>
      </c>
      <c r="AJ622" s="14">
        <v>36</v>
      </c>
      <c r="AK622" s="21">
        <f t="shared" si="104"/>
        <v>0.14000000000000001</v>
      </c>
      <c r="AL622" s="20">
        <f t="shared" si="105"/>
        <v>206163.9741475386</v>
      </c>
      <c r="AM622" s="22">
        <f t="shared" si="106"/>
        <v>4.5517657702932848</v>
      </c>
      <c r="AN622" s="20">
        <f t="shared" si="107"/>
        <v>241335.56414753859</v>
      </c>
      <c r="AO622" s="16">
        <f t="shared" si="108"/>
        <v>2.1853028946472368</v>
      </c>
      <c r="AP622" s="15">
        <v>0</v>
      </c>
      <c r="AQ622" s="18" t="str">
        <f t="shared" si="109"/>
        <v>N/A</v>
      </c>
      <c r="AR622" s="23">
        <v>46165</v>
      </c>
      <c r="AS622" s="14" t="s">
        <v>79</v>
      </c>
    </row>
    <row r="623" spans="1:45" x14ac:dyDescent="0.25">
      <c r="A623" s="14" t="s">
        <v>2032</v>
      </c>
      <c r="B623" s="14" t="s">
        <v>2033</v>
      </c>
      <c r="C623" s="14">
        <v>9570464462</v>
      </c>
      <c r="D623" s="15" t="s">
        <v>2042</v>
      </c>
      <c r="E623" s="14">
        <v>61</v>
      </c>
      <c r="F623" s="14" t="s">
        <v>89</v>
      </c>
      <c r="G623" s="14" t="s">
        <v>127</v>
      </c>
      <c r="H623" s="14" t="s">
        <v>144</v>
      </c>
      <c r="I623" s="14" t="s">
        <v>92</v>
      </c>
      <c r="J623" s="15">
        <v>2104574</v>
      </c>
      <c r="K623" s="14">
        <v>1</v>
      </c>
      <c r="L623" s="14" t="s">
        <v>75</v>
      </c>
      <c r="M623" s="14" t="s">
        <v>76</v>
      </c>
      <c r="N623" s="14" t="s">
        <v>75</v>
      </c>
      <c r="O623" s="14" t="s">
        <v>75</v>
      </c>
      <c r="P623" s="14">
        <v>370</v>
      </c>
      <c r="Q623" s="15"/>
      <c r="R623" s="15">
        <v>9419.77</v>
      </c>
      <c r="S623" s="14" t="s">
        <v>22</v>
      </c>
      <c r="T623" s="15">
        <v>904659</v>
      </c>
      <c r="U623" s="16">
        <f t="shared" si="99"/>
        <v>5.3710271057230585E-2</v>
      </c>
      <c r="V623" s="14">
        <v>0</v>
      </c>
      <c r="W623" s="17">
        <v>36.1</v>
      </c>
      <c r="X623" s="14">
        <v>5.9</v>
      </c>
      <c r="Y623" s="18">
        <f t="shared" si="100"/>
        <v>40.6</v>
      </c>
      <c r="Z623" s="18" t="str">
        <f t="shared" si="101"/>
        <v>Medium</v>
      </c>
      <c r="AA623" s="19" t="str">
        <f t="shared" si="102"/>
        <v>Not Eligible</v>
      </c>
      <c r="AB623" s="14" t="s">
        <v>85</v>
      </c>
      <c r="AC623" s="14">
        <v>0</v>
      </c>
      <c r="AD623" s="14" t="s">
        <v>93</v>
      </c>
      <c r="AE623" s="17">
        <v>11.3</v>
      </c>
      <c r="AF623" s="15">
        <v>0</v>
      </c>
      <c r="AG623" s="20">
        <f t="shared" si="103"/>
        <v>2104574</v>
      </c>
      <c r="AH623" s="14">
        <v>0</v>
      </c>
      <c r="AI623" s="14" t="s">
        <v>75</v>
      </c>
      <c r="AJ623" s="14">
        <v>60</v>
      </c>
      <c r="AK623" s="21">
        <f t="shared" si="104"/>
        <v>0.105</v>
      </c>
      <c r="AL623" s="20">
        <f t="shared" si="105"/>
        <v>19444.650422167364</v>
      </c>
      <c r="AM623" s="22">
        <f t="shared" si="106"/>
        <v>0.42985373762101026</v>
      </c>
      <c r="AN623" s="20">
        <f t="shared" si="107"/>
        <v>28864.420422167364</v>
      </c>
      <c r="AO623" s="16">
        <f t="shared" si="108"/>
        <v>0.1645810720202798</v>
      </c>
      <c r="AP623" s="15">
        <v>753470</v>
      </c>
      <c r="AQ623" s="18">
        <f t="shared" si="109"/>
        <v>1.2006569604629249</v>
      </c>
      <c r="AR623" s="23">
        <v>46238</v>
      </c>
      <c r="AS623" s="14" t="s">
        <v>79</v>
      </c>
    </row>
    <row r="624" spans="1:45" x14ac:dyDescent="0.25">
      <c r="A624" s="14" t="s">
        <v>2036</v>
      </c>
      <c r="B624" s="14" t="s">
        <v>2037</v>
      </c>
      <c r="C624" s="14">
        <v>9246342612</v>
      </c>
      <c r="D624" s="15" t="s">
        <v>2046</v>
      </c>
      <c r="E624" s="14">
        <v>50</v>
      </c>
      <c r="F624" s="14" t="s">
        <v>89</v>
      </c>
      <c r="G624" s="14" t="s">
        <v>98</v>
      </c>
      <c r="H624" s="14" t="s">
        <v>84</v>
      </c>
      <c r="I624" s="14" t="s">
        <v>74</v>
      </c>
      <c r="J624" s="15">
        <v>2005309</v>
      </c>
      <c r="K624" s="14">
        <v>2</v>
      </c>
      <c r="L624" s="14" t="s">
        <v>76</v>
      </c>
      <c r="M624" s="14" t="s">
        <v>76</v>
      </c>
      <c r="N624" s="14" t="s">
        <v>75</v>
      </c>
      <c r="O624" s="14" t="s">
        <v>75</v>
      </c>
      <c r="P624" s="14">
        <v>893</v>
      </c>
      <c r="Q624" s="15">
        <v>306219.38</v>
      </c>
      <c r="R624" s="15">
        <v>8477.06</v>
      </c>
      <c r="S624" s="14" t="s">
        <v>23</v>
      </c>
      <c r="T624" s="15">
        <v>371444</v>
      </c>
      <c r="U624" s="16">
        <f t="shared" si="99"/>
        <v>5.0727703311559465E-2</v>
      </c>
      <c r="V624" s="14">
        <v>3</v>
      </c>
      <c r="W624" s="17">
        <v>8.1</v>
      </c>
      <c r="X624" s="14">
        <v>11.9</v>
      </c>
      <c r="Y624" s="18">
        <f t="shared" si="100"/>
        <v>14.8</v>
      </c>
      <c r="Z624" s="18" t="str">
        <f t="shared" si="101"/>
        <v>Low</v>
      </c>
      <c r="AA624" s="19" t="str">
        <f t="shared" si="102"/>
        <v>Review</v>
      </c>
      <c r="AB624" s="14" t="s">
        <v>161</v>
      </c>
      <c r="AC624" s="14">
        <v>2</v>
      </c>
      <c r="AD624" s="14" t="s">
        <v>93</v>
      </c>
      <c r="AE624" s="17">
        <v>26</v>
      </c>
      <c r="AF624" s="15">
        <v>0</v>
      </c>
      <c r="AG624" s="20">
        <f t="shared" si="103"/>
        <v>2005309</v>
      </c>
      <c r="AH624" s="14">
        <v>0</v>
      </c>
      <c r="AI624" s="14" t="s">
        <v>75</v>
      </c>
      <c r="AJ624" s="14">
        <v>120</v>
      </c>
      <c r="AK624" s="21">
        <f t="shared" si="104"/>
        <v>8.5000000000000006E-2</v>
      </c>
      <c r="AL624" s="20">
        <f t="shared" si="105"/>
        <v>4605.374021830391</v>
      </c>
      <c r="AM624" s="22">
        <f t="shared" si="106"/>
        <v>0.18523030615231867</v>
      </c>
      <c r="AN624" s="20">
        <f t="shared" si="107"/>
        <v>13082.434021830391</v>
      </c>
      <c r="AO624" s="16">
        <f t="shared" si="108"/>
        <v>7.8286791842037656E-2</v>
      </c>
      <c r="AP624" s="15">
        <v>7167667</v>
      </c>
      <c r="AQ624" s="18">
        <f t="shared" si="109"/>
        <v>5.1822161939163745E-2</v>
      </c>
      <c r="AR624" s="23">
        <v>46229</v>
      </c>
      <c r="AS624" s="14" t="s">
        <v>79</v>
      </c>
    </row>
    <row r="625" spans="1:45" x14ac:dyDescent="0.25">
      <c r="A625" s="14" t="s">
        <v>2040</v>
      </c>
      <c r="B625" s="14" t="s">
        <v>849</v>
      </c>
      <c r="C625" s="14"/>
      <c r="D625" s="15" t="s">
        <v>2048</v>
      </c>
      <c r="E625" s="14">
        <v>25</v>
      </c>
      <c r="F625" s="14" t="s">
        <v>89</v>
      </c>
      <c r="G625" s="14" t="s">
        <v>215</v>
      </c>
      <c r="H625" s="14" t="s">
        <v>91</v>
      </c>
      <c r="I625" s="14" t="s">
        <v>92</v>
      </c>
      <c r="J625" s="15">
        <v>457453</v>
      </c>
      <c r="K625" s="14">
        <v>2</v>
      </c>
      <c r="L625" s="14" t="s">
        <v>76</v>
      </c>
      <c r="M625" s="14" t="s">
        <v>75</v>
      </c>
      <c r="N625" s="14" t="s">
        <v>76</v>
      </c>
      <c r="O625" s="14" t="s">
        <v>75</v>
      </c>
      <c r="P625" s="14">
        <v>675</v>
      </c>
      <c r="Q625" s="15"/>
      <c r="R625" s="15">
        <v>11817.87</v>
      </c>
      <c r="S625" s="14" t="s">
        <v>21</v>
      </c>
      <c r="T625" s="15">
        <v>1261444</v>
      </c>
      <c r="U625" s="16">
        <f t="shared" si="99"/>
        <v>0.3100087659278658</v>
      </c>
      <c r="V625" s="14">
        <v>1</v>
      </c>
      <c r="W625" s="17">
        <v>94.7</v>
      </c>
      <c r="X625" s="14">
        <v>6.4</v>
      </c>
      <c r="Y625" s="18">
        <f t="shared" si="100"/>
        <v>37.799999999999997</v>
      </c>
      <c r="Z625" s="18" t="str">
        <f t="shared" si="101"/>
        <v>Medium</v>
      </c>
      <c r="AA625" s="19" t="str">
        <f t="shared" si="102"/>
        <v>Eligible</v>
      </c>
      <c r="AB625" s="14" t="s">
        <v>85</v>
      </c>
      <c r="AC625" s="14">
        <v>1</v>
      </c>
      <c r="AD625" s="14" t="s">
        <v>78</v>
      </c>
      <c r="AE625" s="17">
        <v>3.5</v>
      </c>
      <c r="AF625" s="15">
        <v>0</v>
      </c>
      <c r="AG625" s="20">
        <f t="shared" si="103"/>
        <v>457453</v>
      </c>
      <c r="AH625" s="14">
        <v>0</v>
      </c>
      <c r="AI625" s="14" t="s">
        <v>75</v>
      </c>
      <c r="AJ625" s="14">
        <v>60</v>
      </c>
      <c r="AK625" s="21">
        <f t="shared" si="104"/>
        <v>0.15500000000000003</v>
      </c>
      <c r="AL625" s="20">
        <f t="shared" si="105"/>
        <v>30341.75356835124</v>
      </c>
      <c r="AM625" s="22">
        <f t="shared" si="106"/>
        <v>2.7575379328586762</v>
      </c>
      <c r="AN625" s="20">
        <f t="shared" si="107"/>
        <v>42159.623568351242</v>
      </c>
      <c r="AO625" s="16">
        <f t="shared" si="108"/>
        <v>1.1059398076309805</v>
      </c>
      <c r="AP625" s="15">
        <v>0</v>
      </c>
      <c r="AQ625" s="18" t="str">
        <f t="shared" si="109"/>
        <v>N/A</v>
      </c>
      <c r="AR625" s="23">
        <v>45973</v>
      </c>
      <c r="AS625" s="14" t="s">
        <v>79</v>
      </c>
    </row>
    <row r="626" spans="1:45" x14ac:dyDescent="0.25">
      <c r="A626" s="14" t="s">
        <v>2043</v>
      </c>
      <c r="B626" s="14" t="s">
        <v>2044</v>
      </c>
      <c r="C626" s="14">
        <v>9875469593</v>
      </c>
      <c r="D626" s="15" t="s">
        <v>2050</v>
      </c>
      <c r="E626" s="14">
        <v>42</v>
      </c>
      <c r="F626" s="14" t="s">
        <v>89</v>
      </c>
      <c r="G626" s="14" t="s">
        <v>139</v>
      </c>
      <c r="H626" s="14" t="s">
        <v>91</v>
      </c>
      <c r="I626" s="14" t="s">
        <v>92</v>
      </c>
      <c r="J626" s="15">
        <v>1157362</v>
      </c>
      <c r="K626" s="14">
        <v>2</v>
      </c>
      <c r="L626" s="14" t="s">
        <v>75</v>
      </c>
      <c r="M626" s="14" t="s">
        <v>76</v>
      </c>
      <c r="N626" s="14" t="s">
        <v>76</v>
      </c>
      <c r="O626" s="14" t="s">
        <v>75</v>
      </c>
      <c r="P626" s="14">
        <v>779</v>
      </c>
      <c r="Q626" s="15">
        <v>1320167.53</v>
      </c>
      <c r="R626" s="15">
        <v>5279.64</v>
      </c>
      <c r="S626" s="14" t="s">
        <v>20</v>
      </c>
      <c r="T626" s="15">
        <v>4517891</v>
      </c>
      <c r="U626" s="16">
        <f t="shared" si="99"/>
        <v>5.4741455136767932E-2</v>
      </c>
      <c r="V626" s="14">
        <v>4</v>
      </c>
      <c r="W626" s="17">
        <v>79.400000000000006</v>
      </c>
      <c r="X626" s="14">
        <v>5.6</v>
      </c>
      <c r="Y626" s="18">
        <f t="shared" si="100"/>
        <v>33.6</v>
      </c>
      <c r="Z626" s="18" t="str">
        <f t="shared" si="101"/>
        <v>Medium</v>
      </c>
      <c r="AA626" s="19" t="str">
        <f t="shared" si="102"/>
        <v>Review</v>
      </c>
      <c r="AB626" s="14" t="s">
        <v>77</v>
      </c>
      <c r="AC626" s="14">
        <v>1</v>
      </c>
      <c r="AD626" s="14" t="s">
        <v>78</v>
      </c>
      <c r="AE626" s="17">
        <v>16.399999999999999</v>
      </c>
      <c r="AF626" s="15">
        <v>0</v>
      </c>
      <c r="AG626" s="20">
        <f t="shared" si="103"/>
        <v>1157362</v>
      </c>
      <c r="AH626" s="14">
        <v>0</v>
      </c>
      <c r="AI626" s="14" t="s">
        <v>75</v>
      </c>
      <c r="AJ626" s="14">
        <v>18</v>
      </c>
      <c r="AK626" s="21">
        <f t="shared" si="104"/>
        <v>0.375</v>
      </c>
      <c r="AL626" s="20">
        <f t="shared" si="105"/>
        <v>331971.28197782976</v>
      </c>
      <c r="AM626" s="22">
        <f t="shared" si="106"/>
        <v>3.9036109704655932</v>
      </c>
      <c r="AN626" s="20">
        <f t="shared" si="107"/>
        <v>337250.92197782977</v>
      </c>
      <c r="AO626" s="16">
        <f t="shared" si="108"/>
        <v>3.4967547437482458</v>
      </c>
      <c r="AP626" s="15">
        <v>0</v>
      </c>
      <c r="AQ626" s="18" t="str">
        <f t="shared" si="109"/>
        <v>N/A</v>
      </c>
      <c r="AR626" s="23">
        <v>45924</v>
      </c>
      <c r="AS626" s="14" t="s">
        <v>79</v>
      </c>
    </row>
    <row r="627" spans="1:45" x14ac:dyDescent="0.25">
      <c r="A627" s="14" t="s">
        <v>2047</v>
      </c>
      <c r="B627" s="14" t="s">
        <v>1277</v>
      </c>
      <c r="C627" s="14">
        <v>9523272165</v>
      </c>
      <c r="D627" s="15" t="s">
        <v>2052</v>
      </c>
      <c r="E627" s="14">
        <v>32</v>
      </c>
      <c r="F627" s="14" t="s">
        <v>71</v>
      </c>
      <c r="G627" s="14" t="s">
        <v>83</v>
      </c>
      <c r="H627" s="14" t="s">
        <v>84</v>
      </c>
      <c r="I627" s="14" t="s">
        <v>74</v>
      </c>
      <c r="J627" s="15">
        <v>2345294</v>
      </c>
      <c r="K627" s="14">
        <v>2</v>
      </c>
      <c r="L627" s="14" t="s">
        <v>76</v>
      </c>
      <c r="M627" s="14" t="s">
        <v>76</v>
      </c>
      <c r="N627" s="14" t="s">
        <v>75</v>
      </c>
      <c r="O627" s="14" t="s">
        <v>75</v>
      </c>
      <c r="P627" s="14">
        <v>434</v>
      </c>
      <c r="Q627" s="15">
        <v>637621</v>
      </c>
      <c r="R627" s="15">
        <v>1427.57</v>
      </c>
      <c r="S627" s="14" t="s">
        <v>22</v>
      </c>
      <c r="T627" s="15">
        <v>138642</v>
      </c>
      <c r="U627" s="16">
        <f t="shared" si="99"/>
        <v>7.3043464913140951E-3</v>
      </c>
      <c r="V627" s="14">
        <v>0</v>
      </c>
      <c r="W627" s="17">
        <v>97.4</v>
      </c>
      <c r="X627" s="14">
        <v>8.8000000000000007</v>
      </c>
      <c r="Y627" s="18">
        <f t="shared" si="100"/>
        <v>41</v>
      </c>
      <c r="Z627" s="18" t="str">
        <f t="shared" si="101"/>
        <v>Medium</v>
      </c>
      <c r="AA627" s="19" t="str">
        <f t="shared" si="102"/>
        <v>Not Eligible</v>
      </c>
      <c r="AB627" s="14" t="s">
        <v>77</v>
      </c>
      <c r="AC627" s="14">
        <v>4</v>
      </c>
      <c r="AD627" s="14" t="s">
        <v>93</v>
      </c>
      <c r="AE627" s="17">
        <v>1.3</v>
      </c>
      <c r="AF627" s="15">
        <v>0</v>
      </c>
      <c r="AG627" s="20">
        <f t="shared" si="103"/>
        <v>2345294</v>
      </c>
      <c r="AH627" s="14">
        <v>3</v>
      </c>
      <c r="AI627" s="14" t="s">
        <v>75</v>
      </c>
      <c r="AJ627" s="14">
        <v>36</v>
      </c>
      <c r="AK627" s="21">
        <f t="shared" si="104"/>
        <v>0.105</v>
      </c>
      <c r="AL627" s="20">
        <f t="shared" si="105"/>
        <v>4506.2037723768053</v>
      </c>
      <c r="AM627" s="22">
        <f t="shared" si="106"/>
        <v>5.9114976629795667E-2</v>
      </c>
      <c r="AN627" s="20">
        <f t="shared" si="107"/>
        <v>5933.773772376805</v>
      </c>
      <c r="AO627" s="16">
        <f t="shared" si="108"/>
        <v>3.0360920749603958E-2</v>
      </c>
      <c r="AP627" s="15">
        <v>1398355</v>
      </c>
      <c r="AQ627" s="18">
        <f t="shared" si="109"/>
        <v>9.9146497134132608E-2</v>
      </c>
      <c r="AR627" s="23">
        <v>46086</v>
      </c>
      <c r="AS627" s="14" t="s">
        <v>79</v>
      </c>
    </row>
    <row r="628" spans="1:45" x14ac:dyDescent="0.25">
      <c r="A628" s="14" t="s">
        <v>2049</v>
      </c>
      <c r="B628" s="14" t="s">
        <v>609</v>
      </c>
      <c r="C628" s="14">
        <v>9587923963</v>
      </c>
      <c r="D628" s="15" t="s">
        <v>2055</v>
      </c>
      <c r="E628" s="14">
        <v>63</v>
      </c>
      <c r="F628" s="14" t="s">
        <v>89</v>
      </c>
      <c r="G628" s="14" t="s">
        <v>139</v>
      </c>
      <c r="H628" s="14" t="s">
        <v>107</v>
      </c>
      <c r="I628" s="14" t="s">
        <v>92</v>
      </c>
      <c r="J628" s="15">
        <v>2376986</v>
      </c>
      <c r="K628" s="14">
        <v>3</v>
      </c>
      <c r="L628" s="14" t="s">
        <v>76</v>
      </c>
      <c r="M628" s="14" t="s">
        <v>76</v>
      </c>
      <c r="N628" s="14" t="s">
        <v>76</v>
      </c>
      <c r="O628" s="14" t="s">
        <v>75</v>
      </c>
      <c r="P628" s="14">
        <v>487</v>
      </c>
      <c r="Q628" s="15"/>
      <c r="R628" s="15">
        <v>88011.17</v>
      </c>
      <c r="S628" s="14" t="s">
        <v>23</v>
      </c>
      <c r="T628" s="15"/>
      <c r="U628" s="16">
        <f t="shared" si="99"/>
        <v>0.44431647472892144</v>
      </c>
      <c r="V628" s="14">
        <v>1</v>
      </c>
      <c r="W628" s="17">
        <v>26.6</v>
      </c>
      <c r="X628" s="14">
        <v>13.1</v>
      </c>
      <c r="Y628" s="18">
        <f t="shared" si="100"/>
        <v>47.5</v>
      </c>
      <c r="Z628" s="18" t="str">
        <f t="shared" si="101"/>
        <v>Medium</v>
      </c>
      <c r="AA628" s="19" t="str">
        <f t="shared" si="102"/>
        <v>Not Eligible</v>
      </c>
      <c r="AB628" s="14" t="s">
        <v>85</v>
      </c>
      <c r="AC628" s="14">
        <v>2</v>
      </c>
      <c r="AD628" s="14" t="s">
        <v>93</v>
      </c>
      <c r="AE628" s="17">
        <v>4.7</v>
      </c>
      <c r="AF628" s="15">
        <v>0</v>
      </c>
      <c r="AG628" s="20">
        <f t="shared" si="103"/>
        <v>2376986</v>
      </c>
      <c r="AH628" s="14">
        <v>3</v>
      </c>
      <c r="AI628" s="14" t="s">
        <v>75</v>
      </c>
      <c r="AJ628" s="14">
        <v>240</v>
      </c>
      <c r="AK628" s="21">
        <f t="shared" si="104"/>
        <v>0.1</v>
      </c>
      <c r="AL628" s="20">
        <f t="shared" si="105"/>
        <v>0</v>
      </c>
      <c r="AM628" s="22">
        <f t="shared" si="106"/>
        <v>0</v>
      </c>
      <c r="AN628" s="20">
        <f t="shared" si="107"/>
        <v>88011.17</v>
      </c>
      <c r="AO628" s="16">
        <f t="shared" si="108"/>
        <v>0.44431647472892144</v>
      </c>
      <c r="AP628" s="15">
        <v>5871900</v>
      </c>
      <c r="AQ628" s="18">
        <f t="shared" si="109"/>
        <v>0</v>
      </c>
      <c r="AR628" s="23">
        <v>46194</v>
      </c>
      <c r="AS628" s="14" t="s">
        <v>79</v>
      </c>
    </row>
    <row r="629" spans="1:45" x14ac:dyDescent="0.25">
      <c r="A629" s="14" t="s">
        <v>2051</v>
      </c>
      <c r="B629" s="14" t="s">
        <v>1168</v>
      </c>
      <c r="C629" s="14"/>
      <c r="D629" s="15" t="s">
        <v>2058</v>
      </c>
      <c r="E629" s="14">
        <v>39</v>
      </c>
      <c r="F629" s="14" t="s">
        <v>89</v>
      </c>
      <c r="G629" s="14" t="s">
        <v>314</v>
      </c>
      <c r="H629" s="14" t="s">
        <v>132</v>
      </c>
      <c r="I629" s="14" t="s">
        <v>92</v>
      </c>
      <c r="J629" s="15">
        <v>1337693</v>
      </c>
      <c r="K629" s="14">
        <v>1</v>
      </c>
      <c r="L629" s="14" t="s">
        <v>76</v>
      </c>
      <c r="M629" s="14" t="s">
        <v>75</v>
      </c>
      <c r="N629" s="14" t="s">
        <v>75</v>
      </c>
      <c r="O629" s="14" t="s">
        <v>75</v>
      </c>
      <c r="P629" s="14">
        <v>378</v>
      </c>
      <c r="Q629" s="15">
        <v>81387.320000000007</v>
      </c>
      <c r="R629" s="15">
        <v>35423.410000000003</v>
      </c>
      <c r="S629" s="14" t="s">
        <v>21</v>
      </c>
      <c r="T629" s="15">
        <v>1353196</v>
      </c>
      <c r="U629" s="16">
        <f t="shared" si="99"/>
        <v>0.31777165612737757</v>
      </c>
      <c r="V629" s="14">
        <v>0</v>
      </c>
      <c r="W629" s="17">
        <v>9.5</v>
      </c>
      <c r="X629" s="14">
        <v>8.1</v>
      </c>
      <c r="Y629" s="18">
        <f t="shared" si="100"/>
        <v>45.3</v>
      </c>
      <c r="Z629" s="18" t="str">
        <f t="shared" si="101"/>
        <v>Medium</v>
      </c>
      <c r="AA629" s="19" t="str">
        <f t="shared" si="102"/>
        <v>Not Eligible</v>
      </c>
      <c r="AB629" s="14" t="s">
        <v>161</v>
      </c>
      <c r="AC629" s="14">
        <v>0</v>
      </c>
      <c r="AD629" s="14" t="s">
        <v>93</v>
      </c>
      <c r="AE629" s="17">
        <v>17.7</v>
      </c>
      <c r="AF629" s="15">
        <v>0</v>
      </c>
      <c r="AG629" s="20">
        <f t="shared" si="103"/>
        <v>1337693</v>
      </c>
      <c r="AH629" s="14">
        <v>2</v>
      </c>
      <c r="AI629" s="14" t="s">
        <v>75</v>
      </c>
      <c r="AJ629" s="14">
        <v>12</v>
      </c>
      <c r="AK629" s="21">
        <f t="shared" si="104"/>
        <v>0.15500000000000003</v>
      </c>
      <c r="AL629" s="20">
        <f t="shared" si="105"/>
        <v>122456.68227295138</v>
      </c>
      <c r="AM629" s="22">
        <f t="shared" si="106"/>
        <v>1.0115893557041862</v>
      </c>
      <c r="AN629" s="20">
        <f t="shared" si="107"/>
        <v>157880.09227295138</v>
      </c>
      <c r="AO629" s="16">
        <f t="shared" si="108"/>
        <v>1.4162899165020797</v>
      </c>
      <c r="AP629" s="15">
        <v>0</v>
      </c>
      <c r="AQ629" s="18" t="str">
        <f t="shared" si="109"/>
        <v>N/A</v>
      </c>
      <c r="AR629" s="23">
        <v>46237</v>
      </c>
      <c r="AS629" s="14" t="s">
        <v>79</v>
      </c>
    </row>
    <row r="630" spans="1:45" x14ac:dyDescent="0.25">
      <c r="A630" s="14" t="s">
        <v>2053</v>
      </c>
      <c r="B630" s="14" t="s">
        <v>2054</v>
      </c>
      <c r="C630" s="14">
        <v>9946133097</v>
      </c>
      <c r="D630" s="15" t="s">
        <v>2062</v>
      </c>
      <c r="E630" s="14">
        <v>52</v>
      </c>
      <c r="F630" s="14" t="s">
        <v>89</v>
      </c>
      <c r="G630" s="14" t="s">
        <v>90</v>
      </c>
      <c r="H630" s="14" t="s">
        <v>91</v>
      </c>
      <c r="I630" s="14" t="s">
        <v>92</v>
      </c>
      <c r="J630" s="15">
        <v>933552</v>
      </c>
      <c r="K630" s="14">
        <v>1</v>
      </c>
      <c r="L630" s="14" t="s">
        <v>76</v>
      </c>
      <c r="M630" s="14" t="s">
        <v>75</v>
      </c>
      <c r="N630" s="14" t="s">
        <v>75</v>
      </c>
      <c r="O630" s="14" t="s">
        <v>75</v>
      </c>
      <c r="P630" s="14">
        <v>663</v>
      </c>
      <c r="Q630" s="15">
        <v>519685</v>
      </c>
      <c r="R630" s="15">
        <v>3119.28</v>
      </c>
      <c r="S630" s="14" t="s">
        <v>20</v>
      </c>
      <c r="T630" s="15">
        <v>524323</v>
      </c>
      <c r="U630" s="16">
        <f t="shared" si="99"/>
        <v>4.0095634737004476E-2</v>
      </c>
      <c r="V630" s="14">
        <v>0</v>
      </c>
      <c r="W630" s="17">
        <v>21.7</v>
      </c>
      <c r="X630" s="14">
        <v>13.6</v>
      </c>
      <c r="Y630" s="18">
        <f t="shared" si="100"/>
        <v>19.2</v>
      </c>
      <c r="Z630" s="18" t="str">
        <f t="shared" si="101"/>
        <v>Low</v>
      </c>
      <c r="AA630" s="19" t="str">
        <f t="shared" si="102"/>
        <v>Eligible</v>
      </c>
      <c r="AB630" s="14" t="s">
        <v>77</v>
      </c>
      <c r="AC630" s="14">
        <v>2</v>
      </c>
      <c r="AD630" s="14" t="s">
        <v>78</v>
      </c>
      <c r="AE630" s="17">
        <v>16.899999999999999</v>
      </c>
      <c r="AF630" s="15">
        <v>166098</v>
      </c>
      <c r="AG630" s="20">
        <f t="shared" si="103"/>
        <v>1099650</v>
      </c>
      <c r="AH630" s="14">
        <v>2</v>
      </c>
      <c r="AI630" s="14" t="s">
        <v>75</v>
      </c>
      <c r="AJ630" s="14">
        <v>12</v>
      </c>
      <c r="AK630" s="21">
        <f t="shared" si="104"/>
        <v>0.36</v>
      </c>
      <c r="AL630" s="20">
        <f t="shared" si="105"/>
        <v>52674.582041440393</v>
      </c>
      <c r="AM630" s="22">
        <f t="shared" si="106"/>
        <v>0.5616430579121463</v>
      </c>
      <c r="AN630" s="20">
        <f t="shared" si="107"/>
        <v>55793.862041440392</v>
      </c>
      <c r="AO630" s="16">
        <f t="shared" si="108"/>
        <v>0.71718162940820085</v>
      </c>
      <c r="AP630" s="15">
        <v>0</v>
      </c>
      <c r="AQ630" s="18" t="str">
        <f t="shared" si="109"/>
        <v>N/A</v>
      </c>
      <c r="AR630" s="23">
        <v>46087</v>
      </c>
      <c r="AS630" s="14" t="s">
        <v>79</v>
      </c>
    </row>
    <row r="631" spans="1:45" x14ac:dyDescent="0.25">
      <c r="A631" s="14" t="s">
        <v>2056</v>
      </c>
      <c r="B631" s="14" t="s">
        <v>2057</v>
      </c>
      <c r="C631" s="14">
        <v>9878599985</v>
      </c>
      <c r="D631" s="15" t="s">
        <v>2065</v>
      </c>
      <c r="E631" s="14">
        <v>58</v>
      </c>
      <c r="F631" s="14" t="s">
        <v>89</v>
      </c>
      <c r="G631" s="14" t="s">
        <v>388</v>
      </c>
      <c r="H631" s="14" t="s">
        <v>91</v>
      </c>
      <c r="I631" s="14" t="s">
        <v>92</v>
      </c>
      <c r="J631" s="15">
        <v>306323</v>
      </c>
      <c r="K631" s="14">
        <v>1</v>
      </c>
      <c r="L631" s="14" t="s">
        <v>75</v>
      </c>
      <c r="M631" s="14" t="s">
        <v>75</v>
      </c>
      <c r="N631" s="14" t="s">
        <v>76</v>
      </c>
      <c r="O631" s="14" t="s">
        <v>75</v>
      </c>
      <c r="P631" s="14">
        <v>609</v>
      </c>
      <c r="Q631" s="15">
        <v>97760.41</v>
      </c>
      <c r="R631" s="15">
        <v>6260.56</v>
      </c>
      <c r="S631" s="14" t="s">
        <v>22</v>
      </c>
      <c r="T631" s="15"/>
      <c r="U631" s="16">
        <f t="shared" si="99"/>
        <v>0.24525327840220942</v>
      </c>
      <c r="V631" s="14">
        <v>3</v>
      </c>
      <c r="W631" s="17">
        <v>52.4</v>
      </c>
      <c r="X631" s="14">
        <v>9.1</v>
      </c>
      <c r="Y631" s="18">
        <f t="shared" si="100"/>
        <v>44</v>
      </c>
      <c r="Z631" s="18" t="str">
        <f t="shared" si="101"/>
        <v>Medium</v>
      </c>
      <c r="AA631" s="19" t="str">
        <f t="shared" si="102"/>
        <v>Review</v>
      </c>
      <c r="AB631" s="14" t="s">
        <v>77</v>
      </c>
      <c r="AC631" s="14">
        <v>0</v>
      </c>
      <c r="AD631" s="14" t="s">
        <v>93</v>
      </c>
      <c r="AE631" s="17">
        <v>24.2</v>
      </c>
      <c r="AF631" s="15">
        <v>430643</v>
      </c>
      <c r="AG631" s="20">
        <f t="shared" si="103"/>
        <v>736966</v>
      </c>
      <c r="AH631" s="14">
        <v>1</v>
      </c>
      <c r="AI631" s="14" t="s">
        <v>75</v>
      </c>
      <c r="AJ631" s="14">
        <v>84</v>
      </c>
      <c r="AK631" s="21">
        <f t="shared" si="104"/>
        <v>0.105</v>
      </c>
      <c r="AL631" s="20">
        <f t="shared" si="105"/>
        <v>0</v>
      </c>
      <c r="AM631" s="22">
        <f t="shared" si="106"/>
        <v>0</v>
      </c>
      <c r="AN631" s="20">
        <f t="shared" si="107"/>
        <v>6260.56</v>
      </c>
      <c r="AO631" s="16">
        <f t="shared" si="108"/>
        <v>0.24525327840220942</v>
      </c>
      <c r="AP631" s="15">
        <v>1515407</v>
      </c>
      <c r="AQ631" s="18">
        <f t="shared" si="109"/>
        <v>0</v>
      </c>
      <c r="AR631" s="23">
        <v>46208</v>
      </c>
      <c r="AS631" s="14" t="s">
        <v>79</v>
      </c>
    </row>
    <row r="632" spans="1:45" x14ac:dyDescent="0.25">
      <c r="A632" s="14" t="s">
        <v>2059</v>
      </c>
      <c r="B632" s="14" t="s">
        <v>2060</v>
      </c>
      <c r="C632" s="14">
        <v>9793966999</v>
      </c>
      <c r="D632" s="15" t="s">
        <v>2068</v>
      </c>
      <c r="E632" s="14">
        <v>52</v>
      </c>
      <c r="F632" s="14" t="s">
        <v>89</v>
      </c>
      <c r="G632" s="14" t="s">
        <v>98</v>
      </c>
      <c r="H632" s="14" t="s">
        <v>99</v>
      </c>
      <c r="I632" s="14" t="s">
        <v>74</v>
      </c>
      <c r="J632" s="15">
        <v>2091549</v>
      </c>
      <c r="K632" s="14">
        <v>1</v>
      </c>
      <c r="L632" s="14" t="s">
        <v>75</v>
      </c>
      <c r="M632" s="14" t="s">
        <v>76</v>
      </c>
      <c r="N632" s="14" t="s">
        <v>75</v>
      </c>
      <c r="O632" s="14" t="s">
        <v>75</v>
      </c>
      <c r="P632" s="14">
        <v>624</v>
      </c>
      <c r="Q632" s="15">
        <v>240065</v>
      </c>
      <c r="R632" s="15">
        <v>17920.169999999998</v>
      </c>
      <c r="S632" s="14" t="s">
        <v>21</v>
      </c>
      <c r="T632" s="15">
        <v>117352</v>
      </c>
      <c r="U632" s="16">
        <f t="shared" si="99"/>
        <v>0.10281472726672909</v>
      </c>
      <c r="V632" s="14">
        <v>5</v>
      </c>
      <c r="W632" s="17">
        <v>50</v>
      </c>
      <c r="X632" s="14">
        <v>12</v>
      </c>
      <c r="Y632" s="18">
        <f t="shared" si="100"/>
        <v>46.5</v>
      </c>
      <c r="Z632" s="18" t="str">
        <f t="shared" si="101"/>
        <v>Medium</v>
      </c>
      <c r="AA632" s="19" t="str">
        <f t="shared" si="102"/>
        <v>Not Eligible</v>
      </c>
      <c r="AB632" s="14" t="s">
        <v>85</v>
      </c>
      <c r="AC632" s="14">
        <v>1</v>
      </c>
      <c r="AD632" s="14" t="s">
        <v>78</v>
      </c>
      <c r="AE632" s="17">
        <v>12.7</v>
      </c>
      <c r="AF632" s="15">
        <v>0</v>
      </c>
      <c r="AG632" s="20">
        <f t="shared" si="103"/>
        <v>2091549</v>
      </c>
      <c r="AH632" s="14">
        <v>0</v>
      </c>
      <c r="AI632" s="14" t="s">
        <v>75</v>
      </c>
      <c r="AJ632" s="14">
        <v>60</v>
      </c>
      <c r="AK632" s="21">
        <f t="shared" si="104"/>
        <v>0.15500000000000003</v>
      </c>
      <c r="AL632" s="20">
        <f t="shared" si="105"/>
        <v>2822.6900795858987</v>
      </c>
      <c r="AM632" s="22">
        <f t="shared" si="106"/>
        <v>5.61076981701122E-2</v>
      </c>
      <c r="AN632" s="20">
        <f t="shared" si="107"/>
        <v>20742.860079585898</v>
      </c>
      <c r="AO632" s="16">
        <f t="shared" si="108"/>
        <v>0.11900955748826865</v>
      </c>
      <c r="AP632" s="15">
        <v>0</v>
      </c>
      <c r="AQ632" s="18" t="str">
        <f t="shared" si="109"/>
        <v>N/A</v>
      </c>
      <c r="AR632" s="23">
        <v>45963</v>
      </c>
      <c r="AS632" s="14" t="s">
        <v>79</v>
      </c>
    </row>
    <row r="633" spans="1:45" x14ac:dyDescent="0.25">
      <c r="A633" s="14" t="s">
        <v>2063</v>
      </c>
      <c r="B633" s="14" t="s">
        <v>1339</v>
      </c>
      <c r="C633" s="14">
        <v>9675295261</v>
      </c>
      <c r="D633" s="15" t="s">
        <v>2072</v>
      </c>
      <c r="E633" s="14">
        <v>30</v>
      </c>
      <c r="F633" s="14" t="s">
        <v>89</v>
      </c>
      <c r="G633" s="14" t="s">
        <v>139</v>
      </c>
      <c r="H633" s="14" t="s">
        <v>73</v>
      </c>
      <c r="I633" s="14" t="s">
        <v>74</v>
      </c>
      <c r="J633" s="15">
        <v>1652999</v>
      </c>
      <c r="K633" s="14">
        <v>0</v>
      </c>
      <c r="L633" s="14" t="s">
        <v>75</v>
      </c>
      <c r="M633" s="14" t="s">
        <v>75</v>
      </c>
      <c r="N633" s="14" t="s">
        <v>75</v>
      </c>
      <c r="O633" s="14" t="s">
        <v>75</v>
      </c>
      <c r="P633" s="14">
        <v>455</v>
      </c>
      <c r="Q633" s="15">
        <v>839020.82</v>
      </c>
      <c r="R633" s="15">
        <v>3055.01</v>
      </c>
      <c r="S633" s="14" t="s">
        <v>23</v>
      </c>
      <c r="T633" s="15"/>
      <c r="U633" s="16">
        <f t="shared" si="99"/>
        <v>2.2177944451267063E-2</v>
      </c>
      <c r="V633" s="14">
        <v>0</v>
      </c>
      <c r="W633" s="17">
        <v>49</v>
      </c>
      <c r="X633" s="14">
        <v>10.9</v>
      </c>
      <c r="Y633" s="18">
        <f t="shared" si="100"/>
        <v>35.200000000000003</v>
      </c>
      <c r="Z633" s="18" t="str">
        <f t="shared" si="101"/>
        <v>Medium</v>
      </c>
      <c r="AA633" s="19" t="str">
        <f t="shared" si="102"/>
        <v>Not Eligible</v>
      </c>
      <c r="AB633" s="14" t="s">
        <v>85</v>
      </c>
      <c r="AC633" s="14">
        <v>1</v>
      </c>
      <c r="AD633" s="14" t="s">
        <v>93</v>
      </c>
      <c r="AE633" s="17">
        <v>6.6</v>
      </c>
      <c r="AF633" s="15">
        <v>0</v>
      </c>
      <c r="AG633" s="20">
        <f t="shared" si="103"/>
        <v>1652999</v>
      </c>
      <c r="AH633" s="14">
        <v>3</v>
      </c>
      <c r="AI633" s="14" t="s">
        <v>75</v>
      </c>
      <c r="AJ633" s="14">
        <v>300</v>
      </c>
      <c r="AK633" s="21">
        <f t="shared" si="104"/>
        <v>0.1</v>
      </c>
      <c r="AL633" s="20">
        <f t="shared" si="105"/>
        <v>0</v>
      </c>
      <c r="AM633" s="22">
        <f t="shared" si="106"/>
        <v>0</v>
      </c>
      <c r="AN633" s="20">
        <f t="shared" si="107"/>
        <v>3055.01</v>
      </c>
      <c r="AO633" s="16">
        <f t="shared" si="108"/>
        <v>2.2177944451267063E-2</v>
      </c>
      <c r="AP633" s="15">
        <v>4034354</v>
      </c>
      <c r="AQ633" s="18">
        <f t="shared" si="109"/>
        <v>0</v>
      </c>
      <c r="AR633" s="23">
        <v>46234</v>
      </c>
      <c r="AS633" s="14" t="s">
        <v>79</v>
      </c>
    </row>
    <row r="634" spans="1:45" x14ac:dyDescent="0.25">
      <c r="A634" s="14" t="s">
        <v>2066</v>
      </c>
      <c r="B634" s="14" t="s">
        <v>2067</v>
      </c>
      <c r="C634" s="14">
        <v>9904162114</v>
      </c>
      <c r="D634" s="15" t="s">
        <v>2075</v>
      </c>
      <c r="E634" s="14">
        <v>42</v>
      </c>
      <c r="F634" s="14" t="s">
        <v>71</v>
      </c>
      <c r="G634" s="14" t="s">
        <v>388</v>
      </c>
      <c r="H634" s="14" t="s">
        <v>91</v>
      </c>
      <c r="I634" s="14" t="s">
        <v>92</v>
      </c>
      <c r="J634" s="15">
        <v>748661</v>
      </c>
      <c r="K634" s="14">
        <v>2</v>
      </c>
      <c r="L634" s="14" t="s">
        <v>76</v>
      </c>
      <c r="M634" s="14" t="s">
        <v>75</v>
      </c>
      <c r="N634" s="14" t="s">
        <v>75</v>
      </c>
      <c r="O634" s="14" t="s">
        <v>76</v>
      </c>
      <c r="P634" s="14">
        <v>887</v>
      </c>
      <c r="Q634" s="15">
        <v>165688</v>
      </c>
      <c r="R634" s="15">
        <v>9233.2800000000007</v>
      </c>
      <c r="S634" s="14" t="s">
        <v>21</v>
      </c>
      <c r="T634" s="15"/>
      <c r="U634" s="16">
        <f t="shared" si="99"/>
        <v>0.14799670344788898</v>
      </c>
      <c r="V634" s="14">
        <v>3</v>
      </c>
      <c r="W634" s="17">
        <v>13</v>
      </c>
      <c r="X634" s="14">
        <v>12.8</v>
      </c>
      <c r="Y634" s="18">
        <f t="shared" si="100"/>
        <v>18.600000000000001</v>
      </c>
      <c r="Z634" s="18" t="str">
        <f t="shared" si="101"/>
        <v>Low</v>
      </c>
      <c r="AA634" s="19" t="str">
        <f t="shared" si="102"/>
        <v>Review</v>
      </c>
      <c r="AB634" s="14" t="s">
        <v>85</v>
      </c>
      <c r="AC634" s="14">
        <v>3</v>
      </c>
      <c r="AD634" s="14" t="s">
        <v>93</v>
      </c>
      <c r="AE634" s="17">
        <v>8</v>
      </c>
      <c r="AF634" s="15">
        <v>647060</v>
      </c>
      <c r="AG634" s="20">
        <f t="shared" si="103"/>
        <v>1395721</v>
      </c>
      <c r="AH634" s="14">
        <v>2</v>
      </c>
      <c r="AI634" s="14" t="s">
        <v>75</v>
      </c>
      <c r="AJ634" s="14">
        <v>60</v>
      </c>
      <c r="AK634" s="21">
        <f t="shared" si="104"/>
        <v>0.14000000000000001</v>
      </c>
      <c r="AL634" s="20">
        <f t="shared" si="105"/>
        <v>0</v>
      </c>
      <c r="AM634" s="22">
        <f t="shared" si="106"/>
        <v>0</v>
      </c>
      <c r="AN634" s="20">
        <f t="shared" si="107"/>
        <v>9233.2800000000007</v>
      </c>
      <c r="AO634" s="16">
        <f t="shared" si="108"/>
        <v>0.14799670344788898</v>
      </c>
      <c r="AP634" s="15">
        <v>0</v>
      </c>
      <c r="AQ634" s="18" t="str">
        <f t="shared" si="109"/>
        <v>N/A</v>
      </c>
      <c r="AR634" s="23">
        <v>45973</v>
      </c>
      <c r="AS634" s="14" t="s">
        <v>79</v>
      </c>
    </row>
    <row r="635" spans="1:45" x14ac:dyDescent="0.25">
      <c r="A635" s="14" t="s">
        <v>2069</v>
      </c>
      <c r="B635" s="14" t="s">
        <v>2070</v>
      </c>
      <c r="C635" s="14">
        <v>9760348367</v>
      </c>
      <c r="D635" s="15" t="s">
        <v>2078</v>
      </c>
      <c r="E635" s="14">
        <v>40</v>
      </c>
      <c r="F635" s="14" t="s">
        <v>71</v>
      </c>
      <c r="G635" s="14" t="s">
        <v>139</v>
      </c>
      <c r="H635" s="14" t="s">
        <v>73</v>
      </c>
      <c r="I635" s="14" t="s">
        <v>74</v>
      </c>
      <c r="J635" s="15">
        <v>1670348</v>
      </c>
      <c r="K635" s="14">
        <v>1</v>
      </c>
      <c r="L635" s="14" t="s">
        <v>76</v>
      </c>
      <c r="M635" s="14" t="s">
        <v>75</v>
      </c>
      <c r="N635" s="14" t="s">
        <v>75</v>
      </c>
      <c r="O635" s="14" t="s">
        <v>75</v>
      </c>
      <c r="P635" s="14">
        <v>436</v>
      </c>
      <c r="Q635" s="15">
        <v>511874.11</v>
      </c>
      <c r="R635" s="15">
        <v>15254.92</v>
      </c>
      <c r="S635" s="14" t="s">
        <v>20</v>
      </c>
      <c r="T635" s="15"/>
      <c r="U635" s="16">
        <f t="shared" si="99"/>
        <v>0.10959335419924471</v>
      </c>
      <c r="V635" s="14">
        <v>3</v>
      </c>
      <c r="W635" s="17">
        <v>21.9</v>
      </c>
      <c r="X635" s="14">
        <v>13.9</v>
      </c>
      <c r="Y635" s="18">
        <f t="shared" si="100"/>
        <v>48.4</v>
      </c>
      <c r="Z635" s="18" t="str">
        <f t="shared" si="101"/>
        <v>Medium</v>
      </c>
      <c r="AA635" s="19" t="str">
        <f t="shared" si="102"/>
        <v>Not Eligible</v>
      </c>
      <c r="AB635" s="14" t="s">
        <v>77</v>
      </c>
      <c r="AC635" s="14">
        <v>1</v>
      </c>
      <c r="AD635" s="14" t="s">
        <v>93</v>
      </c>
      <c r="AE635" s="17">
        <v>9.3000000000000007</v>
      </c>
      <c r="AF635" s="15">
        <v>0</v>
      </c>
      <c r="AG635" s="20">
        <f t="shared" si="103"/>
        <v>1670348</v>
      </c>
      <c r="AH635" s="14">
        <v>0</v>
      </c>
      <c r="AI635" s="14" t="s">
        <v>75</v>
      </c>
      <c r="AJ635" s="14">
        <v>36</v>
      </c>
      <c r="AK635" s="21">
        <f t="shared" si="104"/>
        <v>0.375</v>
      </c>
      <c r="AL635" s="20">
        <f t="shared" si="105"/>
        <v>0</v>
      </c>
      <c r="AM635" s="22">
        <f t="shared" si="106"/>
        <v>0</v>
      </c>
      <c r="AN635" s="20">
        <f t="shared" si="107"/>
        <v>15254.92</v>
      </c>
      <c r="AO635" s="16">
        <f t="shared" si="108"/>
        <v>0.10959335419924471</v>
      </c>
      <c r="AP635" s="15">
        <v>0</v>
      </c>
      <c r="AQ635" s="18" t="str">
        <f t="shared" si="109"/>
        <v>N/A</v>
      </c>
      <c r="AR635" s="23">
        <v>46221</v>
      </c>
      <c r="AS635" s="14" t="s">
        <v>79</v>
      </c>
    </row>
    <row r="636" spans="1:45" x14ac:dyDescent="0.25">
      <c r="A636" s="14" t="s">
        <v>2073</v>
      </c>
      <c r="B636" s="14" t="s">
        <v>2074</v>
      </c>
      <c r="C636" s="14">
        <v>9668503514</v>
      </c>
      <c r="D636" s="15" t="s">
        <v>2081</v>
      </c>
      <c r="E636" s="14">
        <v>59</v>
      </c>
      <c r="F636" s="14" t="s">
        <v>89</v>
      </c>
      <c r="G636" s="14" t="s">
        <v>72</v>
      </c>
      <c r="H636" s="14" t="s">
        <v>91</v>
      </c>
      <c r="I636" s="14" t="s">
        <v>92</v>
      </c>
      <c r="J636" s="15">
        <v>1542328</v>
      </c>
      <c r="K636" s="14">
        <v>2</v>
      </c>
      <c r="L636" s="14" t="s">
        <v>75</v>
      </c>
      <c r="M636" s="14" t="s">
        <v>76</v>
      </c>
      <c r="N636" s="14" t="s">
        <v>76</v>
      </c>
      <c r="O636" s="14" t="s">
        <v>75</v>
      </c>
      <c r="P636" s="14">
        <v>448</v>
      </c>
      <c r="Q636" s="15">
        <v>75104</v>
      </c>
      <c r="R636" s="15">
        <v>6903.68</v>
      </c>
      <c r="S636" s="14" t="s">
        <v>21</v>
      </c>
      <c r="T636" s="15">
        <v>256507</v>
      </c>
      <c r="U636" s="16">
        <f t="shared" si="99"/>
        <v>5.3713710702263072E-2</v>
      </c>
      <c r="V636" s="14">
        <v>0</v>
      </c>
      <c r="W636" s="17">
        <v>11.1</v>
      </c>
      <c r="X636" s="14">
        <v>4.4000000000000004</v>
      </c>
      <c r="Y636" s="18">
        <f t="shared" si="100"/>
        <v>32.9</v>
      </c>
      <c r="Z636" s="18" t="str">
        <f t="shared" si="101"/>
        <v>Medium</v>
      </c>
      <c r="AA636" s="19" t="str">
        <f t="shared" si="102"/>
        <v>Not Eligible</v>
      </c>
      <c r="AB636" s="14" t="s">
        <v>77</v>
      </c>
      <c r="AC636" s="14">
        <v>2</v>
      </c>
      <c r="AD636" s="14" t="s">
        <v>93</v>
      </c>
      <c r="AE636" s="17">
        <v>3.6</v>
      </c>
      <c r="AF636" s="15">
        <v>0</v>
      </c>
      <c r="AG636" s="20">
        <f t="shared" si="103"/>
        <v>1542328</v>
      </c>
      <c r="AH636" s="14">
        <v>3</v>
      </c>
      <c r="AI636" s="14" t="s">
        <v>76</v>
      </c>
      <c r="AJ636" s="14">
        <v>60</v>
      </c>
      <c r="AK636" s="21">
        <f t="shared" si="104"/>
        <v>0.15500000000000003</v>
      </c>
      <c r="AL636" s="20">
        <f t="shared" si="105"/>
        <v>6169.8118842826725</v>
      </c>
      <c r="AM636" s="22">
        <f t="shared" si="106"/>
        <v>0.16631157574783056</v>
      </c>
      <c r="AN636" s="20">
        <f t="shared" si="107"/>
        <v>13073.491884282674</v>
      </c>
      <c r="AO636" s="16">
        <f t="shared" si="108"/>
        <v>0.10171760002502198</v>
      </c>
      <c r="AP636" s="15">
        <v>0</v>
      </c>
      <c r="AQ636" s="18" t="str">
        <f t="shared" si="109"/>
        <v>N/A</v>
      </c>
      <c r="AR636" s="23">
        <v>46253</v>
      </c>
      <c r="AS636" s="14" t="s">
        <v>79</v>
      </c>
    </row>
    <row r="637" spans="1:45" x14ac:dyDescent="0.25">
      <c r="A637" s="14" t="s">
        <v>2076</v>
      </c>
      <c r="B637" s="14" t="s">
        <v>2077</v>
      </c>
      <c r="C637" s="14"/>
      <c r="D637" s="15" t="s">
        <v>2084</v>
      </c>
      <c r="E637" s="14">
        <v>47</v>
      </c>
      <c r="F637" s="14" t="s">
        <v>89</v>
      </c>
      <c r="G637" s="14" t="s">
        <v>314</v>
      </c>
      <c r="H637" s="14" t="s">
        <v>73</v>
      </c>
      <c r="I637" s="14" t="s">
        <v>74</v>
      </c>
      <c r="J637" s="15">
        <v>974794</v>
      </c>
      <c r="K637" s="14">
        <v>3</v>
      </c>
      <c r="L637" s="14" t="s">
        <v>76</v>
      </c>
      <c r="M637" s="14" t="s">
        <v>76</v>
      </c>
      <c r="N637" s="14" t="s">
        <v>75</v>
      </c>
      <c r="O637" s="14" t="s">
        <v>76</v>
      </c>
      <c r="P637" s="14">
        <v>524</v>
      </c>
      <c r="Q637" s="15"/>
      <c r="R637" s="15">
        <v>13124.98</v>
      </c>
      <c r="S637" s="14" t="s">
        <v>23</v>
      </c>
      <c r="T637" s="15">
        <v>212584</v>
      </c>
      <c r="U637" s="16">
        <f t="shared" si="99"/>
        <v>0.16157235272272913</v>
      </c>
      <c r="V637" s="14">
        <v>2</v>
      </c>
      <c r="W637" s="17">
        <v>75.8</v>
      </c>
      <c r="X637" s="14">
        <v>10.7</v>
      </c>
      <c r="Y637" s="18">
        <f t="shared" si="100"/>
        <v>45.5</v>
      </c>
      <c r="Z637" s="18" t="str">
        <f t="shared" si="101"/>
        <v>Medium</v>
      </c>
      <c r="AA637" s="19" t="str">
        <f t="shared" si="102"/>
        <v>Not Eligible</v>
      </c>
      <c r="AB637" s="14" t="s">
        <v>85</v>
      </c>
      <c r="AC637" s="14">
        <v>1</v>
      </c>
      <c r="AD637" s="14" t="s">
        <v>78</v>
      </c>
      <c r="AE637" s="17">
        <v>4.4000000000000004</v>
      </c>
      <c r="AF637" s="15">
        <v>557979</v>
      </c>
      <c r="AG637" s="20">
        <f t="shared" si="103"/>
        <v>1532773</v>
      </c>
      <c r="AH637" s="14">
        <v>0</v>
      </c>
      <c r="AI637" s="14" t="s">
        <v>75</v>
      </c>
      <c r="AJ637" s="14">
        <v>240</v>
      </c>
      <c r="AK637" s="21">
        <f t="shared" si="104"/>
        <v>0.1</v>
      </c>
      <c r="AL637" s="20">
        <f t="shared" si="105"/>
        <v>2051.4816139641289</v>
      </c>
      <c r="AM637" s="22">
        <f t="shared" si="106"/>
        <v>0.21808094838499212</v>
      </c>
      <c r="AN637" s="20">
        <f t="shared" si="107"/>
        <v>15176.461613964129</v>
      </c>
      <c r="AO637" s="16">
        <f t="shared" si="108"/>
        <v>0.1868266929911033</v>
      </c>
      <c r="AP637" s="15">
        <v>2191644</v>
      </c>
      <c r="AQ637" s="18">
        <f t="shared" si="109"/>
        <v>9.6997505069253948E-2</v>
      </c>
      <c r="AR637" s="23">
        <v>46062</v>
      </c>
      <c r="AS637" s="14" t="s">
        <v>79</v>
      </c>
    </row>
    <row r="638" spans="1:45" x14ac:dyDescent="0.25">
      <c r="A638" s="14" t="s">
        <v>2079</v>
      </c>
      <c r="B638" s="14" t="s">
        <v>627</v>
      </c>
      <c r="C638" s="14">
        <v>9167968595</v>
      </c>
      <c r="D638" s="15"/>
      <c r="E638" s="14">
        <v>56</v>
      </c>
      <c r="F638" s="14" t="s">
        <v>71</v>
      </c>
      <c r="G638" s="14" t="s">
        <v>106</v>
      </c>
      <c r="H638" s="14" t="s">
        <v>144</v>
      </c>
      <c r="I638" s="14" t="s">
        <v>92</v>
      </c>
      <c r="J638" s="15">
        <v>978801</v>
      </c>
      <c r="K638" s="14">
        <v>0</v>
      </c>
      <c r="L638" s="14" t="s">
        <v>75</v>
      </c>
      <c r="M638" s="14" t="s">
        <v>75</v>
      </c>
      <c r="N638" s="14" t="s">
        <v>75</v>
      </c>
      <c r="O638" s="14" t="s">
        <v>75</v>
      </c>
      <c r="P638" s="14">
        <v>878</v>
      </c>
      <c r="Q638" s="15">
        <v>1172815.1599999999</v>
      </c>
      <c r="R638" s="15">
        <v>5006.93</v>
      </c>
      <c r="S638" s="14" t="s">
        <v>20</v>
      </c>
      <c r="T638" s="15"/>
      <c r="U638" s="16">
        <f t="shared" si="99"/>
        <v>6.1384448932929166E-2</v>
      </c>
      <c r="V638" s="14">
        <v>0</v>
      </c>
      <c r="W638" s="17">
        <v>71.3</v>
      </c>
      <c r="X638" s="14">
        <v>2.6</v>
      </c>
      <c r="Y638" s="18">
        <f t="shared" si="100"/>
        <v>10.4</v>
      </c>
      <c r="Z638" s="18" t="str">
        <f t="shared" si="101"/>
        <v>Low</v>
      </c>
      <c r="AA638" s="19" t="str">
        <f t="shared" si="102"/>
        <v>Eligible</v>
      </c>
      <c r="AB638" s="14" t="s">
        <v>85</v>
      </c>
      <c r="AC638" s="14">
        <v>1</v>
      </c>
      <c r="AD638" s="14" t="s">
        <v>78</v>
      </c>
      <c r="AE638" s="17">
        <v>7</v>
      </c>
      <c r="AF638" s="15">
        <v>0</v>
      </c>
      <c r="AG638" s="20">
        <f t="shared" si="103"/>
        <v>978801</v>
      </c>
      <c r="AH638" s="14">
        <v>3</v>
      </c>
      <c r="AI638" s="14" t="s">
        <v>75</v>
      </c>
      <c r="AJ638" s="14">
        <v>36</v>
      </c>
      <c r="AK638" s="21">
        <f t="shared" si="104"/>
        <v>0.36</v>
      </c>
      <c r="AL638" s="20">
        <f t="shared" si="105"/>
        <v>0</v>
      </c>
      <c r="AM638" s="22">
        <f t="shared" si="106"/>
        <v>0</v>
      </c>
      <c r="AN638" s="20">
        <f t="shared" si="107"/>
        <v>5006.93</v>
      </c>
      <c r="AO638" s="16">
        <f t="shared" si="108"/>
        <v>6.1384448932929166E-2</v>
      </c>
      <c r="AP638" s="15">
        <v>0</v>
      </c>
      <c r="AQ638" s="18" t="str">
        <f t="shared" si="109"/>
        <v>N/A</v>
      </c>
      <c r="AR638" s="23">
        <v>46239</v>
      </c>
      <c r="AS638" s="14" t="s">
        <v>79</v>
      </c>
    </row>
    <row r="639" spans="1:45" x14ac:dyDescent="0.25">
      <c r="A639" s="14" t="s">
        <v>2082</v>
      </c>
      <c r="B639" s="14" t="s">
        <v>2083</v>
      </c>
      <c r="C639" s="14">
        <v>9549897021</v>
      </c>
      <c r="D639" s="15" t="s">
        <v>2089</v>
      </c>
      <c r="E639" s="14">
        <v>26</v>
      </c>
      <c r="F639" s="14" t="s">
        <v>89</v>
      </c>
      <c r="G639" s="14" t="s">
        <v>139</v>
      </c>
      <c r="H639" s="14" t="s">
        <v>144</v>
      </c>
      <c r="I639" s="14" t="s">
        <v>92</v>
      </c>
      <c r="J639" s="15">
        <v>1988167</v>
      </c>
      <c r="K639" s="14">
        <v>2</v>
      </c>
      <c r="L639" s="14" t="s">
        <v>76</v>
      </c>
      <c r="M639" s="14" t="s">
        <v>75</v>
      </c>
      <c r="N639" s="14" t="s">
        <v>76</v>
      </c>
      <c r="O639" s="14" t="s">
        <v>75</v>
      </c>
      <c r="P639" s="14">
        <v>411</v>
      </c>
      <c r="Q639" s="15">
        <v>744049</v>
      </c>
      <c r="R639" s="15">
        <v>61.17</v>
      </c>
      <c r="S639" s="14" t="s">
        <v>21</v>
      </c>
      <c r="T639" s="15">
        <v>1137295</v>
      </c>
      <c r="U639" s="16">
        <f t="shared" si="99"/>
        <v>3.6920439781970023E-4</v>
      </c>
      <c r="V639" s="14">
        <v>2</v>
      </c>
      <c r="W639" s="17">
        <v>80.2</v>
      </c>
      <c r="X639" s="14">
        <v>3.2</v>
      </c>
      <c r="Y639" s="18">
        <f t="shared" si="100"/>
        <v>48.6</v>
      </c>
      <c r="Z639" s="18" t="str">
        <f t="shared" si="101"/>
        <v>Medium</v>
      </c>
      <c r="AA639" s="19" t="str">
        <f t="shared" si="102"/>
        <v>Not Eligible</v>
      </c>
      <c r="AB639" s="14" t="s">
        <v>85</v>
      </c>
      <c r="AC639" s="14">
        <v>2</v>
      </c>
      <c r="AD639" s="14" t="s">
        <v>78</v>
      </c>
      <c r="AE639" s="17">
        <v>2.8</v>
      </c>
      <c r="AF639" s="15">
        <v>0</v>
      </c>
      <c r="AG639" s="20">
        <f t="shared" si="103"/>
        <v>1988167</v>
      </c>
      <c r="AH639" s="14">
        <v>3</v>
      </c>
      <c r="AI639" s="14" t="s">
        <v>75</v>
      </c>
      <c r="AJ639" s="14">
        <v>24</v>
      </c>
      <c r="AK639" s="21">
        <f t="shared" si="104"/>
        <v>0.15500000000000003</v>
      </c>
      <c r="AL639" s="20">
        <f t="shared" si="105"/>
        <v>55414.178538151718</v>
      </c>
      <c r="AM639" s="22">
        <f t="shared" si="106"/>
        <v>0.57203192689547711</v>
      </c>
      <c r="AN639" s="20">
        <f t="shared" si="107"/>
        <v>55475.348538151717</v>
      </c>
      <c r="AO639" s="16">
        <f t="shared" si="108"/>
        <v>0.33483313145114096</v>
      </c>
      <c r="AP639" s="15">
        <v>0</v>
      </c>
      <c r="AQ639" s="18" t="str">
        <f t="shared" si="109"/>
        <v>N/A</v>
      </c>
      <c r="AR639" s="23">
        <v>46131</v>
      </c>
      <c r="AS639" s="14" t="s">
        <v>79</v>
      </c>
    </row>
    <row r="640" spans="1:45" x14ac:dyDescent="0.25">
      <c r="A640" s="14" t="s">
        <v>2085</v>
      </c>
      <c r="B640" s="14" t="s">
        <v>824</v>
      </c>
      <c r="C640" s="14">
        <v>9783395805</v>
      </c>
      <c r="D640" s="15" t="s">
        <v>2092</v>
      </c>
      <c r="E640" s="14">
        <v>41</v>
      </c>
      <c r="F640" s="14" t="s">
        <v>71</v>
      </c>
      <c r="G640" s="14" t="s">
        <v>153</v>
      </c>
      <c r="H640" s="14" t="s">
        <v>107</v>
      </c>
      <c r="I640" s="14" t="s">
        <v>92</v>
      </c>
      <c r="J640" s="15">
        <v>2367826</v>
      </c>
      <c r="K640" s="14">
        <v>1</v>
      </c>
      <c r="L640" s="14" t="s">
        <v>76</v>
      </c>
      <c r="M640" s="14" t="s">
        <v>75</v>
      </c>
      <c r="N640" s="14" t="s">
        <v>75</v>
      </c>
      <c r="O640" s="14" t="s">
        <v>75</v>
      </c>
      <c r="P640" s="14">
        <v>679</v>
      </c>
      <c r="Q640" s="15"/>
      <c r="R640" s="15">
        <v>53309.78</v>
      </c>
      <c r="S640" s="14" t="s">
        <v>20</v>
      </c>
      <c r="T640" s="15">
        <v>5563703</v>
      </c>
      <c r="U640" s="16">
        <f t="shared" si="99"/>
        <v>0.27017076423689917</v>
      </c>
      <c r="V640" s="14">
        <v>4</v>
      </c>
      <c r="W640" s="17">
        <v>56.1</v>
      </c>
      <c r="X640" s="14">
        <v>1.7</v>
      </c>
      <c r="Y640" s="18">
        <f t="shared" si="100"/>
        <v>44.4</v>
      </c>
      <c r="Z640" s="18" t="str">
        <f t="shared" si="101"/>
        <v>Medium</v>
      </c>
      <c r="AA640" s="19" t="str">
        <f t="shared" si="102"/>
        <v>Review</v>
      </c>
      <c r="AB640" s="14" t="s">
        <v>77</v>
      </c>
      <c r="AC640" s="14">
        <v>1</v>
      </c>
      <c r="AD640" s="14" t="s">
        <v>93</v>
      </c>
      <c r="AE640" s="17">
        <v>12.5</v>
      </c>
      <c r="AF640" s="15">
        <v>0</v>
      </c>
      <c r="AG640" s="20">
        <f t="shared" si="103"/>
        <v>2367826</v>
      </c>
      <c r="AH640" s="14">
        <v>0</v>
      </c>
      <c r="AI640" s="14" t="s">
        <v>75</v>
      </c>
      <c r="AJ640" s="14">
        <v>36</v>
      </c>
      <c r="AK640" s="21">
        <f t="shared" si="104"/>
        <v>0.375</v>
      </c>
      <c r="AL640" s="20">
        <f t="shared" si="105"/>
        <v>259614.02027882347</v>
      </c>
      <c r="AM640" s="22">
        <f t="shared" si="106"/>
        <v>2.3497093958762174</v>
      </c>
      <c r="AN640" s="20">
        <f t="shared" si="107"/>
        <v>312923.80027882347</v>
      </c>
      <c r="AO640" s="16">
        <f t="shared" si="108"/>
        <v>1.5858790313755664</v>
      </c>
      <c r="AP640" s="15">
        <v>0</v>
      </c>
      <c r="AQ640" s="18" t="str">
        <f t="shared" si="109"/>
        <v>N/A</v>
      </c>
      <c r="AR640" s="23">
        <v>46152</v>
      </c>
      <c r="AS640" s="14" t="s">
        <v>79</v>
      </c>
    </row>
    <row r="641" spans="1:45" x14ac:dyDescent="0.25">
      <c r="A641" s="14" t="s">
        <v>2086</v>
      </c>
      <c r="B641" s="14" t="s">
        <v>2087</v>
      </c>
      <c r="C641" s="14"/>
      <c r="D641" s="15" t="s">
        <v>2095</v>
      </c>
      <c r="E641" s="14">
        <v>62</v>
      </c>
      <c r="F641" s="14" t="s">
        <v>71</v>
      </c>
      <c r="G641" s="14" t="s">
        <v>83</v>
      </c>
      <c r="H641" s="14" t="s">
        <v>84</v>
      </c>
      <c r="I641" s="14" t="s">
        <v>74</v>
      </c>
      <c r="J641" s="15">
        <v>1767769</v>
      </c>
      <c r="K641" s="14">
        <v>1</v>
      </c>
      <c r="L641" s="14" t="s">
        <v>75</v>
      </c>
      <c r="M641" s="14" t="s">
        <v>76</v>
      </c>
      <c r="N641" s="14" t="s">
        <v>75</v>
      </c>
      <c r="O641" s="14" t="s">
        <v>75</v>
      </c>
      <c r="P641" s="14">
        <v>454</v>
      </c>
      <c r="Q641" s="15">
        <v>81112</v>
      </c>
      <c r="R641" s="15">
        <v>20668.02</v>
      </c>
      <c r="S641" s="14" t="s">
        <v>22</v>
      </c>
      <c r="T641" s="15">
        <v>219659</v>
      </c>
      <c r="U641" s="16">
        <f t="shared" si="99"/>
        <v>0.14029900965567332</v>
      </c>
      <c r="V641" s="14">
        <v>1</v>
      </c>
      <c r="W641" s="17">
        <v>77.599999999999994</v>
      </c>
      <c r="X641" s="14">
        <v>9.3000000000000007</v>
      </c>
      <c r="Y641" s="18">
        <f t="shared" si="100"/>
        <v>45.7</v>
      </c>
      <c r="Z641" s="18" t="str">
        <f t="shared" si="101"/>
        <v>Medium</v>
      </c>
      <c r="AA641" s="19" t="str">
        <f t="shared" si="102"/>
        <v>Not Eligible</v>
      </c>
      <c r="AB641" s="14" t="s">
        <v>85</v>
      </c>
      <c r="AC641" s="14">
        <v>3</v>
      </c>
      <c r="AD641" s="14" t="s">
        <v>78</v>
      </c>
      <c r="AE641" s="17">
        <v>13.6</v>
      </c>
      <c r="AF641" s="15">
        <v>530422</v>
      </c>
      <c r="AG641" s="20">
        <f t="shared" si="103"/>
        <v>2298191</v>
      </c>
      <c r="AH641" s="14">
        <v>1</v>
      </c>
      <c r="AI641" s="14" t="s">
        <v>76</v>
      </c>
      <c r="AJ641" s="14">
        <v>48</v>
      </c>
      <c r="AK641" s="21">
        <f t="shared" si="104"/>
        <v>0.105</v>
      </c>
      <c r="AL641" s="20">
        <f t="shared" si="105"/>
        <v>5624.0127929234877</v>
      </c>
      <c r="AM641" s="22">
        <f t="shared" si="106"/>
        <v>0.12425775087129597</v>
      </c>
      <c r="AN641" s="20">
        <f t="shared" si="107"/>
        <v>26292.032792923488</v>
      </c>
      <c r="AO641" s="16">
        <f t="shared" si="108"/>
        <v>0.17847603024777664</v>
      </c>
      <c r="AP641" s="15">
        <v>1268346</v>
      </c>
      <c r="AQ641" s="18">
        <f t="shared" si="109"/>
        <v>0.17318539262945601</v>
      </c>
      <c r="AR641" s="23">
        <v>46203</v>
      </c>
      <c r="AS641" s="14" t="s">
        <v>79</v>
      </c>
    </row>
    <row r="642" spans="1:45" x14ac:dyDescent="0.25">
      <c r="A642" s="14" t="s">
        <v>2090</v>
      </c>
      <c r="B642" s="14" t="s">
        <v>340</v>
      </c>
      <c r="C642" s="14">
        <v>9527855608</v>
      </c>
      <c r="D642" s="15" t="s">
        <v>2098</v>
      </c>
      <c r="E642" s="14">
        <v>40</v>
      </c>
      <c r="F642" s="14" t="s">
        <v>71</v>
      </c>
      <c r="G642" s="14" t="s">
        <v>127</v>
      </c>
      <c r="H642" s="14" t="s">
        <v>107</v>
      </c>
      <c r="I642" s="14" t="s">
        <v>92</v>
      </c>
      <c r="J642" s="15">
        <v>1424564</v>
      </c>
      <c r="K642" s="14">
        <v>1</v>
      </c>
      <c r="L642" s="14" t="s">
        <v>75</v>
      </c>
      <c r="M642" s="14" t="s">
        <v>76</v>
      </c>
      <c r="N642" s="14" t="s">
        <v>75</v>
      </c>
      <c r="O642" s="14" t="s">
        <v>75</v>
      </c>
      <c r="P642" s="14">
        <v>611</v>
      </c>
      <c r="Q642" s="15">
        <v>173723.89</v>
      </c>
      <c r="R642" s="15">
        <v>1344.7</v>
      </c>
      <c r="S642" s="14" t="s">
        <v>23</v>
      </c>
      <c r="T642" s="15">
        <v>311651</v>
      </c>
      <c r="U642" s="16">
        <f t="shared" ref="U642:U705" si="110">IFERROR((R642*12)/J642,0)</f>
        <v>1.1327255216332857E-2</v>
      </c>
      <c r="V642" s="14">
        <v>0</v>
      </c>
      <c r="W642" s="17">
        <v>5.4</v>
      </c>
      <c r="X642" s="14">
        <v>11.8</v>
      </c>
      <c r="Y642" s="18">
        <f t="shared" ref="Y642:Y705" si="111">ROUND(0.4*((900-P642)/600*100)+0.3*MIN(U642*100,100)+0.2*MIN(V642*20,100)+0.1*W642,1)</f>
        <v>20.100000000000001</v>
      </c>
      <c r="Z642" s="18" t="str">
        <f t="shared" ref="Z642:Z705" si="112">IF(Y642&lt;=30,"Low",IF(Y642&lt;=60,"Medium","High"))</f>
        <v>Low</v>
      </c>
      <c r="AA642" s="19" t="str">
        <f t="shared" ref="AA642:AA705" si="113">IF(AND(P642&gt;=650,U642&lt;=0.4,V642&lt;=2,Y642&lt;=50),"Eligible",IF(AND(P642&gt;=550,V642&lt;=4,Y642&lt;=75),"Review","Not Eligible"))</f>
        <v>Review</v>
      </c>
      <c r="AB642" s="14" t="s">
        <v>85</v>
      </c>
      <c r="AC642" s="14">
        <v>2</v>
      </c>
      <c r="AD642" s="14" t="s">
        <v>93</v>
      </c>
      <c r="AE642" s="17">
        <v>10.8</v>
      </c>
      <c r="AF642" s="15">
        <v>0</v>
      </c>
      <c r="AG642" s="20">
        <f t="shared" ref="AG642:AG705" si="114">J642+AF642</f>
        <v>1424564</v>
      </c>
      <c r="AH642" s="14">
        <v>2</v>
      </c>
      <c r="AI642" s="14" t="s">
        <v>75</v>
      </c>
      <c r="AJ642" s="14">
        <v>240</v>
      </c>
      <c r="AK642" s="21">
        <f t="shared" ref="AK642:AK705" si="115">(IF(S642="Credit Card",0.36,IF(S642="Personal Loan",0.14,IF(S642="Car Loan",0.09,0.085))))+IF(Z642="Low",0,IF(Z642="Medium",0.015,0.03))</f>
        <v>8.5000000000000006E-2</v>
      </c>
      <c r="AL642" s="20">
        <f t="shared" ref="AL642:AL705" si="116">-PMT(AK642/12,AJ642,T642)</f>
        <v>2704.5797850160202</v>
      </c>
      <c r="AM642" s="22">
        <f t="shared" ref="AM642:AM705" si="117">IFERROR(T642/J642,0)</f>
        <v>0.2187693918981527</v>
      </c>
      <c r="AN642" s="20">
        <f t="shared" ref="AN642:AN705" si="118">R642+AL642</f>
        <v>4049.2797850160205</v>
      </c>
      <c r="AO642" s="16">
        <f t="shared" ref="AO642:AO705" si="119">IFERROR((AN642*12)/J642,0)</f>
        <v>3.4109634540948841E-2</v>
      </c>
      <c r="AP642" s="15">
        <v>6502951</v>
      </c>
      <c r="AQ642" s="18">
        <f t="shared" ref="AQ642:AQ705" si="120">IF(AP642&gt;0,T642/AP642,"N/A")</f>
        <v>4.7924549946631922E-2</v>
      </c>
      <c r="AR642" s="23">
        <v>46155</v>
      </c>
      <c r="AS642" s="14" t="s">
        <v>79</v>
      </c>
    </row>
    <row r="643" spans="1:45" x14ac:dyDescent="0.25">
      <c r="A643" s="14" t="s">
        <v>2093</v>
      </c>
      <c r="B643" s="14" t="s">
        <v>2094</v>
      </c>
      <c r="C643" s="14">
        <v>9694135942</v>
      </c>
      <c r="D643" s="15" t="s">
        <v>2101</v>
      </c>
      <c r="E643" s="14">
        <v>28</v>
      </c>
      <c r="F643" s="14" t="s">
        <v>89</v>
      </c>
      <c r="G643" s="14" t="s">
        <v>417</v>
      </c>
      <c r="H643" s="14" t="s">
        <v>91</v>
      </c>
      <c r="I643" s="14" t="s">
        <v>92</v>
      </c>
      <c r="J643" s="15">
        <v>1512050</v>
      </c>
      <c r="K643" s="14">
        <v>0</v>
      </c>
      <c r="L643" s="14" t="s">
        <v>75</v>
      </c>
      <c r="M643" s="14" t="s">
        <v>75</v>
      </c>
      <c r="N643" s="14" t="s">
        <v>75</v>
      </c>
      <c r="O643" s="14" t="s">
        <v>75</v>
      </c>
      <c r="P643" s="14">
        <v>895</v>
      </c>
      <c r="Q643" s="15">
        <v>845276.46</v>
      </c>
      <c r="R643" s="15">
        <v>1763.3</v>
      </c>
      <c r="S643" s="14" t="s">
        <v>20</v>
      </c>
      <c r="T643" s="15">
        <v>330469</v>
      </c>
      <c r="U643" s="16">
        <f t="shared" si="110"/>
        <v>1.3993981680499982E-2</v>
      </c>
      <c r="V643" s="14">
        <v>0</v>
      </c>
      <c r="W643" s="17">
        <v>60.5</v>
      </c>
      <c r="X643" s="14">
        <v>0.6</v>
      </c>
      <c r="Y643" s="18">
        <f t="shared" si="111"/>
        <v>6.8</v>
      </c>
      <c r="Z643" s="18" t="str">
        <f t="shared" si="112"/>
        <v>Low</v>
      </c>
      <c r="AA643" s="19" t="str">
        <f t="shared" si="113"/>
        <v>Eligible</v>
      </c>
      <c r="AB643" s="14" t="s">
        <v>85</v>
      </c>
      <c r="AC643" s="14">
        <v>0</v>
      </c>
      <c r="AD643" s="14" t="s">
        <v>93</v>
      </c>
      <c r="AE643" s="17">
        <v>4.7</v>
      </c>
      <c r="AF643" s="15">
        <v>0</v>
      </c>
      <c r="AG643" s="20">
        <f t="shared" si="114"/>
        <v>1512050</v>
      </c>
      <c r="AH643" s="14">
        <v>0</v>
      </c>
      <c r="AI643" s="14" t="s">
        <v>75</v>
      </c>
      <c r="AJ643" s="14">
        <v>18</v>
      </c>
      <c r="AK643" s="21">
        <f t="shared" si="115"/>
        <v>0.36</v>
      </c>
      <c r="AL643" s="20">
        <f t="shared" si="116"/>
        <v>24027.970024153365</v>
      </c>
      <c r="AM643" s="22">
        <f t="shared" si="117"/>
        <v>0.21855692602757845</v>
      </c>
      <c r="AN643" s="20">
        <f t="shared" si="118"/>
        <v>25791.270024153364</v>
      </c>
      <c r="AO643" s="16">
        <f t="shared" si="119"/>
        <v>0.20468585052732408</v>
      </c>
      <c r="AP643" s="15">
        <v>0</v>
      </c>
      <c r="AQ643" s="18" t="str">
        <f t="shared" si="120"/>
        <v>N/A</v>
      </c>
      <c r="AR643" s="23">
        <v>45955</v>
      </c>
      <c r="AS643" s="14" t="s">
        <v>79</v>
      </c>
    </row>
    <row r="644" spans="1:45" x14ac:dyDescent="0.25">
      <c r="A644" s="14" t="s">
        <v>2096</v>
      </c>
      <c r="B644" s="14" t="s">
        <v>2097</v>
      </c>
      <c r="C644" s="14"/>
      <c r="D644" s="15" t="s">
        <v>2104</v>
      </c>
      <c r="E644" s="14">
        <v>23</v>
      </c>
      <c r="F644" s="14" t="s">
        <v>89</v>
      </c>
      <c r="G644" s="14" t="s">
        <v>153</v>
      </c>
      <c r="H644" s="14" t="s">
        <v>84</v>
      </c>
      <c r="I644" s="14" t="s">
        <v>74</v>
      </c>
      <c r="J644" s="15">
        <v>556718</v>
      </c>
      <c r="K644" s="14">
        <v>1</v>
      </c>
      <c r="L644" s="14" t="s">
        <v>76</v>
      </c>
      <c r="M644" s="14" t="s">
        <v>75</v>
      </c>
      <c r="N644" s="14" t="s">
        <v>75</v>
      </c>
      <c r="O644" s="14" t="s">
        <v>75</v>
      </c>
      <c r="P644" s="14">
        <v>667</v>
      </c>
      <c r="Q644" s="15">
        <v>251364</v>
      </c>
      <c r="R644" s="15">
        <v>6681.69</v>
      </c>
      <c r="S644" s="14" t="s">
        <v>20</v>
      </c>
      <c r="T644" s="15">
        <v>44958</v>
      </c>
      <c r="U644" s="16">
        <f t="shared" si="110"/>
        <v>0.14402314996102156</v>
      </c>
      <c r="V644" s="14">
        <v>4</v>
      </c>
      <c r="W644" s="17">
        <v>59.4</v>
      </c>
      <c r="X644" s="14">
        <v>3</v>
      </c>
      <c r="Y644" s="18">
        <f t="shared" si="111"/>
        <v>41.8</v>
      </c>
      <c r="Z644" s="18" t="str">
        <f t="shared" si="112"/>
        <v>Medium</v>
      </c>
      <c r="AA644" s="19" t="str">
        <f t="shared" si="113"/>
        <v>Review</v>
      </c>
      <c r="AB644" s="14" t="s">
        <v>77</v>
      </c>
      <c r="AC644" s="14">
        <v>0</v>
      </c>
      <c r="AD644" s="14" t="s">
        <v>93</v>
      </c>
      <c r="AE644" s="17">
        <v>1.4</v>
      </c>
      <c r="AF644" s="15">
        <v>0</v>
      </c>
      <c r="AG644" s="20">
        <f t="shared" si="114"/>
        <v>556718</v>
      </c>
      <c r="AH644" s="14">
        <v>0</v>
      </c>
      <c r="AI644" s="14" t="s">
        <v>75</v>
      </c>
      <c r="AJ644" s="14">
        <v>36</v>
      </c>
      <c r="AK644" s="21">
        <f t="shared" si="115"/>
        <v>0.375</v>
      </c>
      <c r="AL644" s="20">
        <f t="shared" si="116"/>
        <v>2097.8343243151812</v>
      </c>
      <c r="AM644" s="22">
        <f t="shared" si="117"/>
        <v>8.0755427343825778E-2</v>
      </c>
      <c r="AN644" s="20">
        <f t="shared" si="118"/>
        <v>8779.5243243151817</v>
      </c>
      <c r="AO644" s="16">
        <f t="shared" si="119"/>
        <v>0.18924175595504758</v>
      </c>
      <c r="AP644" s="15">
        <v>0</v>
      </c>
      <c r="AQ644" s="18" t="str">
        <f t="shared" si="120"/>
        <v>N/A</v>
      </c>
      <c r="AR644" s="23">
        <v>46029</v>
      </c>
      <c r="AS644" s="14" t="s">
        <v>79</v>
      </c>
    </row>
    <row r="645" spans="1:45" x14ac:dyDescent="0.25">
      <c r="A645" s="14" t="s">
        <v>2099</v>
      </c>
      <c r="B645" s="14" t="s">
        <v>480</v>
      </c>
      <c r="C645" s="14">
        <v>9252217266</v>
      </c>
      <c r="D645" s="15" t="s">
        <v>2108</v>
      </c>
      <c r="E645" s="14">
        <v>36</v>
      </c>
      <c r="F645" s="14" t="s">
        <v>71</v>
      </c>
      <c r="G645" s="14" t="s">
        <v>72</v>
      </c>
      <c r="H645" s="14" t="s">
        <v>107</v>
      </c>
      <c r="I645" s="14" t="s">
        <v>92</v>
      </c>
      <c r="J645" s="15">
        <v>1854232</v>
      </c>
      <c r="K645" s="14">
        <v>2</v>
      </c>
      <c r="L645" s="14" t="s">
        <v>75</v>
      </c>
      <c r="M645" s="14" t="s">
        <v>76</v>
      </c>
      <c r="N645" s="14" t="s">
        <v>76</v>
      </c>
      <c r="O645" s="14" t="s">
        <v>75</v>
      </c>
      <c r="P645" s="14">
        <v>699</v>
      </c>
      <c r="Q645" s="15"/>
      <c r="R645" s="15">
        <v>22845.31</v>
      </c>
      <c r="S645" s="14" t="s">
        <v>20</v>
      </c>
      <c r="T645" s="15">
        <v>794742</v>
      </c>
      <c r="U645" s="16">
        <f t="shared" si="110"/>
        <v>0.14784758325818992</v>
      </c>
      <c r="V645" s="14">
        <v>4</v>
      </c>
      <c r="W645" s="17">
        <v>79</v>
      </c>
      <c r="X645" s="14">
        <v>5.5</v>
      </c>
      <c r="Y645" s="18">
        <f t="shared" si="111"/>
        <v>41.7</v>
      </c>
      <c r="Z645" s="18" t="str">
        <f t="shared" si="112"/>
        <v>Medium</v>
      </c>
      <c r="AA645" s="19" t="str">
        <f t="shared" si="113"/>
        <v>Review</v>
      </c>
      <c r="AB645" s="14" t="s">
        <v>85</v>
      </c>
      <c r="AC645" s="14">
        <v>3</v>
      </c>
      <c r="AD645" s="14" t="s">
        <v>194</v>
      </c>
      <c r="AE645" s="17">
        <v>6</v>
      </c>
      <c r="AF645" s="15">
        <v>345794</v>
      </c>
      <c r="AG645" s="20">
        <f t="shared" si="114"/>
        <v>2200026</v>
      </c>
      <c r="AH645" s="14">
        <v>1</v>
      </c>
      <c r="AI645" s="14" t="s">
        <v>75</v>
      </c>
      <c r="AJ645" s="14">
        <v>24</v>
      </c>
      <c r="AK645" s="21">
        <f t="shared" si="115"/>
        <v>0.375</v>
      </c>
      <c r="AL645" s="20">
        <f t="shared" si="116"/>
        <v>47561.604861220745</v>
      </c>
      <c r="AM645" s="22">
        <f t="shared" si="117"/>
        <v>0.42860979640088187</v>
      </c>
      <c r="AN645" s="20">
        <f t="shared" si="118"/>
        <v>70406.91486122075</v>
      </c>
      <c r="AO645" s="16">
        <f t="shared" si="119"/>
        <v>0.45565116896626151</v>
      </c>
      <c r="AP645" s="15">
        <v>0</v>
      </c>
      <c r="AQ645" s="18" t="str">
        <f t="shared" si="120"/>
        <v>N/A</v>
      </c>
      <c r="AR645" s="23">
        <v>46116</v>
      </c>
      <c r="AS645" s="14" t="s">
        <v>79</v>
      </c>
    </row>
    <row r="646" spans="1:45" x14ac:dyDescent="0.25">
      <c r="A646" s="14" t="s">
        <v>2102</v>
      </c>
      <c r="B646" s="14" t="s">
        <v>2103</v>
      </c>
      <c r="C646" s="14">
        <v>9203496796</v>
      </c>
      <c r="D646" s="15" t="s">
        <v>2111</v>
      </c>
      <c r="E646" s="14">
        <v>62</v>
      </c>
      <c r="F646" s="14" t="s">
        <v>71</v>
      </c>
      <c r="G646" s="14" t="s">
        <v>314</v>
      </c>
      <c r="H646" s="14" t="s">
        <v>107</v>
      </c>
      <c r="I646" s="14" t="s">
        <v>92</v>
      </c>
      <c r="J646" s="15">
        <v>979458</v>
      </c>
      <c r="K646" s="14">
        <v>3</v>
      </c>
      <c r="L646" s="14" t="s">
        <v>76</v>
      </c>
      <c r="M646" s="14" t="s">
        <v>75</v>
      </c>
      <c r="N646" s="14" t="s">
        <v>76</v>
      </c>
      <c r="O646" s="14" t="s">
        <v>76</v>
      </c>
      <c r="P646" s="14">
        <v>508</v>
      </c>
      <c r="Q646" s="15"/>
      <c r="R646" s="15">
        <v>4488.6499999999996</v>
      </c>
      <c r="S646" s="14" t="s">
        <v>20</v>
      </c>
      <c r="T646" s="15"/>
      <c r="U646" s="16">
        <f t="shared" si="110"/>
        <v>5.4993475983656261E-2</v>
      </c>
      <c r="V646" s="14">
        <v>0</v>
      </c>
      <c r="W646" s="17">
        <v>92.3</v>
      </c>
      <c r="X646" s="14">
        <v>4.7</v>
      </c>
      <c r="Y646" s="18">
        <f t="shared" si="111"/>
        <v>37</v>
      </c>
      <c r="Z646" s="18" t="str">
        <f t="shared" si="112"/>
        <v>Medium</v>
      </c>
      <c r="AA646" s="19" t="str">
        <f t="shared" si="113"/>
        <v>Not Eligible</v>
      </c>
      <c r="AB646" s="14" t="s">
        <v>161</v>
      </c>
      <c r="AC646" s="14">
        <v>0</v>
      </c>
      <c r="AD646" s="14" t="s">
        <v>93</v>
      </c>
      <c r="AE646" s="17">
        <v>1.6</v>
      </c>
      <c r="AF646" s="15">
        <v>0</v>
      </c>
      <c r="AG646" s="20">
        <f t="shared" si="114"/>
        <v>979458</v>
      </c>
      <c r="AH646" s="14">
        <v>1</v>
      </c>
      <c r="AI646" s="14" t="s">
        <v>76</v>
      </c>
      <c r="AJ646" s="14">
        <v>36</v>
      </c>
      <c r="AK646" s="21">
        <f t="shared" si="115"/>
        <v>0.375</v>
      </c>
      <c r="AL646" s="20">
        <f t="shared" si="116"/>
        <v>0</v>
      </c>
      <c r="AM646" s="22">
        <f t="shared" si="117"/>
        <v>0</v>
      </c>
      <c r="AN646" s="20">
        <f t="shared" si="118"/>
        <v>4488.6499999999996</v>
      </c>
      <c r="AO646" s="16">
        <f t="shared" si="119"/>
        <v>5.4993475983656261E-2</v>
      </c>
      <c r="AP646" s="15">
        <v>0</v>
      </c>
      <c r="AQ646" s="18" t="str">
        <f t="shared" si="120"/>
        <v>N/A</v>
      </c>
      <c r="AR646" s="23">
        <v>46086</v>
      </c>
      <c r="AS646" s="14" t="s">
        <v>79</v>
      </c>
    </row>
    <row r="647" spans="1:45" x14ac:dyDescent="0.25">
      <c r="A647" s="14" t="s">
        <v>2105</v>
      </c>
      <c r="B647" s="14" t="s">
        <v>2106</v>
      </c>
      <c r="C647" s="14">
        <v>9675602611</v>
      </c>
      <c r="D647" s="15" t="s">
        <v>2114</v>
      </c>
      <c r="E647" s="14">
        <v>28</v>
      </c>
      <c r="F647" s="14" t="s">
        <v>89</v>
      </c>
      <c r="G647" s="14" t="s">
        <v>106</v>
      </c>
      <c r="H647" s="14" t="s">
        <v>99</v>
      </c>
      <c r="I647" s="14" t="s">
        <v>74</v>
      </c>
      <c r="J647" s="15">
        <v>2303563</v>
      </c>
      <c r="K647" s="14">
        <v>1</v>
      </c>
      <c r="L647" s="14" t="s">
        <v>76</v>
      </c>
      <c r="M647" s="14" t="s">
        <v>75</v>
      </c>
      <c r="N647" s="14" t="s">
        <v>75</v>
      </c>
      <c r="O647" s="14" t="s">
        <v>75</v>
      </c>
      <c r="P647" s="14">
        <v>485</v>
      </c>
      <c r="Q647" s="15"/>
      <c r="R647" s="15">
        <v>14383.93</v>
      </c>
      <c r="S647" s="14" t="s">
        <v>22</v>
      </c>
      <c r="T647" s="15"/>
      <c r="U647" s="16">
        <f t="shared" si="110"/>
        <v>7.4930514164361903E-2</v>
      </c>
      <c r="V647" s="14">
        <v>0</v>
      </c>
      <c r="W647" s="17">
        <v>65.3</v>
      </c>
      <c r="X647" s="14">
        <v>10</v>
      </c>
      <c r="Y647" s="18">
        <f t="shared" si="111"/>
        <v>36.4</v>
      </c>
      <c r="Z647" s="18" t="str">
        <f t="shared" si="112"/>
        <v>Medium</v>
      </c>
      <c r="AA647" s="19" t="str">
        <f t="shared" si="113"/>
        <v>Not Eligible</v>
      </c>
      <c r="AB647" s="14" t="s">
        <v>85</v>
      </c>
      <c r="AC647" s="14">
        <v>0</v>
      </c>
      <c r="AD647" s="14" t="s">
        <v>93</v>
      </c>
      <c r="AE647" s="17">
        <v>3.5</v>
      </c>
      <c r="AF647" s="15">
        <v>0</v>
      </c>
      <c r="AG647" s="20">
        <f t="shared" si="114"/>
        <v>2303563</v>
      </c>
      <c r="AH647" s="14">
        <v>0</v>
      </c>
      <c r="AI647" s="14" t="s">
        <v>75</v>
      </c>
      <c r="AJ647" s="14">
        <v>48</v>
      </c>
      <c r="AK647" s="21">
        <f t="shared" si="115"/>
        <v>0.105</v>
      </c>
      <c r="AL647" s="20">
        <f t="shared" si="116"/>
        <v>0</v>
      </c>
      <c r="AM647" s="22">
        <f t="shared" si="117"/>
        <v>0</v>
      </c>
      <c r="AN647" s="20">
        <f t="shared" si="118"/>
        <v>14383.93</v>
      </c>
      <c r="AO647" s="16">
        <f t="shared" si="119"/>
        <v>7.4930514164361903E-2</v>
      </c>
      <c r="AP647" s="15">
        <v>893666</v>
      </c>
      <c r="AQ647" s="18">
        <f t="shared" si="120"/>
        <v>0</v>
      </c>
      <c r="AR647" s="23">
        <v>46009</v>
      </c>
      <c r="AS647" s="14" t="s">
        <v>79</v>
      </c>
    </row>
    <row r="648" spans="1:45" x14ac:dyDescent="0.25">
      <c r="A648" s="14" t="s">
        <v>2109</v>
      </c>
      <c r="B648" s="14" t="s">
        <v>2110</v>
      </c>
      <c r="C648" s="14"/>
      <c r="D648" s="15" t="s">
        <v>2117</v>
      </c>
      <c r="E648" s="14">
        <v>55</v>
      </c>
      <c r="F648" s="14" t="s">
        <v>71</v>
      </c>
      <c r="G648" s="14" t="s">
        <v>226</v>
      </c>
      <c r="H648" s="14" t="s">
        <v>166</v>
      </c>
      <c r="I648" s="14" t="s">
        <v>74</v>
      </c>
      <c r="J648" s="15">
        <v>2351429</v>
      </c>
      <c r="K648" s="14">
        <v>0</v>
      </c>
      <c r="L648" s="14" t="s">
        <v>75</v>
      </c>
      <c r="M648" s="14" t="s">
        <v>75</v>
      </c>
      <c r="N648" s="14" t="s">
        <v>75</v>
      </c>
      <c r="O648" s="14" t="s">
        <v>75</v>
      </c>
      <c r="P648" s="14">
        <v>523</v>
      </c>
      <c r="Q648" s="15">
        <v>773973</v>
      </c>
      <c r="R648" s="15">
        <v>426.73</v>
      </c>
      <c r="S648" s="14" t="s">
        <v>20</v>
      </c>
      <c r="T648" s="15">
        <v>206859</v>
      </c>
      <c r="U648" s="16">
        <f t="shared" si="110"/>
        <v>2.1777225678512938E-3</v>
      </c>
      <c r="V648" s="14">
        <v>2</v>
      </c>
      <c r="W648" s="17">
        <v>42.5</v>
      </c>
      <c r="X648" s="14">
        <v>9.9</v>
      </c>
      <c r="Y648" s="18">
        <f t="shared" si="111"/>
        <v>37.4</v>
      </c>
      <c r="Z648" s="18" t="str">
        <f t="shared" si="112"/>
        <v>Medium</v>
      </c>
      <c r="AA648" s="19" t="str">
        <f t="shared" si="113"/>
        <v>Not Eligible</v>
      </c>
      <c r="AB648" s="14" t="s">
        <v>77</v>
      </c>
      <c r="AC648" s="14">
        <v>3</v>
      </c>
      <c r="AD648" s="14" t="s">
        <v>78</v>
      </c>
      <c r="AE648" s="17">
        <v>21.6</v>
      </c>
      <c r="AF648" s="15">
        <v>0</v>
      </c>
      <c r="AG648" s="20">
        <f t="shared" si="114"/>
        <v>2351429</v>
      </c>
      <c r="AH648" s="14">
        <v>2</v>
      </c>
      <c r="AI648" s="14" t="s">
        <v>75</v>
      </c>
      <c r="AJ648" s="14">
        <v>36</v>
      </c>
      <c r="AK648" s="21">
        <f t="shared" si="115"/>
        <v>0.375</v>
      </c>
      <c r="AL648" s="20">
        <f t="shared" si="116"/>
        <v>9652.4736530431528</v>
      </c>
      <c r="AM648" s="22">
        <f t="shared" si="117"/>
        <v>8.797161215584226E-2</v>
      </c>
      <c r="AN648" s="20">
        <f t="shared" si="118"/>
        <v>10079.203653043152</v>
      </c>
      <c r="AO648" s="16">
        <f t="shared" si="119"/>
        <v>5.1436995901861307E-2</v>
      </c>
      <c r="AP648" s="15">
        <v>0</v>
      </c>
      <c r="AQ648" s="18" t="str">
        <f t="shared" si="120"/>
        <v>N/A</v>
      </c>
      <c r="AR648" s="23">
        <v>46148</v>
      </c>
      <c r="AS648" s="14" t="s">
        <v>79</v>
      </c>
    </row>
    <row r="649" spans="1:45" x14ac:dyDescent="0.25">
      <c r="A649" s="14" t="s">
        <v>2112</v>
      </c>
      <c r="B649" s="14" t="s">
        <v>2113</v>
      </c>
      <c r="C649" s="14">
        <v>9945588120</v>
      </c>
      <c r="D649" s="15" t="s">
        <v>2120</v>
      </c>
      <c r="E649" s="14">
        <v>36</v>
      </c>
      <c r="F649" s="14" t="s">
        <v>89</v>
      </c>
      <c r="G649" s="14" t="s">
        <v>83</v>
      </c>
      <c r="H649" s="14" t="s">
        <v>103</v>
      </c>
      <c r="I649" s="14" t="s">
        <v>74</v>
      </c>
      <c r="J649" s="15">
        <v>1647331</v>
      </c>
      <c r="K649" s="14">
        <v>1</v>
      </c>
      <c r="L649" s="14" t="s">
        <v>75</v>
      </c>
      <c r="M649" s="14" t="s">
        <v>76</v>
      </c>
      <c r="N649" s="14" t="s">
        <v>75</v>
      </c>
      <c r="O649" s="14" t="s">
        <v>75</v>
      </c>
      <c r="P649" s="14">
        <v>654</v>
      </c>
      <c r="Q649" s="15"/>
      <c r="R649" s="15">
        <v>4322.49</v>
      </c>
      <c r="S649" s="14" t="s">
        <v>20</v>
      </c>
      <c r="T649" s="15">
        <v>6057573</v>
      </c>
      <c r="U649" s="16">
        <f t="shared" si="110"/>
        <v>3.1487223879111119E-2</v>
      </c>
      <c r="V649" s="14">
        <v>0</v>
      </c>
      <c r="W649" s="17">
        <v>52.7</v>
      </c>
      <c r="X649" s="14">
        <v>7.4</v>
      </c>
      <c r="Y649" s="18">
        <f t="shared" si="111"/>
        <v>22.6</v>
      </c>
      <c r="Z649" s="18" t="str">
        <f t="shared" si="112"/>
        <v>Low</v>
      </c>
      <c r="AA649" s="19" t="str">
        <f t="shared" si="113"/>
        <v>Eligible</v>
      </c>
      <c r="AB649" s="14" t="s">
        <v>77</v>
      </c>
      <c r="AC649" s="14">
        <v>1</v>
      </c>
      <c r="AD649" s="14" t="s">
        <v>78</v>
      </c>
      <c r="AE649" s="17">
        <v>13.8</v>
      </c>
      <c r="AF649" s="15">
        <v>0</v>
      </c>
      <c r="AG649" s="20">
        <f t="shared" si="114"/>
        <v>1647331</v>
      </c>
      <c r="AH649" s="14">
        <v>1</v>
      </c>
      <c r="AI649" s="14" t="s">
        <v>75</v>
      </c>
      <c r="AJ649" s="14">
        <v>12</v>
      </c>
      <c r="AK649" s="21">
        <f t="shared" si="115"/>
        <v>0.36</v>
      </c>
      <c r="AL649" s="20">
        <f t="shared" si="116"/>
        <v>608556.41648471309</v>
      </c>
      <c r="AM649" s="22">
        <f t="shared" si="117"/>
        <v>3.6772045205244117</v>
      </c>
      <c r="AN649" s="20">
        <f t="shared" si="118"/>
        <v>612878.90648471308</v>
      </c>
      <c r="AO649" s="16">
        <f t="shared" si="119"/>
        <v>4.4645228419889849</v>
      </c>
      <c r="AP649" s="15">
        <v>0</v>
      </c>
      <c r="AQ649" s="18" t="str">
        <f t="shared" si="120"/>
        <v>N/A</v>
      </c>
      <c r="AR649" s="23">
        <v>46027</v>
      </c>
      <c r="AS649" s="14" t="s">
        <v>79</v>
      </c>
    </row>
    <row r="650" spans="1:45" x14ac:dyDescent="0.25">
      <c r="A650" s="14" t="s">
        <v>2115</v>
      </c>
      <c r="B650" s="14" t="s">
        <v>2116</v>
      </c>
      <c r="C650" s="14">
        <v>9649603215</v>
      </c>
      <c r="D650" s="15" t="s">
        <v>2124</v>
      </c>
      <c r="E650" s="14">
        <v>61</v>
      </c>
      <c r="F650" s="14" t="s">
        <v>71</v>
      </c>
      <c r="G650" s="14" t="s">
        <v>106</v>
      </c>
      <c r="H650" s="14" t="s">
        <v>132</v>
      </c>
      <c r="I650" s="14" t="s">
        <v>92</v>
      </c>
      <c r="J650" s="15">
        <v>1548070</v>
      </c>
      <c r="K650" s="14">
        <v>1</v>
      </c>
      <c r="L650" s="14" t="s">
        <v>76</v>
      </c>
      <c r="M650" s="14" t="s">
        <v>75</v>
      </c>
      <c r="N650" s="14" t="s">
        <v>75</v>
      </c>
      <c r="O650" s="14" t="s">
        <v>75</v>
      </c>
      <c r="P650" s="14">
        <v>414</v>
      </c>
      <c r="Q650" s="15">
        <v>612620</v>
      </c>
      <c r="R650" s="15">
        <v>18877.400000000001</v>
      </c>
      <c r="S650" s="14" t="s">
        <v>20</v>
      </c>
      <c r="T650" s="15">
        <v>671270</v>
      </c>
      <c r="U650" s="16">
        <f t="shared" si="110"/>
        <v>0.1463298171271325</v>
      </c>
      <c r="V650" s="14">
        <v>1</v>
      </c>
      <c r="W650" s="17">
        <v>71.7</v>
      </c>
      <c r="X650" s="14">
        <v>14.7</v>
      </c>
      <c r="Y650" s="18">
        <f t="shared" si="111"/>
        <v>48</v>
      </c>
      <c r="Z650" s="18" t="str">
        <f t="shared" si="112"/>
        <v>Medium</v>
      </c>
      <c r="AA650" s="19" t="str">
        <f t="shared" si="113"/>
        <v>Not Eligible</v>
      </c>
      <c r="AB650" s="14" t="s">
        <v>85</v>
      </c>
      <c r="AC650" s="14">
        <v>1</v>
      </c>
      <c r="AD650" s="14" t="s">
        <v>93</v>
      </c>
      <c r="AE650" s="17">
        <v>18.2</v>
      </c>
      <c r="AF650" s="15">
        <v>323526</v>
      </c>
      <c r="AG650" s="20">
        <f t="shared" si="114"/>
        <v>1871596</v>
      </c>
      <c r="AH650" s="14">
        <v>0</v>
      </c>
      <c r="AI650" s="14" t="s">
        <v>75</v>
      </c>
      <c r="AJ650" s="14">
        <v>18</v>
      </c>
      <c r="AK650" s="21">
        <f t="shared" si="115"/>
        <v>0.375</v>
      </c>
      <c r="AL650" s="20">
        <f t="shared" si="116"/>
        <v>49324.422048530563</v>
      </c>
      <c r="AM650" s="22">
        <f t="shared" si="117"/>
        <v>0.43361734288501164</v>
      </c>
      <c r="AN650" s="20">
        <f t="shared" si="118"/>
        <v>68201.822048530565</v>
      </c>
      <c r="AO650" s="16">
        <f t="shared" si="119"/>
        <v>0.52867238857568899</v>
      </c>
      <c r="AP650" s="15">
        <v>0</v>
      </c>
      <c r="AQ650" s="18" t="str">
        <f t="shared" si="120"/>
        <v>N/A</v>
      </c>
      <c r="AR650" s="23">
        <v>45958</v>
      </c>
      <c r="AS650" s="14" t="s">
        <v>79</v>
      </c>
    </row>
    <row r="651" spans="1:45" x14ac:dyDescent="0.25">
      <c r="A651" s="14" t="s">
        <v>2118</v>
      </c>
      <c r="B651" s="14" t="s">
        <v>2119</v>
      </c>
      <c r="C651" s="14">
        <v>9754543767</v>
      </c>
      <c r="D651" s="15"/>
      <c r="E651" s="14">
        <v>36</v>
      </c>
      <c r="F651" s="14" t="s">
        <v>71</v>
      </c>
      <c r="G651" s="14" t="s">
        <v>174</v>
      </c>
      <c r="H651" s="14" t="s">
        <v>166</v>
      </c>
      <c r="I651" s="14" t="s">
        <v>74</v>
      </c>
      <c r="J651" s="15">
        <v>2451593</v>
      </c>
      <c r="K651" s="14">
        <v>2</v>
      </c>
      <c r="L651" s="14" t="s">
        <v>76</v>
      </c>
      <c r="M651" s="14" t="s">
        <v>75</v>
      </c>
      <c r="N651" s="14" t="s">
        <v>76</v>
      </c>
      <c r="O651" s="14" t="s">
        <v>75</v>
      </c>
      <c r="P651" s="14">
        <v>369</v>
      </c>
      <c r="Q651" s="15">
        <v>273008.49</v>
      </c>
      <c r="R651" s="15">
        <v>22552.080000000002</v>
      </c>
      <c r="S651" s="14" t="s">
        <v>23</v>
      </c>
      <c r="T651" s="15">
        <v>643357</v>
      </c>
      <c r="U651" s="16">
        <f t="shared" si="110"/>
        <v>0.11038739301344065</v>
      </c>
      <c r="V651" s="14">
        <v>1</v>
      </c>
      <c r="W651" s="17">
        <v>5.9</v>
      </c>
      <c r="X651" s="14">
        <v>12.4</v>
      </c>
      <c r="Y651" s="18">
        <f t="shared" si="111"/>
        <v>43.3</v>
      </c>
      <c r="Z651" s="18" t="str">
        <f t="shared" si="112"/>
        <v>Medium</v>
      </c>
      <c r="AA651" s="19" t="str">
        <f t="shared" si="113"/>
        <v>Not Eligible</v>
      </c>
      <c r="AB651" s="14" t="s">
        <v>85</v>
      </c>
      <c r="AC651" s="14">
        <v>1</v>
      </c>
      <c r="AD651" s="14" t="s">
        <v>78</v>
      </c>
      <c r="AE651" s="17">
        <v>3</v>
      </c>
      <c r="AF651" s="15">
        <v>0</v>
      </c>
      <c r="AG651" s="20">
        <f t="shared" si="114"/>
        <v>2451593</v>
      </c>
      <c r="AH651" s="14">
        <v>0</v>
      </c>
      <c r="AI651" s="14" t="s">
        <v>75</v>
      </c>
      <c r="AJ651" s="14">
        <v>180</v>
      </c>
      <c r="AK651" s="21">
        <f t="shared" si="115"/>
        <v>0.1</v>
      </c>
      <c r="AL651" s="20">
        <f t="shared" si="116"/>
        <v>6913.5472471334051</v>
      </c>
      <c r="AM651" s="22">
        <f t="shared" si="117"/>
        <v>0.26242406467957774</v>
      </c>
      <c r="AN651" s="20">
        <f t="shared" si="118"/>
        <v>29465.627247133409</v>
      </c>
      <c r="AO651" s="16">
        <f t="shared" si="119"/>
        <v>0.14422766216317345</v>
      </c>
      <c r="AP651" s="15">
        <v>8369419</v>
      </c>
      <c r="AQ651" s="18">
        <f t="shared" si="120"/>
        <v>7.6869971499813783E-2</v>
      </c>
      <c r="AR651" s="23">
        <v>46010</v>
      </c>
      <c r="AS651" s="14" t="s">
        <v>79</v>
      </c>
    </row>
    <row r="652" spans="1:45" x14ac:dyDescent="0.25">
      <c r="A652" s="14" t="s">
        <v>2121</v>
      </c>
      <c r="B652" s="14" t="s">
        <v>2122</v>
      </c>
      <c r="C652" s="14">
        <v>9498049146</v>
      </c>
      <c r="D652" s="15" t="s">
        <v>2131</v>
      </c>
      <c r="E652" s="14">
        <v>53</v>
      </c>
      <c r="F652" s="14" t="s">
        <v>71</v>
      </c>
      <c r="G652" s="14" t="s">
        <v>106</v>
      </c>
      <c r="H652" s="14" t="s">
        <v>99</v>
      </c>
      <c r="I652" s="14" t="s">
        <v>74</v>
      </c>
      <c r="J652" s="15">
        <v>2306413</v>
      </c>
      <c r="K652" s="14">
        <v>3</v>
      </c>
      <c r="L652" s="14" t="s">
        <v>76</v>
      </c>
      <c r="M652" s="14" t="s">
        <v>76</v>
      </c>
      <c r="N652" s="14" t="s">
        <v>75</v>
      </c>
      <c r="O652" s="14" t="s">
        <v>76</v>
      </c>
      <c r="P652" s="14">
        <v>790</v>
      </c>
      <c r="Q652" s="15"/>
      <c r="R652" s="15">
        <v>17017.22</v>
      </c>
      <c r="S652" s="14" t="s">
        <v>21</v>
      </c>
      <c r="T652" s="15"/>
      <c r="U652" s="16">
        <f t="shared" si="110"/>
        <v>8.8538626863445533E-2</v>
      </c>
      <c r="V652" s="14">
        <v>3</v>
      </c>
      <c r="W652" s="17">
        <v>60.9</v>
      </c>
      <c r="X652" s="14">
        <v>1.2</v>
      </c>
      <c r="Y652" s="18">
        <f t="shared" si="111"/>
        <v>28.1</v>
      </c>
      <c r="Z652" s="18" t="str">
        <f t="shared" si="112"/>
        <v>Low</v>
      </c>
      <c r="AA652" s="19" t="str">
        <f t="shared" si="113"/>
        <v>Review</v>
      </c>
      <c r="AB652" s="14" t="s">
        <v>85</v>
      </c>
      <c r="AC652" s="14">
        <v>0</v>
      </c>
      <c r="AD652" s="14" t="s">
        <v>78</v>
      </c>
      <c r="AE652" s="17">
        <v>17.8</v>
      </c>
      <c r="AF652" s="15">
        <v>0</v>
      </c>
      <c r="AG652" s="20">
        <f t="shared" si="114"/>
        <v>2306413</v>
      </c>
      <c r="AH652" s="14">
        <v>2</v>
      </c>
      <c r="AI652" s="14" t="s">
        <v>75</v>
      </c>
      <c r="AJ652" s="14">
        <v>48</v>
      </c>
      <c r="AK652" s="21">
        <f t="shared" si="115"/>
        <v>0.14000000000000001</v>
      </c>
      <c r="AL652" s="20">
        <f t="shared" si="116"/>
        <v>0</v>
      </c>
      <c r="AM652" s="22">
        <f t="shared" si="117"/>
        <v>0</v>
      </c>
      <c r="AN652" s="20">
        <f t="shared" si="118"/>
        <v>17017.22</v>
      </c>
      <c r="AO652" s="16">
        <f t="shared" si="119"/>
        <v>8.8538626863445533E-2</v>
      </c>
      <c r="AP652" s="15">
        <v>0</v>
      </c>
      <c r="AQ652" s="18" t="str">
        <f t="shared" si="120"/>
        <v>N/A</v>
      </c>
      <c r="AR652" s="23">
        <v>46029</v>
      </c>
      <c r="AS652" s="14" t="s">
        <v>94</v>
      </c>
    </row>
    <row r="653" spans="1:45" x14ac:dyDescent="0.25">
      <c r="A653" s="14" t="s">
        <v>2125</v>
      </c>
      <c r="B653" s="14" t="s">
        <v>2126</v>
      </c>
      <c r="C653" s="14"/>
      <c r="D653" s="15" t="s">
        <v>2134</v>
      </c>
      <c r="E653" s="14">
        <v>58</v>
      </c>
      <c r="F653" s="14" t="s">
        <v>71</v>
      </c>
      <c r="G653" s="14" t="s">
        <v>90</v>
      </c>
      <c r="H653" s="14" t="s">
        <v>73</v>
      </c>
      <c r="I653" s="14" t="s">
        <v>74</v>
      </c>
      <c r="J653" s="15">
        <v>502267</v>
      </c>
      <c r="K653" s="14">
        <v>1</v>
      </c>
      <c r="L653" s="14" t="s">
        <v>76</v>
      </c>
      <c r="M653" s="14" t="s">
        <v>75</v>
      </c>
      <c r="N653" s="14" t="s">
        <v>75</v>
      </c>
      <c r="O653" s="14" t="s">
        <v>75</v>
      </c>
      <c r="P653" s="14">
        <v>844</v>
      </c>
      <c r="Q653" s="15">
        <v>73231</v>
      </c>
      <c r="R653" s="15">
        <v>4963.79</v>
      </c>
      <c r="S653" s="14" t="s">
        <v>22</v>
      </c>
      <c r="T653" s="15">
        <v>719196</v>
      </c>
      <c r="U653" s="16">
        <f t="shared" si="110"/>
        <v>0.11859325816746868</v>
      </c>
      <c r="V653" s="14">
        <v>0</v>
      </c>
      <c r="W653" s="17">
        <v>13.1</v>
      </c>
      <c r="X653" s="14">
        <v>9</v>
      </c>
      <c r="Y653" s="18">
        <f t="shared" si="111"/>
        <v>8.6</v>
      </c>
      <c r="Z653" s="18" t="str">
        <f t="shared" si="112"/>
        <v>Low</v>
      </c>
      <c r="AA653" s="19" t="str">
        <f t="shared" si="113"/>
        <v>Eligible</v>
      </c>
      <c r="AB653" s="14" t="s">
        <v>77</v>
      </c>
      <c r="AC653" s="14">
        <v>1</v>
      </c>
      <c r="AD653" s="14" t="s">
        <v>78</v>
      </c>
      <c r="AE653" s="17">
        <v>19.600000000000001</v>
      </c>
      <c r="AF653" s="15">
        <v>0</v>
      </c>
      <c r="AG653" s="20">
        <f t="shared" si="114"/>
        <v>502267</v>
      </c>
      <c r="AH653" s="14">
        <v>1</v>
      </c>
      <c r="AI653" s="14" t="s">
        <v>75</v>
      </c>
      <c r="AJ653" s="14">
        <v>72</v>
      </c>
      <c r="AK653" s="21">
        <f t="shared" si="115"/>
        <v>0.09</v>
      </c>
      <c r="AL653" s="20">
        <f t="shared" si="116"/>
        <v>12963.894229272428</v>
      </c>
      <c r="AM653" s="22">
        <f t="shared" si="117"/>
        <v>1.4318997664588755</v>
      </c>
      <c r="AN653" s="20">
        <f t="shared" si="118"/>
        <v>17927.684229272429</v>
      </c>
      <c r="AO653" s="16">
        <f t="shared" si="119"/>
        <v>0.42832240770599928</v>
      </c>
      <c r="AP653" s="15">
        <v>713810</v>
      </c>
      <c r="AQ653" s="18">
        <f t="shared" si="120"/>
        <v>1.0075454252532186</v>
      </c>
      <c r="AR653" s="23">
        <v>46238</v>
      </c>
      <c r="AS653" s="14" t="s">
        <v>79</v>
      </c>
    </row>
    <row r="654" spans="1:45" x14ac:dyDescent="0.25">
      <c r="A654" s="14" t="s">
        <v>2128</v>
      </c>
      <c r="B654" s="14" t="s">
        <v>2129</v>
      </c>
      <c r="C654" s="14">
        <v>9112193966</v>
      </c>
      <c r="D654" s="15" t="s">
        <v>2138</v>
      </c>
      <c r="E654" s="14">
        <v>56</v>
      </c>
      <c r="F654" s="14" t="s">
        <v>89</v>
      </c>
      <c r="G654" s="14" t="s">
        <v>115</v>
      </c>
      <c r="H654" s="14" t="s">
        <v>103</v>
      </c>
      <c r="I654" s="14" t="s">
        <v>74</v>
      </c>
      <c r="J654" s="15">
        <v>1761838</v>
      </c>
      <c r="K654" s="14">
        <v>2</v>
      </c>
      <c r="L654" s="14" t="s">
        <v>75</v>
      </c>
      <c r="M654" s="14" t="s">
        <v>76</v>
      </c>
      <c r="N654" s="14" t="s">
        <v>75</v>
      </c>
      <c r="O654" s="14" t="s">
        <v>76</v>
      </c>
      <c r="P654" s="14">
        <v>352</v>
      </c>
      <c r="Q654" s="15">
        <v>794578</v>
      </c>
      <c r="R654" s="15">
        <v>11836.26</v>
      </c>
      <c r="S654" s="14" t="s">
        <v>23</v>
      </c>
      <c r="T654" s="15">
        <v>487548</v>
      </c>
      <c r="U654" s="16">
        <f t="shared" si="110"/>
        <v>8.0617582320281433E-2</v>
      </c>
      <c r="V654" s="14">
        <v>1</v>
      </c>
      <c r="W654" s="17">
        <v>74.5</v>
      </c>
      <c r="X654" s="14">
        <v>9.1999999999999993</v>
      </c>
      <c r="Y654" s="18">
        <f t="shared" si="111"/>
        <v>50.4</v>
      </c>
      <c r="Z654" s="18" t="str">
        <f t="shared" si="112"/>
        <v>Medium</v>
      </c>
      <c r="AA654" s="19" t="str">
        <f t="shared" si="113"/>
        <v>Not Eligible</v>
      </c>
      <c r="AB654" s="14" t="s">
        <v>77</v>
      </c>
      <c r="AC654" s="14">
        <v>3</v>
      </c>
      <c r="AD654" s="14" t="s">
        <v>93</v>
      </c>
      <c r="AE654" s="17">
        <v>24.7</v>
      </c>
      <c r="AF654" s="15">
        <v>555336</v>
      </c>
      <c r="AG654" s="20">
        <f t="shared" si="114"/>
        <v>2317174</v>
      </c>
      <c r="AH654" s="14">
        <v>1</v>
      </c>
      <c r="AI654" s="14" t="s">
        <v>76</v>
      </c>
      <c r="AJ654" s="14">
        <v>300</v>
      </c>
      <c r="AK654" s="21">
        <f t="shared" si="115"/>
        <v>0.1</v>
      </c>
      <c r="AL654" s="20">
        <f t="shared" si="116"/>
        <v>4430.3523108656545</v>
      </c>
      <c r="AM654" s="22">
        <f t="shared" si="117"/>
        <v>0.2767269181388981</v>
      </c>
      <c r="AN654" s="20">
        <f t="shared" si="118"/>
        <v>16266.612310865654</v>
      </c>
      <c r="AO654" s="16">
        <f t="shared" si="119"/>
        <v>0.11079301713913983</v>
      </c>
      <c r="AP654" s="15">
        <v>10655307</v>
      </c>
      <c r="AQ654" s="18">
        <f t="shared" si="120"/>
        <v>4.5756354087216823E-2</v>
      </c>
      <c r="AR654" s="23">
        <v>46131</v>
      </c>
      <c r="AS654" s="14" t="s">
        <v>79</v>
      </c>
    </row>
    <row r="655" spans="1:45" x14ac:dyDescent="0.25">
      <c r="A655" s="14" t="s">
        <v>2132</v>
      </c>
      <c r="B655" s="14" t="s">
        <v>2133</v>
      </c>
      <c r="C655" s="14">
        <v>9727594615</v>
      </c>
      <c r="D655" s="15" t="s">
        <v>2141</v>
      </c>
      <c r="E655" s="14">
        <v>37</v>
      </c>
      <c r="F655" s="14" t="s">
        <v>89</v>
      </c>
      <c r="G655" s="14" t="s">
        <v>139</v>
      </c>
      <c r="H655" s="14" t="s">
        <v>84</v>
      </c>
      <c r="I655" s="14" t="s">
        <v>74</v>
      </c>
      <c r="J655" s="15">
        <v>1164490</v>
      </c>
      <c r="K655" s="14">
        <v>2</v>
      </c>
      <c r="L655" s="14" t="s">
        <v>76</v>
      </c>
      <c r="M655" s="14" t="s">
        <v>75</v>
      </c>
      <c r="N655" s="14" t="s">
        <v>76</v>
      </c>
      <c r="O655" s="14" t="s">
        <v>75</v>
      </c>
      <c r="P655" s="14">
        <v>835</v>
      </c>
      <c r="Q655" s="15">
        <v>297448.12</v>
      </c>
      <c r="R655" s="15">
        <v>3183.95</v>
      </c>
      <c r="S655" s="14" t="s">
        <v>21</v>
      </c>
      <c r="T655" s="15"/>
      <c r="U655" s="16">
        <f t="shared" si="110"/>
        <v>3.2810414859723996E-2</v>
      </c>
      <c r="V655" s="14">
        <v>0</v>
      </c>
      <c r="W655" s="17">
        <v>55.2</v>
      </c>
      <c r="X655" s="14">
        <v>5.3</v>
      </c>
      <c r="Y655" s="18">
        <f t="shared" si="111"/>
        <v>10.8</v>
      </c>
      <c r="Z655" s="18" t="str">
        <f t="shared" si="112"/>
        <v>Low</v>
      </c>
      <c r="AA655" s="19" t="str">
        <f t="shared" si="113"/>
        <v>Eligible</v>
      </c>
      <c r="AB655" s="14" t="s">
        <v>85</v>
      </c>
      <c r="AC655" s="14">
        <v>2</v>
      </c>
      <c r="AD655" s="14" t="s">
        <v>93</v>
      </c>
      <c r="AE655" s="17">
        <v>9.4</v>
      </c>
      <c r="AF655" s="15">
        <v>0</v>
      </c>
      <c r="AG655" s="20">
        <f t="shared" si="114"/>
        <v>1164490</v>
      </c>
      <c r="AH655" s="14">
        <v>3</v>
      </c>
      <c r="AI655" s="14" t="s">
        <v>75</v>
      </c>
      <c r="AJ655" s="14">
        <v>12</v>
      </c>
      <c r="AK655" s="21">
        <f t="shared" si="115"/>
        <v>0.14000000000000001</v>
      </c>
      <c r="AL655" s="20">
        <f t="shared" si="116"/>
        <v>0</v>
      </c>
      <c r="AM655" s="22">
        <f t="shared" si="117"/>
        <v>0</v>
      </c>
      <c r="AN655" s="20">
        <f t="shared" si="118"/>
        <v>3183.95</v>
      </c>
      <c r="AO655" s="16">
        <f t="shared" si="119"/>
        <v>3.2810414859723996E-2</v>
      </c>
      <c r="AP655" s="15">
        <v>0</v>
      </c>
      <c r="AQ655" s="18" t="str">
        <f t="shared" si="120"/>
        <v>N/A</v>
      </c>
      <c r="AR655" s="23">
        <v>46035</v>
      </c>
      <c r="AS655" s="14" t="s">
        <v>94</v>
      </c>
    </row>
    <row r="656" spans="1:45" x14ac:dyDescent="0.25">
      <c r="A656" s="14" t="s">
        <v>2135</v>
      </c>
      <c r="B656" s="14" t="s">
        <v>2136</v>
      </c>
      <c r="C656" s="14"/>
      <c r="D656" s="15" t="s">
        <v>2143</v>
      </c>
      <c r="E656" s="14">
        <v>60</v>
      </c>
      <c r="F656" s="14" t="s">
        <v>71</v>
      </c>
      <c r="G656" s="14" t="s">
        <v>139</v>
      </c>
      <c r="H656" s="14" t="s">
        <v>107</v>
      </c>
      <c r="I656" s="14" t="s">
        <v>92</v>
      </c>
      <c r="J656" s="15">
        <v>2262977</v>
      </c>
      <c r="K656" s="14">
        <v>1</v>
      </c>
      <c r="L656" s="14" t="s">
        <v>75</v>
      </c>
      <c r="M656" s="14" t="s">
        <v>75</v>
      </c>
      <c r="N656" s="14" t="s">
        <v>76</v>
      </c>
      <c r="O656" s="14" t="s">
        <v>75</v>
      </c>
      <c r="P656" s="14">
        <v>733</v>
      </c>
      <c r="Q656" s="15">
        <v>745068.54</v>
      </c>
      <c r="R656" s="15">
        <v>30560.69</v>
      </c>
      <c r="S656" s="14" t="s">
        <v>22</v>
      </c>
      <c r="T656" s="15">
        <v>1202198</v>
      </c>
      <c r="U656" s="16">
        <f t="shared" si="110"/>
        <v>0.16205568152040431</v>
      </c>
      <c r="V656" s="14">
        <v>1</v>
      </c>
      <c r="W656" s="17">
        <v>67.400000000000006</v>
      </c>
      <c r="X656" s="14">
        <v>11.2</v>
      </c>
      <c r="Y656" s="18">
        <f t="shared" si="111"/>
        <v>26.7</v>
      </c>
      <c r="Z656" s="18" t="str">
        <f t="shared" si="112"/>
        <v>Low</v>
      </c>
      <c r="AA656" s="19" t="str">
        <f t="shared" si="113"/>
        <v>Eligible</v>
      </c>
      <c r="AB656" s="14" t="s">
        <v>85</v>
      </c>
      <c r="AC656" s="14">
        <v>0</v>
      </c>
      <c r="AD656" s="14" t="s">
        <v>93</v>
      </c>
      <c r="AE656" s="17">
        <v>28.8</v>
      </c>
      <c r="AF656" s="15">
        <v>777101</v>
      </c>
      <c r="AG656" s="20">
        <f t="shared" si="114"/>
        <v>3040078</v>
      </c>
      <c r="AH656" s="14">
        <v>0</v>
      </c>
      <c r="AI656" s="14" t="s">
        <v>75</v>
      </c>
      <c r="AJ656" s="14">
        <v>60</v>
      </c>
      <c r="AK656" s="21">
        <f t="shared" si="115"/>
        <v>0.09</v>
      </c>
      <c r="AL656" s="20">
        <f t="shared" si="116"/>
        <v>24955.653136412337</v>
      </c>
      <c r="AM656" s="22">
        <f t="shared" si="117"/>
        <v>0.53124623007657612</v>
      </c>
      <c r="AN656" s="20">
        <f t="shared" si="118"/>
        <v>55516.343136412339</v>
      </c>
      <c r="AO656" s="16">
        <f t="shared" si="119"/>
        <v>0.29438925699949586</v>
      </c>
      <c r="AP656" s="15">
        <v>513873</v>
      </c>
      <c r="AQ656" s="18">
        <f t="shared" si="120"/>
        <v>2.3394846586607976</v>
      </c>
      <c r="AR656" s="23">
        <v>45957</v>
      </c>
      <c r="AS656" s="14" t="s">
        <v>79</v>
      </c>
    </row>
    <row r="657" spans="1:45" x14ac:dyDescent="0.25">
      <c r="A657" s="14" t="s">
        <v>2139</v>
      </c>
      <c r="B657" s="14" t="s">
        <v>2140</v>
      </c>
      <c r="C657" s="14">
        <v>9521859610</v>
      </c>
      <c r="D657" s="15" t="s">
        <v>2145</v>
      </c>
      <c r="E657" s="14">
        <v>36</v>
      </c>
      <c r="F657" s="14" t="s">
        <v>71</v>
      </c>
      <c r="G657" s="14" t="s">
        <v>115</v>
      </c>
      <c r="H657" s="14" t="s">
        <v>84</v>
      </c>
      <c r="I657" s="14" t="s">
        <v>74</v>
      </c>
      <c r="J657" s="15">
        <v>863719</v>
      </c>
      <c r="K657" s="14">
        <v>1</v>
      </c>
      <c r="L657" s="14" t="s">
        <v>75</v>
      </c>
      <c r="M657" s="14" t="s">
        <v>75</v>
      </c>
      <c r="N657" s="14" t="s">
        <v>76</v>
      </c>
      <c r="O657" s="14" t="s">
        <v>75</v>
      </c>
      <c r="P657" s="14">
        <v>343</v>
      </c>
      <c r="Q657" s="15">
        <v>1362244.39</v>
      </c>
      <c r="R657" s="15">
        <v>5311.57</v>
      </c>
      <c r="S657" s="14" t="s">
        <v>22</v>
      </c>
      <c r="T657" s="15">
        <v>4938148</v>
      </c>
      <c r="U657" s="16">
        <f t="shared" si="110"/>
        <v>7.3795806274957479E-2</v>
      </c>
      <c r="V657" s="14">
        <v>3</v>
      </c>
      <c r="W657" s="17">
        <v>86.3</v>
      </c>
      <c r="X657" s="14">
        <v>10.8</v>
      </c>
      <c r="Y657" s="18">
        <f t="shared" si="111"/>
        <v>60</v>
      </c>
      <c r="Z657" s="18" t="str">
        <f t="shared" si="112"/>
        <v>Medium</v>
      </c>
      <c r="AA657" s="19" t="str">
        <f t="shared" si="113"/>
        <v>Not Eligible</v>
      </c>
      <c r="AB657" s="14" t="s">
        <v>85</v>
      </c>
      <c r="AC657" s="14">
        <v>1</v>
      </c>
      <c r="AD657" s="14" t="s">
        <v>93</v>
      </c>
      <c r="AE657" s="17">
        <v>4.7</v>
      </c>
      <c r="AF657" s="15">
        <v>0</v>
      </c>
      <c r="AG657" s="20">
        <f t="shared" si="114"/>
        <v>863719</v>
      </c>
      <c r="AH657" s="14">
        <v>0</v>
      </c>
      <c r="AI657" s="14" t="s">
        <v>75</v>
      </c>
      <c r="AJ657" s="14">
        <v>48</v>
      </c>
      <c r="AK657" s="21">
        <f t="shared" si="115"/>
        <v>0.105</v>
      </c>
      <c r="AL657" s="20">
        <f t="shared" si="116"/>
        <v>126433.2785151054</v>
      </c>
      <c r="AM657" s="22">
        <f t="shared" si="117"/>
        <v>5.7173085227950295</v>
      </c>
      <c r="AN657" s="20">
        <f t="shared" si="118"/>
        <v>131744.8485151054</v>
      </c>
      <c r="AO657" s="16">
        <f t="shared" si="119"/>
        <v>1.8303848614899809</v>
      </c>
      <c r="AP657" s="15">
        <v>1758350</v>
      </c>
      <c r="AQ657" s="18">
        <f t="shared" si="120"/>
        <v>2.8083987829499248</v>
      </c>
      <c r="AR657" s="23">
        <v>46166</v>
      </c>
      <c r="AS657" s="14" t="s">
        <v>79</v>
      </c>
    </row>
    <row r="658" spans="1:45" x14ac:dyDescent="0.25">
      <c r="A658" s="14" t="s">
        <v>2142</v>
      </c>
      <c r="B658" s="14" t="s">
        <v>1769</v>
      </c>
      <c r="C658" s="14">
        <v>9319835447</v>
      </c>
      <c r="D658" s="15" t="s">
        <v>2147</v>
      </c>
      <c r="E658" s="14">
        <v>26</v>
      </c>
      <c r="F658" s="14" t="s">
        <v>71</v>
      </c>
      <c r="G658" s="14" t="s">
        <v>106</v>
      </c>
      <c r="H658" s="14" t="s">
        <v>144</v>
      </c>
      <c r="I658" s="14" t="s">
        <v>92</v>
      </c>
      <c r="J658" s="15">
        <v>1981677</v>
      </c>
      <c r="K658" s="14">
        <v>2</v>
      </c>
      <c r="L658" s="14" t="s">
        <v>75</v>
      </c>
      <c r="M658" s="14" t="s">
        <v>76</v>
      </c>
      <c r="N658" s="14" t="s">
        <v>76</v>
      </c>
      <c r="O658" s="14" t="s">
        <v>75</v>
      </c>
      <c r="P658" s="14">
        <v>307</v>
      </c>
      <c r="Q658" s="15">
        <v>351.87</v>
      </c>
      <c r="R658" s="15">
        <v>16197.14</v>
      </c>
      <c r="S658" s="14" t="s">
        <v>22</v>
      </c>
      <c r="T658" s="15">
        <v>58674</v>
      </c>
      <c r="U658" s="16">
        <f t="shared" si="110"/>
        <v>9.8081412863953096E-2</v>
      </c>
      <c r="V658" s="14">
        <v>0</v>
      </c>
      <c r="W658" s="17">
        <v>65.099999999999994</v>
      </c>
      <c r="X658" s="14">
        <v>4.5</v>
      </c>
      <c r="Y658" s="18">
        <f t="shared" si="111"/>
        <v>49</v>
      </c>
      <c r="Z658" s="18" t="str">
        <f t="shared" si="112"/>
        <v>Medium</v>
      </c>
      <c r="AA658" s="19" t="str">
        <f t="shared" si="113"/>
        <v>Not Eligible</v>
      </c>
      <c r="AB658" s="14" t="s">
        <v>77</v>
      </c>
      <c r="AC658" s="14">
        <v>0</v>
      </c>
      <c r="AD658" s="14" t="s">
        <v>78</v>
      </c>
      <c r="AE658" s="17">
        <v>2.1</v>
      </c>
      <c r="AF658" s="15">
        <v>0</v>
      </c>
      <c r="AG658" s="20">
        <f t="shared" si="114"/>
        <v>1981677</v>
      </c>
      <c r="AH658" s="14">
        <v>1</v>
      </c>
      <c r="AI658" s="14" t="s">
        <v>75</v>
      </c>
      <c r="AJ658" s="14">
        <v>48</v>
      </c>
      <c r="AK658" s="21">
        <f t="shared" si="115"/>
        <v>0.105</v>
      </c>
      <c r="AL658" s="20">
        <f t="shared" si="116"/>
        <v>1502.2527035632172</v>
      </c>
      <c r="AM658" s="22">
        <f t="shared" si="117"/>
        <v>2.9608256037689292E-2</v>
      </c>
      <c r="AN658" s="20">
        <f t="shared" si="118"/>
        <v>17699.392703563215</v>
      </c>
      <c r="AO658" s="16">
        <f t="shared" si="119"/>
        <v>0.10717826994144787</v>
      </c>
      <c r="AP658" s="15">
        <v>1345672</v>
      </c>
      <c r="AQ658" s="18">
        <f t="shared" si="120"/>
        <v>4.3602007026972395E-2</v>
      </c>
      <c r="AR658" s="23">
        <v>45954</v>
      </c>
      <c r="AS658" s="14" t="s">
        <v>79</v>
      </c>
    </row>
    <row r="659" spans="1:45" x14ac:dyDescent="0.25">
      <c r="A659" s="14" t="s">
        <v>2144</v>
      </c>
      <c r="B659" s="14" t="s">
        <v>1614</v>
      </c>
      <c r="C659" s="14">
        <v>9123201132</v>
      </c>
      <c r="D659" s="15" t="s">
        <v>2150</v>
      </c>
      <c r="E659" s="14">
        <v>23</v>
      </c>
      <c r="F659" s="14" t="s">
        <v>71</v>
      </c>
      <c r="G659" s="14" t="s">
        <v>314</v>
      </c>
      <c r="H659" s="14" t="s">
        <v>91</v>
      </c>
      <c r="I659" s="14" t="s">
        <v>92</v>
      </c>
      <c r="J659" s="15">
        <v>2277768</v>
      </c>
      <c r="K659" s="14">
        <v>1</v>
      </c>
      <c r="L659" s="14" t="s">
        <v>76</v>
      </c>
      <c r="M659" s="14" t="s">
        <v>75</v>
      </c>
      <c r="N659" s="14" t="s">
        <v>75</v>
      </c>
      <c r="O659" s="14" t="s">
        <v>75</v>
      </c>
      <c r="P659" s="14">
        <v>731</v>
      </c>
      <c r="Q659" s="15">
        <v>679042.77</v>
      </c>
      <c r="R659" s="15">
        <v>25702.720000000001</v>
      </c>
      <c r="S659" s="14" t="s">
        <v>23</v>
      </c>
      <c r="T659" s="15">
        <v>1367759</v>
      </c>
      <c r="U659" s="16">
        <f t="shared" si="110"/>
        <v>0.13541003297965376</v>
      </c>
      <c r="V659" s="14">
        <v>0</v>
      </c>
      <c r="W659" s="17">
        <v>91.8</v>
      </c>
      <c r="X659" s="14">
        <v>4.5999999999999996</v>
      </c>
      <c r="Y659" s="18">
        <f t="shared" si="111"/>
        <v>24.5</v>
      </c>
      <c r="Z659" s="18" t="str">
        <f t="shared" si="112"/>
        <v>Low</v>
      </c>
      <c r="AA659" s="19" t="str">
        <f t="shared" si="113"/>
        <v>Eligible</v>
      </c>
      <c r="AB659" s="14" t="s">
        <v>85</v>
      </c>
      <c r="AC659" s="14">
        <v>1</v>
      </c>
      <c r="AD659" s="14" t="s">
        <v>78</v>
      </c>
      <c r="AE659" s="17">
        <v>0.4</v>
      </c>
      <c r="AF659" s="15">
        <v>0</v>
      </c>
      <c r="AG659" s="20">
        <f t="shared" si="114"/>
        <v>2277768</v>
      </c>
      <c r="AH659" s="14">
        <v>0</v>
      </c>
      <c r="AI659" s="14" t="s">
        <v>75</v>
      </c>
      <c r="AJ659" s="14">
        <v>120</v>
      </c>
      <c r="AK659" s="21">
        <f t="shared" si="115"/>
        <v>8.5000000000000006E-2</v>
      </c>
      <c r="AL659" s="20">
        <f t="shared" si="116"/>
        <v>16958.254182931247</v>
      </c>
      <c r="AM659" s="22">
        <f t="shared" si="117"/>
        <v>0.60048213865503419</v>
      </c>
      <c r="AN659" s="20">
        <f t="shared" si="118"/>
        <v>42660.974182931248</v>
      </c>
      <c r="AO659" s="16">
        <f t="shared" si="119"/>
        <v>0.22475146292123474</v>
      </c>
      <c r="AP659" s="15">
        <v>6448545</v>
      </c>
      <c r="AQ659" s="18">
        <f t="shared" si="120"/>
        <v>0.21210350551946214</v>
      </c>
      <c r="AR659" s="23">
        <v>46251</v>
      </c>
      <c r="AS659" s="14" t="s">
        <v>79</v>
      </c>
    </row>
    <row r="660" spans="1:45" x14ac:dyDescent="0.25">
      <c r="A660" s="14" t="s">
        <v>2146</v>
      </c>
      <c r="B660" s="14" t="s">
        <v>272</v>
      </c>
      <c r="C660" s="14">
        <v>9122841695</v>
      </c>
      <c r="D660" s="15" t="s">
        <v>2154</v>
      </c>
      <c r="E660" s="14">
        <v>61</v>
      </c>
      <c r="F660" s="14" t="s">
        <v>89</v>
      </c>
      <c r="G660" s="14" t="s">
        <v>174</v>
      </c>
      <c r="H660" s="14" t="s">
        <v>84</v>
      </c>
      <c r="I660" s="14" t="s">
        <v>74</v>
      </c>
      <c r="J660" s="15">
        <v>479741</v>
      </c>
      <c r="K660" s="14">
        <v>1</v>
      </c>
      <c r="L660" s="14" t="s">
        <v>75</v>
      </c>
      <c r="M660" s="14" t="s">
        <v>75</v>
      </c>
      <c r="N660" s="14" t="s">
        <v>76</v>
      </c>
      <c r="O660" s="14" t="s">
        <v>75</v>
      </c>
      <c r="P660" s="14">
        <v>859</v>
      </c>
      <c r="Q660" s="15">
        <v>509118</v>
      </c>
      <c r="R660" s="15">
        <v>8.18</v>
      </c>
      <c r="S660" s="14" t="s">
        <v>21</v>
      </c>
      <c r="T660" s="15">
        <v>285948</v>
      </c>
      <c r="U660" s="16">
        <f t="shared" si="110"/>
        <v>2.0461040436402141E-4</v>
      </c>
      <c r="V660" s="14">
        <v>0</v>
      </c>
      <c r="W660" s="17">
        <v>51.2</v>
      </c>
      <c r="X660" s="14">
        <v>3.3</v>
      </c>
      <c r="Y660" s="18">
        <f t="shared" si="111"/>
        <v>7.9</v>
      </c>
      <c r="Z660" s="18" t="str">
        <f t="shared" si="112"/>
        <v>Low</v>
      </c>
      <c r="AA660" s="19" t="str">
        <f t="shared" si="113"/>
        <v>Eligible</v>
      </c>
      <c r="AB660" s="14" t="s">
        <v>85</v>
      </c>
      <c r="AC660" s="14">
        <v>3</v>
      </c>
      <c r="AD660" s="14" t="s">
        <v>93</v>
      </c>
      <c r="AE660" s="17">
        <v>8.1</v>
      </c>
      <c r="AF660" s="15">
        <v>352941</v>
      </c>
      <c r="AG660" s="20">
        <f t="shared" si="114"/>
        <v>832682</v>
      </c>
      <c r="AH660" s="14">
        <v>0</v>
      </c>
      <c r="AI660" s="14" t="s">
        <v>75</v>
      </c>
      <c r="AJ660" s="14">
        <v>24</v>
      </c>
      <c r="AK660" s="21">
        <f t="shared" si="115"/>
        <v>0.14000000000000001</v>
      </c>
      <c r="AL660" s="20">
        <f t="shared" si="116"/>
        <v>13729.187944829047</v>
      </c>
      <c r="AM660" s="22">
        <f t="shared" si="117"/>
        <v>0.596046616820326</v>
      </c>
      <c r="AN660" s="20">
        <f t="shared" si="118"/>
        <v>13737.367944829048</v>
      </c>
      <c r="AO660" s="16">
        <f t="shared" si="119"/>
        <v>0.34361961003530772</v>
      </c>
      <c r="AP660" s="15">
        <v>0</v>
      </c>
      <c r="AQ660" s="18" t="str">
        <f t="shared" si="120"/>
        <v>N/A</v>
      </c>
      <c r="AR660" s="23">
        <v>46198</v>
      </c>
      <c r="AS660" s="14" t="s">
        <v>79</v>
      </c>
    </row>
    <row r="661" spans="1:45" x14ac:dyDescent="0.25">
      <c r="A661" s="14" t="s">
        <v>2148</v>
      </c>
      <c r="B661" s="14" t="s">
        <v>2149</v>
      </c>
      <c r="C661" s="14">
        <v>9113374929</v>
      </c>
      <c r="D661" s="15" t="s">
        <v>2156</v>
      </c>
      <c r="E661" s="14">
        <v>57</v>
      </c>
      <c r="F661" s="14" t="s">
        <v>71</v>
      </c>
      <c r="G661" s="14" t="s">
        <v>174</v>
      </c>
      <c r="H661" s="14" t="s">
        <v>107</v>
      </c>
      <c r="I661" s="14" t="s">
        <v>92</v>
      </c>
      <c r="J661" s="15">
        <v>1986663</v>
      </c>
      <c r="K661" s="14">
        <v>1</v>
      </c>
      <c r="L661" s="14" t="s">
        <v>76</v>
      </c>
      <c r="M661" s="14" t="s">
        <v>75</v>
      </c>
      <c r="N661" s="14" t="s">
        <v>75</v>
      </c>
      <c r="O661" s="14" t="s">
        <v>75</v>
      </c>
      <c r="P661" s="14">
        <v>303</v>
      </c>
      <c r="Q661" s="15"/>
      <c r="R661" s="15">
        <v>29523.599999999999</v>
      </c>
      <c r="S661" s="14" t="s">
        <v>22</v>
      </c>
      <c r="T661" s="15">
        <v>363518</v>
      </c>
      <c r="U661" s="16">
        <f t="shared" si="110"/>
        <v>0.17833079893268258</v>
      </c>
      <c r="V661" s="14">
        <v>1</v>
      </c>
      <c r="W661" s="17">
        <v>30.6</v>
      </c>
      <c r="X661" s="14">
        <v>4.9000000000000004</v>
      </c>
      <c r="Y661" s="18">
        <f t="shared" si="111"/>
        <v>52.2</v>
      </c>
      <c r="Z661" s="18" t="str">
        <f t="shared" si="112"/>
        <v>Medium</v>
      </c>
      <c r="AA661" s="19" t="str">
        <f t="shared" si="113"/>
        <v>Not Eligible</v>
      </c>
      <c r="AB661" s="14" t="s">
        <v>161</v>
      </c>
      <c r="AC661" s="14">
        <v>0</v>
      </c>
      <c r="AD661" s="14" t="s">
        <v>93</v>
      </c>
      <c r="AE661" s="17">
        <v>25</v>
      </c>
      <c r="AF661" s="15">
        <v>0</v>
      </c>
      <c r="AG661" s="20">
        <f t="shared" si="114"/>
        <v>1986663</v>
      </c>
      <c r="AH661" s="14">
        <v>0</v>
      </c>
      <c r="AI661" s="14" t="s">
        <v>76</v>
      </c>
      <c r="AJ661" s="14">
        <v>36</v>
      </c>
      <c r="AK661" s="21">
        <f t="shared" si="115"/>
        <v>0.105</v>
      </c>
      <c r="AL661" s="20">
        <f t="shared" si="116"/>
        <v>11815.223257936783</v>
      </c>
      <c r="AM661" s="22">
        <f t="shared" si="117"/>
        <v>0.18297919677368532</v>
      </c>
      <c r="AN661" s="20">
        <f t="shared" si="118"/>
        <v>41338.823257936783</v>
      </c>
      <c r="AO661" s="16">
        <f t="shared" si="119"/>
        <v>0.24969805100071901</v>
      </c>
      <c r="AP661" s="15">
        <v>1667533</v>
      </c>
      <c r="AQ661" s="18">
        <f t="shared" si="120"/>
        <v>0.21799748490734516</v>
      </c>
      <c r="AR661" s="23">
        <v>45958</v>
      </c>
      <c r="AS661" s="14" t="s">
        <v>79</v>
      </c>
    </row>
    <row r="662" spans="1:45" x14ac:dyDescent="0.25">
      <c r="A662" s="14" t="s">
        <v>2151</v>
      </c>
      <c r="B662" s="14" t="s">
        <v>2152</v>
      </c>
      <c r="C662" s="14">
        <v>9207057192</v>
      </c>
      <c r="D662" s="15" t="s">
        <v>2159</v>
      </c>
      <c r="E662" s="14">
        <v>56</v>
      </c>
      <c r="F662" s="14" t="s">
        <v>71</v>
      </c>
      <c r="G662" s="14" t="s">
        <v>139</v>
      </c>
      <c r="H662" s="14" t="s">
        <v>99</v>
      </c>
      <c r="I662" s="14" t="s">
        <v>74</v>
      </c>
      <c r="J662" s="15">
        <v>1436610</v>
      </c>
      <c r="K662" s="14">
        <v>1</v>
      </c>
      <c r="L662" s="14" t="s">
        <v>75</v>
      </c>
      <c r="M662" s="14" t="s">
        <v>75</v>
      </c>
      <c r="N662" s="14" t="s">
        <v>76</v>
      </c>
      <c r="O662" s="14" t="s">
        <v>75</v>
      </c>
      <c r="P662" s="14">
        <v>513</v>
      </c>
      <c r="Q662" s="15"/>
      <c r="R662" s="15">
        <v>8485.2999999999993</v>
      </c>
      <c r="S662" s="14" t="s">
        <v>20</v>
      </c>
      <c r="T662" s="15">
        <v>1736233</v>
      </c>
      <c r="U662" s="16">
        <f t="shared" si="110"/>
        <v>7.0877691231440679E-2</v>
      </c>
      <c r="V662" s="14">
        <v>1</v>
      </c>
      <c r="W662" s="17">
        <v>57.1</v>
      </c>
      <c r="X662" s="14">
        <v>6.8</v>
      </c>
      <c r="Y662" s="18">
        <f t="shared" si="111"/>
        <v>37.6</v>
      </c>
      <c r="Z662" s="18" t="str">
        <f t="shared" si="112"/>
        <v>Medium</v>
      </c>
      <c r="AA662" s="19" t="str">
        <f t="shared" si="113"/>
        <v>Not Eligible</v>
      </c>
      <c r="AB662" s="14" t="s">
        <v>77</v>
      </c>
      <c r="AC662" s="14">
        <v>4</v>
      </c>
      <c r="AD662" s="14" t="s">
        <v>78</v>
      </c>
      <c r="AE662" s="17">
        <v>7.3</v>
      </c>
      <c r="AF662" s="15">
        <v>0</v>
      </c>
      <c r="AG662" s="20">
        <f t="shared" si="114"/>
        <v>1436610</v>
      </c>
      <c r="AH662" s="14">
        <v>1</v>
      </c>
      <c r="AI662" s="14" t="s">
        <v>75</v>
      </c>
      <c r="AJ662" s="14">
        <v>24</v>
      </c>
      <c r="AK662" s="21">
        <f t="shared" si="115"/>
        <v>0.375</v>
      </c>
      <c r="AL662" s="20">
        <f t="shared" si="116"/>
        <v>103905.45345912495</v>
      </c>
      <c r="AM662" s="22">
        <f t="shared" si="117"/>
        <v>1.2085625187072344</v>
      </c>
      <c r="AN662" s="20">
        <f t="shared" si="118"/>
        <v>112390.75345912496</v>
      </c>
      <c r="AO662" s="16">
        <f t="shared" si="119"/>
        <v>0.93879970312715322</v>
      </c>
      <c r="AP662" s="15">
        <v>0</v>
      </c>
      <c r="AQ662" s="18" t="str">
        <f t="shared" si="120"/>
        <v>N/A</v>
      </c>
      <c r="AR662" s="23">
        <v>45943</v>
      </c>
      <c r="AS662" s="14" t="s">
        <v>79</v>
      </c>
    </row>
    <row r="663" spans="1:45" x14ac:dyDescent="0.25">
      <c r="A663" s="14" t="s">
        <v>2155</v>
      </c>
      <c r="B663" s="14" t="s">
        <v>390</v>
      </c>
      <c r="C663" s="14"/>
      <c r="D663" s="15" t="s">
        <v>2162</v>
      </c>
      <c r="E663" s="14">
        <v>43</v>
      </c>
      <c r="F663" s="14" t="s">
        <v>71</v>
      </c>
      <c r="G663" s="14" t="s">
        <v>314</v>
      </c>
      <c r="H663" s="14" t="s">
        <v>99</v>
      </c>
      <c r="I663" s="14" t="s">
        <v>74</v>
      </c>
      <c r="J663" s="15">
        <v>397274</v>
      </c>
      <c r="K663" s="14">
        <v>3</v>
      </c>
      <c r="L663" s="14" t="s">
        <v>76</v>
      </c>
      <c r="M663" s="14" t="s">
        <v>76</v>
      </c>
      <c r="N663" s="14" t="s">
        <v>76</v>
      </c>
      <c r="O663" s="14" t="s">
        <v>75</v>
      </c>
      <c r="P663" s="14">
        <v>470</v>
      </c>
      <c r="Q663" s="15"/>
      <c r="R663" s="15">
        <v>8256.67</v>
      </c>
      <c r="S663" s="14" t="s">
        <v>20</v>
      </c>
      <c r="T663" s="15">
        <v>98281</v>
      </c>
      <c r="U663" s="16">
        <f t="shared" si="110"/>
        <v>0.24939975936003869</v>
      </c>
      <c r="V663" s="14">
        <v>3</v>
      </c>
      <c r="W663" s="17">
        <v>86.9</v>
      </c>
      <c r="X663" s="14">
        <v>3.6</v>
      </c>
      <c r="Y663" s="18">
        <f t="shared" si="111"/>
        <v>56.8</v>
      </c>
      <c r="Z663" s="18" t="str">
        <f t="shared" si="112"/>
        <v>Medium</v>
      </c>
      <c r="AA663" s="19" t="str">
        <f t="shared" si="113"/>
        <v>Not Eligible</v>
      </c>
      <c r="AB663" s="14" t="s">
        <v>85</v>
      </c>
      <c r="AC663" s="14">
        <v>0</v>
      </c>
      <c r="AD663" s="14" t="s">
        <v>93</v>
      </c>
      <c r="AE663" s="17">
        <v>10.1</v>
      </c>
      <c r="AF663" s="15">
        <v>351398</v>
      </c>
      <c r="AG663" s="20">
        <f t="shared" si="114"/>
        <v>748672</v>
      </c>
      <c r="AH663" s="14">
        <v>0</v>
      </c>
      <c r="AI663" s="14" t="s">
        <v>75</v>
      </c>
      <c r="AJ663" s="14">
        <v>36</v>
      </c>
      <c r="AK663" s="21">
        <f t="shared" si="115"/>
        <v>0.375</v>
      </c>
      <c r="AL663" s="20">
        <f t="shared" si="116"/>
        <v>4585.9970467552002</v>
      </c>
      <c r="AM663" s="22">
        <f t="shared" si="117"/>
        <v>0.24738845230244114</v>
      </c>
      <c r="AN663" s="20">
        <f t="shared" si="118"/>
        <v>12842.667046755199</v>
      </c>
      <c r="AO663" s="16">
        <f t="shared" si="119"/>
        <v>0.38792371149650462</v>
      </c>
      <c r="AP663" s="15">
        <v>0</v>
      </c>
      <c r="AQ663" s="18" t="str">
        <f t="shared" si="120"/>
        <v>N/A</v>
      </c>
      <c r="AR663" s="23">
        <v>46248</v>
      </c>
      <c r="AS663" s="14" t="s">
        <v>79</v>
      </c>
    </row>
    <row r="664" spans="1:45" x14ac:dyDescent="0.25">
      <c r="A664" s="14" t="s">
        <v>2157</v>
      </c>
      <c r="B664" s="14" t="s">
        <v>1221</v>
      </c>
      <c r="C664" s="14"/>
      <c r="D664" s="15" t="s">
        <v>2164</v>
      </c>
      <c r="E664" s="14">
        <v>31</v>
      </c>
      <c r="F664" s="14" t="s">
        <v>89</v>
      </c>
      <c r="G664" s="14" t="s">
        <v>106</v>
      </c>
      <c r="H664" s="14" t="s">
        <v>91</v>
      </c>
      <c r="I664" s="14" t="s">
        <v>92</v>
      </c>
      <c r="J664" s="15">
        <v>615761</v>
      </c>
      <c r="K664" s="14">
        <v>2</v>
      </c>
      <c r="L664" s="14" t="s">
        <v>76</v>
      </c>
      <c r="M664" s="14" t="s">
        <v>75</v>
      </c>
      <c r="N664" s="14" t="s">
        <v>75</v>
      </c>
      <c r="O664" s="14" t="s">
        <v>76</v>
      </c>
      <c r="P664" s="14">
        <v>447</v>
      </c>
      <c r="Q664" s="15">
        <v>934467</v>
      </c>
      <c r="R664" s="15">
        <v>1837.07</v>
      </c>
      <c r="S664" s="14" t="s">
        <v>23</v>
      </c>
      <c r="T664" s="15">
        <v>3313515</v>
      </c>
      <c r="U664" s="16">
        <f t="shared" si="110"/>
        <v>3.5800968232804611E-2</v>
      </c>
      <c r="V664" s="14">
        <v>1</v>
      </c>
      <c r="W664" s="17">
        <v>74.900000000000006</v>
      </c>
      <c r="X664" s="14">
        <v>7.2</v>
      </c>
      <c r="Y664" s="18">
        <f t="shared" si="111"/>
        <v>42.8</v>
      </c>
      <c r="Z664" s="18" t="str">
        <f t="shared" si="112"/>
        <v>Medium</v>
      </c>
      <c r="AA664" s="19" t="str">
        <f t="shared" si="113"/>
        <v>Not Eligible</v>
      </c>
      <c r="AB664" s="14" t="s">
        <v>77</v>
      </c>
      <c r="AC664" s="14">
        <v>4</v>
      </c>
      <c r="AD664" s="14" t="s">
        <v>93</v>
      </c>
      <c r="AE664" s="17">
        <v>5.9</v>
      </c>
      <c r="AF664" s="15">
        <v>283092</v>
      </c>
      <c r="AG664" s="20">
        <f t="shared" si="114"/>
        <v>898853</v>
      </c>
      <c r="AH664" s="14">
        <v>0</v>
      </c>
      <c r="AI664" s="14" t="s">
        <v>75</v>
      </c>
      <c r="AJ664" s="14">
        <v>240</v>
      </c>
      <c r="AK664" s="21">
        <f t="shared" si="115"/>
        <v>0.1</v>
      </c>
      <c r="AL664" s="20">
        <f t="shared" si="116"/>
        <v>31976.13696277401</v>
      </c>
      <c r="AM664" s="22">
        <f t="shared" si="117"/>
        <v>5.3811706165216702</v>
      </c>
      <c r="AN664" s="20">
        <f t="shared" si="118"/>
        <v>33813.206962774013</v>
      </c>
      <c r="AO664" s="16">
        <f t="shared" si="119"/>
        <v>0.65895450272636324</v>
      </c>
      <c r="AP664" s="15">
        <v>2341072</v>
      </c>
      <c r="AQ664" s="18">
        <f t="shared" si="120"/>
        <v>1.4153836362145205</v>
      </c>
      <c r="AR664" s="23">
        <v>45989</v>
      </c>
      <c r="AS664" s="14" t="s">
        <v>79</v>
      </c>
    </row>
    <row r="665" spans="1:45" x14ac:dyDescent="0.25">
      <c r="A665" s="14" t="s">
        <v>2160</v>
      </c>
      <c r="B665" s="14" t="s">
        <v>2161</v>
      </c>
      <c r="C665" s="14">
        <v>9299327145</v>
      </c>
      <c r="D665" s="15" t="s">
        <v>2167</v>
      </c>
      <c r="E665" s="14">
        <v>32</v>
      </c>
      <c r="F665" s="14" t="s">
        <v>89</v>
      </c>
      <c r="G665" s="14" t="s">
        <v>139</v>
      </c>
      <c r="H665" s="14" t="s">
        <v>73</v>
      </c>
      <c r="I665" s="14" t="s">
        <v>74</v>
      </c>
      <c r="J665" s="15">
        <v>516500</v>
      </c>
      <c r="K665" s="14">
        <v>2</v>
      </c>
      <c r="L665" s="14" t="s">
        <v>76</v>
      </c>
      <c r="M665" s="14" t="s">
        <v>75</v>
      </c>
      <c r="N665" s="14" t="s">
        <v>75</v>
      </c>
      <c r="O665" s="14" t="s">
        <v>76</v>
      </c>
      <c r="P665" s="14">
        <v>690</v>
      </c>
      <c r="Q665" s="15"/>
      <c r="R665" s="15">
        <v>1587.22</v>
      </c>
      <c r="S665" s="14" t="s">
        <v>20</v>
      </c>
      <c r="T665" s="15">
        <v>3654490</v>
      </c>
      <c r="U665" s="16">
        <f t="shared" si="110"/>
        <v>3.6876360116166504E-2</v>
      </c>
      <c r="V665" s="14">
        <v>1</v>
      </c>
      <c r="W665" s="17">
        <v>47.6</v>
      </c>
      <c r="X665" s="14">
        <v>9.9</v>
      </c>
      <c r="Y665" s="18">
        <f t="shared" si="111"/>
        <v>23.9</v>
      </c>
      <c r="Z665" s="18" t="str">
        <f t="shared" si="112"/>
        <v>Low</v>
      </c>
      <c r="AA665" s="19" t="str">
        <f t="shared" si="113"/>
        <v>Eligible</v>
      </c>
      <c r="AB665" s="14" t="s">
        <v>85</v>
      </c>
      <c r="AC665" s="14">
        <v>3</v>
      </c>
      <c r="AD665" s="14" t="s">
        <v>93</v>
      </c>
      <c r="AE665" s="17">
        <v>0.6</v>
      </c>
      <c r="AF665" s="15">
        <v>744317</v>
      </c>
      <c r="AG665" s="20">
        <f t="shared" si="114"/>
        <v>1260817</v>
      </c>
      <c r="AH665" s="14">
        <v>0</v>
      </c>
      <c r="AI665" s="14" t="s">
        <v>75</v>
      </c>
      <c r="AJ665" s="14">
        <v>18</v>
      </c>
      <c r="AK665" s="21">
        <f t="shared" si="115"/>
        <v>0.36</v>
      </c>
      <c r="AL665" s="20">
        <f t="shared" si="116"/>
        <v>265713.20206605835</v>
      </c>
      <c r="AM665" s="22">
        <f t="shared" si="117"/>
        <v>7.0754888673765732</v>
      </c>
      <c r="AN665" s="20">
        <f t="shared" si="118"/>
        <v>267300.42206605832</v>
      </c>
      <c r="AO665" s="16">
        <f t="shared" si="119"/>
        <v>6.2102711806247823</v>
      </c>
      <c r="AP665" s="15">
        <v>0</v>
      </c>
      <c r="AQ665" s="18" t="str">
        <f t="shared" si="120"/>
        <v>N/A</v>
      </c>
      <c r="AR665" s="23">
        <v>45930</v>
      </c>
      <c r="AS665" s="14" t="s">
        <v>79</v>
      </c>
    </row>
    <row r="666" spans="1:45" x14ac:dyDescent="0.25">
      <c r="A666" s="14" t="s">
        <v>2163</v>
      </c>
      <c r="B666" s="14" t="s">
        <v>436</v>
      </c>
      <c r="C666" s="14">
        <v>9731052193</v>
      </c>
      <c r="D666" s="15" t="s">
        <v>2171</v>
      </c>
      <c r="E666" s="14">
        <v>21</v>
      </c>
      <c r="F666" s="14" t="s">
        <v>89</v>
      </c>
      <c r="G666" s="14" t="s">
        <v>417</v>
      </c>
      <c r="H666" s="14" t="s">
        <v>107</v>
      </c>
      <c r="I666" s="14" t="s">
        <v>92</v>
      </c>
      <c r="J666" s="15">
        <v>1612768</v>
      </c>
      <c r="K666" s="14">
        <v>3</v>
      </c>
      <c r="L666" s="14" t="s">
        <v>76</v>
      </c>
      <c r="M666" s="14" t="s">
        <v>76</v>
      </c>
      <c r="N666" s="14" t="s">
        <v>76</v>
      </c>
      <c r="O666" s="14" t="s">
        <v>75</v>
      </c>
      <c r="P666" s="14">
        <v>876</v>
      </c>
      <c r="Q666" s="15"/>
      <c r="R666" s="15">
        <v>71882.080000000002</v>
      </c>
      <c r="S666" s="14" t="s">
        <v>23</v>
      </c>
      <c r="T666" s="15"/>
      <c r="U666" s="16">
        <f t="shared" si="110"/>
        <v>0.53484751681580978</v>
      </c>
      <c r="V666" s="14">
        <v>1</v>
      </c>
      <c r="W666" s="17">
        <v>13.5</v>
      </c>
      <c r="X666" s="14">
        <v>11.3</v>
      </c>
      <c r="Y666" s="18">
        <f t="shared" si="111"/>
        <v>23</v>
      </c>
      <c r="Z666" s="18" t="str">
        <f t="shared" si="112"/>
        <v>Low</v>
      </c>
      <c r="AA666" s="19" t="str">
        <f t="shared" si="113"/>
        <v>Review</v>
      </c>
      <c r="AB666" s="14" t="s">
        <v>85</v>
      </c>
      <c r="AC666" s="14">
        <v>1</v>
      </c>
      <c r="AD666" s="14" t="s">
        <v>78</v>
      </c>
      <c r="AE666" s="17">
        <v>0.3</v>
      </c>
      <c r="AF666" s="15">
        <v>555402</v>
      </c>
      <c r="AG666" s="20">
        <f t="shared" si="114"/>
        <v>2168170</v>
      </c>
      <c r="AH666" s="14">
        <v>0</v>
      </c>
      <c r="AI666" s="14" t="s">
        <v>75</v>
      </c>
      <c r="AJ666" s="14">
        <v>360</v>
      </c>
      <c r="AK666" s="21">
        <f t="shared" si="115"/>
        <v>8.5000000000000006E-2</v>
      </c>
      <c r="AL666" s="20">
        <f t="shared" si="116"/>
        <v>0</v>
      </c>
      <c r="AM666" s="22">
        <f t="shared" si="117"/>
        <v>0</v>
      </c>
      <c r="AN666" s="20">
        <f t="shared" si="118"/>
        <v>71882.080000000002</v>
      </c>
      <c r="AO666" s="16">
        <f t="shared" si="119"/>
        <v>0.53484751681580978</v>
      </c>
      <c r="AP666" s="15">
        <v>4202046</v>
      </c>
      <c r="AQ666" s="18">
        <f t="shared" si="120"/>
        <v>0</v>
      </c>
      <c r="AR666" s="23">
        <v>45933</v>
      </c>
      <c r="AS666" s="14" t="s">
        <v>79</v>
      </c>
    </row>
    <row r="667" spans="1:45" x14ac:dyDescent="0.25">
      <c r="A667" s="14" t="s">
        <v>2165</v>
      </c>
      <c r="B667" s="14" t="s">
        <v>1543</v>
      </c>
      <c r="C667" s="14">
        <v>9241103890</v>
      </c>
      <c r="D667" s="15"/>
      <c r="E667" s="14">
        <v>37</v>
      </c>
      <c r="F667" s="14" t="s">
        <v>89</v>
      </c>
      <c r="G667" s="14" t="s">
        <v>215</v>
      </c>
      <c r="H667" s="14" t="s">
        <v>99</v>
      </c>
      <c r="I667" s="14" t="s">
        <v>74</v>
      </c>
      <c r="J667" s="15">
        <v>769236</v>
      </c>
      <c r="K667" s="14">
        <v>2</v>
      </c>
      <c r="L667" s="14" t="s">
        <v>75</v>
      </c>
      <c r="M667" s="14" t="s">
        <v>76</v>
      </c>
      <c r="N667" s="14" t="s">
        <v>76</v>
      </c>
      <c r="O667" s="14" t="s">
        <v>75</v>
      </c>
      <c r="P667" s="14">
        <v>370</v>
      </c>
      <c r="Q667" s="15">
        <v>299452</v>
      </c>
      <c r="R667" s="15">
        <v>18229.39</v>
      </c>
      <c r="S667" s="14" t="s">
        <v>23</v>
      </c>
      <c r="T667" s="15">
        <v>3641605</v>
      </c>
      <c r="U667" s="16">
        <f t="shared" si="110"/>
        <v>0.28437655023945835</v>
      </c>
      <c r="V667" s="14">
        <v>0</v>
      </c>
      <c r="W667" s="17">
        <v>43.7</v>
      </c>
      <c r="X667" s="14">
        <v>14.8</v>
      </c>
      <c r="Y667" s="18">
        <f t="shared" si="111"/>
        <v>48.2</v>
      </c>
      <c r="Z667" s="18" t="str">
        <f t="shared" si="112"/>
        <v>Medium</v>
      </c>
      <c r="AA667" s="19" t="str">
        <f t="shared" si="113"/>
        <v>Not Eligible</v>
      </c>
      <c r="AB667" s="14" t="s">
        <v>85</v>
      </c>
      <c r="AC667" s="14">
        <v>0</v>
      </c>
      <c r="AD667" s="14" t="s">
        <v>78</v>
      </c>
      <c r="AE667" s="17">
        <v>13.8</v>
      </c>
      <c r="AF667" s="15">
        <v>0</v>
      </c>
      <c r="AG667" s="20">
        <f t="shared" si="114"/>
        <v>769236</v>
      </c>
      <c r="AH667" s="14">
        <v>0</v>
      </c>
      <c r="AI667" s="14" t="s">
        <v>75</v>
      </c>
      <c r="AJ667" s="14">
        <v>120</v>
      </c>
      <c r="AK667" s="21">
        <f t="shared" si="115"/>
        <v>0.1</v>
      </c>
      <c r="AL667" s="20">
        <f t="shared" si="116"/>
        <v>48124.078418230769</v>
      </c>
      <c r="AM667" s="22">
        <f t="shared" si="117"/>
        <v>4.7340543084307027</v>
      </c>
      <c r="AN667" s="20">
        <f t="shared" si="118"/>
        <v>66353.468418230768</v>
      </c>
      <c r="AO667" s="16">
        <f t="shared" si="119"/>
        <v>1.0351070685963335</v>
      </c>
      <c r="AP667" s="15">
        <v>4794641</v>
      </c>
      <c r="AQ667" s="18">
        <f t="shared" si="120"/>
        <v>0.7595156759390328</v>
      </c>
      <c r="AR667" s="23">
        <v>45902</v>
      </c>
      <c r="AS667" s="14" t="s">
        <v>79</v>
      </c>
    </row>
    <row r="668" spans="1:45" x14ac:dyDescent="0.25">
      <c r="A668" s="14" t="s">
        <v>2168</v>
      </c>
      <c r="B668" s="14" t="s">
        <v>2169</v>
      </c>
      <c r="C668" s="14"/>
      <c r="D668" s="15" t="s">
        <v>2175</v>
      </c>
      <c r="E668" s="14">
        <v>30</v>
      </c>
      <c r="F668" s="14" t="s">
        <v>71</v>
      </c>
      <c r="G668" s="14" t="s">
        <v>215</v>
      </c>
      <c r="H668" s="14" t="s">
        <v>84</v>
      </c>
      <c r="I668" s="14" t="s">
        <v>74</v>
      </c>
      <c r="J668" s="15">
        <v>2170985</v>
      </c>
      <c r="K668" s="14">
        <v>1</v>
      </c>
      <c r="L668" s="14" t="s">
        <v>75</v>
      </c>
      <c r="M668" s="14" t="s">
        <v>75</v>
      </c>
      <c r="N668" s="14" t="s">
        <v>76</v>
      </c>
      <c r="O668" s="14" t="s">
        <v>75</v>
      </c>
      <c r="P668" s="14">
        <v>513</v>
      </c>
      <c r="Q668" s="15">
        <v>368858</v>
      </c>
      <c r="R668" s="15">
        <v>23117.66</v>
      </c>
      <c r="S668" s="14" t="s">
        <v>22</v>
      </c>
      <c r="T668" s="15">
        <v>462130</v>
      </c>
      <c r="U668" s="16">
        <f t="shared" si="110"/>
        <v>0.12778159222656996</v>
      </c>
      <c r="V668" s="14">
        <v>0</v>
      </c>
      <c r="W668" s="17">
        <v>92.7</v>
      </c>
      <c r="X668" s="14">
        <v>7.2</v>
      </c>
      <c r="Y668" s="18">
        <f t="shared" si="111"/>
        <v>38.9</v>
      </c>
      <c r="Z668" s="18" t="str">
        <f t="shared" si="112"/>
        <v>Medium</v>
      </c>
      <c r="AA668" s="19" t="str">
        <f t="shared" si="113"/>
        <v>Not Eligible</v>
      </c>
      <c r="AB668" s="14" t="s">
        <v>85</v>
      </c>
      <c r="AC668" s="14">
        <v>1</v>
      </c>
      <c r="AD668" s="14" t="s">
        <v>93</v>
      </c>
      <c r="AE668" s="17">
        <v>6.6</v>
      </c>
      <c r="AF668" s="15">
        <v>878006</v>
      </c>
      <c r="AG668" s="20">
        <f t="shared" si="114"/>
        <v>3048991</v>
      </c>
      <c r="AH668" s="14">
        <v>0</v>
      </c>
      <c r="AI668" s="14" t="s">
        <v>76</v>
      </c>
      <c r="AJ668" s="14">
        <v>84</v>
      </c>
      <c r="AK668" s="21">
        <f t="shared" si="115"/>
        <v>0.105</v>
      </c>
      <c r="AL668" s="20">
        <f t="shared" si="116"/>
        <v>7791.8228822173432</v>
      </c>
      <c r="AM668" s="22">
        <f t="shared" si="117"/>
        <v>0.21286650990218725</v>
      </c>
      <c r="AN668" s="20">
        <f t="shared" si="118"/>
        <v>30909.482882217344</v>
      </c>
      <c r="AO668" s="16">
        <f t="shared" si="119"/>
        <v>0.17085046399980108</v>
      </c>
      <c r="AP668" s="15">
        <v>1079518</v>
      </c>
      <c r="AQ668" s="18">
        <f t="shared" si="120"/>
        <v>0.42808920277383056</v>
      </c>
      <c r="AR668" s="23">
        <v>46171</v>
      </c>
      <c r="AS668" s="14" t="s">
        <v>79</v>
      </c>
    </row>
    <row r="669" spans="1:45" x14ac:dyDescent="0.25">
      <c r="A669" s="14" t="s">
        <v>2172</v>
      </c>
      <c r="B669" s="14" t="s">
        <v>644</v>
      </c>
      <c r="C669" s="14">
        <v>9666703831</v>
      </c>
      <c r="D669" s="15" t="s">
        <v>2178</v>
      </c>
      <c r="E669" s="14">
        <v>57</v>
      </c>
      <c r="F669" s="14" t="s">
        <v>71</v>
      </c>
      <c r="G669" s="14" t="s">
        <v>226</v>
      </c>
      <c r="H669" s="14" t="s">
        <v>144</v>
      </c>
      <c r="I669" s="14" t="s">
        <v>92</v>
      </c>
      <c r="J669" s="15">
        <v>681341</v>
      </c>
      <c r="K669" s="14">
        <v>1</v>
      </c>
      <c r="L669" s="14" t="s">
        <v>76</v>
      </c>
      <c r="M669" s="14" t="s">
        <v>75</v>
      </c>
      <c r="N669" s="14" t="s">
        <v>75</v>
      </c>
      <c r="O669" s="14" t="s">
        <v>75</v>
      </c>
      <c r="P669" s="14">
        <v>592</v>
      </c>
      <c r="Q669" s="15">
        <v>177126.21</v>
      </c>
      <c r="R669" s="15">
        <v>6509.83</v>
      </c>
      <c r="S669" s="14" t="s">
        <v>23</v>
      </c>
      <c r="T669" s="15"/>
      <c r="U669" s="16">
        <f t="shared" si="110"/>
        <v>0.11465324998789152</v>
      </c>
      <c r="V669" s="14">
        <v>1</v>
      </c>
      <c r="W669" s="17">
        <v>45.7</v>
      </c>
      <c r="X669" s="14">
        <v>13.2</v>
      </c>
      <c r="Y669" s="18">
        <f t="shared" si="111"/>
        <v>32.5</v>
      </c>
      <c r="Z669" s="18" t="str">
        <f t="shared" si="112"/>
        <v>Medium</v>
      </c>
      <c r="AA669" s="19" t="str">
        <f t="shared" si="113"/>
        <v>Review</v>
      </c>
      <c r="AB669" s="14" t="s">
        <v>161</v>
      </c>
      <c r="AC669" s="14">
        <v>2</v>
      </c>
      <c r="AD669" s="14" t="s">
        <v>78</v>
      </c>
      <c r="AE669" s="17">
        <v>14.1</v>
      </c>
      <c r="AF669" s="15">
        <v>0</v>
      </c>
      <c r="AG669" s="20">
        <f t="shared" si="114"/>
        <v>681341</v>
      </c>
      <c r="AH669" s="14">
        <v>2</v>
      </c>
      <c r="AI669" s="14" t="s">
        <v>75</v>
      </c>
      <c r="AJ669" s="14">
        <v>240</v>
      </c>
      <c r="AK669" s="21">
        <f t="shared" si="115"/>
        <v>0.1</v>
      </c>
      <c r="AL669" s="20">
        <f t="shared" si="116"/>
        <v>0</v>
      </c>
      <c r="AM669" s="22">
        <f t="shared" si="117"/>
        <v>0</v>
      </c>
      <c r="AN669" s="20">
        <f t="shared" si="118"/>
        <v>6509.83</v>
      </c>
      <c r="AO669" s="16">
        <f t="shared" si="119"/>
        <v>0.11465324998789152</v>
      </c>
      <c r="AP669" s="15">
        <v>4471856</v>
      </c>
      <c r="AQ669" s="18">
        <f t="shared" si="120"/>
        <v>0</v>
      </c>
      <c r="AR669" s="23">
        <v>46027</v>
      </c>
      <c r="AS669" s="14" t="s">
        <v>79</v>
      </c>
    </row>
    <row r="670" spans="1:45" x14ac:dyDescent="0.25">
      <c r="A670" s="14" t="s">
        <v>2173</v>
      </c>
      <c r="B670" s="14" t="s">
        <v>2174</v>
      </c>
      <c r="C670" s="14">
        <v>9924760361</v>
      </c>
      <c r="D670" s="15" t="s">
        <v>2182</v>
      </c>
      <c r="E670" s="14">
        <v>26</v>
      </c>
      <c r="F670" s="14" t="s">
        <v>71</v>
      </c>
      <c r="G670" s="14" t="s">
        <v>90</v>
      </c>
      <c r="H670" s="14" t="s">
        <v>107</v>
      </c>
      <c r="I670" s="14" t="s">
        <v>92</v>
      </c>
      <c r="J670" s="15">
        <v>1522958</v>
      </c>
      <c r="K670" s="14">
        <v>1</v>
      </c>
      <c r="L670" s="14" t="s">
        <v>75</v>
      </c>
      <c r="M670" s="14" t="s">
        <v>75</v>
      </c>
      <c r="N670" s="14" t="s">
        <v>76</v>
      </c>
      <c r="O670" s="14" t="s">
        <v>75</v>
      </c>
      <c r="P670" s="14">
        <v>351</v>
      </c>
      <c r="Q670" s="15">
        <v>682521.22</v>
      </c>
      <c r="R670" s="15">
        <v>6251.83</v>
      </c>
      <c r="S670" s="14" t="s">
        <v>21</v>
      </c>
      <c r="T670" s="15">
        <v>910251</v>
      </c>
      <c r="U670" s="16">
        <f t="shared" si="110"/>
        <v>4.9260688738625748E-2</v>
      </c>
      <c r="V670" s="14">
        <v>1</v>
      </c>
      <c r="W670" s="17">
        <v>74.400000000000006</v>
      </c>
      <c r="X670" s="14">
        <v>2.1</v>
      </c>
      <c r="Y670" s="18">
        <f t="shared" si="111"/>
        <v>49.5</v>
      </c>
      <c r="Z670" s="18" t="str">
        <f t="shared" si="112"/>
        <v>Medium</v>
      </c>
      <c r="AA670" s="19" t="str">
        <f t="shared" si="113"/>
        <v>Not Eligible</v>
      </c>
      <c r="AB670" s="14" t="s">
        <v>85</v>
      </c>
      <c r="AC670" s="14">
        <v>1</v>
      </c>
      <c r="AD670" s="14" t="s">
        <v>78</v>
      </c>
      <c r="AE670" s="17">
        <v>2.8</v>
      </c>
      <c r="AF670" s="15">
        <v>0</v>
      </c>
      <c r="AG670" s="20">
        <f t="shared" si="114"/>
        <v>1522958</v>
      </c>
      <c r="AH670" s="14">
        <v>0</v>
      </c>
      <c r="AI670" s="14" t="s">
        <v>76</v>
      </c>
      <c r="AJ670" s="14">
        <v>12</v>
      </c>
      <c r="AK670" s="21">
        <f t="shared" si="115"/>
        <v>0.15500000000000003</v>
      </c>
      <c r="AL670" s="20">
        <f t="shared" si="116"/>
        <v>82372.633007809854</v>
      </c>
      <c r="AM670" s="22">
        <f t="shared" si="117"/>
        <v>0.59768621327705684</v>
      </c>
      <c r="AN670" s="20">
        <f t="shared" si="118"/>
        <v>88624.463007809856</v>
      </c>
      <c r="AO670" s="16">
        <f t="shared" si="119"/>
        <v>0.69830786935274536</v>
      </c>
      <c r="AP670" s="15">
        <v>0</v>
      </c>
      <c r="AQ670" s="18" t="str">
        <f t="shared" si="120"/>
        <v>N/A</v>
      </c>
      <c r="AR670" s="23">
        <v>46153</v>
      </c>
      <c r="AS670" s="14" t="s">
        <v>79</v>
      </c>
    </row>
    <row r="671" spans="1:45" x14ac:dyDescent="0.25">
      <c r="A671" s="14" t="s">
        <v>2176</v>
      </c>
      <c r="B671" s="14" t="s">
        <v>423</v>
      </c>
      <c r="C671" s="14">
        <v>9461677486</v>
      </c>
      <c r="D671" s="15" t="s">
        <v>2185</v>
      </c>
      <c r="E671" s="14">
        <v>38</v>
      </c>
      <c r="F671" s="14" t="s">
        <v>89</v>
      </c>
      <c r="G671" s="14" t="s">
        <v>98</v>
      </c>
      <c r="H671" s="14" t="s">
        <v>132</v>
      </c>
      <c r="I671" s="14" t="s">
        <v>92</v>
      </c>
      <c r="J671" s="15">
        <v>340803</v>
      </c>
      <c r="K671" s="14">
        <v>2</v>
      </c>
      <c r="L671" s="14" t="s">
        <v>76</v>
      </c>
      <c r="M671" s="14" t="s">
        <v>75</v>
      </c>
      <c r="N671" s="14" t="s">
        <v>76</v>
      </c>
      <c r="O671" s="14" t="s">
        <v>75</v>
      </c>
      <c r="P671" s="14">
        <v>451</v>
      </c>
      <c r="Q671" s="15">
        <v>321068.3</v>
      </c>
      <c r="R671" s="15">
        <v>5209.59</v>
      </c>
      <c r="S671" s="14" t="s">
        <v>22</v>
      </c>
      <c r="T671" s="15">
        <v>505671</v>
      </c>
      <c r="U671" s="16">
        <f t="shared" si="110"/>
        <v>0.18343465286397126</v>
      </c>
      <c r="V671" s="14">
        <v>4</v>
      </c>
      <c r="W671" s="17">
        <v>77.3</v>
      </c>
      <c r="X671" s="14">
        <v>0.2</v>
      </c>
      <c r="Y671" s="18">
        <f t="shared" si="111"/>
        <v>59.2</v>
      </c>
      <c r="Z671" s="18" t="str">
        <f t="shared" si="112"/>
        <v>Medium</v>
      </c>
      <c r="AA671" s="19" t="str">
        <f t="shared" si="113"/>
        <v>Not Eligible</v>
      </c>
      <c r="AB671" s="14" t="s">
        <v>85</v>
      </c>
      <c r="AC671" s="14">
        <v>2</v>
      </c>
      <c r="AD671" s="14" t="s">
        <v>78</v>
      </c>
      <c r="AE671" s="17">
        <v>13.5</v>
      </c>
      <c r="AF671" s="15">
        <v>0</v>
      </c>
      <c r="AG671" s="20">
        <f t="shared" si="114"/>
        <v>340803</v>
      </c>
      <c r="AH671" s="14">
        <v>3</v>
      </c>
      <c r="AI671" s="14" t="s">
        <v>75</v>
      </c>
      <c r="AJ671" s="14">
        <v>72</v>
      </c>
      <c r="AK671" s="21">
        <f t="shared" si="115"/>
        <v>0.105</v>
      </c>
      <c r="AL671" s="20">
        <f t="shared" si="116"/>
        <v>9495.9805233456227</v>
      </c>
      <c r="AM671" s="22">
        <f t="shared" si="117"/>
        <v>1.4837633471536342</v>
      </c>
      <c r="AN671" s="20">
        <f t="shared" si="118"/>
        <v>14705.570523345623</v>
      </c>
      <c r="AO671" s="16">
        <f t="shared" si="119"/>
        <v>0.51779722091691527</v>
      </c>
      <c r="AP671" s="15">
        <v>325023</v>
      </c>
      <c r="AQ671" s="18">
        <f t="shared" si="120"/>
        <v>1.5558006664143769</v>
      </c>
      <c r="AR671" s="23">
        <v>45897</v>
      </c>
      <c r="AS671" s="14" t="s">
        <v>79</v>
      </c>
    </row>
    <row r="672" spans="1:45" x14ac:dyDescent="0.25">
      <c r="A672" s="14" t="s">
        <v>2179</v>
      </c>
      <c r="B672" s="14" t="s">
        <v>2180</v>
      </c>
      <c r="C672" s="14">
        <v>9964207402</v>
      </c>
      <c r="D672" s="15" t="s">
        <v>2188</v>
      </c>
      <c r="E672" s="14">
        <v>26</v>
      </c>
      <c r="F672" s="14" t="s">
        <v>71</v>
      </c>
      <c r="G672" s="14" t="s">
        <v>215</v>
      </c>
      <c r="H672" s="14" t="s">
        <v>73</v>
      </c>
      <c r="I672" s="14" t="s">
        <v>74</v>
      </c>
      <c r="J672" s="15">
        <v>2003700</v>
      </c>
      <c r="K672" s="14">
        <v>1</v>
      </c>
      <c r="L672" s="14" t="s">
        <v>75</v>
      </c>
      <c r="M672" s="14" t="s">
        <v>76</v>
      </c>
      <c r="N672" s="14" t="s">
        <v>75</v>
      </c>
      <c r="O672" s="14" t="s">
        <v>75</v>
      </c>
      <c r="P672" s="14">
        <v>693</v>
      </c>
      <c r="Q672" s="15">
        <v>157235.25</v>
      </c>
      <c r="R672" s="15">
        <v>11568.16</v>
      </c>
      <c r="S672" s="14" t="s">
        <v>21</v>
      </c>
      <c r="T672" s="15">
        <v>894298</v>
      </c>
      <c r="U672" s="16">
        <f t="shared" si="110"/>
        <v>6.9280790537505604E-2</v>
      </c>
      <c r="V672" s="14">
        <v>0</v>
      </c>
      <c r="W672" s="17">
        <v>70.099999999999994</v>
      </c>
      <c r="X672" s="14">
        <v>3.2</v>
      </c>
      <c r="Y672" s="18">
        <f t="shared" si="111"/>
        <v>22.9</v>
      </c>
      <c r="Z672" s="18" t="str">
        <f t="shared" si="112"/>
        <v>Low</v>
      </c>
      <c r="AA672" s="19" t="str">
        <f t="shared" si="113"/>
        <v>Eligible</v>
      </c>
      <c r="AB672" s="14" t="s">
        <v>85</v>
      </c>
      <c r="AC672" s="14">
        <v>3</v>
      </c>
      <c r="AD672" s="14" t="s">
        <v>93</v>
      </c>
      <c r="AE672" s="17">
        <v>4.7</v>
      </c>
      <c r="AF672" s="15">
        <v>0</v>
      </c>
      <c r="AG672" s="20">
        <f t="shared" si="114"/>
        <v>2003700</v>
      </c>
      <c r="AH672" s="14">
        <v>0</v>
      </c>
      <c r="AI672" s="14" t="s">
        <v>75</v>
      </c>
      <c r="AJ672" s="14">
        <v>12</v>
      </c>
      <c r="AK672" s="21">
        <f t="shared" si="115"/>
        <v>0.14000000000000001</v>
      </c>
      <c r="AL672" s="20">
        <f t="shared" si="116"/>
        <v>80296.439705651879</v>
      </c>
      <c r="AM672" s="22">
        <f t="shared" si="117"/>
        <v>0.44632330189150071</v>
      </c>
      <c r="AN672" s="20">
        <f t="shared" si="118"/>
        <v>91864.599705651883</v>
      </c>
      <c r="AO672" s="16">
        <f t="shared" si="119"/>
        <v>0.55016978413326478</v>
      </c>
      <c r="AP672" s="15">
        <v>0</v>
      </c>
      <c r="AQ672" s="18" t="str">
        <f t="shared" si="120"/>
        <v>N/A</v>
      </c>
      <c r="AR672" s="23">
        <v>46093</v>
      </c>
      <c r="AS672" s="14" t="s">
        <v>79</v>
      </c>
    </row>
    <row r="673" spans="1:45" x14ac:dyDescent="0.25">
      <c r="A673" s="14" t="s">
        <v>2183</v>
      </c>
      <c r="B673" s="14" t="s">
        <v>2184</v>
      </c>
      <c r="C673" s="14">
        <v>9247932385</v>
      </c>
      <c r="D673" s="15" t="s">
        <v>2190</v>
      </c>
      <c r="E673" s="14">
        <v>26</v>
      </c>
      <c r="F673" s="14" t="s">
        <v>89</v>
      </c>
      <c r="G673" s="14" t="s">
        <v>115</v>
      </c>
      <c r="H673" s="14" t="s">
        <v>84</v>
      </c>
      <c r="I673" s="14" t="s">
        <v>74</v>
      </c>
      <c r="J673" s="15">
        <v>1929520</v>
      </c>
      <c r="K673" s="14">
        <v>2</v>
      </c>
      <c r="L673" s="14" t="s">
        <v>76</v>
      </c>
      <c r="M673" s="14" t="s">
        <v>76</v>
      </c>
      <c r="N673" s="14" t="s">
        <v>75</v>
      </c>
      <c r="O673" s="14" t="s">
        <v>75</v>
      </c>
      <c r="P673" s="14">
        <v>827</v>
      </c>
      <c r="Q673" s="15">
        <v>276119.07</v>
      </c>
      <c r="R673" s="15">
        <v>12348.78</v>
      </c>
      <c r="S673" s="14" t="s">
        <v>21</v>
      </c>
      <c r="T673" s="15">
        <v>585093</v>
      </c>
      <c r="U673" s="16">
        <f t="shared" si="110"/>
        <v>7.6799079563829351E-2</v>
      </c>
      <c r="V673" s="14">
        <v>0</v>
      </c>
      <c r="W673" s="17">
        <v>14.2</v>
      </c>
      <c r="X673" s="14">
        <v>12.6</v>
      </c>
      <c r="Y673" s="18">
        <f t="shared" si="111"/>
        <v>8.6</v>
      </c>
      <c r="Z673" s="18" t="str">
        <f t="shared" si="112"/>
        <v>Low</v>
      </c>
      <c r="AA673" s="19" t="str">
        <f t="shared" si="113"/>
        <v>Eligible</v>
      </c>
      <c r="AB673" s="14" t="s">
        <v>161</v>
      </c>
      <c r="AC673" s="14">
        <v>0</v>
      </c>
      <c r="AD673" s="14" t="s">
        <v>78</v>
      </c>
      <c r="AE673" s="17">
        <v>4.4000000000000004</v>
      </c>
      <c r="AF673" s="15">
        <v>646615</v>
      </c>
      <c r="AG673" s="20">
        <f t="shared" si="114"/>
        <v>2576135</v>
      </c>
      <c r="AH673" s="14">
        <v>1</v>
      </c>
      <c r="AI673" s="14" t="s">
        <v>75</v>
      </c>
      <c r="AJ673" s="14">
        <v>36</v>
      </c>
      <c r="AK673" s="21">
        <f t="shared" si="115"/>
        <v>0.14000000000000001</v>
      </c>
      <c r="AL673" s="20">
        <f t="shared" si="116"/>
        <v>19997.091928012484</v>
      </c>
      <c r="AM673" s="22">
        <f t="shared" si="117"/>
        <v>0.3032324101330901</v>
      </c>
      <c r="AN673" s="20">
        <f t="shared" si="118"/>
        <v>32345.871928012486</v>
      </c>
      <c r="AO673" s="16">
        <f t="shared" si="119"/>
        <v>0.20116426009377969</v>
      </c>
      <c r="AP673" s="15">
        <v>0</v>
      </c>
      <c r="AQ673" s="18" t="str">
        <f t="shared" si="120"/>
        <v>N/A</v>
      </c>
      <c r="AR673" s="23">
        <v>46063</v>
      </c>
      <c r="AS673" s="14" t="s">
        <v>79</v>
      </c>
    </row>
    <row r="674" spans="1:45" x14ac:dyDescent="0.25">
      <c r="A674" s="14" t="s">
        <v>2186</v>
      </c>
      <c r="B674" s="14" t="s">
        <v>2187</v>
      </c>
      <c r="C674" s="14"/>
      <c r="D674" s="15" t="s">
        <v>2192</v>
      </c>
      <c r="E674" s="14">
        <v>22</v>
      </c>
      <c r="F674" s="14" t="s">
        <v>71</v>
      </c>
      <c r="G674" s="14" t="s">
        <v>215</v>
      </c>
      <c r="H674" s="14" t="s">
        <v>166</v>
      </c>
      <c r="I674" s="14" t="s">
        <v>74</v>
      </c>
      <c r="J674" s="15">
        <v>586947</v>
      </c>
      <c r="K674" s="14">
        <v>2</v>
      </c>
      <c r="L674" s="14" t="s">
        <v>76</v>
      </c>
      <c r="M674" s="14" t="s">
        <v>75</v>
      </c>
      <c r="N674" s="14" t="s">
        <v>76</v>
      </c>
      <c r="O674" s="14" t="s">
        <v>75</v>
      </c>
      <c r="P674" s="14">
        <v>330</v>
      </c>
      <c r="Q674" s="15">
        <v>886760</v>
      </c>
      <c r="R674" s="15">
        <v>4367.6499999999996</v>
      </c>
      <c r="S674" s="14" t="s">
        <v>22</v>
      </c>
      <c r="T674" s="15">
        <v>6546712</v>
      </c>
      <c r="U674" s="16">
        <f t="shared" si="110"/>
        <v>8.9295626351271917E-2</v>
      </c>
      <c r="V674" s="14">
        <v>1</v>
      </c>
      <c r="W674" s="17">
        <v>71.900000000000006</v>
      </c>
      <c r="X674" s="14">
        <v>13</v>
      </c>
      <c r="Y674" s="18">
        <f t="shared" si="111"/>
        <v>51.9</v>
      </c>
      <c r="Z674" s="18" t="str">
        <f t="shared" si="112"/>
        <v>Medium</v>
      </c>
      <c r="AA674" s="19" t="str">
        <f t="shared" si="113"/>
        <v>Not Eligible</v>
      </c>
      <c r="AB674" s="14" t="s">
        <v>85</v>
      </c>
      <c r="AC674" s="14">
        <v>0</v>
      </c>
      <c r="AD674" s="14" t="s">
        <v>78</v>
      </c>
      <c r="AE674" s="17">
        <v>0.3</v>
      </c>
      <c r="AF674" s="15">
        <v>810926</v>
      </c>
      <c r="AG674" s="20">
        <f t="shared" si="114"/>
        <v>1397873</v>
      </c>
      <c r="AH674" s="14">
        <v>1</v>
      </c>
      <c r="AI674" s="14" t="s">
        <v>75</v>
      </c>
      <c r="AJ674" s="14">
        <v>84</v>
      </c>
      <c r="AK674" s="21">
        <f t="shared" si="115"/>
        <v>0.105</v>
      </c>
      <c r="AL674" s="20">
        <f t="shared" si="116"/>
        <v>110381.97123079408</v>
      </c>
      <c r="AM674" s="22">
        <f t="shared" si="117"/>
        <v>11.153838421526986</v>
      </c>
      <c r="AN674" s="20">
        <f t="shared" si="118"/>
        <v>114749.62123079407</v>
      </c>
      <c r="AO674" s="16">
        <f t="shared" si="119"/>
        <v>2.3460303140991074</v>
      </c>
      <c r="AP674" s="15">
        <v>1076733</v>
      </c>
      <c r="AQ674" s="18">
        <f t="shared" si="120"/>
        <v>6.0801628630310391</v>
      </c>
      <c r="AR674" s="23">
        <v>45941</v>
      </c>
      <c r="AS674" s="14" t="s">
        <v>79</v>
      </c>
    </row>
    <row r="675" spans="1:45" x14ac:dyDescent="0.25">
      <c r="A675" s="14" t="s">
        <v>2189</v>
      </c>
      <c r="B675" s="14" t="s">
        <v>182</v>
      </c>
      <c r="C675" s="14">
        <v>9558719363</v>
      </c>
      <c r="D675" s="15" t="s">
        <v>2196</v>
      </c>
      <c r="E675" s="14">
        <v>53</v>
      </c>
      <c r="F675" s="14" t="s">
        <v>89</v>
      </c>
      <c r="G675" s="14" t="s">
        <v>143</v>
      </c>
      <c r="H675" s="14" t="s">
        <v>166</v>
      </c>
      <c r="I675" s="14" t="s">
        <v>74</v>
      </c>
      <c r="J675" s="15">
        <v>926175</v>
      </c>
      <c r="K675" s="14">
        <v>1</v>
      </c>
      <c r="L675" s="14" t="s">
        <v>75</v>
      </c>
      <c r="M675" s="14" t="s">
        <v>75</v>
      </c>
      <c r="N675" s="14" t="s">
        <v>76</v>
      </c>
      <c r="O675" s="14" t="s">
        <v>75</v>
      </c>
      <c r="P675" s="14">
        <v>371</v>
      </c>
      <c r="Q675" s="15">
        <v>350083</v>
      </c>
      <c r="R675" s="15">
        <v>4930.7</v>
      </c>
      <c r="S675" s="14" t="s">
        <v>22</v>
      </c>
      <c r="T675" s="15">
        <v>478919</v>
      </c>
      <c r="U675" s="16">
        <f t="shared" si="110"/>
        <v>6.3884687019191824E-2</v>
      </c>
      <c r="V675" s="14">
        <v>1</v>
      </c>
      <c r="W675" s="17">
        <v>80</v>
      </c>
      <c r="X675" s="14">
        <v>5.5</v>
      </c>
      <c r="Y675" s="18">
        <f t="shared" si="111"/>
        <v>49.2</v>
      </c>
      <c r="Z675" s="18" t="str">
        <f t="shared" si="112"/>
        <v>Medium</v>
      </c>
      <c r="AA675" s="19" t="str">
        <f t="shared" si="113"/>
        <v>Not Eligible</v>
      </c>
      <c r="AB675" s="14" t="s">
        <v>161</v>
      </c>
      <c r="AC675" s="14">
        <v>1</v>
      </c>
      <c r="AD675" s="14" t="s">
        <v>78</v>
      </c>
      <c r="AE675" s="17">
        <v>27.9</v>
      </c>
      <c r="AF675" s="15">
        <v>490825</v>
      </c>
      <c r="AG675" s="20">
        <f t="shared" si="114"/>
        <v>1417000</v>
      </c>
      <c r="AH675" s="14">
        <v>0</v>
      </c>
      <c r="AI675" s="14" t="s">
        <v>75</v>
      </c>
      <c r="AJ675" s="14">
        <v>72</v>
      </c>
      <c r="AK675" s="21">
        <f t="shared" si="115"/>
        <v>0.105</v>
      </c>
      <c r="AL675" s="20">
        <f t="shared" si="116"/>
        <v>8993.605518726923</v>
      </c>
      <c r="AM675" s="22">
        <f t="shared" si="117"/>
        <v>0.51709342186951712</v>
      </c>
      <c r="AN675" s="20">
        <f t="shared" si="118"/>
        <v>13924.305518726924</v>
      </c>
      <c r="AO675" s="16">
        <f t="shared" si="119"/>
        <v>0.18041046910651129</v>
      </c>
      <c r="AP675" s="15">
        <v>625429</v>
      </c>
      <c r="AQ675" s="18">
        <f t="shared" si="120"/>
        <v>0.76574479277423979</v>
      </c>
      <c r="AR675" s="23">
        <v>46181</v>
      </c>
      <c r="AS675" s="14" t="s">
        <v>94</v>
      </c>
    </row>
    <row r="676" spans="1:45" x14ac:dyDescent="0.25">
      <c r="A676" s="14" t="s">
        <v>2191</v>
      </c>
      <c r="B676" s="14" t="s">
        <v>1919</v>
      </c>
      <c r="C676" s="14">
        <v>9898350328</v>
      </c>
      <c r="D676" s="15"/>
      <c r="E676" s="14">
        <v>28</v>
      </c>
      <c r="F676" s="14" t="s">
        <v>89</v>
      </c>
      <c r="G676" s="14" t="s">
        <v>120</v>
      </c>
      <c r="H676" s="14" t="s">
        <v>132</v>
      </c>
      <c r="I676" s="14" t="s">
        <v>92</v>
      </c>
      <c r="J676" s="15">
        <v>1673064</v>
      </c>
      <c r="K676" s="14">
        <v>2</v>
      </c>
      <c r="L676" s="14" t="s">
        <v>76</v>
      </c>
      <c r="M676" s="14" t="s">
        <v>76</v>
      </c>
      <c r="N676" s="14" t="s">
        <v>75</v>
      </c>
      <c r="O676" s="14" t="s">
        <v>75</v>
      </c>
      <c r="P676" s="14">
        <v>417</v>
      </c>
      <c r="Q676" s="15">
        <v>130373.63</v>
      </c>
      <c r="R676" s="15">
        <v>59117.35</v>
      </c>
      <c r="S676" s="14" t="s">
        <v>23</v>
      </c>
      <c r="T676" s="15">
        <v>412929</v>
      </c>
      <c r="U676" s="16">
        <f t="shared" si="110"/>
        <v>0.42401737172038845</v>
      </c>
      <c r="V676" s="14">
        <v>0</v>
      </c>
      <c r="W676" s="17">
        <v>10.3</v>
      </c>
      <c r="X676" s="14">
        <v>6.5</v>
      </c>
      <c r="Y676" s="18">
        <f t="shared" si="111"/>
        <v>46</v>
      </c>
      <c r="Z676" s="18" t="str">
        <f t="shared" si="112"/>
        <v>Medium</v>
      </c>
      <c r="AA676" s="19" t="str">
        <f t="shared" si="113"/>
        <v>Not Eligible</v>
      </c>
      <c r="AB676" s="14" t="s">
        <v>85</v>
      </c>
      <c r="AC676" s="14">
        <v>0</v>
      </c>
      <c r="AD676" s="14" t="s">
        <v>93</v>
      </c>
      <c r="AE676" s="17">
        <v>3.8</v>
      </c>
      <c r="AF676" s="15">
        <v>0</v>
      </c>
      <c r="AG676" s="20">
        <f t="shared" si="114"/>
        <v>1673064</v>
      </c>
      <c r="AH676" s="14">
        <v>0</v>
      </c>
      <c r="AI676" s="14" t="s">
        <v>75</v>
      </c>
      <c r="AJ676" s="14">
        <v>180</v>
      </c>
      <c r="AK676" s="21">
        <f t="shared" si="115"/>
        <v>0.1</v>
      </c>
      <c r="AL676" s="20">
        <f t="shared" si="116"/>
        <v>4437.3561665009474</v>
      </c>
      <c r="AM676" s="22">
        <f t="shared" si="117"/>
        <v>0.24681004432585962</v>
      </c>
      <c r="AN676" s="20">
        <f t="shared" si="118"/>
        <v>63554.706166500946</v>
      </c>
      <c r="AO676" s="16">
        <f t="shared" si="119"/>
        <v>0.45584417212850875</v>
      </c>
      <c r="AP676" s="15">
        <v>7856879</v>
      </c>
      <c r="AQ676" s="18">
        <f t="shared" si="120"/>
        <v>5.2556364938291654E-2</v>
      </c>
      <c r="AR676" s="23">
        <v>45960</v>
      </c>
      <c r="AS676" s="14" t="s">
        <v>79</v>
      </c>
    </row>
    <row r="677" spans="1:45" x14ac:dyDescent="0.25">
      <c r="A677" s="14" t="s">
        <v>2193</v>
      </c>
      <c r="B677" s="14" t="s">
        <v>2194</v>
      </c>
      <c r="C677" s="14"/>
      <c r="D677" s="15" t="s">
        <v>2201</v>
      </c>
      <c r="E677" s="14">
        <v>26</v>
      </c>
      <c r="F677" s="14" t="s">
        <v>71</v>
      </c>
      <c r="G677" s="14" t="s">
        <v>127</v>
      </c>
      <c r="H677" s="14" t="s">
        <v>84</v>
      </c>
      <c r="I677" s="14" t="s">
        <v>74</v>
      </c>
      <c r="J677" s="15">
        <v>1869765</v>
      </c>
      <c r="K677" s="14">
        <v>1</v>
      </c>
      <c r="L677" s="14" t="s">
        <v>76</v>
      </c>
      <c r="M677" s="14" t="s">
        <v>75</v>
      </c>
      <c r="N677" s="14" t="s">
        <v>75</v>
      </c>
      <c r="O677" s="14" t="s">
        <v>75</v>
      </c>
      <c r="P677" s="14">
        <v>564</v>
      </c>
      <c r="Q677" s="15">
        <v>332133</v>
      </c>
      <c r="R677" s="15">
        <v>6035.92</v>
      </c>
      <c r="S677" s="14" t="s">
        <v>20</v>
      </c>
      <c r="T677" s="15"/>
      <c r="U677" s="16">
        <f t="shared" si="110"/>
        <v>3.8738044620580663E-2</v>
      </c>
      <c r="V677" s="14">
        <v>0</v>
      </c>
      <c r="W677" s="17">
        <v>21.9</v>
      </c>
      <c r="X677" s="14">
        <v>2.2999999999999998</v>
      </c>
      <c r="Y677" s="18">
        <f t="shared" si="111"/>
        <v>25.8</v>
      </c>
      <c r="Z677" s="18" t="str">
        <f t="shared" si="112"/>
        <v>Low</v>
      </c>
      <c r="AA677" s="19" t="str">
        <f t="shared" si="113"/>
        <v>Review</v>
      </c>
      <c r="AB677" s="14" t="s">
        <v>85</v>
      </c>
      <c r="AC677" s="14">
        <v>4</v>
      </c>
      <c r="AD677" s="14" t="s">
        <v>93</v>
      </c>
      <c r="AE677" s="17">
        <v>1.7</v>
      </c>
      <c r="AF677" s="15">
        <v>0</v>
      </c>
      <c r="AG677" s="20">
        <f t="shared" si="114"/>
        <v>1869765</v>
      </c>
      <c r="AH677" s="14">
        <v>0</v>
      </c>
      <c r="AI677" s="14" t="s">
        <v>75</v>
      </c>
      <c r="AJ677" s="14">
        <v>24</v>
      </c>
      <c r="AK677" s="21">
        <f t="shared" si="115"/>
        <v>0.36</v>
      </c>
      <c r="AL677" s="20">
        <f t="shared" si="116"/>
        <v>0</v>
      </c>
      <c r="AM677" s="22">
        <f t="shared" si="117"/>
        <v>0</v>
      </c>
      <c r="AN677" s="20">
        <f t="shared" si="118"/>
        <v>6035.92</v>
      </c>
      <c r="AO677" s="16">
        <f t="shared" si="119"/>
        <v>3.8738044620580663E-2</v>
      </c>
      <c r="AP677" s="15">
        <v>0</v>
      </c>
      <c r="AQ677" s="18" t="str">
        <f t="shared" si="120"/>
        <v>N/A</v>
      </c>
      <c r="AR677" s="23">
        <v>46016</v>
      </c>
      <c r="AS677" s="14" t="s">
        <v>79</v>
      </c>
    </row>
    <row r="678" spans="1:45" x14ac:dyDescent="0.25">
      <c r="A678" s="14" t="s">
        <v>2197</v>
      </c>
      <c r="B678" s="14" t="s">
        <v>2198</v>
      </c>
      <c r="C678" s="14">
        <v>9784186371</v>
      </c>
      <c r="D678" s="15" t="s">
        <v>2205</v>
      </c>
      <c r="E678" s="14">
        <v>40</v>
      </c>
      <c r="F678" s="14" t="s">
        <v>89</v>
      </c>
      <c r="G678" s="14" t="s">
        <v>72</v>
      </c>
      <c r="H678" s="14" t="s">
        <v>84</v>
      </c>
      <c r="I678" s="14" t="s">
        <v>74</v>
      </c>
      <c r="J678" s="15">
        <v>1285151</v>
      </c>
      <c r="K678" s="14">
        <v>2</v>
      </c>
      <c r="L678" s="14" t="s">
        <v>76</v>
      </c>
      <c r="M678" s="14" t="s">
        <v>75</v>
      </c>
      <c r="N678" s="14" t="s">
        <v>76</v>
      </c>
      <c r="O678" s="14" t="s">
        <v>75</v>
      </c>
      <c r="P678" s="14">
        <v>847</v>
      </c>
      <c r="Q678" s="15">
        <v>661812.78</v>
      </c>
      <c r="R678" s="15">
        <v>4074.18</v>
      </c>
      <c r="S678" s="14" t="s">
        <v>20</v>
      </c>
      <c r="T678" s="15"/>
      <c r="U678" s="16">
        <f t="shared" si="110"/>
        <v>3.8042346774814786E-2</v>
      </c>
      <c r="V678" s="14">
        <v>2</v>
      </c>
      <c r="W678" s="17">
        <v>83.5</v>
      </c>
      <c r="X678" s="14">
        <v>10.1</v>
      </c>
      <c r="Y678" s="18">
        <f t="shared" si="111"/>
        <v>21</v>
      </c>
      <c r="Z678" s="18" t="str">
        <f t="shared" si="112"/>
        <v>Low</v>
      </c>
      <c r="AA678" s="19" t="str">
        <f t="shared" si="113"/>
        <v>Eligible</v>
      </c>
      <c r="AB678" s="14" t="s">
        <v>85</v>
      </c>
      <c r="AC678" s="14">
        <v>1</v>
      </c>
      <c r="AD678" s="14" t="s">
        <v>78</v>
      </c>
      <c r="AE678" s="17">
        <v>7.6</v>
      </c>
      <c r="AF678" s="15">
        <v>0</v>
      </c>
      <c r="AG678" s="20">
        <f t="shared" si="114"/>
        <v>1285151</v>
      </c>
      <c r="AH678" s="14">
        <v>2</v>
      </c>
      <c r="AI678" s="14" t="s">
        <v>76</v>
      </c>
      <c r="AJ678" s="14">
        <v>36</v>
      </c>
      <c r="AK678" s="21">
        <f t="shared" si="115"/>
        <v>0.36</v>
      </c>
      <c r="AL678" s="20">
        <f t="shared" si="116"/>
        <v>0</v>
      </c>
      <c r="AM678" s="22">
        <f t="shared" si="117"/>
        <v>0</v>
      </c>
      <c r="AN678" s="20">
        <f t="shared" si="118"/>
        <v>4074.18</v>
      </c>
      <c r="AO678" s="16">
        <f t="shared" si="119"/>
        <v>3.8042346774814786E-2</v>
      </c>
      <c r="AP678" s="15">
        <v>0</v>
      </c>
      <c r="AQ678" s="18" t="str">
        <f t="shared" si="120"/>
        <v>N/A</v>
      </c>
      <c r="AR678" s="23">
        <v>45973</v>
      </c>
      <c r="AS678" s="14" t="s">
        <v>79</v>
      </c>
    </row>
    <row r="679" spans="1:45" x14ac:dyDescent="0.25">
      <c r="A679" s="14" t="s">
        <v>2199</v>
      </c>
      <c r="B679" s="14" t="s">
        <v>2200</v>
      </c>
      <c r="C679" s="14"/>
      <c r="D679" s="15" t="s">
        <v>2208</v>
      </c>
      <c r="E679" s="14">
        <v>47</v>
      </c>
      <c r="F679" s="14" t="s">
        <v>89</v>
      </c>
      <c r="G679" s="14" t="s">
        <v>314</v>
      </c>
      <c r="H679" s="14" t="s">
        <v>84</v>
      </c>
      <c r="I679" s="14" t="s">
        <v>74</v>
      </c>
      <c r="J679" s="15">
        <v>1530826</v>
      </c>
      <c r="K679" s="14">
        <v>1</v>
      </c>
      <c r="L679" s="14" t="s">
        <v>76</v>
      </c>
      <c r="M679" s="14" t="s">
        <v>75</v>
      </c>
      <c r="N679" s="14" t="s">
        <v>75</v>
      </c>
      <c r="O679" s="14" t="s">
        <v>75</v>
      </c>
      <c r="P679" s="14">
        <v>512</v>
      </c>
      <c r="Q679" s="15">
        <v>194653.22</v>
      </c>
      <c r="R679" s="15">
        <v>23723.8</v>
      </c>
      <c r="S679" s="14" t="s">
        <v>23</v>
      </c>
      <c r="T679" s="15">
        <v>145533</v>
      </c>
      <c r="U679" s="16">
        <f t="shared" si="110"/>
        <v>0.18596862086220117</v>
      </c>
      <c r="V679" s="14">
        <v>3</v>
      </c>
      <c r="W679" s="17">
        <v>33.799999999999997</v>
      </c>
      <c r="X679" s="14">
        <v>8.6</v>
      </c>
      <c r="Y679" s="18">
        <f t="shared" si="111"/>
        <v>46.8</v>
      </c>
      <c r="Z679" s="18" t="str">
        <f t="shared" si="112"/>
        <v>Medium</v>
      </c>
      <c r="AA679" s="19" t="str">
        <f t="shared" si="113"/>
        <v>Not Eligible</v>
      </c>
      <c r="AB679" s="14" t="s">
        <v>161</v>
      </c>
      <c r="AC679" s="14">
        <v>4</v>
      </c>
      <c r="AD679" s="14" t="s">
        <v>78</v>
      </c>
      <c r="AE679" s="17">
        <v>8.3000000000000007</v>
      </c>
      <c r="AF679" s="15">
        <v>307106</v>
      </c>
      <c r="AG679" s="20">
        <f t="shared" si="114"/>
        <v>1837932</v>
      </c>
      <c r="AH679" s="14">
        <v>0</v>
      </c>
      <c r="AI679" s="14" t="s">
        <v>75</v>
      </c>
      <c r="AJ679" s="14">
        <v>300</v>
      </c>
      <c r="AK679" s="21">
        <f t="shared" si="115"/>
        <v>0.1</v>
      </c>
      <c r="AL679" s="20">
        <f t="shared" si="116"/>
        <v>1322.4594560068163</v>
      </c>
      <c r="AM679" s="22">
        <f t="shared" si="117"/>
        <v>9.5068283397329284E-2</v>
      </c>
      <c r="AN679" s="20">
        <f t="shared" si="118"/>
        <v>25046.259456006817</v>
      </c>
      <c r="AO679" s="16">
        <f t="shared" si="119"/>
        <v>0.19633525526224524</v>
      </c>
      <c r="AP679" s="15">
        <v>3105501</v>
      </c>
      <c r="AQ679" s="18">
        <f t="shared" si="120"/>
        <v>4.686296993625183E-2</v>
      </c>
      <c r="AR679" s="23">
        <v>45951</v>
      </c>
      <c r="AS679" s="14" t="s">
        <v>79</v>
      </c>
    </row>
    <row r="680" spans="1:45" x14ac:dyDescent="0.25">
      <c r="A680" s="14" t="s">
        <v>2202</v>
      </c>
      <c r="B680" s="14" t="s">
        <v>2203</v>
      </c>
      <c r="C680" s="14">
        <v>9104500357</v>
      </c>
      <c r="D680" s="15" t="s">
        <v>2211</v>
      </c>
      <c r="E680" s="14">
        <v>59</v>
      </c>
      <c r="F680" s="14" t="s">
        <v>89</v>
      </c>
      <c r="G680" s="14" t="s">
        <v>98</v>
      </c>
      <c r="H680" s="14" t="s">
        <v>103</v>
      </c>
      <c r="I680" s="14" t="s">
        <v>74</v>
      </c>
      <c r="J680" s="15">
        <v>1377004</v>
      </c>
      <c r="K680" s="14">
        <v>1</v>
      </c>
      <c r="L680" s="14" t="s">
        <v>75</v>
      </c>
      <c r="M680" s="14" t="s">
        <v>76</v>
      </c>
      <c r="N680" s="14" t="s">
        <v>75</v>
      </c>
      <c r="O680" s="14" t="s">
        <v>75</v>
      </c>
      <c r="P680" s="14">
        <v>583</v>
      </c>
      <c r="Q680" s="15">
        <v>120686</v>
      </c>
      <c r="R680" s="15">
        <v>12487.03</v>
      </c>
      <c r="S680" s="14" t="s">
        <v>20</v>
      </c>
      <c r="T680" s="15">
        <v>62038</v>
      </c>
      <c r="U680" s="16">
        <f t="shared" si="110"/>
        <v>0.10881911744628193</v>
      </c>
      <c r="V680" s="14">
        <v>0</v>
      </c>
      <c r="W680" s="17">
        <v>68.7</v>
      </c>
      <c r="X680" s="14">
        <v>9.3000000000000007</v>
      </c>
      <c r="Y680" s="18">
        <f t="shared" si="111"/>
        <v>31.3</v>
      </c>
      <c r="Z680" s="18" t="str">
        <f t="shared" si="112"/>
        <v>Medium</v>
      </c>
      <c r="AA680" s="19" t="str">
        <f t="shared" si="113"/>
        <v>Review</v>
      </c>
      <c r="AB680" s="14" t="s">
        <v>77</v>
      </c>
      <c r="AC680" s="14">
        <v>2</v>
      </c>
      <c r="AD680" s="14" t="s">
        <v>78</v>
      </c>
      <c r="AE680" s="17">
        <v>4.7</v>
      </c>
      <c r="AF680" s="15">
        <v>792881</v>
      </c>
      <c r="AG680" s="20">
        <f t="shared" si="114"/>
        <v>2169885</v>
      </c>
      <c r="AH680" s="14">
        <v>0</v>
      </c>
      <c r="AI680" s="14" t="s">
        <v>75</v>
      </c>
      <c r="AJ680" s="14">
        <v>24</v>
      </c>
      <c r="AK680" s="21">
        <f t="shared" si="115"/>
        <v>0.375</v>
      </c>
      <c r="AL680" s="20">
        <f t="shared" si="116"/>
        <v>3712.6851762967262</v>
      </c>
      <c r="AM680" s="22">
        <f t="shared" si="117"/>
        <v>4.5052882925539793E-2</v>
      </c>
      <c r="AN680" s="20">
        <f t="shared" si="118"/>
        <v>16199.715176296726</v>
      </c>
      <c r="AO680" s="16">
        <f t="shared" si="119"/>
        <v>0.14117357837418099</v>
      </c>
      <c r="AP680" s="15">
        <v>0</v>
      </c>
      <c r="AQ680" s="18" t="str">
        <f t="shared" si="120"/>
        <v>N/A</v>
      </c>
      <c r="AR680" s="23">
        <v>46241</v>
      </c>
      <c r="AS680" s="14" t="s">
        <v>79</v>
      </c>
    </row>
    <row r="681" spans="1:45" x14ac:dyDescent="0.25">
      <c r="A681" s="14" t="s">
        <v>2206</v>
      </c>
      <c r="B681" s="14" t="s">
        <v>2207</v>
      </c>
      <c r="C681" s="14"/>
      <c r="D681" s="15" t="s">
        <v>2213</v>
      </c>
      <c r="E681" s="14">
        <v>25</v>
      </c>
      <c r="F681" s="14" t="s">
        <v>89</v>
      </c>
      <c r="G681" s="14" t="s">
        <v>174</v>
      </c>
      <c r="H681" s="14" t="s">
        <v>144</v>
      </c>
      <c r="I681" s="14" t="s">
        <v>92</v>
      </c>
      <c r="J681" s="15">
        <v>397304</v>
      </c>
      <c r="K681" s="14">
        <v>1</v>
      </c>
      <c r="L681" s="14" t="s">
        <v>75</v>
      </c>
      <c r="M681" s="14" t="s">
        <v>75</v>
      </c>
      <c r="N681" s="14" t="s">
        <v>75</v>
      </c>
      <c r="O681" s="14" t="s">
        <v>76</v>
      </c>
      <c r="P681" s="14">
        <v>400</v>
      </c>
      <c r="Q681" s="15"/>
      <c r="R681" s="15">
        <v>13903.8</v>
      </c>
      <c r="S681" s="14" t="s">
        <v>21</v>
      </c>
      <c r="T681" s="15">
        <v>349612</v>
      </c>
      <c r="U681" s="16">
        <f t="shared" si="110"/>
        <v>0.41994442542738047</v>
      </c>
      <c r="V681" s="14">
        <v>0</v>
      </c>
      <c r="W681" s="17">
        <v>88.4</v>
      </c>
      <c r="X681" s="14">
        <v>4.8</v>
      </c>
      <c r="Y681" s="18">
        <f t="shared" si="111"/>
        <v>54.8</v>
      </c>
      <c r="Z681" s="18" t="str">
        <f t="shared" si="112"/>
        <v>Medium</v>
      </c>
      <c r="AA681" s="19" t="str">
        <f t="shared" si="113"/>
        <v>Not Eligible</v>
      </c>
      <c r="AB681" s="14" t="s">
        <v>77</v>
      </c>
      <c r="AC681" s="14">
        <v>1</v>
      </c>
      <c r="AD681" s="14" t="s">
        <v>93</v>
      </c>
      <c r="AE681" s="17">
        <v>1</v>
      </c>
      <c r="AF681" s="15">
        <v>0</v>
      </c>
      <c r="AG681" s="20">
        <f t="shared" si="114"/>
        <v>397304</v>
      </c>
      <c r="AH681" s="14">
        <v>0</v>
      </c>
      <c r="AI681" s="14" t="s">
        <v>75</v>
      </c>
      <c r="AJ681" s="14">
        <v>36</v>
      </c>
      <c r="AK681" s="21">
        <f t="shared" si="115"/>
        <v>0.15500000000000003</v>
      </c>
      <c r="AL681" s="20">
        <f t="shared" si="116"/>
        <v>12205.193013391945</v>
      </c>
      <c r="AM681" s="22">
        <f t="shared" si="117"/>
        <v>0.87996093671344866</v>
      </c>
      <c r="AN681" s="20">
        <f t="shared" si="118"/>
        <v>26108.993013391944</v>
      </c>
      <c r="AO681" s="16">
        <f t="shared" si="119"/>
        <v>0.78858485230630282</v>
      </c>
      <c r="AP681" s="15">
        <v>0</v>
      </c>
      <c r="AQ681" s="18" t="str">
        <f t="shared" si="120"/>
        <v>N/A</v>
      </c>
      <c r="AR681" s="23">
        <v>46207</v>
      </c>
      <c r="AS681" s="14" t="s">
        <v>79</v>
      </c>
    </row>
    <row r="682" spans="1:45" x14ac:dyDescent="0.25">
      <c r="A682" s="14" t="s">
        <v>2209</v>
      </c>
      <c r="B682" s="14" t="s">
        <v>2210</v>
      </c>
      <c r="C682" s="14"/>
      <c r="D682" s="15" t="s">
        <v>2216</v>
      </c>
      <c r="E682" s="14">
        <v>52</v>
      </c>
      <c r="F682" s="14" t="s">
        <v>71</v>
      </c>
      <c r="G682" s="14" t="s">
        <v>139</v>
      </c>
      <c r="H682" s="14" t="s">
        <v>144</v>
      </c>
      <c r="I682" s="14" t="s">
        <v>92</v>
      </c>
      <c r="J682" s="15">
        <v>1915019</v>
      </c>
      <c r="K682" s="14">
        <v>3</v>
      </c>
      <c r="L682" s="14" t="s">
        <v>76</v>
      </c>
      <c r="M682" s="14" t="s">
        <v>76</v>
      </c>
      <c r="N682" s="14" t="s">
        <v>76</v>
      </c>
      <c r="O682" s="14" t="s">
        <v>75</v>
      </c>
      <c r="P682" s="14">
        <v>506</v>
      </c>
      <c r="Q682" s="15">
        <v>1196165</v>
      </c>
      <c r="R682" s="15">
        <v>3017.15</v>
      </c>
      <c r="S682" s="14" t="s">
        <v>20</v>
      </c>
      <c r="T682" s="15"/>
      <c r="U682" s="16">
        <f t="shared" si="110"/>
        <v>1.8906235395053522E-2</v>
      </c>
      <c r="V682" s="14">
        <v>0</v>
      </c>
      <c r="W682" s="17">
        <v>31.2</v>
      </c>
      <c r="X682" s="14">
        <v>14.1</v>
      </c>
      <c r="Y682" s="18">
        <f t="shared" si="111"/>
        <v>30</v>
      </c>
      <c r="Z682" s="18" t="str">
        <f t="shared" si="112"/>
        <v>Low</v>
      </c>
      <c r="AA682" s="19" t="str">
        <f t="shared" si="113"/>
        <v>Not Eligible</v>
      </c>
      <c r="AB682" s="14" t="s">
        <v>85</v>
      </c>
      <c r="AC682" s="14">
        <v>3</v>
      </c>
      <c r="AD682" s="14" t="s">
        <v>93</v>
      </c>
      <c r="AE682" s="17">
        <v>3.8</v>
      </c>
      <c r="AF682" s="15">
        <v>667394</v>
      </c>
      <c r="AG682" s="20">
        <f t="shared" si="114"/>
        <v>2582413</v>
      </c>
      <c r="AH682" s="14">
        <v>1</v>
      </c>
      <c r="AI682" s="14" t="s">
        <v>75</v>
      </c>
      <c r="AJ682" s="14">
        <v>36</v>
      </c>
      <c r="AK682" s="21">
        <f t="shared" si="115"/>
        <v>0.36</v>
      </c>
      <c r="AL682" s="20">
        <f t="shared" si="116"/>
        <v>0</v>
      </c>
      <c r="AM682" s="22">
        <f t="shared" si="117"/>
        <v>0</v>
      </c>
      <c r="AN682" s="20">
        <f t="shared" si="118"/>
        <v>3017.15</v>
      </c>
      <c r="AO682" s="16">
        <f t="shared" si="119"/>
        <v>1.8906235395053522E-2</v>
      </c>
      <c r="AP682" s="15">
        <v>0</v>
      </c>
      <c r="AQ682" s="18" t="str">
        <f t="shared" si="120"/>
        <v>N/A</v>
      </c>
      <c r="AR682" s="23">
        <v>46228</v>
      </c>
      <c r="AS682" s="14" t="s">
        <v>79</v>
      </c>
    </row>
    <row r="683" spans="1:45" x14ac:dyDescent="0.25">
      <c r="A683" s="14" t="s">
        <v>2212</v>
      </c>
      <c r="B683" s="14" t="s">
        <v>1937</v>
      </c>
      <c r="C683" s="14">
        <v>9213862140</v>
      </c>
      <c r="D683" s="15" t="s">
        <v>2219</v>
      </c>
      <c r="E683" s="14">
        <v>30</v>
      </c>
      <c r="F683" s="14" t="s">
        <v>89</v>
      </c>
      <c r="G683" s="14" t="s">
        <v>90</v>
      </c>
      <c r="H683" s="14" t="s">
        <v>144</v>
      </c>
      <c r="I683" s="14" t="s">
        <v>92</v>
      </c>
      <c r="J683" s="15">
        <v>1383684</v>
      </c>
      <c r="K683" s="14">
        <v>1</v>
      </c>
      <c r="L683" s="14" t="s">
        <v>76</v>
      </c>
      <c r="M683" s="14" t="s">
        <v>75</v>
      </c>
      <c r="N683" s="14" t="s">
        <v>75</v>
      </c>
      <c r="O683" s="14" t="s">
        <v>75</v>
      </c>
      <c r="P683" s="14">
        <v>836</v>
      </c>
      <c r="Q683" s="15">
        <v>717712.72</v>
      </c>
      <c r="R683" s="15">
        <v>7795.84</v>
      </c>
      <c r="S683" s="14" t="s">
        <v>20</v>
      </c>
      <c r="T683" s="15">
        <v>707171</v>
      </c>
      <c r="U683" s="16">
        <f t="shared" si="110"/>
        <v>6.7609425273400581E-2</v>
      </c>
      <c r="V683" s="14">
        <v>0</v>
      </c>
      <c r="W683" s="17">
        <v>24.6</v>
      </c>
      <c r="X683" s="14">
        <v>6.7</v>
      </c>
      <c r="Y683" s="18">
        <f t="shared" si="111"/>
        <v>8.8000000000000007</v>
      </c>
      <c r="Z683" s="18" t="str">
        <f t="shared" si="112"/>
        <v>Low</v>
      </c>
      <c r="AA683" s="19" t="str">
        <f t="shared" si="113"/>
        <v>Eligible</v>
      </c>
      <c r="AB683" s="14" t="s">
        <v>85</v>
      </c>
      <c r="AC683" s="14">
        <v>2</v>
      </c>
      <c r="AD683" s="14" t="s">
        <v>93</v>
      </c>
      <c r="AE683" s="17">
        <v>0.5</v>
      </c>
      <c r="AF683" s="15">
        <v>0</v>
      </c>
      <c r="AG683" s="20">
        <f t="shared" si="114"/>
        <v>1383684</v>
      </c>
      <c r="AH683" s="14">
        <v>1</v>
      </c>
      <c r="AI683" s="14" t="s">
        <v>75</v>
      </c>
      <c r="AJ683" s="14">
        <v>36</v>
      </c>
      <c r="AK683" s="21">
        <f t="shared" si="115"/>
        <v>0.36</v>
      </c>
      <c r="AL683" s="20">
        <f t="shared" si="116"/>
        <v>32391.114937004539</v>
      </c>
      <c r="AM683" s="22">
        <f t="shared" si="117"/>
        <v>0.51107839651249853</v>
      </c>
      <c r="AN683" s="20">
        <f t="shared" si="118"/>
        <v>40186.954937004542</v>
      </c>
      <c r="AO683" s="16">
        <f t="shared" si="119"/>
        <v>0.34852138150333062</v>
      </c>
      <c r="AP683" s="15">
        <v>0</v>
      </c>
      <c r="AQ683" s="18" t="str">
        <f t="shared" si="120"/>
        <v>N/A</v>
      </c>
      <c r="AR683" s="23">
        <v>46162</v>
      </c>
      <c r="AS683" s="14" t="s">
        <v>79</v>
      </c>
    </row>
    <row r="684" spans="1:45" x14ac:dyDescent="0.25">
      <c r="A684" s="14" t="s">
        <v>2214</v>
      </c>
      <c r="B684" s="14" t="s">
        <v>2215</v>
      </c>
      <c r="C684" s="14"/>
      <c r="D684" s="15" t="s">
        <v>2221</v>
      </c>
      <c r="E684" s="14">
        <v>24</v>
      </c>
      <c r="F684" s="14" t="s">
        <v>71</v>
      </c>
      <c r="G684" s="14" t="s">
        <v>417</v>
      </c>
      <c r="H684" s="14" t="s">
        <v>73</v>
      </c>
      <c r="I684" s="14" t="s">
        <v>74</v>
      </c>
      <c r="J684" s="15">
        <v>2042740</v>
      </c>
      <c r="K684" s="14">
        <v>3</v>
      </c>
      <c r="L684" s="14" t="s">
        <v>76</v>
      </c>
      <c r="M684" s="14" t="s">
        <v>76</v>
      </c>
      <c r="N684" s="14" t="s">
        <v>75</v>
      </c>
      <c r="O684" s="14" t="s">
        <v>76</v>
      </c>
      <c r="P684" s="14">
        <v>781</v>
      </c>
      <c r="Q684" s="15"/>
      <c r="R684" s="15">
        <v>56960.23</v>
      </c>
      <c r="S684" s="14" t="s">
        <v>21</v>
      </c>
      <c r="T684" s="15">
        <v>459735</v>
      </c>
      <c r="U684" s="16">
        <f t="shared" si="110"/>
        <v>0.33461074830864429</v>
      </c>
      <c r="V684" s="14">
        <v>0</v>
      </c>
      <c r="W684" s="17">
        <v>61.6</v>
      </c>
      <c r="X684" s="14">
        <v>11.4</v>
      </c>
      <c r="Y684" s="18">
        <f t="shared" si="111"/>
        <v>24.1</v>
      </c>
      <c r="Z684" s="18" t="str">
        <f t="shared" si="112"/>
        <v>Low</v>
      </c>
      <c r="AA684" s="19" t="str">
        <f t="shared" si="113"/>
        <v>Eligible</v>
      </c>
      <c r="AB684" s="14" t="s">
        <v>77</v>
      </c>
      <c r="AC684" s="14">
        <v>1</v>
      </c>
      <c r="AD684" s="14" t="s">
        <v>93</v>
      </c>
      <c r="AE684" s="17">
        <v>2.4</v>
      </c>
      <c r="AF684" s="15">
        <v>0</v>
      </c>
      <c r="AG684" s="20">
        <f t="shared" si="114"/>
        <v>2042740</v>
      </c>
      <c r="AH684" s="14">
        <v>0</v>
      </c>
      <c r="AI684" s="14" t="s">
        <v>75</v>
      </c>
      <c r="AJ684" s="14">
        <v>12</v>
      </c>
      <c r="AK684" s="21">
        <f t="shared" si="115"/>
        <v>0.14000000000000001</v>
      </c>
      <c r="AL684" s="20">
        <f t="shared" si="116"/>
        <v>41278.280515083199</v>
      </c>
      <c r="AM684" s="22">
        <f t="shared" si="117"/>
        <v>0.22505801031947287</v>
      </c>
      <c r="AN684" s="20">
        <f t="shared" si="118"/>
        <v>98238.51051508321</v>
      </c>
      <c r="AO684" s="16">
        <f t="shared" si="119"/>
        <v>0.57709846881198712</v>
      </c>
      <c r="AP684" s="15">
        <v>0</v>
      </c>
      <c r="AQ684" s="18" t="str">
        <f t="shared" si="120"/>
        <v>N/A</v>
      </c>
      <c r="AR684" s="23">
        <v>46124</v>
      </c>
      <c r="AS684" s="14" t="s">
        <v>79</v>
      </c>
    </row>
    <row r="685" spans="1:45" x14ac:dyDescent="0.25">
      <c r="A685" s="14" t="s">
        <v>2217</v>
      </c>
      <c r="B685" s="14" t="s">
        <v>1461</v>
      </c>
      <c r="C685" s="14">
        <v>9903220734</v>
      </c>
      <c r="D685" s="15" t="s">
        <v>2224</v>
      </c>
      <c r="E685" s="14">
        <v>32</v>
      </c>
      <c r="F685" s="14" t="s">
        <v>89</v>
      </c>
      <c r="G685" s="14" t="s">
        <v>83</v>
      </c>
      <c r="H685" s="14" t="s">
        <v>166</v>
      </c>
      <c r="I685" s="14" t="s">
        <v>74</v>
      </c>
      <c r="J685" s="15">
        <v>1836526</v>
      </c>
      <c r="K685" s="14">
        <v>1</v>
      </c>
      <c r="L685" s="14" t="s">
        <v>75</v>
      </c>
      <c r="M685" s="14" t="s">
        <v>75</v>
      </c>
      <c r="N685" s="14" t="s">
        <v>75</v>
      </c>
      <c r="O685" s="14" t="s">
        <v>76</v>
      </c>
      <c r="P685" s="14">
        <v>473</v>
      </c>
      <c r="Q685" s="15">
        <v>550796</v>
      </c>
      <c r="R685" s="15">
        <v>13290.98</v>
      </c>
      <c r="S685" s="14" t="s">
        <v>22</v>
      </c>
      <c r="T685" s="15">
        <v>185880</v>
      </c>
      <c r="U685" s="16">
        <f t="shared" si="110"/>
        <v>8.6844270105623345E-2</v>
      </c>
      <c r="V685" s="14">
        <v>3</v>
      </c>
      <c r="W685" s="17">
        <v>17.8</v>
      </c>
      <c r="X685" s="14">
        <v>13.2</v>
      </c>
      <c r="Y685" s="18">
        <f t="shared" si="111"/>
        <v>44.9</v>
      </c>
      <c r="Z685" s="18" t="str">
        <f t="shared" si="112"/>
        <v>Medium</v>
      </c>
      <c r="AA685" s="19" t="str">
        <f t="shared" si="113"/>
        <v>Not Eligible</v>
      </c>
      <c r="AB685" s="14" t="s">
        <v>161</v>
      </c>
      <c r="AC685" s="14">
        <v>0</v>
      </c>
      <c r="AD685" s="14" t="s">
        <v>93</v>
      </c>
      <c r="AE685" s="17">
        <v>4.5</v>
      </c>
      <c r="AF685" s="15">
        <v>894986</v>
      </c>
      <c r="AG685" s="20">
        <f t="shared" si="114"/>
        <v>2731512</v>
      </c>
      <c r="AH685" s="14">
        <v>1</v>
      </c>
      <c r="AI685" s="14" t="s">
        <v>75</v>
      </c>
      <c r="AJ685" s="14">
        <v>72</v>
      </c>
      <c r="AK685" s="21">
        <f t="shared" si="115"/>
        <v>0.105</v>
      </c>
      <c r="AL685" s="20">
        <f t="shared" si="116"/>
        <v>3490.6349378933819</v>
      </c>
      <c r="AM685" s="22">
        <f t="shared" si="117"/>
        <v>0.10121283336037715</v>
      </c>
      <c r="AN685" s="20">
        <f t="shared" si="118"/>
        <v>16781.614937893381</v>
      </c>
      <c r="AO685" s="16">
        <f t="shared" si="119"/>
        <v>0.10965234320381012</v>
      </c>
      <c r="AP685" s="15">
        <v>792373</v>
      </c>
      <c r="AQ685" s="18">
        <f t="shared" si="120"/>
        <v>0.23458648893892145</v>
      </c>
      <c r="AR685" s="23">
        <v>46128</v>
      </c>
      <c r="AS685" s="14" t="s">
        <v>79</v>
      </c>
    </row>
    <row r="686" spans="1:45" x14ac:dyDescent="0.25">
      <c r="A686" s="14" t="s">
        <v>2220</v>
      </c>
      <c r="B686" s="14" t="s">
        <v>849</v>
      </c>
      <c r="C686" s="14">
        <v>9759776218</v>
      </c>
      <c r="D686" s="15" t="s">
        <v>2227</v>
      </c>
      <c r="E686" s="14">
        <v>64</v>
      </c>
      <c r="F686" s="14" t="s">
        <v>89</v>
      </c>
      <c r="G686" s="14" t="s">
        <v>120</v>
      </c>
      <c r="H686" s="14" t="s">
        <v>99</v>
      </c>
      <c r="I686" s="14" t="s">
        <v>74</v>
      </c>
      <c r="J686" s="15">
        <v>796581</v>
      </c>
      <c r="K686" s="14">
        <v>1</v>
      </c>
      <c r="L686" s="14" t="s">
        <v>76</v>
      </c>
      <c r="M686" s="14" t="s">
        <v>75</v>
      </c>
      <c r="N686" s="14" t="s">
        <v>75</v>
      </c>
      <c r="O686" s="14" t="s">
        <v>75</v>
      </c>
      <c r="P686" s="14">
        <v>445</v>
      </c>
      <c r="Q686" s="15">
        <v>174651</v>
      </c>
      <c r="R686" s="15">
        <v>2849.93</v>
      </c>
      <c r="S686" s="14" t="s">
        <v>20</v>
      </c>
      <c r="T686" s="15">
        <v>5740981</v>
      </c>
      <c r="U686" s="16">
        <f t="shared" si="110"/>
        <v>4.2932432483325608E-2</v>
      </c>
      <c r="V686" s="14">
        <v>0</v>
      </c>
      <c r="W686" s="17">
        <v>33.299999999999997</v>
      </c>
      <c r="X686" s="14">
        <v>2.2999999999999998</v>
      </c>
      <c r="Y686" s="18">
        <f t="shared" si="111"/>
        <v>35</v>
      </c>
      <c r="Z686" s="18" t="str">
        <f t="shared" si="112"/>
        <v>Medium</v>
      </c>
      <c r="AA686" s="19" t="str">
        <f t="shared" si="113"/>
        <v>Not Eligible</v>
      </c>
      <c r="AB686" s="14" t="s">
        <v>85</v>
      </c>
      <c r="AC686" s="14">
        <v>1</v>
      </c>
      <c r="AD686" s="14" t="s">
        <v>78</v>
      </c>
      <c r="AE686" s="17">
        <v>6.2</v>
      </c>
      <c r="AF686" s="15">
        <v>855763</v>
      </c>
      <c r="AG686" s="20">
        <f t="shared" si="114"/>
        <v>1652344</v>
      </c>
      <c r="AH686" s="14">
        <v>2</v>
      </c>
      <c r="AI686" s="14" t="s">
        <v>75</v>
      </c>
      <c r="AJ686" s="14">
        <v>24</v>
      </c>
      <c r="AK686" s="21">
        <f t="shared" si="115"/>
        <v>0.375</v>
      </c>
      <c r="AL686" s="20">
        <f t="shared" si="116"/>
        <v>343570.95741482888</v>
      </c>
      <c r="AM686" s="22">
        <f t="shared" si="117"/>
        <v>7.2070272828500803</v>
      </c>
      <c r="AN686" s="20">
        <f t="shared" si="118"/>
        <v>346420.88741482887</v>
      </c>
      <c r="AO686" s="16">
        <f t="shared" si="119"/>
        <v>5.218616372946312</v>
      </c>
      <c r="AP686" s="15">
        <v>0</v>
      </c>
      <c r="AQ686" s="18" t="str">
        <f t="shared" si="120"/>
        <v>N/A</v>
      </c>
      <c r="AR686" s="23">
        <v>45975</v>
      </c>
      <c r="AS686" s="14" t="s">
        <v>79</v>
      </c>
    </row>
    <row r="687" spans="1:45" x14ac:dyDescent="0.25">
      <c r="A687" s="14" t="s">
        <v>2222</v>
      </c>
      <c r="B687" s="14" t="s">
        <v>2223</v>
      </c>
      <c r="C687" s="14">
        <v>9205742695</v>
      </c>
      <c r="D687" s="15" t="s">
        <v>2230</v>
      </c>
      <c r="E687" s="14">
        <v>60</v>
      </c>
      <c r="F687" s="14" t="s">
        <v>71</v>
      </c>
      <c r="G687" s="14" t="s">
        <v>72</v>
      </c>
      <c r="H687" s="14" t="s">
        <v>84</v>
      </c>
      <c r="I687" s="14" t="s">
        <v>74</v>
      </c>
      <c r="J687" s="15">
        <v>1528238</v>
      </c>
      <c r="K687" s="14">
        <v>3</v>
      </c>
      <c r="L687" s="14" t="s">
        <v>76</v>
      </c>
      <c r="M687" s="14" t="s">
        <v>76</v>
      </c>
      <c r="N687" s="14" t="s">
        <v>76</v>
      </c>
      <c r="O687" s="14" t="s">
        <v>75</v>
      </c>
      <c r="P687" s="14">
        <v>735</v>
      </c>
      <c r="Q687" s="15">
        <v>326158</v>
      </c>
      <c r="R687" s="15">
        <v>34424.730000000003</v>
      </c>
      <c r="S687" s="14" t="s">
        <v>20</v>
      </c>
      <c r="T687" s="15">
        <v>2848688</v>
      </c>
      <c r="U687" s="16">
        <f t="shared" si="110"/>
        <v>0.27030917959113698</v>
      </c>
      <c r="V687" s="14">
        <v>4</v>
      </c>
      <c r="W687" s="17">
        <v>9.5</v>
      </c>
      <c r="X687" s="14">
        <v>1.7</v>
      </c>
      <c r="Y687" s="18">
        <f t="shared" si="111"/>
        <v>36.1</v>
      </c>
      <c r="Z687" s="18" t="str">
        <f t="shared" si="112"/>
        <v>Medium</v>
      </c>
      <c r="AA687" s="19" t="str">
        <f t="shared" si="113"/>
        <v>Review</v>
      </c>
      <c r="AB687" s="14" t="s">
        <v>77</v>
      </c>
      <c r="AC687" s="14">
        <v>1</v>
      </c>
      <c r="AD687" s="14" t="s">
        <v>93</v>
      </c>
      <c r="AE687" s="17">
        <v>23</v>
      </c>
      <c r="AF687" s="15">
        <v>0</v>
      </c>
      <c r="AG687" s="20">
        <f t="shared" si="114"/>
        <v>1528238</v>
      </c>
      <c r="AH687" s="14">
        <v>3</v>
      </c>
      <c r="AI687" s="14" t="s">
        <v>75</v>
      </c>
      <c r="AJ687" s="14">
        <v>36</v>
      </c>
      <c r="AK687" s="21">
        <f t="shared" si="115"/>
        <v>0.375</v>
      </c>
      <c r="AL687" s="20">
        <f t="shared" si="116"/>
        <v>132925.74103974298</v>
      </c>
      <c r="AM687" s="22">
        <f t="shared" si="117"/>
        <v>1.8640342669139232</v>
      </c>
      <c r="AN687" s="20">
        <f t="shared" si="118"/>
        <v>167350.47103974299</v>
      </c>
      <c r="AO687" s="16">
        <f t="shared" si="119"/>
        <v>1.3140660371466459</v>
      </c>
      <c r="AP687" s="15">
        <v>0</v>
      </c>
      <c r="AQ687" s="18" t="str">
        <f t="shared" si="120"/>
        <v>N/A</v>
      </c>
      <c r="AR687" s="23">
        <v>46260</v>
      </c>
      <c r="AS687" s="14" t="s">
        <v>79</v>
      </c>
    </row>
    <row r="688" spans="1:45" x14ac:dyDescent="0.25">
      <c r="A688" s="14" t="s">
        <v>2225</v>
      </c>
      <c r="B688" s="14" t="s">
        <v>2226</v>
      </c>
      <c r="C688" s="14">
        <v>9318586138</v>
      </c>
      <c r="D688" s="15" t="s">
        <v>2234</v>
      </c>
      <c r="E688" s="14">
        <v>35</v>
      </c>
      <c r="F688" s="14" t="s">
        <v>89</v>
      </c>
      <c r="G688" s="14" t="s">
        <v>83</v>
      </c>
      <c r="H688" s="14" t="s">
        <v>73</v>
      </c>
      <c r="I688" s="14" t="s">
        <v>74</v>
      </c>
      <c r="J688" s="15">
        <v>692051</v>
      </c>
      <c r="K688" s="14">
        <v>3</v>
      </c>
      <c r="L688" s="14" t="s">
        <v>76</v>
      </c>
      <c r="M688" s="14" t="s">
        <v>76</v>
      </c>
      <c r="N688" s="14" t="s">
        <v>76</v>
      </c>
      <c r="O688" s="14" t="s">
        <v>75</v>
      </c>
      <c r="P688" s="14">
        <v>810</v>
      </c>
      <c r="Q688" s="15">
        <v>93407.38</v>
      </c>
      <c r="R688" s="15">
        <v>8316.7000000000007</v>
      </c>
      <c r="S688" s="14" t="s">
        <v>23</v>
      </c>
      <c r="T688" s="15">
        <v>152448</v>
      </c>
      <c r="U688" s="16">
        <f t="shared" si="110"/>
        <v>0.14420960304948624</v>
      </c>
      <c r="V688" s="14">
        <v>3</v>
      </c>
      <c r="W688" s="17">
        <v>60.6</v>
      </c>
      <c r="X688" s="14">
        <v>6.5</v>
      </c>
      <c r="Y688" s="18">
        <f t="shared" si="111"/>
        <v>28.4</v>
      </c>
      <c r="Z688" s="18" t="str">
        <f t="shared" si="112"/>
        <v>Low</v>
      </c>
      <c r="AA688" s="19" t="str">
        <f t="shared" si="113"/>
        <v>Review</v>
      </c>
      <c r="AB688" s="14" t="s">
        <v>161</v>
      </c>
      <c r="AC688" s="14">
        <v>1</v>
      </c>
      <c r="AD688" s="14" t="s">
        <v>78</v>
      </c>
      <c r="AE688" s="17">
        <v>4.9000000000000004</v>
      </c>
      <c r="AF688" s="15">
        <v>0</v>
      </c>
      <c r="AG688" s="20">
        <f t="shared" si="114"/>
        <v>692051</v>
      </c>
      <c r="AH688" s="14">
        <v>2</v>
      </c>
      <c r="AI688" s="14" t="s">
        <v>75</v>
      </c>
      <c r="AJ688" s="14">
        <v>360</v>
      </c>
      <c r="AK688" s="21">
        <f t="shared" si="115"/>
        <v>8.5000000000000006E-2</v>
      </c>
      <c r="AL688" s="20">
        <f t="shared" si="116"/>
        <v>1172.1932274546448</v>
      </c>
      <c r="AM688" s="22">
        <f t="shared" si="117"/>
        <v>0.2202843432059198</v>
      </c>
      <c r="AN688" s="20">
        <f t="shared" si="118"/>
        <v>9488.893227454646</v>
      </c>
      <c r="AO688" s="16">
        <f t="shared" si="119"/>
        <v>0.16453515525511234</v>
      </c>
      <c r="AP688" s="15">
        <v>7707882</v>
      </c>
      <c r="AQ688" s="18">
        <f t="shared" si="120"/>
        <v>1.9778195877933783E-2</v>
      </c>
      <c r="AR688" s="23">
        <v>46124</v>
      </c>
      <c r="AS688" s="14" t="s">
        <v>79</v>
      </c>
    </row>
    <row r="689" spans="1:45" x14ac:dyDescent="0.25">
      <c r="A689" s="14" t="s">
        <v>2228</v>
      </c>
      <c r="B689" s="14" t="s">
        <v>2203</v>
      </c>
      <c r="C689" s="14">
        <v>9704111298</v>
      </c>
      <c r="D689" s="15" t="s">
        <v>2238</v>
      </c>
      <c r="E689" s="14">
        <v>58</v>
      </c>
      <c r="F689" s="14" t="s">
        <v>89</v>
      </c>
      <c r="G689" s="14" t="s">
        <v>115</v>
      </c>
      <c r="H689" s="14" t="s">
        <v>144</v>
      </c>
      <c r="I689" s="14" t="s">
        <v>92</v>
      </c>
      <c r="J689" s="15">
        <v>712981</v>
      </c>
      <c r="K689" s="14">
        <v>2</v>
      </c>
      <c r="L689" s="14" t="s">
        <v>76</v>
      </c>
      <c r="M689" s="14" t="s">
        <v>76</v>
      </c>
      <c r="N689" s="14" t="s">
        <v>75</v>
      </c>
      <c r="O689" s="14" t="s">
        <v>75</v>
      </c>
      <c r="P689" s="14">
        <v>346</v>
      </c>
      <c r="Q689" s="15"/>
      <c r="R689" s="15">
        <v>6523.15</v>
      </c>
      <c r="S689" s="14" t="s">
        <v>23</v>
      </c>
      <c r="T689" s="15"/>
      <c r="U689" s="16">
        <f t="shared" si="110"/>
        <v>0.10978946143024848</v>
      </c>
      <c r="V689" s="14">
        <v>0</v>
      </c>
      <c r="W689" s="17">
        <v>41.4</v>
      </c>
      <c r="X689" s="14">
        <v>2.5</v>
      </c>
      <c r="Y689" s="18">
        <f t="shared" si="111"/>
        <v>44.4</v>
      </c>
      <c r="Z689" s="18" t="str">
        <f t="shared" si="112"/>
        <v>Medium</v>
      </c>
      <c r="AA689" s="19" t="str">
        <f t="shared" si="113"/>
        <v>Not Eligible</v>
      </c>
      <c r="AB689" s="14" t="s">
        <v>77</v>
      </c>
      <c r="AC689" s="14">
        <v>1</v>
      </c>
      <c r="AD689" s="14" t="s">
        <v>93</v>
      </c>
      <c r="AE689" s="17">
        <v>29.7</v>
      </c>
      <c r="AF689" s="15">
        <v>0</v>
      </c>
      <c r="AG689" s="20">
        <f t="shared" si="114"/>
        <v>712981</v>
      </c>
      <c r="AH689" s="14">
        <v>0</v>
      </c>
      <c r="AI689" s="14" t="s">
        <v>75</v>
      </c>
      <c r="AJ689" s="14">
        <v>180</v>
      </c>
      <c r="AK689" s="21">
        <f t="shared" si="115"/>
        <v>0.1</v>
      </c>
      <c r="AL689" s="20">
        <f t="shared" si="116"/>
        <v>0</v>
      </c>
      <c r="AM689" s="22">
        <f t="shared" si="117"/>
        <v>0</v>
      </c>
      <c r="AN689" s="20">
        <f t="shared" si="118"/>
        <v>6523.15</v>
      </c>
      <c r="AO689" s="16">
        <f t="shared" si="119"/>
        <v>0.10978946143024848</v>
      </c>
      <c r="AP689" s="15">
        <v>3302113</v>
      </c>
      <c r="AQ689" s="18">
        <f t="shared" si="120"/>
        <v>0</v>
      </c>
      <c r="AR689" s="23">
        <v>45928</v>
      </c>
      <c r="AS689" s="14" t="s">
        <v>79</v>
      </c>
    </row>
    <row r="690" spans="1:45" x14ac:dyDescent="0.25">
      <c r="A690" s="14" t="s">
        <v>2231</v>
      </c>
      <c r="B690" s="14" t="s">
        <v>2232</v>
      </c>
      <c r="C690" s="14">
        <v>9333955572</v>
      </c>
      <c r="D690" s="15" t="s">
        <v>2242</v>
      </c>
      <c r="E690" s="14">
        <v>50</v>
      </c>
      <c r="F690" s="14" t="s">
        <v>71</v>
      </c>
      <c r="G690" s="14" t="s">
        <v>106</v>
      </c>
      <c r="H690" s="14" t="s">
        <v>99</v>
      </c>
      <c r="I690" s="14" t="s">
        <v>74</v>
      </c>
      <c r="J690" s="15">
        <v>1405511</v>
      </c>
      <c r="K690" s="14">
        <v>0</v>
      </c>
      <c r="L690" s="14" t="s">
        <v>75</v>
      </c>
      <c r="M690" s="14" t="s">
        <v>75</v>
      </c>
      <c r="N690" s="14" t="s">
        <v>75</v>
      </c>
      <c r="O690" s="14" t="s">
        <v>75</v>
      </c>
      <c r="P690" s="14">
        <v>792</v>
      </c>
      <c r="Q690" s="15">
        <v>7525.63</v>
      </c>
      <c r="R690" s="15">
        <v>6227.16</v>
      </c>
      <c r="S690" s="14" t="s">
        <v>21</v>
      </c>
      <c r="T690" s="15">
        <v>1077029</v>
      </c>
      <c r="U690" s="16">
        <f t="shared" si="110"/>
        <v>5.3166371518970676E-2</v>
      </c>
      <c r="V690" s="14">
        <v>1</v>
      </c>
      <c r="W690" s="17">
        <v>34.200000000000003</v>
      </c>
      <c r="X690" s="14">
        <v>3.6</v>
      </c>
      <c r="Y690" s="18">
        <f t="shared" si="111"/>
        <v>16.2</v>
      </c>
      <c r="Z690" s="18" t="str">
        <f t="shared" si="112"/>
        <v>Low</v>
      </c>
      <c r="AA690" s="19" t="str">
        <f t="shared" si="113"/>
        <v>Eligible</v>
      </c>
      <c r="AB690" s="14" t="s">
        <v>85</v>
      </c>
      <c r="AC690" s="14">
        <v>0</v>
      </c>
      <c r="AD690" s="14" t="s">
        <v>78</v>
      </c>
      <c r="AE690" s="17">
        <v>23.9</v>
      </c>
      <c r="AF690" s="15">
        <v>0</v>
      </c>
      <c r="AG690" s="20">
        <f t="shared" si="114"/>
        <v>1405511</v>
      </c>
      <c r="AH690" s="14">
        <v>0</v>
      </c>
      <c r="AI690" s="14" t="s">
        <v>75</v>
      </c>
      <c r="AJ690" s="14">
        <v>48</v>
      </c>
      <c r="AK690" s="21">
        <f t="shared" si="115"/>
        <v>0.14000000000000001</v>
      </c>
      <c r="AL690" s="20">
        <f t="shared" si="116"/>
        <v>29431.407652983882</v>
      </c>
      <c r="AM690" s="22">
        <f t="shared" si="117"/>
        <v>0.7662899827891777</v>
      </c>
      <c r="AN690" s="20">
        <f t="shared" si="118"/>
        <v>35658.567652983882</v>
      </c>
      <c r="AO690" s="16">
        <f t="shared" si="119"/>
        <v>0.30444643395591109</v>
      </c>
      <c r="AP690" s="15">
        <v>0</v>
      </c>
      <c r="AQ690" s="18" t="str">
        <f t="shared" si="120"/>
        <v>N/A</v>
      </c>
      <c r="AR690" s="23">
        <v>46238</v>
      </c>
      <c r="AS690" s="14" t="s">
        <v>79</v>
      </c>
    </row>
    <row r="691" spans="1:45" x14ac:dyDescent="0.25">
      <c r="A691" s="14" t="s">
        <v>2235</v>
      </c>
      <c r="B691" s="14" t="s">
        <v>2236</v>
      </c>
      <c r="C691" s="14">
        <v>9109486047</v>
      </c>
      <c r="D691" s="15" t="s">
        <v>2245</v>
      </c>
      <c r="E691" s="14">
        <v>37</v>
      </c>
      <c r="F691" s="14" t="s">
        <v>89</v>
      </c>
      <c r="G691" s="14" t="s">
        <v>314</v>
      </c>
      <c r="H691" s="14" t="s">
        <v>99</v>
      </c>
      <c r="I691" s="14" t="s">
        <v>74</v>
      </c>
      <c r="J691" s="15">
        <v>918662</v>
      </c>
      <c r="K691" s="14">
        <v>1</v>
      </c>
      <c r="L691" s="14" t="s">
        <v>75</v>
      </c>
      <c r="M691" s="14" t="s">
        <v>76</v>
      </c>
      <c r="N691" s="14" t="s">
        <v>75</v>
      </c>
      <c r="O691" s="14" t="s">
        <v>75</v>
      </c>
      <c r="P691" s="14">
        <v>346</v>
      </c>
      <c r="Q691" s="15">
        <v>18669.91</v>
      </c>
      <c r="R691" s="15">
        <v>6341.52</v>
      </c>
      <c r="S691" s="14" t="s">
        <v>22</v>
      </c>
      <c r="T691" s="15">
        <v>2145708</v>
      </c>
      <c r="U691" s="16">
        <f t="shared" si="110"/>
        <v>8.2835950545467218E-2</v>
      </c>
      <c r="V691" s="14">
        <v>0</v>
      </c>
      <c r="W691" s="17">
        <v>67</v>
      </c>
      <c r="X691" s="14">
        <v>5.8</v>
      </c>
      <c r="Y691" s="18">
        <f t="shared" si="111"/>
        <v>46.1</v>
      </c>
      <c r="Z691" s="18" t="str">
        <f t="shared" si="112"/>
        <v>Medium</v>
      </c>
      <c r="AA691" s="19" t="str">
        <f t="shared" si="113"/>
        <v>Not Eligible</v>
      </c>
      <c r="AB691" s="14" t="s">
        <v>85</v>
      </c>
      <c r="AC691" s="14">
        <v>1</v>
      </c>
      <c r="AD691" s="14" t="s">
        <v>78</v>
      </c>
      <c r="AE691" s="17">
        <v>13.4</v>
      </c>
      <c r="AF691" s="15">
        <v>403693</v>
      </c>
      <c r="AG691" s="20">
        <f t="shared" si="114"/>
        <v>1322355</v>
      </c>
      <c r="AH691" s="14">
        <v>1</v>
      </c>
      <c r="AI691" s="14" t="s">
        <v>76</v>
      </c>
      <c r="AJ691" s="14">
        <v>60</v>
      </c>
      <c r="AK691" s="21">
        <f t="shared" si="115"/>
        <v>0.105</v>
      </c>
      <c r="AL691" s="20">
        <f t="shared" si="116"/>
        <v>46119.633992529656</v>
      </c>
      <c r="AM691" s="22">
        <f t="shared" si="117"/>
        <v>2.3356882074146967</v>
      </c>
      <c r="AN691" s="20">
        <f t="shared" si="118"/>
        <v>52461.153992529653</v>
      </c>
      <c r="AO691" s="16">
        <f t="shared" si="119"/>
        <v>0.68527254627964995</v>
      </c>
      <c r="AP691" s="15">
        <v>670428</v>
      </c>
      <c r="AQ691" s="18">
        <f t="shared" si="120"/>
        <v>3.2005047521881544</v>
      </c>
      <c r="AR691" s="23">
        <v>46249</v>
      </c>
      <c r="AS691" s="14" t="s">
        <v>79</v>
      </c>
    </row>
    <row r="692" spans="1:45" x14ac:dyDescent="0.25">
      <c r="A692" s="14" t="s">
        <v>2239</v>
      </c>
      <c r="B692" s="14" t="s">
        <v>2240</v>
      </c>
      <c r="C692" s="14"/>
      <c r="D692" s="15" t="s">
        <v>2247</v>
      </c>
      <c r="E692" s="14">
        <v>48</v>
      </c>
      <c r="F692" s="14" t="s">
        <v>89</v>
      </c>
      <c r="G692" s="14" t="s">
        <v>90</v>
      </c>
      <c r="H692" s="14" t="s">
        <v>99</v>
      </c>
      <c r="I692" s="14" t="s">
        <v>74</v>
      </c>
      <c r="J692" s="15">
        <v>426708</v>
      </c>
      <c r="K692" s="14">
        <v>0</v>
      </c>
      <c r="L692" s="14" t="s">
        <v>75</v>
      </c>
      <c r="M692" s="14" t="s">
        <v>75</v>
      </c>
      <c r="N692" s="14" t="s">
        <v>75</v>
      </c>
      <c r="O692" s="14" t="s">
        <v>75</v>
      </c>
      <c r="P692" s="14">
        <v>539</v>
      </c>
      <c r="Q692" s="15"/>
      <c r="R692" s="15">
        <v>134.38999999999999</v>
      </c>
      <c r="S692" s="14" t="s">
        <v>22</v>
      </c>
      <c r="T692" s="15">
        <v>539117</v>
      </c>
      <c r="U692" s="16">
        <f t="shared" si="110"/>
        <v>3.779352625214432E-3</v>
      </c>
      <c r="V692" s="14">
        <v>3</v>
      </c>
      <c r="W692" s="17">
        <v>29.7</v>
      </c>
      <c r="X692" s="14">
        <v>5.3</v>
      </c>
      <c r="Y692" s="18">
        <f t="shared" si="111"/>
        <v>39.200000000000003</v>
      </c>
      <c r="Z692" s="18" t="str">
        <f t="shared" si="112"/>
        <v>Medium</v>
      </c>
      <c r="AA692" s="19" t="str">
        <f t="shared" si="113"/>
        <v>Not Eligible</v>
      </c>
      <c r="AB692" s="14" t="s">
        <v>85</v>
      </c>
      <c r="AC692" s="14">
        <v>2</v>
      </c>
      <c r="AD692" s="14" t="s">
        <v>93</v>
      </c>
      <c r="AE692" s="17">
        <v>20.9</v>
      </c>
      <c r="AF692" s="15">
        <v>0</v>
      </c>
      <c r="AG692" s="20">
        <f t="shared" si="114"/>
        <v>426708</v>
      </c>
      <c r="AH692" s="14">
        <v>1</v>
      </c>
      <c r="AI692" s="14" t="s">
        <v>75</v>
      </c>
      <c r="AJ692" s="14">
        <v>48</v>
      </c>
      <c r="AK692" s="21">
        <f t="shared" si="115"/>
        <v>0.105</v>
      </c>
      <c r="AL692" s="20">
        <f t="shared" si="116"/>
        <v>13803.217281707246</v>
      </c>
      <c r="AM692" s="22">
        <f t="shared" si="117"/>
        <v>1.2634330736709882</v>
      </c>
      <c r="AN692" s="20">
        <f t="shared" si="118"/>
        <v>13937.607281707245</v>
      </c>
      <c r="AO692" s="16">
        <f t="shared" si="119"/>
        <v>0.39195723394097826</v>
      </c>
      <c r="AP692" s="15">
        <v>1259301</v>
      </c>
      <c r="AQ692" s="18">
        <f t="shared" si="120"/>
        <v>0.42810813300394424</v>
      </c>
      <c r="AR692" s="23">
        <v>46125</v>
      </c>
      <c r="AS692" s="14" t="s">
        <v>79</v>
      </c>
    </row>
    <row r="693" spans="1:45" x14ac:dyDescent="0.25">
      <c r="A693" s="14" t="s">
        <v>2243</v>
      </c>
      <c r="B693" s="14" t="s">
        <v>2244</v>
      </c>
      <c r="C693" s="14">
        <v>9690121043</v>
      </c>
      <c r="D693" s="15"/>
      <c r="E693" s="14">
        <v>64</v>
      </c>
      <c r="F693" s="14" t="s">
        <v>89</v>
      </c>
      <c r="G693" s="14" t="s">
        <v>174</v>
      </c>
      <c r="H693" s="14" t="s">
        <v>107</v>
      </c>
      <c r="I693" s="14" t="s">
        <v>92</v>
      </c>
      <c r="J693" s="15">
        <v>542317</v>
      </c>
      <c r="K693" s="14">
        <v>0</v>
      </c>
      <c r="L693" s="14" t="s">
        <v>75</v>
      </c>
      <c r="M693" s="14" t="s">
        <v>75</v>
      </c>
      <c r="N693" s="14" t="s">
        <v>75</v>
      </c>
      <c r="O693" s="14" t="s">
        <v>75</v>
      </c>
      <c r="P693" s="14">
        <v>647</v>
      </c>
      <c r="Q693" s="15">
        <v>662849.75</v>
      </c>
      <c r="R693" s="15">
        <v>848.63</v>
      </c>
      <c r="S693" s="14" t="s">
        <v>23</v>
      </c>
      <c r="T693" s="15">
        <v>133265</v>
      </c>
      <c r="U693" s="16">
        <f t="shared" si="110"/>
        <v>1.8777873457774697E-2</v>
      </c>
      <c r="V693" s="14">
        <v>1</v>
      </c>
      <c r="W693" s="17">
        <v>87</v>
      </c>
      <c r="X693" s="14">
        <v>3.8</v>
      </c>
      <c r="Y693" s="18">
        <f t="shared" si="111"/>
        <v>30.1</v>
      </c>
      <c r="Z693" s="18" t="str">
        <f t="shared" si="112"/>
        <v>Medium</v>
      </c>
      <c r="AA693" s="19" t="str">
        <f t="shared" si="113"/>
        <v>Review</v>
      </c>
      <c r="AB693" s="14" t="s">
        <v>77</v>
      </c>
      <c r="AC693" s="14">
        <v>1</v>
      </c>
      <c r="AD693" s="14" t="s">
        <v>93</v>
      </c>
      <c r="AE693" s="17">
        <v>14.5</v>
      </c>
      <c r="AF693" s="15">
        <v>0</v>
      </c>
      <c r="AG693" s="20">
        <f t="shared" si="114"/>
        <v>542317</v>
      </c>
      <c r="AH693" s="14">
        <v>1</v>
      </c>
      <c r="AI693" s="14" t="s">
        <v>75</v>
      </c>
      <c r="AJ693" s="14">
        <v>180</v>
      </c>
      <c r="AK693" s="21">
        <f t="shared" si="115"/>
        <v>0.1</v>
      </c>
      <c r="AL693" s="20">
        <f t="shared" si="116"/>
        <v>1432.0725101137209</v>
      </c>
      <c r="AM693" s="22">
        <f t="shared" si="117"/>
        <v>0.24573266189332069</v>
      </c>
      <c r="AN693" s="20">
        <f t="shared" si="118"/>
        <v>2280.702510113721</v>
      </c>
      <c r="AO693" s="16">
        <f t="shared" si="119"/>
        <v>5.0465742584806773E-2</v>
      </c>
      <c r="AP693" s="15">
        <v>2564262</v>
      </c>
      <c r="AQ693" s="18">
        <f t="shared" si="120"/>
        <v>5.1970118498031792E-2</v>
      </c>
      <c r="AR693" s="23">
        <v>46256</v>
      </c>
      <c r="AS693" s="14" t="s">
        <v>79</v>
      </c>
    </row>
    <row r="694" spans="1:45" x14ac:dyDescent="0.25">
      <c r="A694" s="14" t="s">
        <v>2246</v>
      </c>
      <c r="B694" s="14" t="s">
        <v>1152</v>
      </c>
      <c r="C694" s="14">
        <v>9400285831</v>
      </c>
      <c r="D694" s="15" t="s">
        <v>2252</v>
      </c>
      <c r="E694" s="14">
        <v>25</v>
      </c>
      <c r="F694" s="14" t="s">
        <v>89</v>
      </c>
      <c r="G694" s="14" t="s">
        <v>106</v>
      </c>
      <c r="H694" s="14" t="s">
        <v>107</v>
      </c>
      <c r="I694" s="14" t="s">
        <v>92</v>
      </c>
      <c r="J694" s="15">
        <v>2086464</v>
      </c>
      <c r="K694" s="14">
        <v>2</v>
      </c>
      <c r="L694" s="14" t="s">
        <v>75</v>
      </c>
      <c r="M694" s="14" t="s">
        <v>75</v>
      </c>
      <c r="N694" s="14" t="s">
        <v>76</v>
      </c>
      <c r="O694" s="14" t="s">
        <v>76</v>
      </c>
      <c r="P694" s="14">
        <v>601</v>
      </c>
      <c r="Q694" s="15">
        <v>195887</v>
      </c>
      <c r="R694" s="15">
        <v>4289.4399999999996</v>
      </c>
      <c r="S694" s="14" t="s">
        <v>22</v>
      </c>
      <c r="T694" s="15">
        <v>408724</v>
      </c>
      <c r="U694" s="16">
        <f t="shared" si="110"/>
        <v>2.4670102144106008E-2</v>
      </c>
      <c r="V694" s="14">
        <v>0</v>
      </c>
      <c r="W694" s="17">
        <v>84.5</v>
      </c>
      <c r="X694" s="14">
        <v>6.2</v>
      </c>
      <c r="Y694" s="18">
        <f t="shared" si="111"/>
        <v>29.1</v>
      </c>
      <c r="Z694" s="18" t="str">
        <f t="shared" si="112"/>
        <v>Low</v>
      </c>
      <c r="AA694" s="19" t="str">
        <f t="shared" si="113"/>
        <v>Review</v>
      </c>
      <c r="AB694" s="14" t="s">
        <v>85</v>
      </c>
      <c r="AC694" s="14">
        <v>0</v>
      </c>
      <c r="AD694" s="14" t="s">
        <v>78</v>
      </c>
      <c r="AE694" s="17">
        <v>0.7</v>
      </c>
      <c r="AF694" s="15">
        <v>0</v>
      </c>
      <c r="AG694" s="20">
        <f t="shared" si="114"/>
        <v>2086464</v>
      </c>
      <c r="AH694" s="14">
        <v>1</v>
      </c>
      <c r="AI694" s="14" t="s">
        <v>75</v>
      </c>
      <c r="AJ694" s="14">
        <v>36</v>
      </c>
      <c r="AK694" s="21">
        <f t="shared" si="115"/>
        <v>0.09</v>
      </c>
      <c r="AL694" s="20">
        <f t="shared" si="116"/>
        <v>12997.313931701596</v>
      </c>
      <c r="AM694" s="22">
        <f t="shared" si="117"/>
        <v>0.19589314744946473</v>
      </c>
      <c r="AN694" s="20">
        <f t="shared" si="118"/>
        <v>17286.753931701594</v>
      </c>
      <c r="AO694" s="16">
        <f t="shared" si="119"/>
        <v>9.9422298769793846E-2</v>
      </c>
      <c r="AP694" s="15">
        <v>586255</v>
      </c>
      <c r="AQ694" s="18">
        <f t="shared" si="120"/>
        <v>0.69717784922943082</v>
      </c>
      <c r="AR694" s="23">
        <v>45987</v>
      </c>
      <c r="AS694" s="14" t="s">
        <v>79</v>
      </c>
    </row>
    <row r="695" spans="1:45" x14ac:dyDescent="0.25">
      <c r="A695" s="14" t="s">
        <v>2248</v>
      </c>
      <c r="B695" s="14" t="s">
        <v>2249</v>
      </c>
      <c r="C695" s="14"/>
      <c r="D695" s="15" t="s">
        <v>2255</v>
      </c>
      <c r="E695" s="14">
        <v>38</v>
      </c>
      <c r="F695" s="14" t="s">
        <v>71</v>
      </c>
      <c r="G695" s="14" t="s">
        <v>153</v>
      </c>
      <c r="H695" s="14" t="s">
        <v>84</v>
      </c>
      <c r="I695" s="14" t="s">
        <v>74</v>
      </c>
      <c r="J695" s="15">
        <v>2378091</v>
      </c>
      <c r="K695" s="14">
        <v>1</v>
      </c>
      <c r="L695" s="14" t="s">
        <v>75</v>
      </c>
      <c r="M695" s="14" t="s">
        <v>76</v>
      </c>
      <c r="N695" s="14" t="s">
        <v>75</v>
      </c>
      <c r="O695" s="14" t="s">
        <v>75</v>
      </c>
      <c r="P695" s="14">
        <v>761</v>
      </c>
      <c r="Q695" s="15">
        <v>43983</v>
      </c>
      <c r="R695" s="15">
        <v>11047.5</v>
      </c>
      <c r="S695" s="14" t="s">
        <v>20</v>
      </c>
      <c r="T695" s="15"/>
      <c r="U695" s="16">
        <f t="shared" si="110"/>
        <v>5.5746394902465884E-2</v>
      </c>
      <c r="V695" s="14">
        <v>3</v>
      </c>
      <c r="W695" s="17">
        <v>12.6</v>
      </c>
      <c r="X695" s="14">
        <v>13.9</v>
      </c>
      <c r="Y695" s="18">
        <f t="shared" si="111"/>
        <v>24.2</v>
      </c>
      <c r="Z695" s="18" t="str">
        <f t="shared" si="112"/>
        <v>Low</v>
      </c>
      <c r="AA695" s="19" t="str">
        <f t="shared" si="113"/>
        <v>Review</v>
      </c>
      <c r="AB695" s="14" t="s">
        <v>85</v>
      </c>
      <c r="AC695" s="14">
        <v>2</v>
      </c>
      <c r="AD695" s="14" t="s">
        <v>93</v>
      </c>
      <c r="AE695" s="17">
        <v>11.7</v>
      </c>
      <c r="AF695" s="15">
        <v>0</v>
      </c>
      <c r="AG695" s="20">
        <f t="shared" si="114"/>
        <v>2378091</v>
      </c>
      <c r="AH695" s="14">
        <v>0</v>
      </c>
      <c r="AI695" s="14" t="s">
        <v>75</v>
      </c>
      <c r="AJ695" s="14">
        <v>18</v>
      </c>
      <c r="AK695" s="21">
        <f t="shared" si="115"/>
        <v>0.36</v>
      </c>
      <c r="AL695" s="20">
        <f t="shared" si="116"/>
        <v>0</v>
      </c>
      <c r="AM695" s="22">
        <f t="shared" si="117"/>
        <v>0</v>
      </c>
      <c r="AN695" s="20">
        <f t="shared" si="118"/>
        <v>11047.5</v>
      </c>
      <c r="AO695" s="16">
        <f t="shared" si="119"/>
        <v>5.5746394902465884E-2</v>
      </c>
      <c r="AP695" s="15">
        <v>0</v>
      </c>
      <c r="AQ695" s="18" t="str">
        <f t="shared" si="120"/>
        <v>N/A</v>
      </c>
      <c r="AR695" s="23">
        <v>46106</v>
      </c>
      <c r="AS695" s="14" t="s">
        <v>79</v>
      </c>
    </row>
    <row r="696" spans="1:45" x14ac:dyDescent="0.25">
      <c r="A696" s="14" t="s">
        <v>2250</v>
      </c>
      <c r="B696" s="14" t="s">
        <v>1162</v>
      </c>
      <c r="C696" s="14">
        <v>9686404315</v>
      </c>
      <c r="D696" s="15"/>
      <c r="E696" s="14">
        <v>35</v>
      </c>
      <c r="F696" s="14" t="s">
        <v>71</v>
      </c>
      <c r="G696" s="14" t="s">
        <v>417</v>
      </c>
      <c r="H696" s="14" t="s">
        <v>132</v>
      </c>
      <c r="I696" s="14" t="s">
        <v>92</v>
      </c>
      <c r="J696" s="15">
        <v>1468688</v>
      </c>
      <c r="K696" s="14">
        <v>1</v>
      </c>
      <c r="L696" s="14" t="s">
        <v>75</v>
      </c>
      <c r="M696" s="14" t="s">
        <v>75</v>
      </c>
      <c r="N696" s="14" t="s">
        <v>76</v>
      </c>
      <c r="O696" s="14" t="s">
        <v>75</v>
      </c>
      <c r="P696" s="14">
        <v>852</v>
      </c>
      <c r="Q696" s="15">
        <v>688678</v>
      </c>
      <c r="R696" s="15">
        <v>4080.98</v>
      </c>
      <c r="S696" s="14" t="s">
        <v>20</v>
      </c>
      <c r="T696" s="15"/>
      <c r="U696" s="16">
        <f t="shared" si="110"/>
        <v>3.3343882431122199E-2</v>
      </c>
      <c r="V696" s="14">
        <v>0</v>
      </c>
      <c r="W696" s="17">
        <v>93.3</v>
      </c>
      <c r="X696" s="14">
        <v>4</v>
      </c>
      <c r="Y696" s="18">
        <f t="shared" si="111"/>
        <v>13.5</v>
      </c>
      <c r="Z696" s="18" t="str">
        <f t="shared" si="112"/>
        <v>Low</v>
      </c>
      <c r="AA696" s="19" t="str">
        <f t="shared" si="113"/>
        <v>Eligible</v>
      </c>
      <c r="AB696" s="14" t="s">
        <v>85</v>
      </c>
      <c r="AC696" s="14">
        <v>1</v>
      </c>
      <c r="AD696" s="14" t="s">
        <v>93</v>
      </c>
      <c r="AE696" s="17">
        <v>11.5</v>
      </c>
      <c r="AF696" s="15">
        <v>0</v>
      </c>
      <c r="AG696" s="20">
        <f t="shared" si="114"/>
        <v>1468688</v>
      </c>
      <c r="AH696" s="14">
        <v>0</v>
      </c>
      <c r="AI696" s="14" t="s">
        <v>75</v>
      </c>
      <c r="AJ696" s="14">
        <v>18</v>
      </c>
      <c r="AK696" s="21">
        <f t="shared" si="115"/>
        <v>0.36</v>
      </c>
      <c r="AL696" s="20">
        <f t="shared" si="116"/>
        <v>0</v>
      </c>
      <c r="AM696" s="22">
        <f t="shared" si="117"/>
        <v>0</v>
      </c>
      <c r="AN696" s="20">
        <f t="shared" si="118"/>
        <v>4080.98</v>
      </c>
      <c r="AO696" s="16">
        <f t="shared" si="119"/>
        <v>3.3343882431122199E-2</v>
      </c>
      <c r="AP696" s="15">
        <v>0</v>
      </c>
      <c r="AQ696" s="18" t="str">
        <f t="shared" si="120"/>
        <v>N/A</v>
      </c>
      <c r="AR696" s="23">
        <v>45960</v>
      </c>
      <c r="AS696" s="14" t="s">
        <v>79</v>
      </c>
    </row>
    <row r="697" spans="1:45" x14ac:dyDescent="0.25">
      <c r="A697" s="14" t="s">
        <v>2253</v>
      </c>
      <c r="B697" s="14" t="s">
        <v>2254</v>
      </c>
      <c r="C697" s="14">
        <v>9474194628</v>
      </c>
      <c r="D697" s="15" t="s">
        <v>2260</v>
      </c>
      <c r="E697" s="14">
        <v>26</v>
      </c>
      <c r="F697" s="14" t="s">
        <v>71</v>
      </c>
      <c r="G697" s="14" t="s">
        <v>139</v>
      </c>
      <c r="H697" s="14" t="s">
        <v>99</v>
      </c>
      <c r="I697" s="14" t="s">
        <v>74</v>
      </c>
      <c r="J697" s="15">
        <v>1232010</v>
      </c>
      <c r="K697" s="14">
        <v>2</v>
      </c>
      <c r="L697" s="14" t="s">
        <v>76</v>
      </c>
      <c r="M697" s="14" t="s">
        <v>76</v>
      </c>
      <c r="N697" s="14" t="s">
        <v>75</v>
      </c>
      <c r="O697" s="14" t="s">
        <v>75</v>
      </c>
      <c r="P697" s="14">
        <v>739</v>
      </c>
      <c r="Q697" s="15">
        <v>207193</v>
      </c>
      <c r="R697" s="15">
        <v>1127.76</v>
      </c>
      <c r="S697" s="14" t="s">
        <v>23</v>
      </c>
      <c r="T697" s="15">
        <v>344110</v>
      </c>
      <c r="U697" s="16">
        <f t="shared" si="110"/>
        <v>1.0984586164073343E-2</v>
      </c>
      <c r="V697" s="14">
        <v>0</v>
      </c>
      <c r="W697" s="17">
        <v>36.5</v>
      </c>
      <c r="X697" s="14">
        <v>2.7</v>
      </c>
      <c r="Y697" s="18">
        <f t="shared" si="111"/>
        <v>14.7</v>
      </c>
      <c r="Z697" s="18" t="str">
        <f t="shared" si="112"/>
        <v>Low</v>
      </c>
      <c r="AA697" s="19" t="str">
        <f t="shared" si="113"/>
        <v>Eligible</v>
      </c>
      <c r="AB697" s="14" t="s">
        <v>77</v>
      </c>
      <c r="AC697" s="14">
        <v>2</v>
      </c>
      <c r="AD697" s="14" t="s">
        <v>78</v>
      </c>
      <c r="AE697" s="17">
        <v>4.9000000000000004</v>
      </c>
      <c r="AF697" s="15">
        <v>0</v>
      </c>
      <c r="AG697" s="20">
        <f t="shared" si="114"/>
        <v>1232010</v>
      </c>
      <c r="AH697" s="14">
        <v>0</v>
      </c>
      <c r="AI697" s="14" t="s">
        <v>75</v>
      </c>
      <c r="AJ697" s="14">
        <v>360</v>
      </c>
      <c r="AK697" s="21">
        <f t="shared" si="115"/>
        <v>8.5000000000000006E-2</v>
      </c>
      <c r="AL697" s="20">
        <f t="shared" si="116"/>
        <v>2645.9081883620506</v>
      </c>
      <c r="AM697" s="22">
        <f t="shared" si="117"/>
        <v>0.27930779782631632</v>
      </c>
      <c r="AN697" s="20">
        <f t="shared" si="118"/>
        <v>3773.6681883620504</v>
      </c>
      <c r="AO697" s="16">
        <f t="shared" si="119"/>
        <v>3.6756209982341539E-2</v>
      </c>
      <c r="AP697" s="15">
        <v>6585551</v>
      </c>
      <c r="AQ697" s="18">
        <f t="shared" si="120"/>
        <v>5.2252271677798869E-2</v>
      </c>
      <c r="AR697" s="23">
        <v>46126</v>
      </c>
      <c r="AS697" s="14" t="s">
        <v>79</v>
      </c>
    </row>
    <row r="698" spans="1:45" x14ac:dyDescent="0.25">
      <c r="A698" s="14" t="s">
        <v>2256</v>
      </c>
      <c r="B698" s="14" t="s">
        <v>2257</v>
      </c>
      <c r="C698" s="14">
        <v>9910731994</v>
      </c>
      <c r="D698" s="15" t="s">
        <v>2264</v>
      </c>
      <c r="E698" s="14">
        <v>21</v>
      </c>
      <c r="F698" s="14" t="s">
        <v>89</v>
      </c>
      <c r="G698" s="14" t="s">
        <v>115</v>
      </c>
      <c r="H698" s="14" t="s">
        <v>103</v>
      </c>
      <c r="I698" s="14" t="s">
        <v>74</v>
      </c>
      <c r="J698" s="15">
        <v>2031338</v>
      </c>
      <c r="K698" s="14">
        <v>3</v>
      </c>
      <c r="L698" s="14" t="s">
        <v>75</v>
      </c>
      <c r="M698" s="14" t="s">
        <v>76</v>
      </c>
      <c r="N698" s="14" t="s">
        <v>76</v>
      </c>
      <c r="O698" s="14" t="s">
        <v>76</v>
      </c>
      <c r="P698" s="14">
        <v>405</v>
      </c>
      <c r="Q698" s="15">
        <v>406410</v>
      </c>
      <c r="R698" s="15">
        <v>31303.55</v>
      </c>
      <c r="S698" s="14" t="s">
        <v>20</v>
      </c>
      <c r="T698" s="15">
        <v>178396</v>
      </c>
      <c r="U698" s="16">
        <f t="shared" si="110"/>
        <v>0.18492373007347865</v>
      </c>
      <c r="V698" s="14">
        <v>0</v>
      </c>
      <c r="W698" s="17">
        <v>12.4</v>
      </c>
      <c r="X698" s="14">
        <v>5.7</v>
      </c>
      <c r="Y698" s="18">
        <f t="shared" si="111"/>
        <v>39.799999999999997</v>
      </c>
      <c r="Z698" s="18" t="str">
        <f t="shared" si="112"/>
        <v>Medium</v>
      </c>
      <c r="AA698" s="19" t="str">
        <f t="shared" si="113"/>
        <v>Not Eligible</v>
      </c>
      <c r="AB698" s="14" t="s">
        <v>77</v>
      </c>
      <c r="AC698" s="14">
        <v>1</v>
      </c>
      <c r="AD698" s="14" t="s">
        <v>93</v>
      </c>
      <c r="AE698" s="17">
        <v>0.3</v>
      </c>
      <c r="AF698" s="15">
        <v>0</v>
      </c>
      <c r="AG698" s="20">
        <f t="shared" si="114"/>
        <v>2031338</v>
      </c>
      <c r="AH698" s="14">
        <v>0</v>
      </c>
      <c r="AI698" s="14" t="s">
        <v>75</v>
      </c>
      <c r="AJ698" s="14">
        <v>12</v>
      </c>
      <c r="AK698" s="21">
        <f t="shared" si="115"/>
        <v>0.375</v>
      </c>
      <c r="AL698" s="20">
        <f t="shared" si="116"/>
        <v>18056.025564430001</v>
      </c>
      <c r="AM698" s="22">
        <f t="shared" si="117"/>
        <v>8.7821918361198389E-2</v>
      </c>
      <c r="AN698" s="20">
        <f t="shared" si="118"/>
        <v>49359.575564430001</v>
      </c>
      <c r="AO698" s="16">
        <f t="shared" si="119"/>
        <v>0.29158855235965653</v>
      </c>
      <c r="AP698" s="15">
        <v>0</v>
      </c>
      <c r="AQ698" s="18" t="str">
        <f t="shared" si="120"/>
        <v>N/A</v>
      </c>
      <c r="AR698" s="23">
        <v>46194</v>
      </c>
      <c r="AS698" s="14" t="s">
        <v>79</v>
      </c>
    </row>
    <row r="699" spans="1:45" x14ac:dyDescent="0.25">
      <c r="A699" s="14" t="s">
        <v>2258</v>
      </c>
      <c r="B699" s="14" t="s">
        <v>2259</v>
      </c>
      <c r="C699" s="14">
        <v>9253161692</v>
      </c>
      <c r="D699" s="15" t="s">
        <v>2267</v>
      </c>
      <c r="E699" s="14">
        <v>36</v>
      </c>
      <c r="F699" s="14" t="s">
        <v>71</v>
      </c>
      <c r="G699" s="14" t="s">
        <v>98</v>
      </c>
      <c r="H699" s="14" t="s">
        <v>166</v>
      </c>
      <c r="I699" s="14" t="s">
        <v>74</v>
      </c>
      <c r="J699" s="15">
        <v>1003689</v>
      </c>
      <c r="K699" s="14">
        <v>3</v>
      </c>
      <c r="L699" s="14" t="s">
        <v>76</v>
      </c>
      <c r="M699" s="14" t="s">
        <v>76</v>
      </c>
      <c r="N699" s="14" t="s">
        <v>76</v>
      </c>
      <c r="O699" s="14" t="s">
        <v>75</v>
      </c>
      <c r="P699" s="14">
        <v>639</v>
      </c>
      <c r="Q699" s="15">
        <v>243687.53</v>
      </c>
      <c r="R699" s="15">
        <v>13812.87</v>
      </c>
      <c r="S699" s="14" t="s">
        <v>20</v>
      </c>
      <c r="T699" s="15">
        <v>316934</v>
      </c>
      <c r="U699" s="16">
        <f t="shared" si="110"/>
        <v>0.16514521928605375</v>
      </c>
      <c r="V699" s="14">
        <v>4</v>
      </c>
      <c r="W699" s="17">
        <v>26.5</v>
      </c>
      <c r="X699" s="14">
        <v>5.2</v>
      </c>
      <c r="Y699" s="18">
        <f t="shared" si="111"/>
        <v>41</v>
      </c>
      <c r="Z699" s="18" t="str">
        <f t="shared" si="112"/>
        <v>Medium</v>
      </c>
      <c r="AA699" s="19" t="str">
        <f t="shared" si="113"/>
        <v>Review</v>
      </c>
      <c r="AB699" s="14" t="s">
        <v>85</v>
      </c>
      <c r="AC699" s="14">
        <v>2</v>
      </c>
      <c r="AD699" s="14" t="s">
        <v>93</v>
      </c>
      <c r="AE699" s="17">
        <v>3.6</v>
      </c>
      <c r="AF699" s="15">
        <v>0</v>
      </c>
      <c r="AG699" s="20">
        <f t="shared" si="114"/>
        <v>1003689</v>
      </c>
      <c r="AH699" s="14">
        <v>0</v>
      </c>
      <c r="AI699" s="14" t="s">
        <v>75</v>
      </c>
      <c r="AJ699" s="14">
        <v>24</v>
      </c>
      <c r="AK699" s="21">
        <f t="shared" si="115"/>
        <v>0.375</v>
      </c>
      <c r="AL699" s="20">
        <f t="shared" si="116"/>
        <v>18967.022851549478</v>
      </c>
      <c r="AM699" s="22">
        <f t="shared" si="117"/>
        <v>0.31576912768795912</v>
      </c>
      <c r="AN699" s="20">
        <f t="shared" si="118"/>
        <v>32779.892851549477</v>
      </c>
      <c r="AO699" s="16">
        <f t="shared" si="119"/>
        <v>0.39191294735579818</v>
      </c>
      <c r="AP699" s="15">
        <v>0</v>
      </c>
      <c r="AQ699" s="18" t="str">
        <f t="shared" si="120"/>
        <v>N/A</v>
      </c>
      <c r="AR699" s="23">
        <v>46250</v>
      </c>
      <c r="AS699" s="14" t="s">
        <v>79</v>
      </c>
    </row>
    <row r="700" spans="1:45" x14ac:dyDescent="0.25">
      <c r="A700" s="14" t="s">
        <v>2261</v>
      </c>
      <c r="B700" s="14" t="s">
        <v>2262</v>
      </c>
      <c r="C700" s="14">
        <v>9608365807</v>
      </c>
      <c r="D700" s="15" t="s">
        <v>2270</v>
      </c>
      <c r="E700" s="14">
        <v>33</v>
      </c>
      <c r="F700" s="14" t="s">
        <v>71</v>
      </c>
      <c r="G700" s="14" t="s">
        <v>143</v>
      </c>
      <c r="H700" s="14" t="s">
        <v>91</v>
      </c>
      <c r="I700" s="14" t="s">
        <v>92</v>
      </c>
      <c r="J700" s="15">
        <v>1953034</v>
      </c>
      <c r="K700" s="14">
        <v>1</v>
      </c>
      <c r="L700" s="14" t="s">
        <v>75</v>
      </c>
      <c r="M700" s="14" t="s">
        <v>75</v>
      </c>
      <c r="N700" s="14" t="s">
        <v>76</v>
      </c>
      <c r="O700" s="14" t="s">
        <v>75</v>
      </c>
      <c r="P700" s="14">
        <v>327</v>
      </c>
      <c r="Q700" s="15"/>
      <c r="R700" s="15">
        <v>6888.31</v>
      </c>
      <c r="S700" s="14" t="s">
        <v>21</v>
      </c>
      <c r="T700" s="15">
        <v>22364</v>
      </c>
      <c r="U700" s="16">
        <f t="shared" si="110"/>
        <v>4.232374858809422E-2</v>
      </c>
      <c r="V700" s="14">
        <v>0</v>
      </c>
      <c r="W700" s="17">
        <v>96.8</v>
      </c>
      <c r="X700" s="14">
        <v>4.2</v>
      </c>
      <c r="Y700" s="18">
        <f t="shared" si="111"/>
        <v>49.1</v>
      </c>
      <c r="Z700" s="18" t="str">
        <f t="shared" si="112"/>
        <v>Medium</v>
      </c>
      <c r="AA700" s="19" t="str">
        <f t="shared" si="113"/>
        <v>Not Eligible</v>
      </c>
      <c r="AB700" s="14" t="s">
        <v>85</v>
      </c>
      <c r="AC700" s="14">
        <v>0</v>
      </c>
      <c r="AD700" s="14" t="s">
        <v>93</v>
      </c>
      <c r="AE700" s="17">
        <v>5.5</v>
      </c>
      <c r="AF700" s="15">
        <v>598833</v>
      </c>
      <c r="AG700" s="20">
        <f t="shared" si="114"/>
        <v>2551867</v>
      </c>
      <c r="AH700" s="14">
        <v>0</v>
      </c>
      <c r="AI700" s="14" t="s">
        <v>75</v>
      </c>
      <c r="AJ700" s="14">
        <v>60</v>
      </c>
      <c r="AK700" s="21">
        <f t="shared" si="115"/>
        <v>0.15500000000000003</v>
      </c>
      <c r="AL700" s="20">
        <f t="shared" si="116"/>
        <v>537.92556530659078</v>
      </c>
      <c r="AM700" s="22">
        <f t="shared" si="117"/>
        <v>1.1450901520403638E-2</v>
      </c>
      <c r="AN700" s="20">
        <f t="shared" si="118"/>
        <v>7426.2355653065915</v>
      </c>
      <c r="AO700" s="16">
        <f t="shared" si="119"/>
        <v>4.5628917255756483E-2</v>
      </c>
      <c r="AP700" s="15">
        <v>0</v>
      </c>
      <c r="AQ700" s="18" t="str">
        <f t="shared" si="120"/>
        <v>N/A</v>
      </c>
      <c r="AR700" s="23">
        <v>46209</v>
      </c>
      <c r="AS700" s="14" t="s">
        <v>79</v>
      </c>
    </row>
    <row r="701" spans="1:45" x14ac:dyDescent="0.25">
      <c r="A701" s="14" t="s">
        <v>2265</v>
      </c>
      <c r="B701" s="14" t="s">
        <v>2266</v>
      </c>
      <c r="C701" s="14">
        <v>9325360943</v>
      </c>
      <c r="D701" s="15" t="s">
        <v>2274</v>
      </c>
      <c r="E701" s="14">
        <v>46</v>
      </c>
      <c r="F701" s="14" t="s">
        <v>71</v>
      </c>
      <c r="G701" s="14" t="s">
        <v>120</v>
      </c>
      <c r="H701" s="14" t="s">
        <v>107</v>
      </c>
      <c r="I701" s="14" t="s">
        <v>92</v>
      </c>
      <c r="J701" s="15">
        <v>2228481</v>
      </c>
      <c r="K701" s="14">
        <v>2</v>
      </c>
      <c r="L701" s="14" t="s">
        <v>76</v>
      </c>
      <c r="M701" s="14" t="s">
        <v>75</v>
      </c>
      <c r="N701" s="14" t="s">
        <v>76</v>
      </c>
      <c r="O701" s="14" t="s">
        <v>75</v>
      </c>
      <c r="P701" s="14">
        <v>693</v>
      </c>
      <c r="Q701" s="15"/>
      <c r="R701" s="15">
        <v>8403.02</v>
      </c>
      <c r="S701" s="14" t="s">
        <v>20</v>
      </c>
      <c r="T701" s="15">
        <v>442546</v>
      </c>
      <c r="U701" s="16">
        <f t="shared" si="110"/>
        <v>4.5248866829019407E-2</v>
      </c>
      <c r="V701" s="14">
        <v>0</v>
      </c>
      <c r="W701" s="17">
        <v>47.6</v>
      </c>
      <c r="X701" s="14">
        <v>9.4</v>
      </c>
      <c r="Y701" s="18">
        <f t="shared" si="111"/>
        <v>19.899999999999999</v>
      </c>
      <c r="Z701" s="18" t="str">
        <f t="shared" si="112"/>
        <v>Low</v>
      </c>
      <c r="AA701" s="19" t="str">
        <f t="shared" si="113"/>
        <v>Eligible</v>
      </c>
      <c r="AB701" s="14" t="s">
        <v>77</v>
      </c>
      <c r="AC701" s="14">
        <v>2</v>
      </c>
      <c r="AD701" s="14" t="s">
        <v>78</v>
      </c>
      <c r="AE701" s="17">
        <v>11.3</v>
      </c>
      <c r="AF701" s="15">
        <v>0</v>
      </c>
      <c r="AG701" s="20">
        <f t="shared" si="114"/>
        <v>2228481</v>
      </c>
      <c r="AH701" s="14">
        <v>0</v>
      </c>
      <c r="AI701" s="14" t="s">
        <v>75</v>
      </c>
      <c r="AJ701" s="14">
        <v>36</v>
      </c>
      <c r="AK701" s="21">
        <f t="shared" si="115"/>
        <v>0.36</v>
      </c>
      <c r="AL701" s="20">
        <f t="shared" si="116"/>
        <v>20270.285901021973</v>
      </c>
      <c r="AM701" s="22">
        <f t="shared" si="117"/>
        <v>0.19858639135805958</v>
      </c>
      <c r="AN701" s="20">
        <f t="shared" si="118"/>
        <v>28673.305901021973</v>
      </c>
      <c r="AO701" s="16">
        <f t="shared" si="119"/>
        <v>0.15440098919948775</v>
      </c>
      <c r="AP701" s="15">
        <v>0</v>
      </c>
      <c r="AQ701" s="18" t="str">
        <f t="shared" si="120"/>
        <v>N/A</v>
      </c>
      <c r="AR701" s="23">
        <v>45960</v>
      </c>
      <c r="AS701" s="14" t="s">
        <v>94</v>
      </c>
    </row>
    <row r="702" spans="1:45" x14ac:dyDescent="0.25">
      <c r="A702" s="14" t="s">
        <v>2268</v>
      </c>
      <c r="B702" s="14" t="s">
        <v>2269</v>
      </c>
      <c r="C702" s="14"/>
      <c r="D702" s="15" t="s">
        <v>2277</v>
      </c>
      <c r="E702" s="14">
        <v>63</v>
      </c>
      <c r="F702" s="14" t="s">
        <v>89</v>
      </c>
      <c r="G702" s="14" t="s">
        <v>215</v>
      </c>
      <c r="H702" s="14" t="s">
        <v>99</v>
      </c>
      <c r="I702" s="14" t="s">
        <v>74</v>
      </c>
      <c r="J702" s="15">
        <v>731533</v>
      </c>
      <c r="K702" s="14">
        <v>2</v>
      </c>
      <c r="L702" s="14" t="s">
        <v>75</v>
      </c>
      <c r="M702" s="14" t="s">
        <v>76</v>
      </c>
      <c r="N702" s="14" t="s">
        <v>76</v>
      </c>
      <c r="O702" s="14" t="s">
        <v>75</v>
      </c>
      <c r="P702" s="14">
        <v>423</v>
      </c>
      <c r="Q702" s="15">
        <v>1075683</v>
      </c>
      <c r="R702" s="15">
        <v>7572.53</v>
      </c>
      <c r="S702" s="14" t="s">
        <v>20</v>
      </c>
      <c r="T702" s="15">
        <v>4472001</v>
      </c>
      <c r="U702" s="16">
        <f t="shared" si="110"/>
        <v>0.12421908512671336</v>
      </c>
      <c r="V702" s="14">
        <v>1</v>
      </c>
      <c r="W702" s="17">
        <v>20</v>
      </c>
      <c r="X702" s="14">
        <v>11.2</v>
      </c>
      <c r="Y702" s="18">
        <f t="shared" si="111"/>
        <v>41.5</v>
      </c>
      <c r="Z702" s="18" t="str">
        <f t="shared" si="112"/>
        <v>Medium</v>
      </c>
      <c r="AA702" s="19" t="str">
        <f t="shared" si="113"/>
        <v>Not Eligible</v>
      </c>
      <c r="AB702" s="14" t="s">
        <v>85</v>
      </c>
      <c r="AC702" s="14">
        <v>1</v>
      </c>
      <c r="AD702" s="14" t="s">
        <v>93</v>
      </c>
      <c r="AE702" s="17">
        <v>8.3000000000000007</v>
      </c>
      <c r="AF702" s="15">
        <v>678863</v>
      </c>
      <c r="AG702" s="20">
        <f t="shared" si="114"/>
        <v>1410396</v>
      </c>
      <c r="AH702" s="14">
        <v>0</v>
      </c>
      <c r="AI702" s="14" t="s">
        <v>75</v>
      </c>
      <c r="AJ702" s="14">
        <v>24</v>
      </c>
      <c r="AK702" s="21">
        <f t="shared" si="115"/>
        <v>0.375</v>
      </c>
      <c r="AL702" s="20">
        <f t="shared" si="116"/>
        <v>267628.41840620484</v>
      </c>
      <c r="AM702" s="22">
        <f t="shared" si="117"/>
        <v>6.1131910658849291</v>
      </c>
      <c r="AN702" s="20">
        <f t="shared" si="118"/>
        <v>275200.94840620487</v>
      </c>
      <c r="AO702" s="16">
        <f t="shared" si="119"/>
        <v>4.5143710275195499</v>
      </c>
      <c r="AP702" s="15">
        <v>0</v>
      </c>
      <c r="AQ702" s="18" t="str">
        <f t="shared" si="120"/>
        <v>N/A</v>
      </c>
      <c r="AR702" s="23">
        <v>46076</v>
      </c>
      <c r="AS702" s="14" t="s">
        <v>79</v>
      </c>
    </row>
    <row r="703" spans="1:45" x14ac:dyDescent="0.25">
      <c r="A703" s="14" t="s">
        <v>2271</v>
      </c>
      <c r="B703" s="14" t="s">
        <v>2272</v>
      </c>
      <c r="C703" s="14">
        <v>9990714291</v>
      </c>
      <c r="D703" s="15" t="s">
        <v>2280</v>
      </c>
      <c r="E703" s="14">
        <v>27</v>
      </c>
      <c r="F703" s="14" t="s">
        <v>71</v>
      </c>
      <c r="G703" s="14" t="s">
        <v>143</v>
      </c>
      <c r="H703" s="14" t="s">
        <v>91</v>
      </c>
      <c r="I703" s="14" t="s">
        <v>92</v>
      </c>
      <c r="J703" s="15">
        <v>507070</v>
      </c>
      <c r="K703" s="14">
        <v>1</v>
      </c>
      <c r="L703" s="14" t="s">
        <v>76</v>
      </c>
      <c r="M703" s="14" t="s">
        <v>75</v>
      </c>
      <c r="N703" s="14" t="s">
        <v>75</v>
      </c>
      <c r="O703" s="14" t="s">
        <v>75</v>
      </c>
      <c r="P703" s="14">
        <v>443</v>
      </c>
      <c r="Q703" s="15">
        <v>65130.8</v>
      </c>
      <c r="R703" s="15">
        <v>1587.71</v>
      </c>
      <c r="S703" s="14" t="s">
        <v>21</v>
      </c>
      <c r="T703" s="15">
        <v>430017</v>
      </c>
      <c r="U703" s="16">
        <f t="shared" si="110"/>
        <v>3.7573747214388546E-2</v>
      </c>
      <c r="V703" s="14">
        <v>2</v>
      </c>
      <c r="W703" s="17">
        <v>28.9</v>
      </c>
      <c r="X703" s="14">
        <v>2.1</v>
      </c>
      <c r="Y703" s="18">
        <f t="shared" si="111"/>
        <v>42.5</v>
      </c>
      <c r="Z703" s="18" t="str">
        <f t="shared" si="112"/>
        <v>Medium</v>
      </c>
      <c r="AA703" s="19" t="str">
        <f t="shared" si="113"/>
        <v>Not Eligible</v>
      </c>
      <c r="AB703" s="14" t="s">
        <v>161</v>
      </c>
      <c r="AC703" s="14">
        <v>2</v>
      </c>
      <c r="AD703" s="14" t="s">
        <v>78</v>
      </c>
      <c r="AE703" s="17">
        <v>5</v>
      </c>
      <c r="AF703" s="15">
        <v>0</v>
      </c>
      <c r="AG703" s="20">
        <f t="shared" si="114"/>
        <v>507070</v>
      </c>
      <c r="AH703" s="14">
        <v>1</v>
      </c>
      <c r="AI703" s="14" t="s">
        <v>75</v>
      </c>
      <c r="AJ703" s="14">
        <v>60</v>
      </c>
      <c r="AK703" s="21">
        <f t="shared" si="115"/>
        <v>0.15500000000000003</v>
      </c>
      <c r="AL703" s="20">
        <f t="shared" si="116"/>
        <v>10343.281068522816</v>
      </c>
      <c r="AM703" s="22">
        <f t="shared" si="117"/>
        <v>0.84804267655353305</v>
      </c>
      <c r="AN703" s="20">
        <f t="shared" si="118"/>
        <v>11930.991068522817</v>
      </c>
      <c r="AO703" s="16">
        <f t="shared" si="119"/>
        <v>0.28235133772905874</v>
      </c>
      <c r="AP703" s="15">
        <v>0</v>
      </c>
      <c r="AQ703" s="18" t="str">
        <f t="shared" si="120"/>
        <v>N/A</v>
      </c>
      <c r="AR703" s="23">
        <v>45951</v>
      </c>
      <c r="AS703" s="14" t="s">
        <v>79</v>
      </c>
    </row>
    <row r="704" spans="1:45" x14ac:dyDescent="0.25">
      <c r="A704" s="14" t="s">
        <v>2275</v>
      </c>
      <c r="B704" s="14" t="s">
        <v>2276</v>
      </c>
      <c r="C704" s="14"/>
      <c r="D704" s="15" t="s">
        <v>2282</v>
      </c>
      <c r="E704" s="14">
        <v>51</v>
      </c>
      <c r="F704" s="14" t="s">
        <v>89</v>
      </c>
      <c r="G704" s="14" t="s">
        <v>90</v>
      </c>
      <c r="H704" s="14" t="s">
        <v>99</v>
      </c>
      <c r="I704" s="14" t="s">
        <v>74</v>
      </c>
      <c r="J704" s="15">
        <v>2366572</v>
      </c>
      <c r="K704" s="14">
        <v>1</v>
      </c>
      <c r="L704" s="14" t="s">
        <v>75</v>
      </c>
      <c r="M704" s="14" t="s">
        <v>75</v>
      </c>
      <c r="N704" s="14" t="s">
        <v>76</v>
      </c>
      <c r="O704" s="14" t="s">
        <v>75</v>
      </c>
      <c r="P704" s="14">
        <v>540</v>
      </c>
      <c r="Q704" s="15">
        <v>1033886</v>
      </c>
      <c r="R704" s="15">
        <v>21952.720000000001</v>
      </c>
      <c r="S704" s="14" t="s">
        <v>23</v>
      </c>
      <c r="T704" s="15">
        <v>307618</v>
      </c>
      <c r="U704" s="16">
        <f t="shared" si="110"/>
        <v>0.11131401875793343</v>
      </c>
      <c r="V704" s="14">
        <v>0</v>
      </c>
      <c r="W704" s="17">
        <v>87.9</v>
      </c>
      <c r="X704" s="14">
        <v>14.2</v>
      </c>
      <c r="Y704" s="18">
        <f t="shared" si="111"/>
        <v>36.1</v>
      </c>
      <c r="Z704" s="18" t="str">
        <f t="shared" si="112"/>
        <v>Medium</v>
      </c>
      <c r="AA704" s="19" t="str">
        <f t="shared" si="113"/>
        <v>Not Eligible</v>
      </c>
      <c r="AB704" s="14" t="s">
        <v>85</v>
      </c>
      <c r="AC704" s="14">
        <v>1</v>
      </c>
      <c r="AD704" s="14" t="s">
        <v>93</v>
      </c>
      <c r="AE704" s="17">
        <v>8.9</v>
      </c>
      <c r="AF704" s="15">
        <v>0</v>
      </c>
      <c r="AG704" s="20">
        <f t="shared" si="114"/>
        <v>2366572</v>
      </c>
      <c r="AH704" s="14">
        <v>0</v>
      </c>
      <c r="AI704" s="14" t="s">
        <v>75</v>
      </c>
      <c r="AJ704" s="14">
        <v>360</v>
      </c>
      <c r="AK704" s="21">
        <f t="shared" si="115"/>
        <v>0.1</v>
      </c>
      <c r="AL704" s="20">
        <f t="shared" si="116"/>
        <v>2699.5681124757612</v>
      </c>
      <c r="AM704" s="22">
        <f t="shared" si="117"/>
        <v>0.12998463600515853</v>
      </c>
      <c r="AN704" s="20">
        <f t="shared" si="118"/>
        <v>24652.288112475762</v>
      </c>
      <c r="AO704" s="16">
        <f t="shared" si="119"/>
        <v>0.12500251729070957</v>
      </c>
      <c r="AP704" s="15">
        <v>6021113</v>
      </c>
      <c r="AQ704" s="18">
        <f t="shared" si="120"/>
        <v>5.108988985923367E-2</v>
      </c>
      <c r="AR704" s="23">
        <v>46078</v>
      </c>
      <c r="AS704" s="14" t="s">
        <v>79</v>
      </c>
    </row>
    <row r="705" spans="1:45" x14ac:dyDescent="0.25">
      <c r="A705" s="14" t="s">
        <v>2278</v>
      </c>
      <c r="B705" s="14" t="s">
        <v>2279</v>
      </c>
      <c r="C705" s="14"/>
      <c r="D705" s="15" t="s">
        <v>2285</v>
      </c>
      <c r="E705" s="14">
        <v>31</v>
      </c>
      <c r="F705" s="14" t="s">
        <v>89</v>
      </c>
      <c r="G705" s="14" t="s">
        <v>174</v>
      </c>
      <c r="H705" s="14" t="s">
        <v>107</v>
      </c>
      <c r="I705" s="14" t="s">
        <v>92</v>
      </c>
      <c r="J705" s="15">
        <v>866129</v>
      </c>
      <c r="K705" s="14">
        <v>2</v>
      </c>
      <c r="L705" s="14" t="s">
        <v>76</v>
      </c>
      <c r="M705" s="14" t="s">
        <v>76</v>
      </c>
      <c r="N705" s="14" t="s">
        <v>75</v>
      </c>
      <c r="O705" s="14" t="s">
        <v>75</v>
      </c>
      <c r="P705" s="14">
        <v>793</v>
      </c>
      <c r="Q705" s="15">
        <v>396889</v>
      </c>
      <c r="R705" s="15">
        <v>1329.2</v>
      </c>
      <c r="S705" s="14" t="s">
        <v>21</v>
      </c>
      <c r="T705" s="15">
        <v>321424</v>
      </c>
      <c r="U705" s="16">
        <f t="shared" si="110"/>
        <v>1.8415732529450002E-2</v>
      </c>
      <c r="V705" s="14">
        <v>0</v>
      </c>
      <c r="W705" s="17">
        <v>25.6</v>
      </c>
      <c r="X705" s="14">
        <v>11.7</v>
      </c>
      <c r="Y705" s="18">
        <f t="shared" si="111"/>
        <v>10.199999999999999</v>
      </c>
      <c r="Z705" s="18" t="str">
        <f t="shared" si="112"/>
        <v>Low</v>
      </c>
      <c r="AA705" s="19" t="str">
        <f t="shared" si="113"/>
        <v>Eligible</v>
      </c>
      <c r="AB705" s="14" t="s">
        <v>77</v>
      </c>
      <c r="AC705" s="14">
        <v>2</v>
      </c>
      <c r="AD705" s="14" t="s">
        <v>78</v>
      </c>
      <c r="AE705" s="17">
        <v>6</v>
      </c>
      <c r="AF705" s="15">
        <v>269268</v>
      </c>
      <c r="AG705" s="20">
        <f t="shared" si="114"/>
        <v>1135397</v>
      </c>
      <c r="AH705" s="14">
        <v>0</v>
      </c>
      <c r="AI705" s="14" t="s">
        <v>75</v>
      </c>
      <c r="AJ705" s="14">
        <v>12</v>
      </c>
      <c r="AK705" s="21">
        <f t="shared" si="115"/>
        <v>0.14000000000000001</v>
      </c>
      <c r="AL705" s="20">
        <f t="shared" si="116"/>
        <v>28859.734491130981</v>
      </c>
      <c r="AM705" s="22">
        <f t="shared" si="117"/>
        <v>0.37110407341169732</v>
      </c>
      <c r="AN705" s="20">
        <f t="shared" si="118"/>
        <v>30188.934491130982</v>
      </c>
      <c r="AO705" s="16">
        <f t="shared" si="119"/>
        <v>0.41826011355533849</v>
      </c>
      <c r="AP705" s="15">
        <v>0</v>
      </c>
      <c r="AQ705" s="18" t="str">
        <f t="shared" si="120"/>
        <v>N/A</v>
      </c>
      <c r="AR705" s="23">
        <v>46168</v>
      </c>
      <c r="AS705" s="14" t="s">
        <v>79</v>
      </c>
    </row>
    <row r="706" spans="1:45" x14ac:dyDescent="0.25">
      <c r="A706" s="14" t="s">
        <v>2281</v>
      </c>
      <c r="B706" s="14" t="s">
        <v>1628</v>
      </c>
      <c r="C706" s="14">
        <v>9254152993</v>
      </c>
      <c r="D706" s="15" t="s">
        <v>2289</v>
      </c>
      <c r="E706" s="14">
        <v>31</v>
      </c>
      <c r="F706" s="14" t="s">
        <v>89</v>
      </c>
      <c r="G706" s="14" t="s">
        <v>417</v>
      </c>
      <c r="H706" s="14" t="s">
        <v>132</v>
      </c>
      <c r="I706" s="14" t="s">
        <v>92</v>
      </c>
      <c r="J706" s="15">
        <v>2024652</v>
      </c>
      <c r="K706" s="14">
        <v>1</v>
      </c>
      <c r="L706" s="14" t="s">
        <v>76</v>
      </c>
      <c r="M706" s="14" t="s">
        <v>75</v>
      </c>
      <c r="N706" s="14" t="s">
        <v>75</v>
      </c>
      <c r="O706" s="14" t="s">
        <v>75</v>
      </c>
      <c r="P706" s="14">
        <v>392</v>
      </c>
      <c r="Q706" s="15">
        <v>420499</v>
      </c>
      <c r="R706" s="15">
        <v>46994.84</v>
      </c>
      <c r="S706" s="14" t="s">
        <v>21</v>
      </c>
      <c r="T706" s="15">
        <v>459911</v>
      </c>
      <c r="U706" s="16">
        <f t="shared" ref="U706:U769" si="121">IFERROR((R706*12)/J706,0)</f>
        <v>0.27853580763508984</v>
      </c>
      <c r="V706" s="14">
        <v>5</v>
      </c>
      <c r="W706" s="17">
        <v>13.3</v>
      </c>
      <c r="X706" s="14">
        <v>8.6</v>
      </c>
      <c r="Y706" s="18">
        <f t="shared" ref="Y706:Y769" si="122">ROUND(0.4*((900-P706)/600*100)+0.3*MIN(U706*100,100)+0.2*MIN(V706*20,100)+0.1*W706,1)</f>
        <v>63.6</v>
      </c>
      <c r="Z706" s="18" t="str">
        <f t="shared" ref="Z706:Z769" si="123">IF(Y706&lt;=30,"Low",IF(Y706&lt;=60,"Medium","High"))</f>
        <v>High</v>
      </c>
      <c r="AA706" s="19" t="str">
        <f t="shared" ref="AA706:AA769" si="124">IF(AND(P706&gt;=650,U706&lt;=0.4,V706&lt;=2,Y706&lt;=50),"Eligible",IF(AND(P706&gt;=550,V706&lt;=4,Y706&lt;=75),"Review","Not Eligible"))</f>
        <v>Not Eligible</v>
      </c>
      <c r="AB706" s="14" t="s">
        <v>85</v>
      </c>
      <c r="AC706" s="14">
        <v>0</v>
      </c>
      <c r="AD706" s="14" t="s">
        <v>78</v>
      </c>
      <c r="AE706" s="17">
        <v>7.1</v>
      </c>
      <c r="AF706" s="15">
        <v>0</v>
      </c>
      <c r="AG706" s="20">
        <f t="shared" ref="AG706:AG769" si="125">J706+AF706</f>
        <v>2024652</v>
      </c>
      <c r="AH706" s="14">
        <v>0</v>
      </c>
      <c r="AI706" s="14" t="s">
        <v>75</v>
      </c>
      <c r="AJ706" s="14">
        <v>12</v>
      </c>
      <c r="AK706" s="21">
        <f t="shared" ref="AK706:AK769" si="126">(IF(S706="Credit Card",0.36,IF(S706="Personal Loan",0.14,IF(S706="Car Loan",0.09,0.085))))+IF(Z706="Low",0,IF(Z706="Medium",0.015,0.03))</f>
        <v>0.17</v>
      </c>
      <c r="AL706" s="20">
        <f t="shared" ref="AL706:AL769" si="127">-PMT(AK706/12,AJ706,T706)</f>
        <v>41946.068733118293</v>
      </c>
      <c r="AM706" s="22">
        <f t="shared" ref="AM706:AM769" si="128">IFERROR(T706/J706,0)</f>
        <v>0.2271555803170125</v>
      </c>
      <c r="AN706" s="20">
        <f t="shared" ref="AN706:AN769" si="129">R706+AL706</f>
        <v>88940.908733118296</v>
      </c>
      <c r="AO706" s="16">
        <f t="shared" ref="AO706:AO769" si="130">IFERROR((AN706*12)/J706,0)</f>
        <v>0.52714782826748474</v>
      </c>
      <c r="AP706" s="15">
        <v>0</v>
      </c>
      <c r="AQ706" s="18" t="str">
        <f t="shared" ref="AQ706:AQ769" si="131">IF(AP706&gt;0,T706/AP706,"N/A")</f>
        <v>N/A</v>
      </c>
      <c r="AR706" s="23">
        <v>45963</v>
      </c>
      <c r="AS706" s="14" t="s">
        <v>79</v>
      </c>
    </row>
    <row r="707" spans="1:45" x14ac:dyDescent="0.25">
      <c r="A707" s="14" t="s">
        <v>2283</v>
      </c>
      <c r="B707" s="14" t="s">
        <v>2284</v>
      </c>
      <c r="C707" s="14">
        <v>9312845035</v>
      </c>
      <c r="D707" s="15" t="s">
        <v>2292</v>
      </c>
      <c r="E707" s="14">
        <v>24</v>
      </c>
      <c r="F707" s="14" t="s">
        <v>89</v>
      </c>
      <c r="G707" s="14" t="s">
        <v>174</v>
      </c>
      <c r="H707" s="14" t="s">
        <v>91</v>
      </c>
      <c r="I707" s="14" t="s">
        <v>92</v>
      </c>
      <c r="J707" s="15">
        <v>1076414</v>
      </c>
      <c r="K707" s="14">
        <v>2</v>
      </c>
      <c r="L707" s="14" t="s">
        <v>76</v>
      </c>
      <c r="M707" s="14" t="s">
        <v>75</v>
      </c>
      <c r="N707" s="14" t="s">
        <v>75</v>
      </c>
      <c r="O707" s="14" t="s">
        <v>76</v>
      </c>
      <c r="P707" s="14">
        <v>537</v>
      </c>
      <c r="Q707" s="15">
        <v>144621</v>
      </c>
      <c r="R707" s="15">
        <v>26459.26</v>
      </c>
      <c r="S707" s="14" t="s">
        <v>20</v>
      </c>
      <c r="T707" s="15">
        <v>499929</v>
      </c>
      <c r="U707" s="16">
        <f t="shared" si="121"/>
        <v>0.29497119138175459</v>
      </c>
      <c r="V707" s="14">
        <v>0</v>
      </c>
      <c r="W707" s="17">
        <v>40.200000000000003</v>
      </c>
      <c r="X707" s="14">
        <v>3.2</v>
      </c>
      <c r="Y707" s="18">
        <f t="shared" si="122"/>
        <v>37.1</v>
      </c>
      <c r="Z707" s="18" t="str">
        <f t="shared" si="123"/>
        <v>Medium</v>
      </c>
      <c r="AA707" s="19" t="str">
        <f t="shared" si="124"/>
        <v>Not Eligible</v>
      </c>
      <c r="AB707" s="14" t="s">
        <v>77</v>
      </c>
      <c r="AC707" s="14">
        <v>0</v>
      </c>
      <c r="AD707" s="14" t="s">
        <v>78</v>
      </c>
      <c r="AE707" s="17">
        <v>1.6</v>
      </c>
      <c r="AF707" s="15">
        <v>593915</v>
      </c>
      <c r="AG707" s="20">
        <f t="shared" si="125"/>
        <v>1670329</v>
      </c>
      <c r="AH707" s="14">
        <v>0</v>
      </c>
      <c r="AI707" s="14" t="s">
        <v>75</v>
      </c>
      <c r="AJ707" s="14">
        <v>12</v>
      </c>
      <c r="AK707" s="21">
        <f t="shared" si="126"/>
        <v>0.375</v>
      </c>
      <c r="AL707" s="20">
        <f t="shared" si="127"/>
        <v>50599.401356532238</v>
      </c>
      <c r="AM707" s="22">
        <f t="shared" si="128"/>
        <v>0.46443933282175814</v>
      </c>
      <c r="AN707" s="20">
        <f t="shared" si="129"/>
        <v>77058.661356532233</v>
      </c>
      <c r="AO707" s="16">
        <f t="shared" si="130"/>
        <v>0.859059744929355</v>
      </c>
      <c r="AP707" s="15">
        <v>0</v>
      </c>
      <c r="AQ707" s="18" t="str">
        <f t="shared" si="131"/>
        <v>N/A</v>
      </c>
      <c r="AR707" s="23">
        <v>46109</v>
      </c>
      <c r="AS707" s="14" t="s">
        <v>94</v>
      </c>
    </row>
    <row r="708" spans="1:45" x14ac:dyDescent="0.25">
      <c r="A708" s="14" t="s">
        <v>2286</v>
      </c>
      <c r="B708" s="14" t="s">
        <v>2287</v>
      </c>
      <c r="C708" s="14"/>
      <c r="D708" s="15" t="s">
        <v>2295</v>
      </c>
      <c r="E708" s="14">
        <v>63</v>
      </c>
      <c r="F708" s="14" t="s">
        <v>71</v>
      </c>
      <c r="G708" s="14" t="s">
        <v>226</v>
      </c>
      <c r="H708" s="14" t="s">
        <v>99</v>
      </c>
      <c r="I708" s="14" t="s">
        <v>74</v>
      </c>
      <c r="J708" s="15">
        <v>1478543</v>
      </c>
      <c r="K708" s="14">
        <v>1</v>
      </c>
      <c r="L708" s="14" t="s">
        <v>76</v>
      </c>
      <c r="M708" s="14" t="s">
        <v>75</v>
      </c>
      <c r="N708" s="14" t="s">
        <v>75</v>
      </c>
      <c r="O708" s="14" t="s">
        <v>75</v>
      </c>
      <c r="P708" s="14">
        <v>356</v>
      </c>
      <c r="Q708" s="15"/>
      <c r="R708" s="15">
        <v>10782.03</v>
      </c>
      <c r="S708" s="14" t="s">
        <v>21</v>
      </c>
      <c r="T708" s="15"/>
      <c r="U708" s="16">
        <f t="shared" si="121"/>
        <v>8.7508012955997902E-2</v>
      </c>
      <c r="V708" s="14">
        <v>0</v>
      </c>
      <c r="W708" s="17">
        <v>72.3</v>
      </c>
      <c r="X708" s="14">
        <v>10.8</v>
      </c>
      <c r="Y708" s="18">
        <f t="shared" si="122"/>
        <v>46.1</v>
      </c>
      <c r="Z708" s="18" t="str">
        <f t="shared" si="123"/>
        <v>Medium</v>
      </c>
      <c r="AA708" s="19" t="str">
        <f t="shared" si="124"/>
        <v>Not Eligible</v>
      </c>
      <c r="AB708" s="14" t="s">
        <v>85</v>
      </c>
      <c r="AC708" s="14">
        <v>0</v>
      </c>
      <c r="AD708" s="14" t="s">
        <v>78</v>
      </c>
      <c r="AE708" s="17">
        <v>14.1</v>
      </c>
      <c r="AF708" s="15">
        <v>467744</v>
      </c>
      <c r="AG708" s="20">
        <f t="shared" si="125"/>
        <v>1946287</v>
      </c>
      <c r="AH708" s="14">
        <v>0</v>
      </c>
      <c r="AI708" s="14" t="s">
        <v>75</v>
      </c>
      <c r="AJ708" s="14">
        <v>24</v>
      </c>
      <c r="AK708" s="21">
        <f t="shared" si="126"/>
        <v>0.15500000000000003</v>
      </c>
      <c r="AL708" s="20">
        <f t="shared" si="127"/>
        <v>0</v>
      </c>
      <c r="AM708" s="22">
        <f t="shared" si="128"/>
        <v>0</v>
      </c>
      <c r="AN708" s="20">
        <f t="shared" si="129"/>
        <v>10782.03</v>
      </c>
      <c r="AO708" s="16">
        <f t="shared" si="130"/>
        <v>8.7508012955997902E-2</v>
      </c>
      <c r="AP708" s="15">
        <v>0</v>
      </c>
      <c r="AQ708" s="18" t="str">
        <f t="shared" si="131"/>
        <v>N/A</v>
      </c>
      <c r="AR708" s="23">
        <v>46009</v>
      </c>
      <c r="AS708" s="14" t="s">
        <v>79</v>
      </c>
    </row>
    <row r="709" spans="1:45" x14ac:dyDescent="0.25">
      <c r="A709" s="14" t="s">
        <v>2290</v>
      </c>
      <c r="B709" s="14" t="s">
        <v>2291</v>
      </c>
      <c r="C709" s="14">
        <v>9374371559</v>
      </c>
      <c r="D709" s="15" t="s">
        <v>2299</v>
      </c>
      <c r="E709" s="14">
        <v>28</v>
      </c>
      <c r="F709" s="14" t="s">
        <v>71</v>
      </c>
      <c r="G709" s="14" t="s">
        <v>215</v>
      </c>
      <c r="H709" s="14" t="s">
        <v>84</v>
      </c>
      <c r="I709" s="14" t="s">
        <v>74</v>
      </c>
      <c r="J709" s="15">
        <v>690714</v>
      </c>
      <c r="K709" s="14">
        <v>1</v>
      </c>
      <c r="L709" s="14" t="s">
        <v>75</v>
      </c>
      <c r="M709" s="14" t="s">
        <v>76</v>
      </c>
      <c r="N709" s="14" t="s">
        <v>75</v>
      </c>
      <c r="O709" s="14" t="s">
        <v>75</v>
      </c>
      <c r="P709" s="14">
        <v>698</v>
      </c>
      <c r="Q709" s="15">
        <v>7674</v>
      </c>
      <c r="R709" s="15">
        <v>4820.71</v>
      </c>
      <c r="S709" s="14" t="s">
        <v>20</v>
      </c>
      <c r="T709" s="15"/>
      <c r="U709" s="16">
        <f t="shared" si="121"/>
        <v>8.375176990766077E-2</v>
      </c>
      <c r="V709" s="14">
        <v>2</v>
      </c>
      <c r="W709" s="17">
        <v>48.7</v>
      </c>
      <c r="X709" s="14">
        <v>7.1</v>
      </c>
      <c r="Y709" s="18">
        <f t="shared" si="122"/>
        <v>28.8</v>
      </c>
      <c r="Z709" s="18" t="str">
        <f t="shared" si="123"/>
        <v>Low</v>
      </c>
      <c r="AA709" s="19" t="str">
        <f t="shared" si="124"/>
        <v>Eligible</v>
      </c>
      <c r="AB709" s="14" t="s">
        <v>77</v>
      </c>
      <c r="AC709" s="14">
        <v>1</v>
      </c>
      <c r="AD709" s="14" t="s">
        <v>78</v>
      </c>
      <c r="AE709" s="17">
        <v>6.7</v>
      </c>
      <c r="AF709" s="15">
        <v>0</v>
      </c>
      <c r="AG709" s="20">
        <f t="shared" si="125"/>
        <v>690714</v>
      </c>
      <c r="AH709" s="14">
        <v>1</v>
      </c>
      <c r="AI709" s="14" t="s">
        <v>75</v>
      </c>
      <c r="AJ709" s="14">
        <v>18</v>
      </c>
      <c r="AK709" s="21">
        <f t="shared" si="126"/>
        <v>0.36</v>
      </c>
      <c r="AL709" s="20">
        <f t="shared" si="127"/>
        <v>0</v>
      </c>
      <c r="AM709" s="22">
        <f t="shared" si="128"/>
        <v>0</v>
      </c>
      <c r="AN709" s="20">
        <f t="shared" si="129"/>
        <v>4820.71</v>
      </c>
      <c r="AO709" s="16">
        <f t="shared" si="130"/>
        <v>8.375176990766077E-2</v>
      </c>
      <c r="AP709" s="15">
        <v>0</v>
      </c>
      <c r="AQ709" s="18" t="str">
        <f t="shared" si="131"/>
        <v>N/A</v>
      </c>
      <c r="AR709" s="23">
        <v>46023</v>
      </c>
      <c r="AS709" s="14" t="s">
        <v>79</v>
      </c>
    </row>
    <row r="710" spans="1:45" x14ac:dyDescent="0.25">
      <c r="A710" s="14" t="s">
        <v>2293</v>
      </c>
      <c r="B710" s="14" t="s">
        <v>2294</v>
      </c>
      <c r="C710" s="14"/>
      <c r="D710" s="15" t="s">
        <v>2302</v>
      </c>
      <c r="E710" s="14">
        <v>48</v>
      </c>
      <c r="F710" s="14" t="s">
        <v>71</v>
      </c>
      <c r="G710" s="14" t="s">
        <v>115</v>
      </c>
      <c r="H710" s="14" t="s">
        <v>103</v>
      </c>
      <c r="I710" s="14" t="s">
        <v>74</v>
      </c>
      <c r="J710" s="15">
        <v>1726822</v>
      </c>
      <c r="K710" s="14">
        <v>3</v>
      </c>
      <c r="L710" s="14" t="s">
        <v>76</v>
      </c>
      <c r="M710" s="14" t="s">
        <v>75</v>
      </c>
      <c r="N710" s="14" t="s">
        <v>76</v>
      </c>
      <c r="O710" s="14" t="s">
        <v>76</v>
      </c>
      <c r="P710" s="14">
        <v>806</v>
      </c>
      <c r="Q710" s="15">
        <v>1017333</v>
      </c>
      <c r="R710" s="15">
        <v>13376.88</v>
      </c>
      <c r="S710" s="14" t="s">
        <v>21</v>
      </c>
      <c r="T710" s="15">
        <v>527742</v>
      </c>
      <c r="U710" s="16">
        <f t="shared" si="121"/>
        <v>9.2958370926476491E-2</v>
      </c>
      <c r="V710" s="14">
        <v>0</v>
      </c>
      <c r="W710" s="17">
        <v>22.4</v>
      </c>
      <c r="X710" s="14">
        <v>13.3</v>
      </c>
      <c r="Y710" s="18">
        <f t="shared" si="122"/>
        <v>11.3</v>
      </c>
      <c r="Z710" s="18" t="str">
        <f t="shared" si="123"/>
        <v>Low</v>
      </c>
      <c r="AA710" s="19" t="str">
        <f t="shared" si="124"/>
        <v>Eligible</v>
      </c>
      <c r="AB710" s="14" t="s">
        <v>85</v>
      </c>
      <c r="AC710" s="14">
        <v>0</v>
      </c>
      <c r="AD710" s="14" t="s">
        <v>78</v>
      </c>
      <c r="AE710" s="17">
        <v>20.9</v>
      </c>
      <c r="AF710" s="15">
        <v>522158</v>
      </c>
      <c r="AG710" s="20">
        <f t="shared" si="125"/>
        <v>2248980</v>
      </c>
      <c r="AH710" s="14">
        <v>0</v>
      </c>
      <c r="AI710" s="14" t="s">
        <v>75</v>
      </c>
      <c r="AJ710" s="14">
        <v>36</v>
      </c>
      <c r="AK710" s="21">
        <f t="shared" si="126"/>
        <v>0.14000000000000001</v>
      </c>
      <c r="AL710" s="20">
        <f t="shared" si="127"/>
        <v>18036.970683759955</v>
      </c>
      <c r="AM710" s="22">
        <f t="shared" si="128"/>
        <v>0.30561459142864755</v>
      </c>
      <c r="AN710" s="20">
        <f t="shared" si="129"/>
        <v>31413.850683759956</v>
      </c>
      <c r="AO710" s="16">
        <f t="shared" si="130"/>
        <v>0.21830055918045951</v>
      </c>
      <c r="AP710" s="15">
        <v>0</v>
      </c>
      <c r="AQ710" s="18" t="str">
        <f t="shared" si="131"/>
        <v>N/A</v>
      </c>
      <c r="AR710" s="23">
        <v>45995</v>
      </c>
      <c r="AS710" s="14" t="s">
        <v>79</v>
      </c>
    </row>
    <row r="711" spans="1:45" x14ac:dyDescent="0.25">
      <c r="A711" s="14" t="s">
        <v>2296</v>
      </c>
      <c r="B711" s="14" t="s">
        <v>2297</v>
      </c>
      <c r="C711" s="14">
        <v>9601817355</v>
      </c>
      <c r="D711" s="15" t="s">
        <v>2306</v>
      </c>
      <c r="E711" s="14">
        <v>21</v>
      </c>
      <c r="F711" s="14" t="s">
        <v>71</v>
      </c>
      <c r="G711" s="14" t="s">
        <v>106</v>
      </c>
      <c r="H711" s="14" t="s">
        <v>84</v>
      </c>
      <c r="I711" s="14" t="s">
        <v>74</v>
      </c>
      <c r="J711" s="15">
        <v>1850731</v>
      </c>
      <c r="K711" s="14">
        <v>0</v>
      </c>
      <c r="L711" s="14" t="s">
        <v>75</v>
      </c>
      <c r="M711" s="14" t="s">
        <v>75</v>
      </c>
      <c r="N711" s="14" t="s">
        <v>75</v>
      </c>
      <c r="O711" s="14" t="s">
        <v>75</v>
      </c>
      <c r="P711" s="14">
        <v>881</v>
      </c>
      <c r="Q711" s="15">
        <v>825272</v>
      </c>
      <c r="R711" s="15">
        <v>137.03</v>
      </c>
      <c r="S711" s="14" t="s">
        <v>23</v>
      </c>
      <c r="T711" s="15">
        <v>51357</v>
      </c>
      <c r="U711" s="16">
        <f t="shared" si="121"/>
        <v>8.8849216877006981E-4</v>
      </c>
      <c r="V711" s="14">
        <v>0</v>
      </c>
      <c r="W711" s="17">
        <v>46.2</v>
      </c>
      <c r="X711" s="14">
        <v>10.7</v>
      </c>
      <c r="Y711" s="18">
        <f t="shared" si="122"/>
        <v>5.9</v>
      </c>
      <c r="Z711" s="18" t="str">
        <f t="shared" si="123"/>
        <v>Low</v>
      </c>
      <c r="AA711" s="19" t="str">
        <f t="shared" si="124"/>
        <v>Eligible</v>
      </c>
      <c r="AB711" s="14" t="s">
        <v>85</v>
      </c>
      <c r="AC711" s="14">
        <v>0</v>
      </c>
      <c r="AD711" s="14" t="s">
        <v>194</v>
      </c>
      <c r="AE711" s="17">
        <v>0.3</v>
      </c>
      <c r="AF711" s="15">
        <v>0</v>
      </c>
      <c r="AG711" s="20">
        <f t="shared" si="125"/>
        <v>1850731</v>
      </c>
      <c r="AH711" s="14">
        <v>0</v>
      </c>
      <c r="AI711" s="14" t="s">
        <v>75</v>
      </c>
      <c r="AJ711" s="14">
        <v>240</v>
      </c>
      <c r="AK711" s="21">
        <f t="shared" si="126"/>
        <v>8.5000000000000006E-2</v>
      </c>
      <c r="AL711" s="20">
        <f t="shared" si="127"/>
        <v>445.68797795953725</v>
      </c>
      <c r="AM711" s="22">
        <f t="shared" si="128"/>
        <v>2.7749575708193142E-2</v>
      </c>
      <c r="AN711" s="20">
        <f t="shared" si="129"/>
        <v>582.71797795953728</v>
      </c>
      <c r="AO711" s="16">
        <f t="shared" si="130"/>
        <v>3.7782993506427719E-3</v>
      </c>
      <c r="AP711" s="15">
        <v>3748859</v>
      </c>
      <c r="AQ711" s="18">
        <f t="shared" si="131"/>
        <v>1.3699368261116248E-2</v>
      </c>
      <c r="AR711" s="23">
        <v>46032</v>
      </c>
      <c r="AS711" s="14" t="s">
        <v>79</v>
      </c>
    </row>
    <row r="712" spans="1:45" x14ac:dyDescent="0.25">
      <c r="A712" s="14" t="s">
        <v>2300</v>
      </c>
      <c r="B712" s="14" t="s">
        <v>2301</v>
      </c>
      <c r="C712" s="14">
        <v>9908418894</v>
      </c>
      <c r="D712" s="15" t="s">
        <v>2310</v>
      </c>
      <c r="E712" s="14">
        <v>58</v>
      </c>
      <c r="F712" s="14" t="s">
        <v>71</v>
      </c>
      <c r="G712" s="14" t="s">
        <v>90</v>
      </c>
      <c r="H712" s="14" t="s">
        <v>91</v>
      </c>
      <c r="I712" s="14" t="s">
        <v>92</v>
      </c>
      <c r="J712" s="15">
        <v>2300496</v>
      </c>
      <c r="K712" s="14">
        <v>2</v>
      </c>
      <c r="L712" s="14" t="s">
        <v>76</v>
      </c>
      <c r="M712" s="14" t="s">
        <v>76</v>
      </c>
      <c r="N712" s="14" t="s">
        <v>75</v>
      </c>
      <c r="O712" s="14" t="s">
        <v>75</v>
      </c>
      <c r="P712" s="14">
        <v>720</v>
      </c>
      <c r="Q712" s="15"/>
      <c r="R712" s="15">
        <v>33911.11</v>
      </c>
      <c r="S712" s="14" t="s">
        <v>21</v>
      </c>
      <c r="T712" s="15">
        <v>7085738</v>
      </c>
      <c r="U712" s="16">
        <f t="shared" si="121"/>
        <v>0.17688938385461223</v>
      </c>
      <c r="V712" s="14">
        <v>1</v>
      </c>
      <c r="W712" s="17">
        <v>91.1</v>
      </c>
      <c r="X712" s="14">
        <v>4.0999999999999996</v>
      </c>
      <c r="Y712" s="18">
        <f t="shared" si="122"/>
        <v>30.4</v>
      </c>
      <c r="Z712" s="18" t="str">
        <f t="shared" si="123"/>
        <v>Medium</v>
      </c>
      <c r="AA712" s="19" t="str">
        <f t="shared" si="124"/>
        <v>Eligible</v>
      </c>
      <c r="AB712" s="14" t="s">
        <v>85</v>
      </c>
      <c r="AC712" s="14">
        <v>0</v>
      </c>
      <c r="AD712" s="14" t="s">
        <v>93</v>
      </c>
      <c r="AE712" s="17">
        <v>2.7</v>
      </c>
      <c r="AF712" s="15">
        <v>0</v>
      </c>
      <c r="AG712" s="20">
        <f t="shared" si="125"/>
        <v>2300496</v>
      </c>
      <c r="AH712" s="14">
        <v>2</v>
      </c>
      <c r="AI712" s="14" t="s">
        <v>76</v>
      </c>
      <c r="AJ712" s="14">
        <v>36</v>
      </c>
      <c r="AK712" s="21">
        <f t="shared" si="126"/>
        <v>0.15500000000000003</v>
      </c>
      <c r="AL712" s="20">
        <f t="shared" si="127"/>
        <v>247367.93912201471</v>
      </c>
      <c r="AM712" s="22">
        <f t="shared" si="128"/>
        <v>3.0800914237625276</v>
      </c>
      <c r="AN712" s="20">
        <f t="shared" si="129"/>
        <v>281279.04912201472</v>
      </c>
      <c r="AO712" s="16">
        <f t="shared" si="130"/>
        <v>1.4672264544099083</v>
      </c>
      <c r="AP712" s="15">
        <v>0</v>
      </c>
      <c r="AQ712" s="18" t="str">
        <f t="shared" si="131"/>
        <v>N/A</v>
      </c>
      <c r="AR712" s="23">
        <v>46107</v>
      </c>
      <c r="AS712" s="14" t="s">
        <v>79</v>
      </c>
    </row>
    <row r="713" spans="1:45" x14ac:dyDescent="0.25">
      <c r="A713" s="14" t="s">
        <v>2303</v>
      </c>
      <c r="B713" s="14" t="s">
        <v>2304</v>
      </c>
      <c r="C713" s="14">
        <v>9117335231</v>
      </c>
      <c r="D713" s="15" t="s">
        <v>2312</v>
      </c>
      <c r="E713" s="14">
        <v>35</v>
      </c>
      <c r="F713" s="14" t="s">
        <v>89</v>
      </c>
      <c r="G713" s="14" t="s">
        <v>83</v>
      </c>
      <c r="H713" s="14" t="s">
        <v>73</v>
      </c>
      <c r="I713" s="14" t="s">
        <v>74</v>
      </c>
      <c r="J713" s="15">
        <v>1842425</v>
      </c>
      <c r="K713" s="14">
        <v>1</v>
      </c>
      <c r="L713" s="14" t="s">
        <v>75</v>
      </c>
      <c r="M713" s="14" t="s">
        <v>75</v>
      </c>
      <c r="N713" s="14" t="s">
        <v>76</v>
      </c>
      <c r="O713" s="14" t="s">
        <v>75</v>
      </c>
      <c r="P713" s="14">
        <v>829</v>
      </c>
      <c r="Q713" s="15">
        <v>1085278</v>
      </c>
      <c r="R713" s="15">
        <v>17193.16</v>
      </c>
      <c r="S713" s="14" t="s">
        <v>20</v>
      </c>
      <c r="T713" s="15">
        <v>3214214</v>
      </c>
      <c r="U713" s="16">
        <f t="shared" si="121"/>
        <v>0.11198171974435865</v>
      </c>
      <c r="V713" s="14">
        <v>0</v>
      </c>
      <c r="W713" s="17">
        <v>50.2</v>
      </c>
      <c r="X713" s="14">
        <v>10.5</v>
      </c>
      <c r="Y713" s="18">
        <f t="shared" si="122"/>
        <v>13.1</v>
      </c>
      <c r="Z713" s="18" t="str">
        <f t="shared" si="123"/>
        <v>Low</v>
      </c>
      <c r="AA713" s="19" t="str">
        <f t="shared" si="124"/>
        <v>Eligible</v>
      </c>
      <c r="AB713" s="14" t="s">
        <v>85</v>
      </c>
      <c r="AC713" s="14">
        <v>0</v>
      </c>
      <c r="AD713" s="14" t="s">
        <v>93</v>
      </c>
      <c r="AE713" s="17">
        <v>4.5</v>
      </c>
      <c r="AF713" s="15">
        <v>490817</v>
      </c>
      <c r="AG713" s="20">
        <f t="shared" si="125"/>
        <v>2333242</v>
      </c>
      <c r="AH713" s="14">
        <v>2</v>
      </c>
      <c r="AI713" s="14" t="s">
        <v>75</v>
      </c>
      <c r="AJ713" s="14">
        <v>12</v>
      </c>
      <c r="AK713" s="21">
        <f t="shared" si="126"/>
        <v>0.36</v>
      </c>
      <c r="AL713" s="20">
        <f t="shared" si="127"/>
        <v>322906.64159639436</v>
      </c>
      <c r="AM713" s="22">
        <f t="shared" si="128"/>
        <v>1.7445562234555003</v>
      </c>
      <c r="AN713" s="20">
        <f t="shared" si="129"/>
        <v>340099.80159639433</v>
      </c>
      <c r="AO713" s="16">
        <f t="shared" si="130"/>
        <v>2.2151227969424712</v>
      </c>
      <c r="AP713" s="15">
        <v>0</v>
      </c>
      <c r="AQ713" s="18" t="str">
        <f t="shared" si="131"/>
        <v>N/A</v>
      </c>
      <c r="AR713" s="23">
        <v>46043</v>
      </c>
      <c r="AS713" s="14" t="s">
        <v>94</v>
      </c>
    </row>
    <row r="714" spans="1:45" x14ac:dyDescent="0.25">
      <c r="A714" s="14" t="s">
        <v>2307</v>
      </c>
      <c r="B714" s="14" t="s">
        <v>2308</v>
      </c>
      <c r="C714" s="14">
        <v>9249248949</v>
      </c>
      <c r="D714" s="15" t="s">
        <v>2316</v>
      </c>
      <c r="E714" s="14">
        <v>23</v>
      </c>
      <c r="F714" s="14" t="s">
        <v>89</v>
      </c>
      <c r="G714" s="14" t="s">
        <v>90</v>
      </c>
      <c r="H714" s="14" t="s">
        <v>91</v>
      </c>
      <c r="I714" s="14" t="s">
        <v>92</v>
      </c>
      <c r="J714" s="15">
        <v>1340097</v>
      </c>
      <c r="K714" s="14">
        <v>1</v>
      </c>
      <c r="L714" s="14" t="s">
        <v>76</v>
      </c>
      <c r="M714" s="14" t="s">
        <v>75</v>
      </c>
      <c r="N714" s="14" t="s">
        <v>75</v>
      </c>
      <c r="O714" s="14" t="s">
        <v>75</v>
      </c>
      <c r="P714" s="14">
        <v>327</v>
      </c>
      <c r="Q714" s="15">
        <v>6163</v>
      </c>
      <c r="R714" s="15">
        <v>6013.11</v>
      </c>
      <c r="S714" s="14" t="s">
        <v>23</v>
      </c>
      <c r="T714" s="15">
        <v>245893</v>
      </c>
      <c r="U714" s="16">
        <f t="shared" si="121"/>
        <v>5.3844848544545652E-2</v>
      </c>
      <c r="V714" s="14">
        <v>0</v>
      </c>
      <c r="W714" s="17">
        <v>82.7</v>
      </c>
      <c r="X714" s="14">
        <v>7.2</v>
      </c>
      <c r="Y714" s="18">
        <f t="shared" si="122"/>
        <v>48.1</v>
      </c>
      <c r="Z714" s="18" t="str">
        <f t="shared" si="123"/>
        <v>Medium</v>
      </c>
      <c r="AA714" s="19" t="str">
        <f t="shared" si="124"/>
        <v>Not Eligible</v>
      </c>
      <c r="AB714" s="14" t="s">
        <v>77</v>
      </c>
      <c r="AC714" s="14">
        <v>3</v>
      </c>
      <c r="AD714" s="14" t="s">
        <v>93</v>
      </c>
      <c r="AE714" s="17">
        <v>0.5</v>
      </c>
      <c r="AF714" s="15">
        <v>0</v>
      </c>
      <c r="AG714" s="20">
        <f t="shared" si="125"/>
        <v>1340097</v>
      </c>
      <c r="AH714" s="14">
        <v>0</v>
      </c>
      <c r="AI714" s="14" t="s">
        <v>76</v>
      </c>
      <c r="AJ714" s="14">
        <v>300</v>
      </c>
      <c r="AK714" s="21">
        <f t="shared" si="126"/>
        <v>0.1</v>
      </c>
      <c r="AL714" s="20">
        <f t="shared" si="127"/>
        <v>2234.4315242308212</v>
      </c>
      <c r="AM714" s="22">
        <f t="shared" si="128"/>
        <v>0.18348895639643997</v>
      </c>
      <c r="AN714" s="20">
        <f t="shared" si="129"/>
        <v>8247.5415242308209</v>
      </c>
      <c r="AO714" s="16">
        <f t="shared" si="130"/>
        <v>7.3853234721643166E-2</v>
      </c>
      <c r="AP714" s="15">
        <v>9762773</v>
      </c>
      <c r="AQ714" s="18">
        <f t="shared" si="131"/>
        <v>2.5186798873639692E-2</v>
      </c>
      <c r="AR714" s="23">
        <v>46223</v>
      </c>
      <c r="AS714" s="14" t="s">
        <v>79</v>
      </c>
    </row>
    <row r="715" spans="1:45" x14ac:dyDescent="0.25">
      <c r="A715" s="14" t="s">
        <v>2311</v>
      </c>
      <c r="B715" s="14" t="s">
        <v>646</v>
      </c>
      <c r="C715" s="14">
        <v>9708436177</v>
      </c>
      <c r="D715" s="15" t="s">
        <v>2319</v>
      </c>
      <c r="E715" s="14">
        <v>49</v>
      </c>
      <c r="F715" s="14" t="s">
        <v>89</v>
      </c>
      <c r="G715" s="14" t="s">
        <v>226</v>
      </c>
      <c r="H715" s="14" t="s">
        <v>91</v>
      </c>
      <c r="I715" s="14" t="s">
        <v>92</v>
      </c>
      <c r="J715" s="15">
        <v>2407140</v>
      </c>
      <c r="K715" s="14">
        <v>1</v>
      </c>
      <c r="L715" s="14" t="s">
        <v>75</v>
      </c>
      <c r="M715" s="14" t="s">
        <v>75</v>
      </c>
      <c r="N715" s="14" t="s">
        <v>75</v>
      </c>
      <c r="O715" s="14" t="s">
        <v>76</v>
      </c>
      <c r="P715" s="14">
        <v>782</v>
      </c>
      <c r="Q715" s="15">
        <v>263051</v>
      </c>
      <c r="R715" s="15">
        <v>22609.96</v>
      </c>
      <c r="S715" s="14" t="s">
        <v>23</v>
      </c>
      <c r="T715" s="15">
        <v>299913</v>
      </c>
      <c r="U715" s="16">
        <f t="shared" si="121"/>
        <v>0.11271447443854533</v>
      </c>
      <c r="V715" s="14">
        <v>0</v>
      </c>
      <c r="W715" s="17">
        <v>82.3</v>
      </c>
      <c r="X715" s="14">
        <v>10.5</v>
      </c>
      <c r="Y715" s="18">
        <f t="shared" si="122"/>
        <v>19.5</v>
      </c>
      <c r="Z715" s="18" t="str">
        <f t="shared" si="123"/>
        <v>Low</v>
      </c>
      <c r="AA715" s="19" t="str">
        <f t="shared" si="124"/>
        <v>Eligible</v>
      </c>
      <c r="AB715" s="14" t="s">
        <v>77</v>
      </c>
      <c r="AC715" s="14">
        <v>3</v>
      </c>
      <c r="AD715" s="14" t="s">
        <v>93</v>
      </c>
      <c r="AE715" s="17">
        <v>13.6</v>
      </c>
      <c r="AF715" s="15">
        <v>0</v>
      </c>
      <c r="AG715" s="20">
        <f t="shared" si="125"/>
        <v>2407140</v>
      </c>
      <c r="AH715" s="14">
        <v>1</v>
      </c>
      <c r="AI715" s="14" t="s">
        <v>75</v>
      </c>
      <c r="AJ715" s="14">
        <v>240</v>
      </c>
      <c r="AK715" s="21">
        <f t="shared" si="126"/>
        <v>8.5000000000000006E-2</v>
      </c>
      <c r="AL715" s="20">
        <f t="shared" si="127"/>
        <v>2602.714693883574</v>
      </c>
      <c r="AM715" s="22">
        <f t="shared" si="128"/>
        <v>0.12459308557042797</v>
      </c>
      <c r="AN715" s="20">
        <f t="shared" si="129"/>
        <v>25212.674693883571</v>
      </c>
      <c r="AO715" s="16">
        <f t="shared" si="130"/>
        <v>0.1256894473635114</v>
      </c>
      <c r="AP715" s="15">
        <v>4377888</v>
      </c>
      <c r="AQ715" s="18">
        <f t="shared" si="131"/>
        <v>6.8506320856084033E-2</v>
      </c>
      <c r="AR715" s="23">
        <v>46238</v>
      </c>
      <c r="AS715" s="14" t="s">
        <v>79</v>
      </c>
    </row>
    <row r="716" spans="1:45" x14ac:dyDescent="0.25">
      <c r="A716" s="14" t="s">
        <v>2313</v>
      </c>
      <c r="B716" s="14" t="s">
        <v>2314</v>
      </c>
      <c r="C716" s="14">
        <v>9424792824</v>
      </c>
      <c r="D716" s="15"/>
      <c r="E716" s="14">
        <v>65</v>
      </c>
      <c r="F716" s="14" t="s">
        <v>89</v>
      </c>
      <c r="G716" s="14" t="s">
        <v>90</v>
      </c>
      <c r="H716" s="14" t="s">
        <v>84</v>
      </c>
      <c r="I716" s="14" t="s">
        <v>74</v>
      </c>
      <c r="J716" s="15">
        <v>2072460</v>
      </c>
      <c r="K716" s="14">
        <v>0</v>
      </c>
      <c r="L716" s="14" t="s">
        <v>75</v>
      </c>
      <c r="M716" s="14" t="s">
        <v>75</v>
      </c>
      <c r="N716" s="14" t="s">
        <v>75</v>
      </c>
      <c r="O716" s="14" t="s">
        <v>75</v>
      </c>
      <c r="P716" s="14">
        <v>753</v>
      </c>
      <c r="Q716" s="15">
        <v>648474.31999999995</v>
      </c>
      <c r="R716" s="15">
        <v>166.58</v>
      </c>
      <c r="S716" s="14" t="s">
        <v>21</v>
      </c>
      <c r="T716" s="15">
        <v>1429543</v>
      </c>
      <c r="U716" s="16">
        <f t="shared" si="121"/>
        <v>9.6453490055296604E-4</v>
      </c>
      <c r="V716" s="14">
        <v>3</v>
      </c>
      <c r="W716" s="17">
        <v>77.400000000000006</v>
      </c>
      <c r="X716" s="14">
        <v>6.2</v>
      </c>
      <c r="Y716" s="18">
        <f t="shared" si="122"/>
        <v>29.6</v>
      </c>
      <c r="Z716" s="18" t="str">
        <f t="shared" si="123"/>
        <v>Low</v>
      </c>
      <c r="AA716" s="19" t="str">
        <f t="shared" si="124"/>
        <v>Review</v>
      </c>
      <c r="AB716" s="14" t="s">
        <v>85</v>
      </c>
      <c r="AC716" s="14">
        <v>3</v>
      </c>
      <c r="AD716" s="14" t="s">
        <v>93</v>
      </c>
      <c r="AE716" s="17">
        <v>26.4</v>
      </c>
      <c r="AF716" s="15">
        <v>0</v>
      </c>
      <c r="AG716" s="20">
        <f t="shared" si="125"/>
        <v>2072460</v>
      </c>
      <c r="AH716" s="14">
        <v>3</v>
      </c>
      <c r="AI716" s="14" t="s">
        <v>75</v>
      </c>
      <c r="AJ716" s="14">
        <v>24</v>
      </c>
      <c r="AK716" s="21">
        <f t="shared" si="126"/>
        <v>0.14000000000000001</v>
      </c>
      <c r="AL716" s="20">
        <f t="shared" si="127"/>
        <v>68636.481186141362</v>
      </c>
      <c r="AM716" s="22">
        <f t="shared" si="128"/>
        <v>0.68978074365729614</v>
      </c>
      <c r="AN716" s="20">
        <f t="shared" si="129"/>
        <v>68803.061186141364</v>
      </c>
      <c r="AO716" s="16">
        <f t="shared" si="130"/>
        <v>0.39838488281254952</v>
      </c>
      <c r="AP716" s="15">
        <v>0</v>
      </c>
      <c r="AQ716" s="18" t="str">
        <f t="shared" si="131"/>
        <v>N/A</v>
      </c>
      <c r="AR716" s="23">
        <v>46155</v>
      </c>
      <c r="AS716" s="14" t="s">
        <v>79</v>
      </c>
    </row>
    <row r="717" spans="1:45" x14ac:dyDescent="0.25">
      <c r="A717" s="14" t="s">
        <v>2317</v>
      </c>
      <c r="B717" s="14" t="s">
        <v>2318</v>
      </c>
      <c r="C717" s="14">
        <v>9828313215</v>
      </c>
      <c r="D717" s="15" t="s">
        <v>2325</v>
      </c>
      <c r="E717" s="14">
        <v>31</v>
      </c>
      <c r="F717" s="14" t="s">
        <v>89</v>
      </c>
      <c r="G717" s="14" t="s">
        <v>139</v>
      </c>
      <c r="H717" s="14" t="s">
        <v>144</v>
      </c>
      <c r="I717" s="14" t="s">
        <v>92</v>
      </c>
      <c r="J717" s="15">
        <v>945580</v>
      </c>
      <c r="K717" s="14">
        <v>1</v>
      </c>
      <c r="L717" s="14" t="s">
        <v>76</v>
      </c>
      <c r="M717" s="14" t="s">
        <v>75</v>
      </c>
      <c r="N717" s="14" t="s">
        <v>75</v>
      </c>
      <c r="O717" s="14" t="s">
        <v>75</v>
      </c>
      <c r="P717" s="14">
        <v>538</v>
      </c>
      <c r="Q717" s="15">
        <v>957387.4</v>
      </c>
      <c r="R717" s="15">
        <v>6415.88</v>
      </c>
      <c r="S717" s="14" t="s">
        <v>20</v>
      </c>
      <c r="T717" s="15">
        <v>200218</v>
      </c>
      <c r="U717" s="16">
        <f t="shared" si="121"/>
        <v>8.1421519067662179E-2</v>
      </c>
      <c r="V717" s="14">
        <v>0</v>
      </c>
      <c r="W717" s="17">
        <v>83.9</v>
      </c>
      <c r="X717" s="14">
        <v>9.1999999999999993</v>
      </c>
      <c r="Y717" s="18">
        <f t="shared" si="122"/>
        <v>35</v>
      </c>
      <c r="Z717" s="18" t="str">
        <f t="shared" si="123"/>
        <v>Medium</v>
      </c>
      <c r="AA717" s="19" t="str">
        <f t="shared" si="124"/>
        <v>Not Eligible</v>
      </c>
      <c r="AB717" s="14" t="s">
        <v>85</v>
      </c>
      <c r="AC717" s="14">
        <v>2</v>
      </c>
      <c r="AD717" s="14" t="s">
        <v>78</v>
      </c>
      <c r="AE717" s="17">
        <v>2.2999999999999998</v>
      </c>
      <c r="AF717" s="15">
        <v>0</v>
      </c>
      <c r="AG717" s="20">
        <f t="shared" si="125"/>
        <v>945580</v>
      </c>
      <c r="AH717" s="14">
        <v>0</v>
      </c>
      <c r="AI717" s="14" t="s">
        <v>76</v>
      </c>
      <c r="AJ717" s="14">
        <v>18</v>
      </c>
      <c r="AK717" s="21">
        <f t="shared" si="126"/>
        <v>0.375</v>
      </c>
      <c r="AL717" s="20">
        <f t="shared" si="127"/>
        <v>14711.870236585415</v>
      </c>
      <c r="AM717" s="22">
        <f t="shared" si="128"/>
        <v>0.2117409420673026</v>
      </c>
      <c r="AN717" s="20">
        <f t="shared" si="129"/>
        <v>21127.750236585416</v>
      </c>
      <c r="AO717" s="16">
        <f t="shared" si="130"/>
        <v>0.26812432881303011</v>
      </c>
      <c r="AP717" s="15">
        <v>0</v>
      </c>
      <c r="AQ717" s="18" t="str">
        <f t="shared" si="131"/>
        <v>N/A</v>
      </c>
      <c r="AR717" s="23">
        <v>45939</v>
      </c>
      <c r="AS717" s="14" t="s">
        <v>79</v>
      </c>
    </row>
    <row r="718" spans="1:45" x14ac:dyDescent="0.25">
      <c r="A718" s="14" t="s">
        <v>2320</v>
      </c>
      <c r="B718" s="14" t="s">
        <v>2321</v>
      </c>
      <c r="C718" s="14">
        <v>9149801596</v>
      </c>
      <c r="D718" s="15" t="s">
        <v>2328</v>
      </c>
      <c r="E718" s="14">
        <v>65</v>
      </c>
      <c r="F718" s="14" t="s">
        <v>71</v>
      </c>
      <c r="G718" s="14" t="s">
        <v>139</v>
      </c>
      <c r="H718" s="14" t="s">
        <v>84</v>
      </c>
      <c r="I718" s="14" t="s">
        <v>74</v>
      </c>
      <c r="J718" s="15">
        <v>1804884</v>
      </c>
      <c r="K718" s="14">
        <v>1</v>
      </c>
      <c r="L718" s="14" t="s">
        <v>75</v>
      </c>
      <c r="M718" s="14" t="s">
        <v>75</v>
      </c>
      <c r="N718" s="14" t="s">
        <v>75</v>
      </c>
      <c r="O718" s="14" t="s">
        <v>76</v>
      </c>
      <c r="P718" s="14">
        <v>689</v>
      </c>
      <c r="Q718" s="15">
        <v>148563</v>
      </c>
      <c r="R718" s="15">
        <v>40529.64</v>
      </c>
      <c r="S718" s="14" t="s">
        <v>22</v>
      </c>
      <c r="T718" s="15">
        <v>2836590</v>
      </c>
      <c r="U718" s="16">
        <f t="shared" si="121"/>
        <v>0.26946644770522649</v>
      </c>
      <c r="V718" s="14">
        <v>0</v>
      </c>
      <c r="W718" s="17">
        <v>5.2</v>
      </c>
      <c r="X718" s="14">
        <v>4</v>
      </c>
      <c r="Y718" s="18">
        <f t="shared" si="122"/>
        <v>22.7</v>
      </c>
      <c r="Z718" s="18" t="str">
        <f t="shared" si="123"/>
        <v>Low</v>
      </c>
      <c r="AA718" s="19" t="str">
        <f t="shared" si="124"/>
        <v>Eligible</v>
      </c>
      <c r="AB718" s="14" t="s">
        <v>77</v>
      </c>
      <c r="AC718" s="14">
        <v>0</v>
      </c>
      <c r="AD718" s="14" t="s">
        <v>194</v>
      </c>
      <c r="AE718" s="17">
        <v>7.2</v>
      </c>
      <c r="AF718" s="15">
        <v>0</v>
      </c>
      <c r="AG718" s="20">
        <f t="shared" si="125"/>
        <v>1804884</v>
      </c>
      <c r="AH718" s="14">
        <v>1</v>
      </c>
      <c r="AI718" s="14" t="s">
        <v>75</v>
      </c>
      <c r="AJ718" s="14">
        <v>36</v>
      </c>
      <c r="AK718" s="21">
        <f t="shared" si="126"/>
        <v>0.09</v>
      </c>
      <c r="AL718" s="20">
        <f t="shared" si="127"/>
        <v>90202.803665861153</v>
      </c>
      <c r="AM718" s="22">
        <f t="shared" si="128"/>
        <v>1.5716190070940848</v>
      </c>
      <c r="AN718" s="20">
        <f t="shared" si="129"/>
        <v>130732.44366586115</v>
      </c>
      <c r="AO718" s="16">
        <f t="shared" si="130"/>
        <v>0.86919121893170637</v>
      </c>
      <c r="AP718" s="15">
        <v>1733099</v>
      </c>
      <c r="AQ718" s="18">
        <f t="shared" si="131"/>
        <v>1.6367155021149975</v>
      </c>
      <c r="AR718" s="23">
        <v>46252</v>
      </c>
      <c r="AS718" s="14" t="s">
        <v>79</v>
      </c>
    </row>
    <row r="719" spans="1:45" x14ac:dyDescent="0.25">
      <c r="A719" s="14" t="s">
        <v>2322</v>
      </c>
      <c r="B719" s="14" t="s">
        <v>2323</v>
      </c>
      <c r="C719" s="14"/>
      <c r="D719" s="15" t="s">
        <v>2332</v>
      </c>
      <c r="E719" s="14">
        <v>50</v>
      </c>
      <c r="F719" s="14" t="s">
        <v>71</v>
      </c>
      <c r="G719" s="14" t="s">
        <v>174</v>
      </c>
      <c r="H719" s="14" t="s">
        <v>107</v>
      </c>
      <c r="I719" s="14" t="s">
        <v>92</v>
      </c>
      <c r="J719" s="15">
        <v>2405531</v>
      </c>
      <c r="K719" s="14">
        <v>1</v>
      </c>
      <c r="L719" s="14" t="s">
        <v>75</v>
      </c>
      <c r="M719" s="14" t="s">
        <v>76</v>
      </c>
      <c r="N719" s="14" t="s">
        <v>75</v>
      </c>
      <c r="O719" s="14" t="s">
        <v>75</v>
      </c>
      <c r="P719" s="14">
        <v>577</v>
      </c>
      <c r="Q719" s="15">
        <v>1098862</v>
      </c>
      <c r="R719" s="15">
        <v>17407.04</v>
      </c>
      <c r="S719" s="14" t="s">
        <v>20</v>
      </c>
      <c r="T719" s="15">
        <v>362744</v>
      </c>
      <c r="U719" s="16">
        <f t="shared" si="121"/>
        <v>8.6835081318843946E-2</v>
      </c>
      <c r="V719" s="14">
        <v>4</v>
      </c>
      <c r="W719" s="17">
        <v>55.1</v>
      </c>
      <c r="X719" s="14">
        <v>13</v>
      </c>
      <c r="Y719" s="18">
        <f t="shared" si="122"/>
        <v>45.6</v>
      </c>
      <c r="Z719" s="18" t="str">
        <f t="shared" si="123"/>
        <v>Medium</v>
      </c>
      <c r="AA719" s="19" t="str">
        <f t="shared" si="124"/>
        <v>Review</v>
      </c>
      <c r="AB719" s="14" t="s">
        <v>77</v>
      </c>
      <c r="AC719" s="14">
        <v>3</v>
      </c>
      <c r="AD719" s="14" t="s">
        <v>78</v>
      </c>
      <c r="AE719" s="17">
        <v>19</v>
      </c>
      <c r="AF719" s="15">
        <v>729299</v>
      </c>
      <c r="AG719" s="20">
        <f t="shared" si="125"/>
        <v>3134830</v>
      </c>
      <c r="AH719" s="14">
        <v>2</v>
      </c>
      <c r="AI719" s="14" t="s">
        <v>75</v>
      </c>
      <c r="AJ719" s="14">
        <v>12</v>
      </c>
      <c r="AK719" s="21">
        <f t="shared" si="126"/>
        <v>0.375</v>
      </c>
      <c r="AL719" s="20">
        <f t="shared" si="127"/>
        <v>36714.471946364247</v>
      </c>
      <c r="AM719" s="22">
        <f t="shared" si="128"/>
        <v>0.15079581181867954</v>
      </c>
      <c r="AN719" s="20">
        <f t="shared" si="129"/>
        <v>54121.511946364248</v>
      </c>
      <c r="AO719" s="16">
        <f t="shared" si="130"/>
        <v>0.26998535598018525</v>
      </c>
      <c r="AP719" s="15">
        <v>0</v>
      </c>
      <c r="AQ719" s="18" t="str">
        <f t="shared" si="131"/>
        <v>N/A</v>
      </c>
      <c r="AR719" s="23">
        <v>46063</v>
      </c>
      <c r="AS719" s="14" t="s">
        <v>79</v>
      </c>
    </row>
    <row r="720" spans="1:45" x14ac:dyDescent="0.25">
      <c r="A720" s="14" t="s">
        <v>2326</v>
      </c>
      <c r="B720" s="14" t="s">
        <v>2327</v>
      </c>
      <c r="C720" s="14">
        <v>9856146133</v>
      </c>
      <c r="D720" s="15" t="s">
        <v>2335</v>
      </c>
      <c r="E720" s="14">
        <v>24</v>
      </c>
      <c r="F720" s="14" t="s">
        <v>71</v>
      </c>
      <c r="G720" s="14" t="s">
        <v>174</v>
      </c>
      <c r="H720" s="14" t="s">
        <v>84</v>
      </c>
      <c r="I720" s="14" t="s">
        <v>74</v>
      </c>
      <c r="J720" s="15">
        <v>478389</v>
      </c>
      <c r="K720" s="14">
        <v>3</v>
      </c>
      <c r="L720" s="14" t="s">
        <v>76</v>
      </c>
      <c r="M720" s="14" t="s">
        <v>76</v>
      </c>
      <c r="N720" s="14" t="s">
        <v>76</v>
      </c>
      <c r="O720" s="14" t="s">
        <v>75</v>
      </c>
      <c r="P720" s="14">
        <v>332</v>
      </c>
      <c r="Q720" s="15">
        <v>21512</v>
      </c>
      <c r="R720" s="15">
        <v>9285.2000000000007</v>
      </c>
      <c r="S720" s="14" t="s">
        <v>23</v>
      </c>
      <c r="T720" s="15">
        <v>782326</v>
      </c>
      <c r="U720" s="16">
        <f t="shared" si="121"/>
        <v>0.23291170992644064</v>
      </c>
      <c r="V720" s="14">
        <v>0</v>
      </c>
      <c r="W720" s="17">
        <v>55.2</v>
      </c>
      <c r="X720" s="14">
        <v>9.1</v>
      </c>
      <c r="Y720" s="18">
        <f t="shared" si="122"/>
        <v>50.4</v>
      </c>
      <c r="Z720" s="18" t="str">
        <f t="shared" si="123"/>
        <v>Medium</v>
      </c>
      <c r="AA720" s="19" t="str">
        <f t="shared" si="124"/>
        <v>Not Eligible</v>
      </c>
      <c r="AB720" s="14" t="s">
        <v>85</v>
      </c>
      <c r="AC720" s="14">
        <v>0</v>
      </c>
      <c r="AD720" s="14" t="s">
        <v>93</v>
      </c>
      <c r="AE720" s="17">
        <v>1.1000000000000001</v>
      </c>
      <c r="AF720" s="15">
        <v>544933</v>
      </c>
      <c r="AG720" s="20">
        <f t="shared" si="125"/>
        <v>1023322</v>
      </c>
      <c r="AH720" s="14">
        <v>1</v>
      </c>
      <c r="AI720" s="14" t="s">
        <v>75</v>
      </c>
      <c r="AJ720" s="14">
        <v>120</v>
      </c>
      <c r="AK720" s="21">
        <f t="shared" si="126"/>
        <v>0.1</v>
      </c>
      <c r="AL720" s="20">
        <f t="shared" si="127"/>
        <v>10338.495738176107</v>
      </c>
      <c r="AM720" s="22">
        <f t="shared" si="128"/>
        <v>1.6353344244955466</v>
      </c>
      <c r="AN720" s="20">
        <f t="shared" si="129"/>
        <v>19623.695738176109</v>
      </c>
      <c r="AO720" s="16">
        <f t="shared" si="130"/>
        <v>0.49224448902067841</v>
      </c>
      <c r="AP720" s="15">
        <v>3586615</v>
      </c>
      <c r="AQ720" s="18">
        <f t="shared" si="131"/>
        <v>0.21812377408782377</v>
      </c>
      <c r="AR720" s="23">
        <v>46159</v>
      </c>
      <c r="AS720" s="14" t="s">
        <v>79</v>
      </c>
    </row>
    <row r="721" spans="1:45" x14ac:dyDescent="0.25">
      <c r="A721" s="14" t="s">
        <v>2329</v>
      </c>
      <c r="B721" s="14" t="s">
        <v>1294</v>
      </c>
      <c r="C721" s="14">
        <v>9869711410</v>
      </c>
      <c r="D721" s="15" t="s">
        <v>2339</v>
      </c>
      <c r="E721" s="14">
        <v>61</v>
      </c>
      <c r="F721" s="14" t="s">
        <v>89</v>
      </c>
      <c r="G721" s="14" t="s">
        <v>120</v>
      </c>
      <c r="H721" s="14" t="s">
        <v>73</v>
      </c>
      <c r="I721" s="14" t="s">
        <v>74</v>
      </c>
      <c r="J721" s="15">
        <v>2057196</v>
      </c>
      <c r="K721" s="14">
        <v>2</v>
      </c>
      <c r="L721" s="14" t="s">
        <v>76</v>
      </c>
      <c r="M721" s="14" t="s">
        <v>75</v>
      </c>
      <c r="N721" s="14" t="s">
        <v>75</v>
      </c>
      <c r="O721" s="14" t="s">
        <v>76</v>
      </c>
      <c r="P721" s="14">
        <v>694</v>
      </c>
      <c r="Q721" s="15"/>
      <c r="R721" s="15">
        <v>48170.9</v>
      </c>
      <c r="S721" s="14" t="s">
        <v>23</v>
      </c>
      <c r="T721" s="15">
        <v>4882556</v>
      </c>
      <c r="U721" s="16">
        <f t="shared" si="121"/>
        <v>0.28098965776717438</v>
      </c>
      <c r="V721" s="14">
        <v>0</v>
      </c>
      <c r="W721" s="17">
        <v>6.5</v>
      </c>
      <c r="X721" s="14">
        <v>0.7</v>
      </c>
      <c r="Y721" s="18">
        <f t="shared" si="122"/>
        <v>22.8</v>
      </c>
      <c r="Z721" s="18" t="str">
        <f t="shared" si="123"/>
        <v>Low</v>
      </c>
      <c r="AA721" s="19" t="str">
        <f t="shared" si="124"/>
        <v>Eligible</v>
      </c>
      <c r="AB721" s="14" t="s">
        <v>85</v>
      </c>
      <c r="AC721" s="14">
        <v>0</v>
      </c>
      <c r="AD721" s="14" t="s">
        <v>93</v>
      </c>
      <c r="AE721" s="17">
        <v>13.9</v>
      </c>
      <c r="AF721" s="15">
        <v>0</v>
      </c>
      <c r="AG721" s="20">
        <f t="shared" si="125"/>
        <v>2057196</v>
      </c>
      <c r="AH721" s="14">
        <v>2</v>
      </c>
      <c r="AI721" s="14" t="s">
        <v>76</v>
      </c>
      <c r="AJ721" s="14">
        <v>300</v>
      </c>
      <c r="AK721" s="21">
        <f t="shared" si="126"/>
        <v>8.5000000000000006E-2</v>
      </c>
      <c r="AL721" s="20">
        <f t="shared" si="127"/>
        <v>39315.663277205298</v>
      </c>
      <c r="AM721" s="22">
        <f t="shared" si="128"/>
        <v>2.3734034093008152</v>
      </c>
      <c r="AN721" s="20">
        <f t="shared" si="129"/>
        <v>87486.563277205307</v>
      </c>
      <c r="AO721" s="16">
        <f t="shared" si="130"/>
        <v>0.51032510238521933</v>
      </c>
      <c r="AP721" s="15">
        <v>5881782</v>
      </c>
      <c r="AQ721" s="18">
        <f t="shared" si="131"/>
        <v>0.83011509097072966</v>
      </c>
      <c r="AR721" s="23">
        <v>46030</v>
      </c>
      <c r="AS721" s="14" t="s">
        <v>79</v>
      </c>
    </row>
    <row r="722" spans="1:45" x14ac:dyDescent="0.25">
      <c r="A722" s="14" t="s">
        <v>2330</v>
      </c>
      <c r="B722" s="14" t="s">
        <v>2331</v>
      </c>
      <c r="C722" s="14"/>
      <c r="D722" s="15" t="s">
        <v>2341</v>
      </c>
      <c r="E722" s="14">
        <v>61</v>
      </c>
      <c r="F722" s="14" t="s">
        <v>71</v>
      </c>
      <c r="G722" s="14" t="s">
        <v>215</v>
      </c>
      <c r="H722" s="14" t="s">
        <v>103</v>
      </c>
      <c r="I722" s="14" t="s">
        <v>74</v>
      </c>
      <c r="J722" s="15">
        <v>2489093</v>
      </c>
      <c r="K722" s="14">
        <v>1</v>
      </c>
      <c r="L722" s="14" t="s">
        <v>75</v>
      </c>
      <c r="M722" s="14" t="s">
        <v>75</v>
      </c>
      <c r="N722" s="14" t="s">
        <v>75</v>
      </c>
      <c r="O722" s="14" t="s">
        <v>76</v>
      </c>
      <c r="P722" s="14">
        <v>311</v>
      </c>
      <c r="Q722" s="15">
        <v>467753</v>
      </c>
      <c r="R722" s="15">
        <v>36628.730000000003</v>
      </c>
      <c r="S722" s="14" t="s">
        <v>21</v>
      </c>
      <c r="T722" s="15">
        <v>1090532</v>
      </c>
      <c r="U722" s="16">
        <f t="shared" si="121"/>
        <v>0.1765883235379313</v>
      </c>
      <c r="V722" s="14">
        <v>0</v>
      </c>
      <c r="W722" s="17">
        <v>88.3</v>
      </c>
      <c r="X722" s="14">
        <v>3.4</v>
      </c>
      <c r="Y722" s="18">
        <f t="shared" si="122"/>
        <v>53.4</v>
      </c>
      <c r="Z722" s="18" t="str">
        <f t="shared" si="123"/>
        <v>Medium</v>
      </c>
      <c r="AA722" s="19" t="str">
        <f t="shared" si="124"/>
        <v>Not Eligible</v>
      </c>
      <c r="AB722" s="14" t="s">
        <v>85</v>
      </c>
      <c r="AC722" s="14">
        <v>2</v>
      </c>
      <c r="AD722" s="14" t="s">
        <v>194</v>
      </c>
      <c r="AE722" s="17">
        <v>4.9000000000000004</v>
      </c>
      <c r="AF722" s="15">
        <v>423174</v>
      </c>
      <c r="AG722" s="20">
        <f t="shared" si="125"/>
        <v>2912267</v>
      </c>
      <c r="AH722" s="14">
        <v>0</v>
      </c>
      <c r="AI722" s="14" t="s">
        <v>75</v>
      </c>
      <c r="AJ722" s="14">
        <v>36</v>
      </c>
      <c r="AK722" s="21">
        <f t="shared" si="126"/>
        <v>0.15500000000000003</v>
      </c>
      <c r="AL722" s="20">
        <f t="shared" si="127"/>
        <v>38071.214796060616</v>
      </c>
      <c r="AM722" s="22">
        <f t="shared" si="128"/>
        <v>0.43812424847123027</v>
      </c>
      <c r="AN722" s="20">
        <f t="shared" si="129"/>
        <v>74699.944796060619</v>
      </c>
      <c r="AO722" s="16">
        <f t="shared" si="130"/>
        <v>0.36013091417344689</v>
      </c>
      <c r="AP722" s="15">
        <v>0</v>
      </c>
      <c r="AQ722" s="18" t="str">
        <f t="shared" si="131"/>
        <v>N/A</v>
      </c>
      <c r="AR722" s="23">
        <v>46186</v>
      </c>
      <c r="AS722" s="14" t="s">
        <v>79</v>
      </c>
    </row>
    <row r="723" spans="1:45" x14ac:dyDescent="0.25">
      <c r="A723" s="14" t="s">
        <v>2333</v>
      </c>
      <c r="B723" s="14" t="s">
        <v>2334</v>
      </c>
      <c r="C723" s="14">
        <v>9902077579</v>
      </c>
      <c r="D723" s="15" t="s">
        <v>2346</v>
      </c>
      <c r="E723" s="14">
        <v>60</v>
      </c>
      <c r="F723" s="14" t="s">
        <v>89</v>
      </c>
      <c r="G723" s="14" t="s">
        <v>417</v>
      </c>
      <c r="H723" s="14" t="s">
        <v>166</v>
      </c>
      <c r="I723" s="14" t="s">
        <v>74</v>
      </c>
      <c r="J723" s="15">
        <v>853057</v>
      </c>
      <c r="K723" s="14">
        <v>2</v>
      </c>
      <c r="L723" s="14" t="s">
        <v>75</v>
      </c>
      <c r="M723" s="14" t="s">
        <v>76</v>
      </c>
      <c r="N723" s="14" t="s">
        <v>75</v>
      </c>
      <c r="O723" s="14" t="s">
        <v>76</v>
      </c>
      <c r="P723" s="14">
        <v>615</v>
      </c>
      <c r="Q723" s="15">
        <v>115049</v>
      </c>
      <c r="R723" s="15">
        <v>632.70000000000005</v>
      </c>
      <c r="S723" s="14" t="s">
        <v>21</v>
      </c>
      <c r="T723" s="15">
        <v>2610611</v>
      </c>
      <c r="U723" s="16">
        <f t="shared" si="121"/>
        <v>8.9002258934631571E-3</v>
      </c>
      <c r="V723" s="14">
        <v>2</v>
      </c>
      <c r="W723" s="17">
        <v>29.3</v>
      </c>
      <c r="X723" s="14">
        <v>11.4</v>
      </c>
      <c r="Y723" s="18">
        <f t="shared" si="122"/>
        <v>30.2</v>
      </c>
      <c r="Z723" s="18" t="str">
        <f t="shared" si="123"/>
        <v>Medium</v>
      </c>
      <c r="AA723" s="19" t="str">
        <f t="shared" si="124"/>
        <v>Review</v>
      </c>
      <c r="AB723" s="14" t="s">
        <v>77</v>
      </c>
      <c r="AC723" s="14">
        <v>3</v>
      </c>
      <c r="AD723" s="14" t="s">
        <v>93</v>
      </c>
      <c r="AE723" s="17">
        <v>23.4</v>
      </c>
      <c r="AF723" s="15">
        <v>162201</v>
      </c>
      <c r="AG723" s="20">
        <f t="shared" si="125"/>
        <v>1015258</v>
      </c>
      <c r="AH723" s="14">
        <v>0</v>
      </c>
      <c r="AI723" s="14" t="s">
        <v>75</v>
      </c>
      <c r="AJ723" s="14">
        <v>36</v>
      </c>
      <c r="AK723" s="21">
        <f t="shared" si="126"/>
        <v>0.15500000000000003</v>
      </c>
      <c r="AL723" s="20">
        <f t="shared" si="127"/>
        <v>91138.207892990395</v>
      </c>
      <c r="AM723" s="22">
        <f t="shared" si="128"/>
        <v>3.0603007770875803</v>
      </c>
      <c r="AN723" s="20">
        <f t="shared" si="129"/>
        <v>91770.907892990392</v>
      </c>
      <c r="AO723" s="16">
        <f t="shared" si="130"/>
        <v>1.2909464370093495</v>
      </c>
      <c r="AP723" s="15">
        <v>0</v>
      </c>
      <c r="AQ723" s="18" t="str">
        <f t="shared" si="131"/>
        <v>N/A</v>
      </c>
      <c r="AR723" s="23">
        <v>46156</v>
      </c>
      <c r="AS723" s="14" t="s">
        <v>79</v>
      </c>
    </row>
    <row r="724" spans="1:45" x14ac:dyDescent="0.25">
      <c r="A724" s="14" t="s">
        <v>2336</v>
      </c>
      <c r="B724" s="14" t="s">
        <v>2337</v>
      </c>
      <c r="C724" s="14">
        <v>9264212912</v>
      </c>
      <c r="D724" s="15" t="s">
        <v>2352</v>
      </c>
      <c r="E724" s="14">
        <v>52</v>
      </c>
      <c r="F724" s="14" t="s">
        <v>71</v>
      </c>
      <c r="G724" s="14" t="s">
        <v>314</v>
      </c>
      <c r="H724" s="14" t="s">
        <v>103</v>
      </c>
      <c r="I724" s="14" t="s">
        <v>74</v>
      </c>
      <c r="J724" s="15">
        <v>1459495</v>
      </c>
      <c r="K724" s="14">
        <v>1</v>
      </c>
      <c r="L724" s="14" t="s">
        <v>75</v>
      </c>
      <c r="M724" s="14" t="s">
        <v>75</v>
      </c>
      <c r="N724" s="14" t="s">
        <v>76</v>
      </c>
      <c r="O724" s="14" t="s">
        <v>75</v>
      </c>
      <c r="P724" s="14">
        <v>430</v>
      </c>
      <c r="Q724" s="15"/>
      <c r="R724" s="15">
        <v>14437.81</v>
      </c>
      <c r="S724" s="14" t="s">
        <v>23</v>
      </c>
      <c r="T724" s="15">
        <v>1148726</v>
      </c>
      <c r="U724" s="16">
        <f t="shared" si="121"/>
        <v>0.11870799146280049</v>
      </c>
      <c r="V724" s="14">
        <v>3</v>
      </c>
      <c r="W724" s="17">
        <v>62.4</v>
      </c>
      <c r="X724" s="14">
        <v>9.4</v>
      </c>
      <c r="Y724" s="18">
        <f t="shared" si="122"/>
        <v>53.1</v>
      </c>
      <c r="Z724" s="18" t="str">
        <f t="shared" si="123"/>
        <v>Medium</v>
      </c>
      <c r="AA724" s="19" t="str">
        <f t="shared" si="124"/>
        <v>Not Eligible</v>
      </c>
      <c r="AB724" s="14" t="s">
        <v>85</v>
      </c>
      <c r="AC724" s="14">
        <v>1</v>
      </c>
      <c r="AD724" s="14" t="s">
        <v>78</v>
      </c>
      <c r="AE724" s="17">
        <v>11.4</v>
      </c>
      <c r="AF724" s="15">
        <v>762447</v>
      </c>
      <c r="AG724" s="20">
        <f t="shared" si="125"/>
        <v>2221942</v>
      </c>
      <c r="AH724" s="14">
        <v>3</v>
      </c>
      <c r="AI724" s="14" t="s">
        <v>75</v>
      </c>
      <c r="AJ724" s="14">
        <v>180</v>
      </c>
      <c r="AK724" s="21">
        <f t="shared" si="126"/>
        <v>0.1</v>
      </c>
      <c r="AL724" s="20">
        <f t="shared" si="127"/>
        <v>12344.268384443734</v>
      </c>
      <c r="AM724" s="22">
        <f t="shared" si="128"/>
        <v>0.78707087040380408</v>
      </c>
      <c r="AN724" s="20">
        <f t="shared" si="129"/>
        <v>26782.078384443732</v>
      </c>
      <c r="AO724" s="16">
        <f t="shared" si="130"/>
        <v>0.22020283770298957</v>
      </c>
      <c r="AP724" s="15">
        <v>5779589</v>
      </c>
      <c r="AQ724" s="18">
        <f t="shared" si="131"/>
        <v>0.19875565546269813</v>
      </c>
      <c r="AR724" s="23">
        <v>45920</v>
      </c>
      <c r="AS724" s="14" t="s">
        <v>94</v>
      </c>
    </row>
    <row r="725" spans="1:45" x14ac:dyDescent="0.25">
      <c r="A725" s="14" t="s">
        <v>2340</v>
      </c>
      <c r="B725" s="14" t="s">
        <v>2294</v>
      </c>
      <c r="C725" s="14">
        <v>9458120745</v>
      </c>
      <c r="D725" s="15" t="s">
        <v>2355</v>
      </c>
      <c r="E725" s="14">
        <v>31</v>
      </c>
      <c r="F725" s="14" t="s">
        <v>89</v>
      </c>
      <c r="G725" s="14" t="s">
        <v>72</v>
      </c>
      <c r="H725" s="14" t="s">
        <v>166</v>
      </c>
      <c r="I725" s="14" t="s">
        <v>74</v>
      </c>
      <c r="J725" s="15">
        <v>1909906</v>
      </c>
      <c r="K725" s="14">
        <v>2</v>
      </c>
      <c r="L725" s="14" t="s">
        <v>76</v>
      </c>
      <c r="M725" s="14" t="s">
        <v>76</v>
      </c>
      <c r="N725" s="14" t="s">
        <v>75</v>
      </c>
      <c r="O725" s="14" t="s">
        <v>75</v>
      </c>
      <c r="P725" s="14">
        <v>897</v>
      </c>
      <c r="Q725" s="15"/>
      <c r="R725" s="15">
        <v>19489.7</v>
      </c>
      <c r="S725" s="14" t="s">
        <v>22</v>
      </c>
      <c r="T725" s="15">
        <v>1240685</v>
      </c>
      <c r="U725" s="16">
        <f t="shared" si="121"/>
        <v>0.12245440351514683</v>
      </c>
      <c r="V725" s="14">
        <v>1</v>
      </c>
      <c r="W725" s="17">
        <v>61.1</v>
      </c>
      <c r="X725" s="14">
        <v>13.4</v>
      </c>
      <c r="Y725" s="18">
        <f t="shared" si="122"/>
        <v>14</v>
      </c>
      <c r="Z725" s="18" t="str">
        <f t="shared" si="123"/>
        <v>Low</v>
      </c>
      <c r="AA725" s="19" t="str">
        <f t="shared" si="124"/>
        <v>Eligible</v>
      </c>
      <c r="AB725" s="14" t="s">
        <v>77</v>
      </c>
      <c r="AC725" s="14">
        <v>3</v>
      </c>
      <c r="AD725" s="14" t="s">
        <v>93</v>
      </c>
      <c r="AE725" s="17">
        <v>7.5</v>
      </c>
      <c r="AF725" s="15">
        <v>0</v>
      </c>
      <c r="AG725" s="20">
        <f t="shared" si="125"/>
        <v>1909906</v>
      </c>
      <c r="AH725" s="14">
        <v>1</v>
      </c>
      <c r="AI725" s="14" t="s">
        <v>75</v>
      </c>
      <c r="AJ725" s="14">
        <v>48</v>
      </c>
      <c r="AK725" s="21">
        <f t="shared" si="126"/>
        <v>0.09</v>
      </c>
      <c r="AL725" s="20">
        <f t="shared" si="127"/>
        <v>30874.498797704564</v>
      </c>
      <c r="AM725" s="22">
        <f t="shared" si="128"/>
        <v>0.64960526853154033</v>
      </c>
      <c r="AN725" s="20">
        <f t="shared" si="129"/>
        <v>50364.198797704565</v>
      </c>
      <c r="AO725" s="16">
        <f t="shared" si="130"/>
        <v>0.31643985912000633</v>
      </c>
      <c r="AP725" s="15">
        <v>1308965</v>
      </c>
      <c r="AQ725" s="18">
        <f t="shared" si="131"/>
        <v>0.94783664956664238</v>
      </c>
      <c r="AR725" s="23">
        <v>46139</v>
      </c>
      <c r="AS725" s="14" t="s">
        <v>79</v>
      </c>
    </row>
    <row r="726" spans="1:45" x14ac:dyDescent="0.25">
      <c r="A726" s="14" t="s">
        <v>2342</v>
      </c>
      <c r="B726" s="14" t="s">
        <v>2343</v>
      </c>
      <c r="C726" s="14">
        <v>9445049909</v>
      </c>
      <c r="D726" s="15" t="s">
        <v>2358</v>
      </c>
      <c r="E726" s="14">
        <v>49</v>
      </c>
      <c r="F726" s="14" t="s">
        <v>71</v>
      </c>
      <c r="G726" s="14" t="s">
        <v>106</v>
      </c>
      <c r="H726" s="14" t="s">
        <v>99</v>
      </c>
      <c r="I726" s="14" t="s">
        <v>74</v>
      </c>
      <c r="J726" s="15">
        <v>351830</v>
      </c>
      <c r="K726" s="14">
        <v>3</v>
      </c>
      <c r="L726" s="14" t="s">
        <v>76</v>
      </c>
      <c r="M726" s="14" t="s">
        <v>76</v>
      </c>
      <c r="N726" s="14" t="s">
        <v>75</v>
      </c>
      <c r="O726" s="14" t="s">
        <v>76</v>
      </c>
      <c r="P726" s="14">
        <v>557</v>
      </c>
      <c r="Q726" s="15"/>
      <c r="R726" s="15">
        <v>6999.17</v>
      </c>
      <c r="S726" s="14" t="s">
        <v>20</v>
      </c>
      <c r="T726" s="15"/>
      <c r="U726" s="16">
        <f t="shared" si="121"/>
        <v>0.2387233607139812</v>
      </c>
      <c r="V726" s="14">
        <v>0</v>
      </c>
      <c r="W726" s="17">
        <v>55.1</v>
      </c>
      <c r="X726" s="14">
        <v>3</v>
      </c>
      <c r="Y726" s="18">
        <f t="shared" si="122"/>
        <v>35.5</v>
      </c>
      <c r="Z726" s="18" t="str">
        <f t="shared" si="123"/>
        <v>Medium</v>
      </c>
      <c r="AA726" s="19" t="str">
        <f t="shared" si="124"/>
        <v>Review</v>
      </c>
      <c r="AB726" s="14" t="s">
        <v>77</v>
      </c>
      <c r="AC726" s="14">
        <v>0</v>
      </c>
      <c r="AD726" s="14" t="s">
        <v>194</v>
      </c>
      <c r="AE726" s="17">
        <v>11.4</v>
      </c>
      <c r="AF726" s="15">
        <v>822604</v>
      </c>
      <c r="AG726" s="20">
        <f t="shared" si="125"/>
        <v>1174434</v>
      </c>
      <c r="AH726" s="14">
        <v>0</v>
      </c>
      <c r="AI726" s="14" t="s">
        <v>75</v>
      </c>
      <c r="AJ726" s="14">
        <v>36</v>
      </c>
      <c r="AK726" s="21">
        <f t="shared" si="126"/>
        <v>0.375</v>
      </c>
      <c r="AL726" s="20">
        <f t="shared" si="127"/>
        <v>0</v>
      </c>
      <c r="AM726" s="22">
        <f t="shared" si="128"/>
        <v>0</v>
      </c>
      <c r="AN726" s="20">
        <f t="shared" si="129"/>
        <v>6999.17</v>
      </c>
      <c r="AO726" s="16">
        <f t="shared" si="130"/>
        <v>0.2387233607139812</v>
      </c>
      <c r="AP726" s="15">
        <v>0</v>
      </c>
      <c r="AQ726" s="18" t="str">
        <f t="shared" si="131"/>
        <v>N/A</v>
      </c>
      <c r="AR726" s="23">
        <v>46099</v>
      </c>
      <c r="AS726" s="14" t="s">
        <v>79</v>
      </c>
    </row>
    <row r="727" spans="1:45" x14ac:dyDescent="0.25">
      <c r="A727" s="14" t="s">
        <v>2344</v>
      </c>
      <c r="B727" s="14" t="s">
        <v>2345</v>
      </c>
      <c r="C727" s="14"/>
      <c r="D727" s="15" t="s">
        <v>2360</v>
      </c>
      <c r="E727" s="14">
        <v>40</v>
      </c>
      <c r="F727" s="14" t="s">
        <v>71</v>
      </c>
      <c r="G727" s="14" t="s">
        <v>90</v>
      </c>
      <c r="H727" s="14" t="s">
        <v>84</v>
      </c>
      <c r="I727" s="14" t="s">
        <v>74</v>
      </c>
      <c r="J727" s="15">
        <v>596608</v>
      </c>
      <c r="K727" s="14">
        <v>3</v>
      </c>
      <c r="L727" s="14" t="s">
        <v>76</v>
      </c>
      <c r="M727" s="14" t="s">
        <v>76</v>
      </c>
      <c r="N727" s="14" t="s">
        <v>76</v>
      </c>
      <c r="O727" s="14" t="s">
        <v>75</v>
      </c>
      <c r="P727" s="14">
        <v>807</v>
      </c>
      <c r="Q727" s="15">
        <v>1016384.73</v>
      </c>
      <c r="R727" s="15">
        <v>2212.48</v>
      </c>
      <c r="S727" s="14" t="s">
        <v>23</v>
      </c>
      <c r="T727" s="15"/>
      <c r="U727" s="16">
        <f t="shared" si="121"/>
        <v>4.450118000429093E-2</v>
      </c>
      <c r="V727" s="14">
        <v>0</v>
      </c>
      <c r="W727" s="17">
        <v>63.2</v>
      </c>
      <c r="X727" s="14">
        <v>6.6</v>
      </c>
      <c r="Y727" s="18">
        <f t="shared" si="122"/>
        <v>13.9</v>
      </c>
      <c r="Z727" s="18" t="str">
        <f t="shared" si="123"/>
        <v>Low</v>
      </c>
      <c r="AA727" s="19" t="str">
        <f t="shared" si="124"/>
        <v>Eligible</v>
      </c>
      <c r="AB727" s="14" t="s">
        <v>85</v>
      </c>
      <c r="AC727" s="14">
        <v>2</v>
      </c>
      <c r="AD727" s="14" t="s">
        <v>78</v>
      </c>
      <c r="AE727" s="17">
        <v>14.2</v>
      </c>
      <c r="AF727" s="15">
        <v>0</v>
      </c>
      <c r="AG727" s="20">
        <f t="shared" si="125"/>
        <v>596608</v>
      </c>
      <c r="AH727" s="14">
        <v>1</v>
      </c>
      <c r="AI727" s="14" t="s">
        <v>75</v>
      </c>
      <c r="AJ727" s="14">
        <v>120</v>
      </c>
      <c r="AK727" s="21">
        <f t="shared" si="126"/>
        <v>8.5000000000000006E-2</v>
      </c>
      <c r="AL727" s="20">
        <f t="shared" si="127"/>
        <v>0</v>
      </c>
      <c r="AM727" s="22">
        <f t="shared" si="128"/>
        <v>0</v>
      </c>
      <c r="AN727" s="20">
        <f t="shared" si="129"/>
        <v>2212.48</v>
      </c>
      <c r="AO727" s="16">
        <f t="shared" si="130"/>
        <v>4.450118000429093E-2</v>
      </c>
      <c r="AP727" s="15">
        <v>3217256</v>
      </c>
      <c r="AQ727" s="18">
        <f t="shared" si="131"/>
        <v>0</v>
      </c>
      <c r="AR727" s="23">
        <v>46258</v>
      </c>
      <c r="AS727" s="14" t="s">
        <v>79</v>
      </c>
    </row>
    <row r="728" spans="1:45" x14ac:dyDescent="0.25">
      <c r="A728" s="14" t="s">
        <v>2347</v>
      </c>
      <c r="B728" s="14" t="s">
        <v>2103</v>
      </c>
      <c r="C728" s="14">
        <v>9981292633</v>
      </c>
      <c r="D728" s="15" t="s">
        <v>2363</v>
      </c>
      <c r="E728" s="14">
        <v>35</v>
      </c>
      <c r="F728" s="14" t="s">
        <v>71</v>
      </c>
      <c r="G728" s="14" t="s">
        <v>115</v>
      </c>
      <c r="H728" s="14" t="s">
        <v>99</v>
      </c>
      <c r="I728" s="14" t="s">
        <v>74</v>
      </c>
      <c r="J728" s="15">
        <v>2095611</v>
      </c>
      <c r="K728" s="14">
        <v>0</v>
      </c>
      <c r="L728" s="14" t="s">
        <v>75</v>
      </c>
      <c r="M728" s="14" t="s">
        <v>75</v>
      </c>
      <c r="N728" s="14" t="s">
        <v>75</v>
      </c>
      <c r="O728" s="14" t="s">
        <v>75</v>
      </c>
      <c r="P728" s="14">
        <v>710</v>
      </c>
      <c r="Q728" s="15">
        <v>59695.99</v>
      </c>
      <c r="R728" s="15">
        <v>546.17999999999995</v>
      </c>
      <c r="S728" s="14" t="s">
        <v>20</v>
      </c>
      <c r="T728" s="15">
        <v>959064</v>
      </c>
      <c r="U728" s="16">
        <f t="shared" si="121"/>
        <v>3.1275651826603314E-3</v>
      </c>
      <c r="V728" s="14">
        <v>8</v>
      </c>
      <c r="W728" s="17">
        <v>40.200000000000003</v>
      </c>
      <c r="X728" s="14">
        <v>8.1</v>
      </c>
      <c r="Y728" s="18">
        <f t="shared" si="122"/>
        <v>36.799999999999997</v>
      </c>
      <c r="Z728" s="18" t="str">
        <f t="shared" si="123"/>
        <v>Medium</v>
      </c>
      <c r="AA728" s="19" t="str">
        <f t="shared" si="124"/>
        <v>Not Eligible</v>
      </c>
      <c r="AB728" s="14" t="s">
        <v>77</v>
      </c>
      <c r="AC728" s="14">
        <v>0</v>
      </c>
      <c r="AD728" s="14" t="s">
        <v>93</v>
      </c>
      <c r="AE728" s="17">
        <v>3.7</v>
      </c>
      <c r="AF728" s="15">
        <v>0</v>
      </c>
      <c r="AG728" s="20">
        <f t="shared" si="125"/>
        <v>2095611</v>
      </c>
      <c r="AH728" s="14">
        <v>0</v>
      </c>
      <c r="AI728" s="14" t="s">
        <v>75</v>
      </c>
      <c r="AJ728" s="14">
        <v>12</v>
      </c>
      <c r="AK728" s="21">
        <f t="shared" si="126"/>
        <v>0.375</v>
      </c>
      <c r="AL728" s="20">
        <f t="shared" si="127"/>
        <v>97069.912452770775</v>
      </c>
      <c r="AM728" s="22">
        <f t="shared" si="128"/>
        <v>0.45765363896257466</v>
      </c>
      <c r="AN728" s="20">
        <f t="shared" si="129"/>
        <v>97616.092452770768</v>
      </c>
      <c r="AO728" s="16">
        <f t="shared" si="130"/>
        <v>0.55897449929077925</v>
      </c>
      <c r="AP728" s="15">
        <v>0</v>
      </c>
      <c r="AQ728" s="18" t="str">
        <f t="shared" si="131"/>
        <v>N/A</v>
      </c>
      <c r="AR728" s="23">
        <v>46164</v>
      </c>
      <c r="AS728" s="14" t="s">
        <v>79</v>
      </c>
    </row>
    <row r="729" spans="1:45" x14ac:dyDescent="0.25">
      <c r="A729" s="14" t="s">
        <v>2350</v>
      </c>
      <c r="B729" s="14" t="s">
        <v>2351</v>
      </c>
      <c r="C729" s="14">
        <v>9804586994</v>
      </c>
      <c r="D729" s="15"/>
      <c r="E729" s="14">
        <v>21</v>
      </c>
      <c r="F729" s="14" t="s">
        <v>89</v>
      </c>
      <c r="G729" s="14" t="s">
        <v>131</v>
      </c>
      <c r="H729" s="14" t="s">
        <v>84</v>
      </c>
      <c r="I729" s="14" t="s">
        <v>74</v>
      </c>
      <c r="J729" s="15">
        <v>2358365</v>
      </c>
      <c r="K729" s="14">
        <v>1</v>
      </c>
      <c r="L729" s="14" t="s">
        <v>76</v>
      </c>
      <c r="M729" s="14" t="s">
        <v>75</v>
      </c>
      <c r="N729" s="14" t="s">
        <v>75</v>
      </c>
      <c r="O729" s="14" t="s">
        <v>75</v>
      </c>
      <c r="P729" s="14">
        <v>498</v>
      </c>
      <c r="Q729" s="15">
        <v>214691.99</v>
      </c>
      <c r="R729" s="15">
        <v>13377.81</v>
      </c>
      <c r="S729" s="14" t="s">
        <v>22</v>
      </c>
      <c r="T729" s="15"/>
      <c r="U729" s="16">
        <f t="shared" si="121"/>
        <v>6.8069921322611221E-2</v>
      </c>
      <c r="V729" s="14">
        <v>0</v>
      </c>
      <c r="W729" s="17">
        <v>9.9</v>
      </c>
      <c r="X729" s="14">
        <v>7.5</v>
      </c>
      <c r="Y729" s="18">
        <f t="shared" si="122"/>
        <v>29.8</v>
      </c>
      <c r="Z729" s="18" t="str">
        <f t="shared" si="123"/>
        <v>Low</v>
      </c>
      <c r="AA729" s="19" t="str">
        <f t="shared" si="124"/>
        <v>Not Eligible</v>
      </c>
      <c r="AB729" s="14" t="s">
        <v>85</v>
      </c>
      <c r="AC729" s="14">
        <v>0</v>
      </c>
      <c r="AD729" s="14" t="s">
        <v>93</v>
      </c>
      <c r="AE729" s="17">
        <v>0.3</v>
      </c>
      <c r="AF729" s="15">
        <v>0</v>
      </c>
      <c r="AG729" s="20">
        <f t="shared" si="125"/>
        <v>2358365</v>
      </c>
      <c r="AH729" s="14">
        <v>0</v>
      </c>
      <c r="AI729" s="14" t="s">
        <v>75</v>
      </c>
      <c r="AJ729" s="14">
        <v>72</v>
      </c>
      <c r="AK729" s="21">
        <f t="shared" si="126"/>
        <v>0.09</v>
      </c>
      <c r="AL729" s="20">
        <f t="shared" si="127"/>
        <v>0</v>
      </c>
      <c r="AM729" s="22">
        <f t="shared" si="128"/>
        <v>0</v>
      </c>
      <c r="AN729" s="20">
        <f t="shared" si="129"/>
        <v>13377.81</v>
      </c>
      <c r="AO729" s="16">
        <f t="shared" si="130"/>
        <v>6.8069921322611221E-2</v>
      </c>
      <c r="AP729" s="15">
        <v>1381181</v>
      </c>
      <c r="AQ729" s="18">
        <f t="shared" si="131"/>
        <v>0</v>
      </c>
      <c r="AR729" s="23">
        <v>45986</v>
      </c>
      <c r="AS729" s="14" t="s">
        <v>94</v>
      </c>
    </row>
    <row r="730" spans="1:45" x14ac:dyDescent="0.25">
      <c r="A730" s="14" t="s">
        <v>2353</v>
      </c>
      <c r="B730" s="14" t="s">
        <v>2354</v>
      </c>
      <c r="C730" s="14">
        <v>9882966815</v>
      </c>
      <c r="D730" s="15" t="s">
        <v>2373</v>
      </c>
      <c r="E730" s="14">
        <v>58</v>
      </c>
      <c r="F730" s="14" t="s">
        <v>71</v>
      </c>
      <c r="G730" s="14" t="s">
        <v>388</v>
      </c>
      <c r="H730" s="14" t="s">
        <v>144</v>
      </c>
      <c r="I730" s="14" t="s">
        <v>92</v>
      </c>
      <c r="J730" s="15">
        <v>2331214</v>
      </c>
      <c r="K730" s="14">
        <v>2</v>
      </c>
      <c r="L730" s="14" t="s">
        <v>76</v>
      </c>
      <c r="M730" s="14" t="s">
        <v>75</v>
      </c>
      <c r="N730" s="14" t="s">
        <v>76</v>
      </c>
      <c r="O730" s="14" t="s">
        <v>75</v>
      </c>
      <c r="P730" s="14">
        <v>600</v>
      </c>
      <c r="Q730" s="15">
        <v>453820</v>
      </c>
      <c r="R730" s="15">
        <v>38432.730000000003</v>
      </c>
      <c r="S730" s="14" t="s">
        <v>22</v>
      </c>
      <c r="T730" s="15">
        <v>786726</v>
      </c>
      <c r="U730" s="16">
        <f t="shared" si="121"/>
        <v>0.19783372955035444</v>
      </c>
      <c r="V730" s="14">
        <v>0</v>
      </c>
      <c r="W730" s="17">
        <v>62.8</v>
      </c>
      <c r="X730" s="14">
        <v>11.7</v>
      </c>
      <c r="Y730" s="18">
        <f t="shared" si="122"/>
        <v>32.200000000000003</v>
      </c>
      <c r="Z730" s="18" t="str">
        <f t="shared" si="123"/>
        <v>Medium</v>
      </c>
      <c r="AA730" s="19" t="str">
        <f t="shared" si="124"/>
        <v>Review</v>
      </c>
      <c r="AB730" s="14" t="s">
        <v>85</v>
      </c>
      <c r="AC730" s="14">
        <v>0</v>
      </c>
      <c r="AD730" s="14" t="s">
        <v>93</v>
      </c>
      <c r="AE730" s="17">
        <v>16.2</v>
      </c>
      <c r="AF730" s="15">
        <v>0</v>
      </c>
      <c r="AG730" s="20">
        <f t="shared" si="125"/>
        <v>2331214</v>
      </c>
      <c r="AH730" s="14">
        <v>1</v>
      </c>
      <c r="AI730" s="14" t="s">
        <v>75</v>
      </c>
      <c r="AJ730" s="14">
        <v>24</v>
      </c>
      <c r="AK730" s="21">
        <f t="shared" si="126"/>
        <v>0.105</v>
      </c>
      <c r="AL730" s="20">
        <f t="shared" si="127"/>
        <v>36485.237734776296</v>
      </c>
      <c r="AM730" s="22">
        <f t="shared" si="128"/>
        <v>0.33747480926247009</v>
      </c>
      <c r="AN730" s="20">
        <f t="shared" si="129"/>
        <v>74917.967734776292</v>
      </c>
      <c r="AO730" s="16">
        <f t="shared" si="130"/>
        <v>0.38564267922949824</v>
      </c>
      <c r="AP730" s="15">
        <v>1531751</v>
      </c>
      <c r="AQ730" s="18">
        <f t="shared" si="131"/>
        <v>0.51361219937183</v>
      </c>
      <c r="AR730" s="23">
        <v>45897</v>
      </c>
      <c r="AS730" s="14" t="s">
        <v>79</v>
      </c>
    </row>
    <row r="731" spans="1:45" x14ac:dyDescent="0.25">
      <c r="A731" s="14" t="s">
        <v>2356</v>
      </c>
      <c r="B731" s="14" t="s">
        <v>2357</v>
      </c>
      <c r="C731" s="14">
        <v>9522378602</v>
      </c>
      <c r="D731" s="15" t="s">
        <v>2376</v>
      </c>
      <c r="E731" s="14">
        <v>25</v>
      </c>
      <c r="F731" s="14" t="s">
        <v>89</v>
      </c>
      <c r="G731" s="14" t="s">
        <v>90</v>
      </c>
      <c r="H731" s="14" t="s">
        <v>144</v>
      </c>
      <c r="I731" s="14" t="s">
        <v>92</v>
      </c>
      <c r="J731" s="15">
        <v>1798540</v>
      </c>
      <c r="K731" s="14">
        <v>2</v>
      </c>
      <c r="L731" s="14" t="s">
        <v>76</v>
      </c>
      <c r="M731" s="14" t="s">
        <v>75</v>
      </c>
      <c r="N731" s="14" t="s">
        <v>75</v>
      </c>
      <c r="O731" s="14" t="s">
        <v>76</v>
      </c>
      <c r="P731" s="14">
        <v>851</v>
      </c>
      <c r="Q731" s="15">
        <v>53475</v>
      </c>
      <c r="R731" s="15">
        <v>37648.07</v>
      </c>
      <c r="S731" s="14" t="s">
        <v>22</v>
      </c>
      <c r="T731" s="15"/>
      <c r="U731" s="16">
        <f t="shared" si="121"/>
        <v>0.25119087704471404</v>
      </c>
      <c r="V731" s="14">
        <v>0</v>
      </c>
      <c r="W731" s="17">
        <v>97.3</v>
      </c>
      <c r="X731" s="14">
        <v>0.7</v>
      </c>
      <c r="Y731" s="18">
        <f t="shared" si="122"/>
        <v>20.5</v>
      </c>
      <c r="Z731" s="18" t="str">
        <f t="shared" si="123"/>
        <v>Low</v>
      </c>
      <c r="AA731" s="19" t="str">
        <f t="shared" si="124"/>
        <v>Eligible</v>
      </c>
      <c r="AB731" s="14" t="s">
        <v>77</v>
      </c>
      <c r="AC731" s="14">
        <v>2</v>
      </c>
      <c r="AD731" s="14" t="s">
        <v>78</v>
      </c>
      <c r="AE731" s="17">
        <v>0.3</v>
      </c>
      <c r="AF731" s="15">
        <v>706491</v>
      </c>
      <c r="AG731" s="20">
        <f t="shared" si="125"/>
        <v>2505031</v>
      </c>
      <c r="AH731" s="14">
        <v>1</v>
      </c>
      <c r="AI731" s="14" t="s">
        <v>75</v>
      </c>
      <c r="AJ731" s="14">
        <v>48</v>
      </c>
      <c r="AK731" s="21">
        <f t="shared" si="126"/>
        <v>0.09</v>
      </c>
      <c r="AL731" s="20">
        <f t="shared" si="127"/>
        <v>0</v>
      </c>
      <c r="AM731" s="22">
        <f t="shared" si="128"/>
        <v>0</v>
      </c>
      <c r="AN731" s="20">
        <f t="shared" si="129"/>
        <v>37648.07</v>
      </c>
      <c r="AO731" s="16">
        <f t="shared" si="130"/>
        <v>0.25119087704471404</v>
      </c>
      <c r="AP731" s="15">
        <v>1275148</v>
      </c>
      <c r="AQ731" s="18">
        <f t="shared" si="131"/>
        <v>0</v>
      </c>
      <c r="AR731" s="23">
        <v>46126</v>
      </c>
      <c r="AS731" s="14" t="s">
        <v>79</v>
      </c>
    </row>
    <row r="732" spans="1:45" x14ac:dyDescent="0.25">
      <c r="A732" s="14" t="s">
        <v>2359</v>
      </c>
      <c r="B732" s="14" t="s">
        <v>1887</v>
      </c>
      <c r="C732" s="14"/>
      <c r="D732" s="15" t="s">
        <v>2379</v>
      </c>
      <c r="E732" s="14">
        <v>36</v>
      </c>
      <c r="F732" s="14" t="s">
        <v>71</v>
      </c>
      <c r="G732" s="14" t="s">
        <v>153</v>
      </c>
      <c r="H732" s="14" t="s">
        <v>166</v>
      </c>
      <c r="I732" s="14" t="s">
        <v>74</v>
      </c>
      <c r="J732" s="15">
        <v>2363165</v>
      </c>
      <c r="K732" s="14">
        <v>1</v>
      </c>
      <c r="L732" s="14" t="s">
        <v>75</v>
      </c>
      <c r="M732" s="14" t="s">
        <v>76</v>
      </c>
      <c r="N732" s="14" t="s">
        <v>75</v>
      </c>
      <c r="O732" s="14" t="s">
        <v>75</v>
      </c>
      <c r="P732" s="14">
        <v>312</v>
      </c>
      <c r="Q732" s="15">
        <v>99357.14</v>
      </c>
      <c r="R732" s="15">
        <v>31762.02</v>
      </c>
      <c r="S732" s="14" t="s">
        <v>22</v>
      </c>
      <c r="T732" s="15">
        <v>974613</v>
      </c>
      <c r="U732" s="16">
        <f t="shared" si="121"/>
        <v>0.161285496357639</v>
      </c>
      <c r="V732" s="14">
        <v>1</v>
      </c>
      <c r="W732" s="17">
        <v>98.5</v>
      </c>
      <c r="X732" s="14">
        <v>14.9</v>
      </c>
      <c r="Y732" s="18">
        <f t="shared" si="122"/>
        <v>57.9</v>
      </c>
      <c r="Z732" s="18" t="str">
        <f t="shared" si="123"/>
        <v>Medium</v>
      </c>
      <c r="AA732" s="19" t="str">
        <f t="shared" si="124"/>
        <v>Not Eligible</v>
      </c>
      <c r="AB732" s="14" t="s">
        <v>85</v>
      </c>
      <c r="AC732" s="14">
        <v>3</v>
      </c>
      <c r="AD732" s="14" t="s">
        <v>93</v>
      </c>
      <c r="AE732" s="17">
        <v>2.5</v>
      </c>
      <c r="AF732" s="15">
        <v>554721</v>
      </c>
      <c r="AG732" s="20">
        <f t="shared" si="125"/>
        <v>2917886</v>
      </c>
      <c r="AH732" s="14">
        <v>1</v>
      </c>
      <c r="AI732" s="14" t="s">
        <v>75</v>
      </c>
      <c r="AJ732" s="14">
        <v>60</v>
      </c>
      <c r="AK732" s="21">
        <f t="shared" si="126"/>
        <v>0.105</v>
      </c>
      <c r="AL732" s="20">
        <f t="shared" si="127"/>
        <v>20948.234729218191</v>
      </c>
      <c r="AM732" s="22">
        <f t="shared" si="128"/>
        <v>0.41241851500001059</v>
      </c>
      <c r="AN732" s="20">
        <f t="shared" si="129"/>
        <v>52710.254729218192</v>
      </c>
      <c r="AO732" s="16">
        <f t="shared" si="130"/>
        <v>0.26765928606365541</v>
      </c>
      <c r="AP732" s="15">
        <v>657086</v>
      </c>
      <c r="AQ732" s="18">
        <f t="shared" si="131"/>
        <v>1.4832350712083351</v>
      </c>
      <c r="AR732" s="23">
        <v>45915</v>
      </c>
      <c r="AS732" s="14" t="s">
        <v>79</v>
      </c>
    </row>
    <row r="733" spans="1:45" x14ac:dyDescent="0.25">
      <c r="A733" s="14" t="s">
        <v>2361</v>
      </c>
      <c r="B733" s="14" t="s">
        <v>2362</v>
      </c>
      <c r="C733" s="14">
        <v>9229681831</v>
      </c>
      <c r="D733" s="15"/>
      <c r="E733" s="14">
        <v>46</v>
      </c>
      <c r="F733" s="14" t="s">
        <v>89</v>
      </c>
      <c r="G733" s="14" t="s">
        <v>127</v>
      </c>
      <c r="H733" s="14" t="s">
        <v>107</v>
      </c>
      <c r="I733" s="14" t="s">
        <v>92</v>
      </c>
      <c r="J733" s="15">
        <v>352208</v>
      </c>
      <c r="K733" s="14">
        <v>1</v>
      </c>
      <c r="L733" s="14" t="s">
        <v>76</v>
      </c>
      <c r="M733" s="14" t="s">
        <v>75</v>
      </c>
      <c r="N733" s="14" t="s">
        <v>75</v>
      </c>
      <c r="O733" s="14" t="s">
        <v>75</v>
      </c>
      <c r="P733" s="14">
        <v>691</v>
      </c>
      <c r="Q733" s="15">
        <v>111698.52</v>
      </c>
      <c r="R733" s="15">
        <v>1530.67</v>
      </c>
      <c r="S733" s="14" t="s">
        <v>21</v>
      </c>
      <c r="T733" s="15">
        <v>613331</v>
      </c>
      <c r="U733" s="16">
        <f t="shared" si="121"/>
        <v>5.2151115250079504E-2</v>
      </c>
      <c r="V733" s="14">
        <v>0</v>
      </c>
      <c r="W733" s="17">
        <v>27.5</v>
      </c>
      <c r="X733" s="14">
        <v>10.9</v>
      </c>
      <c r="Y733" s="18">
        <f t="shared" si="122"/>
        <v>18.2</v>
      </c>
      <c r="Z733" s="18" t="str">
        <f t="shared" si="123"/>
        <v>Low</v>
      </c>
      <c r="AA733" s="19" t="str">
        <f t="shared" si="124"/>
        <v>Eligible</v>
      </c>
      <c r="AB733" s="14" t="s">
        <v>85</v>
      </c>
      <c r="AC733" s="14">
        <v>0</v>
      </c>
      <c r="AD733" s="14" t="s">
        <v>78</v>
      </c>
      <c r="AE733" s="17">
        <v>24.6</v>
      </c>
      <c r="AF733" s="15">
        <v>787503</v>
      </c>
      <c r="AG733" s="20">
        <f t="shared" si="125"/>
        <v>1139711</v>
      </c>
      <c r="AH733" s="14">
        <v>0</v>
      </c>
      <c r="AI733" s="14" t="s">
        <v>75</v>
      </c>
      <c r="AJ733" s="14">
        <v>12</v>
      </c>
      <c r="AK733" s="21">
        <f t="shared" si="126"/>
        <v>0.14000000000000001</v>
      </c>
      <c r="AL733" s="20">
        <f t="shared" si="127"/>
        <v>55069.222631725861</v>
      </c>
      <c r="AM733" s="22">
        <f t="shared" si="128"/>
        <v>1.7413886112751555</v>
      </c>
      <c r="AN733" s="20">
        <f t="shared" si="129"/>
        <v>56599.892631725859</v>
      </c>
      <c r="AO733" s="16">
        <f t="shared" si="130"/>
        <v>1.9284022838229407</v>
      </c>
      <c r="AP733" s="15">
        <v>0</v>
      </c>
      <c r="AQ733" s="18" t="str">
        <f t="shared" si="131"/>
        <v>N/A</v>
      </c>
      <c r="AR733" s="23">
        <v>46116</v>
      </c>
      <c r="AS733" s="14" t="s">
        <v>79</v>
      </c>
    </row>
    <row r="734" spans="1:45" x14ac:dyDescent="0.25">
      <c r="A734" s="14" t="s">
        <v>2364</v>
      </c>
      <c r="B734" s="14" t="s">
        <v>2365</v>
      </c>
      <c r="C734" s="14"/>
      <c r="D734" s="15" t="s">
        <v>2384</v>
      </c>
      <c r="E734" s="14">
        <v>23</v>
      </c>
      <c r="F734" s="14" t="s">
        <v>71</v>
      </c>
      <c r="G734" s="14" t="s">
        <v>90</v>
      </c>
      <c r="H734" s="14" t="s">
        <v>73</v>
      </c>
      <c r="I734" s="14" t="s">
        <v>74</v>
      </c>
      <c r="J734" s="15">
        <v>688629</v>
      </c>
      <c r="K734" s="14">
        <v>1</v>
      </c>
      <c r="L734" s="14" t="s">
        <v>76</v>
      </c>
      <c r="M734" s="14" t="s">
        <v>75</v>
      </c>
      <c r="N734" s="14" t="s">
        <v>75</v>
      </c>
      <c r="O734" s="14" t="s">
        <v>75</v>
      </c>
      <c r="P734" s="14">
        <v>588</v>
      </c>
      <c r="Q734" s="15">
        <v>22952</v>
      </c>
      <c r="R734" s="15">
        <v>21039.3</v>
      </c>
      <c r="S734" s="14" t="s">
        <v>20</v>
      </c>
      <c r="T734" s="15">
        <v>241857</v>
      </c>
      <c r="U734" s="16">
        <f t="shared" si="121"/>
        <v>0.3666293461355824</v>
      </c>
      <c r="V734" s="14">
        <v>2</v>
      </c>
      <c r="W734" s="17">
        <v>91.5</v>
      </c>
      <c r="X734" s="14">
        <v>12.2</v>
      </c>
      <c r="Y734" s="18">
        <f t="shared" si="122"/>
        <v>48.9</v>
      </c>
      <c r="Z734" s="18" t="str">
        <f t="shared" si="123"/>
        <v>Medium</v>
      </c>
      <c r="AA734" s="19" t="str">
        <f t="shared" si="124"/>
        <v>Review</v>
      </c>
      <c r="AB734" s="14" t="s">
        <v>85</v>
      </c>
      <c r="AC734" s="14">
        <v>0</v>
      </c>
      <c r="AD734" s="14" t="s">
        <v>93</v>
      </c>
      <c r="AE734" s="17">
        <v>1.2</v>
      </c>
      <c r="AF734" s="15">
        <v>0</v>
      </c>
      <c r="AG734" s="20">
        <f t="shared" si="125"/>
        <v>688629</v>
      </c>
      <c r="AH734" s="14">
        <v>0</v>
      </c>
      <c r="AI734" s="14" t="s">
        <v>75</v>
      </c>
      <c r="AJ734" s="14">
        <v>18</v>
      </c>
      <c r="AK734" s="21">
        <f t="shared" si="126"/>
        <v>0.375</v>
      </c>
      <c r="AL734" s="20">
        <f t="shared" si="127"/>
        <v>17771.473093377412</v>
      </c>
      <c r="AM734" s="22">
        <f t="shared" si="128"/>
        <v>0.35121524071742549</v>
      </c>
      <c r="AN734" s="20">
        <f t="shared" si="129"/>
        <v>38810.773093377415</v>
      </c>
      <c r="AO734" s="16">
        <f t="shared" si="130"/>
        <v>0.67631377290315831</v>
      </c>
      <c r="AP734" s="15">
        <v>0</v>
      </c>
      <c r="AQ734" s="18" t="str">
        <f t="shared" si="131"/>
        <v>N/A</v>
      </c>
      <c r="AR734" s="23">
        <v>45990</v>
      </c>
      <c r="AS734" s="14" t="s">
        <v>79</v>
      </c>
    </row>
    <row r="735" spans="1:45" x14ac:dyDescent="0.25">
      <c r="A735" s="14" t="s">
        <v>2368</v>
      </c>
      <c r="B735" s="14" t="s">
        <v>2369</v>
      </c>
      <c r="C735" s="14">
        <v>9383698081</v>
      </c>
      <c r="D735" s="15" t="s">
        <v>2387</v>
      </c>
      <c r="E735" s="14">
        <v>39</v>
      </c>
      <c r="F735" s="14" t="s">
        <v>89</v>
      </c>
      <c r="G735" s="14" t="s">
        <v>98</v>
      </c>
      <c r="H735" s="14" t="s">
        <v>132</v>
      </c>
      <c r="I735" s="14" t="s">
        <v>92</v>
      </c>
      <c r="J735" s="15">
        <v>375872</v>
      </c>
      <c r="K735" s="14">
        <v>2</v>
      </c>
      <c r="L735" s="14" t="s">
        <v>76</v>
      </c>
      <c r="M735" s="14" t="s">
        <v>75</v>
      </c>
      <c r="N735" s="14" t="s">
        <v>75</v>
      </c>
      <c r="O735" s="14" t="s">
        <v>76</v>
      </c>
      <c r="P735" s="14">
        <v>788</v>
      </c>
      <c r="Q735" s="15">
        <v>201960.44</v>
      </c>
      <c r="R735" s="15">
        <v>6134.06</v>
      </c>
      <c r="S735" s="14" t="s">
        <v>22</v>
      </c>
      <c r="T735" s="15">
        <v>5146756</v>
      </c>
      <c r="U735" s="16">
        <f t="shared" si="121"/>
        <v>0.19583453941767409</v>
      </c>
      <c r="V735" s="14">
        <v>1</v>
      </c>
      <c r="W735" s="17">
        <v>71.3</v>
      </c>
      <c r="X735" s="14">
        <v>11.9</v>
      </c>
      <c r="Y735" s="18">
        <f t="shared" si="122"/>
        <v>24.5</v>
      </c>
      <c r="Z735" s="18" t="str">
        <f t="shared" si="123"/>
        <v>Low</v>
      </c>
      <c r="AA735" s="19" t="str">
        <f t="shared" si="124"/>
        <v>Eligible</v>
      </c>
      <c r="AB735" s="14" t="s">
        <v>77</v>
      </c>
      <c r="AC735" s="14">
        <v>2</v>
      </c>
      <c r="AD735" s="14" t="s">
        <v>93</v>
      </c>
      <c r="AE735" s="17">
        <v>2.7</v>
      </c>
      <c r="AF735" s="15">
        <v>0</v>
      </c>
      <c r="AG735" s="20">
        <f t="shared" si="125"/>
        <v>375872</v>
      </c>
      <c r="AH735" s="14">
        <v>0</v>
      </c>
      <c r="AI735" s="14" t="s">
        <v>75</v>
      </c>
      <c r="AJ735" s="14">
        <v>24</v>
      </c>
      <c r="AK735" s="21">
        <f t="shared" si="126"/>
        <v>0.09</v>
      </c>
      <c r="AL735" s="20">
        <f t="shared" si="127"/>
        <v>235128.22143378781</v>
      </c>
      <c r="AM735" s="22">
        <f t="shared" si="128"/>
        <v>13.692842244168228</v>
      </c>
      <c r="AN735" s="20">
        <f t="shared" si="129"/>
        <v>241262.28143378781</v>
      </c>
      <c r="AO735" s="16">
        <f t="shared" si="130"/>
        <v>7.7024821673480703</v>
      </c>
      <c r="AP735" s="15">
        <v>1020682</v>
      </c>
      <c r="AQ735" s="18">
        <f t="shared" si="131"/>
        <v>5.0424676833724904</v>
      </c>
      <c r="AR735" s="23">
        <v>45932</v>
      </c>
      <c r="AS735" s="14" t="s">
        <v>79</v>
      </c>
    </row>
    <row r="736" spans="1:45" x14ac:dyDescent="0.25">
      <c r="A736" s="14" t="s">
        <v>2370</v>
      </c>
      <c r="B736" s="14" t="s">
        <v>2371</v>
      </c>
      <c r="C736" s="14">
        <v>9687270868</v>
      </c>
      <c r="D736" s="15" t="s">
        <v>2390</v>
      </c>
      <c r="E736" s="14">
        <v>38</v>
      </c>
      <c r="F736" s="14" t="s">
        <v>89</v>
      </c>
      <c r="G736" s="14" t="s">
        <v>115</v>
      </c>
      <c r="H736" s="14" t="s">
        <v>99</v>
      </c>
      <c r="I736" s="14" t="s">
        <v>74</v>
      </c>
      <c r="J736" s="15">
        <v>2012006</v>
      </c>
      <c r="K736" s="14">
        <v>2</v>
      </c>
      <c r="L736" s="14" t="s">
        <v>76</v>
      </c>
      <c r="M736" s="14" t="s">
        <v>75</v>
      </c>
      <c r="N736" s="14" t="s">
        <v>76</v>
      </c>
      <c r="O736" s="14" t="s">
        <v>75</v>
      </c>
      <c r="P736" s="14">
        <v>890</v>
      </c>
      <c r="Q736" s="15">
        <v>71484</v>
      </c>
      <c r="R736" s="15">
        <v>37818.36</v>
      </c>
      <c r="S736" s="14" t="s">
        <v>22</v>
      </c>
      <c r="T736" s="15"/>
      <c r="U736" s="16">
        <f t="shared" si="121"/>
        <v>0.22555614645284358</v>
      </c>
      <c r="V736" s="14">
        <v>8</v>
      </c>
      <c r="W736" s="17">
        <v>18.100000000000001</v>
      </c>
      <c r="X736" s="14">
        <v>5.9</v>
      </c>
      <c r="Y736" s="18">
        <f t="shared" si="122"/>
        <v>29.2</v>
      </c>
      <c r="Z736" s="18" t="str">
        <f t="shared" si="123"/>
        <v>Low</v>
      </c>
      <c r="AA736" s="19" t="str">
        <f t="shared" si="124"/>
        <v>Not Eligible</v>
      </c>
      <c r="AB736" s="14" t="s">
        <v>77</v>
      </c>
      <c r="AC736" s="14">
        <v>1</v>
      </c>
      <c r="AD736" s="14" t="s">
        <v>78</v>
      </c>
      <c r="AE736" s="17">
        <v>8.4</v>
      </c>
      <c r="AF736" s="15">
        <v>0</v>
      </c>
      <c r="AG736" s="20">
        <f t="shared" si="125"/>
        <v>2012006</v>
      </c>
      <c r="AH736" s="14">
        <v>0</v>
      </c>
      <c r="AI736" s="14" t="s">
        <v>75</v>
      </c>
      <c r="AJ736" s="14">
        <v>60</v>
      </c>
      <c r="AK736" s="21">
        <f t="shared" si="126"/>
        <v>0.09</v>
      </c>
      <c r="AL736" s="20">
        <f t="shared" si="127"/>
        <v>0</v>
      </c>
      <c r="AM736" s="22">
        <f t="shared" si="128"/>
        <v>0</v>
      </c>
      <c r="AN736" s="20">
        <f t="shared" si="129"/>
        <v>37818.36</v>
      </c>
      <c r="AO736" s="16">
        <f t="shared" si="130"/>
        <v>0.22555614645284358</v>
      </c>
      <c r="AP736" s="15">
        <v>907400</v>
      </c>
      <c r="AQ736" s="18">
        <f t="shared" si="131"/>
        <v>0</v>
      </c>
      <c r="AR736" s="23">
        <v>45919</v>
      </c>
      <c r="AS736" s="14" t="s">
        <v>79</v>
      </c>
    </row>
    <row r="737" spans="1:45" x14ac:dyDescent="0.25">
      <c r="A737" s="14" t="s">
        <v>2374</v>
      </c>
      <c r="B737" s="14" t="s">
        <v>2375</v>
      </c>
      <c r="C737" s="14"/>
      <c r="D737" s="15" t="s">
        <v>2393</v>
      </c>
      <c r="E737" s="14">
        <v>46</v>
      </c>
      <c r="F737" s="14" t="s">
        <v>89</v>
      </c>
      <c r="G737" s="14" t="s">
        <v>131</v>
      </c>
      <c r="H737" s="14" t="s">
        <v>99</v>
      </c>
      <c r="I737" s="14" t="s">
        <v>74</v>
      </c>
      <c r="J737" s="15">
        <v>335079</v>
      </c>
      <c r="K737" s="14">
        <v>2</v>
      </c>
      <c r="L737" s="14" t="s">
        <v>76</v>
      </c>
      <c r="M737" s="14" t="s">
        <v>76</v>
      </c>
      <c r="N737" s="14" t="s">
        <v>75</v>
      </c>
      <c r="O737" s="14" t="s">
        <v>75</v>
      </c>
      <c r="P737" s="14">
        <v>739</v>
      </c>
      <c r="Q737" s="15">
        <v>193912.64</v>
      </c>
      <c r="R737" s="15">
        <v>4456.25</v>
      </c>
      <c r="S737" s="14" t="s">
        <v>20</v>
      </c>
      <c r="T737" s="15">
        <v>320833</v>
      </c>
      <c r="U737" s="16">
        <f t="shared" si="121"/>
        <v>0.15958923119622537</v>
      </c>
      <c r="V737" s="14">
        <v>4</v>
      </c>
      <c r="W737" s="17">
        <v>60.7</v>
      </c>
      <c r="X737" s="14">
        <v>9</v>
      </c>
      <c r="Y737" s="18">
        <f t="shared" si="122"/>
        <v>37.6</v>
      </c>
      <c r="Z737" s="18" t="str">
        <f t="shared" si="123"/>
        <v>Medium</v>
      </c>
      <c r="AA737" s="19" t="str">
        <f t="shared" si="124"/>
        <v>Review</v>
      </c>
      <c r="AB737" s="14" t="s">
        <v>161</v>
      </c>
      <c r="AC737" s="14">
        <v>0</v>
      </c>
      <c r="AD737" s="14" t="s">
        <v>93</v>
      </c>
      <c r="AE737" s="17">
        <v>16.100000000000001</v>
      </c>
      <c r="AF737" s="15">
        <v>251442</v>
      </c>
      <c r="AG737" s="20">
        <f t="shared" si="125"/>
        <v>586521</v>
      </c>
      <c r="AH737" s="14">
        <v>1</v>
      </c>
      <c r="AI737" s="14" t="s">
        <v>75</v>
      </c>
      <c r="AJ737" s="14">
        <v>18</v>
      </c>
      <c r="AK737" s="21">
        <f t="shared" si="126"/>
        <v>0.375</v>
      </c>
      <c r="AL737" s="20">
        <f t="shared" si="127"/>
        <v>23574.571035643192</v>
      </c>
      <c r="AM737" s="22">
        <f t="shared" si="128"/>
        <v>0.95748465287290463</v>
      </c>
      <c r="AN737" s="20">
        <f t="shared" si="129"/>
        <v>28030.821035643192</v>
      </c>
      <c r="AO737" s="16">
        <f t="shared" si="130"/>
        <v>1.0038523823567524</v>
      </c>
      <c r="AP737" s="15">
        <v>0</v>
      </c>
      <c r="AQ737" s="18" t="str">
        <f t="shared" si="131"/>
        <v>N/A</v>
      </c>
      <c r="AR737" s="23">
        <v>46130</v>
      </c>
      <c r="AS737" s="14" t="s">
        <v>79</v>
      </c>
    </row>
    <row r="738" spans="1:45" x14ac:dyDescent="0.25">
      <c r="A738" s="14" t="s">
        <v>2377</v>
      </c>
      <c r="B738" s="14" t="s">
        <v>2378</v>
      </c>
      <c r="C738" s="14">
        <v>9100142802</v>
      </c>
      <c r="D738" s="15" t="s">
        <v>2397</v>
      </c>
      <c r="E738" s="14">
        <v>35</v>
      </c>
      <c r="F738" s="14" t="s">
        <v>71</v>
      </c>
      <c r="G738" s="14" t="s">
        <v>98</v>
      </c>
      <c r="H738" s="14" t="s">
        <v>99</v>
      </c>
      <c r="I738" s="14" t="s">
        <v>74</v>
      </c>
      <c r="J738" s="15">
        <v>474734</v>
      </c>
      <c r="K738" s="14">
        <v>2</v>
      </c>
      <c r="L738" s="14" t="s">
        <v>76</v>
      </c>
      <c r="M738" s="14" t="s">
        <v>75</v>
      </c>
      <c r="N738" s="14" t="s">
        <v>75</v>
      </c>
      <c r="O738" s="14" t="s">
        <v>76</v>
      </c>
      <c r="P738" s="14">
        <v>774</v>
      </c>
      <c r="Q738" s="15"/>
      <c r="R738" s="15">
        <v>2310.63</v>
      </c>
      <c r="S738" s="14" t="s">
        <v>22</v>
      </c>
      <c r="T738" s="15"/>
      <c r="U738" s="16">
        <f t="shared" si="121"/>
        <v>5.8406518176494629E-2</v>
      </c>
      <c r="V738" s="14">
        <v>0</v>
      </c>
      <c r="W738" s="17">
        <v>31</v>
      </c>
      <c r="X738" s="14">
        <v>9.5</v>
      </c>
      <c r="Y738" s="18">
        <f t="shared" si="122"/>
        <v>13.3</v>
      </c>
      <c r="Z738" s="18" t="str">
        <f t="shared" si="123"/>
        <v>Low</v>
      </c>
      <c r="AA738" s="19" t="str">
        <f t="shared" si="124"/>
        <v>Eligible</v>
      </c>
      <c r="AB738" s="14" t="s">
        <v>161</v>
      </c>
      <c r="AC738" s="14">
        <v>0</v>
      </c>
      <c r="AD738" s="14" t="s">
        <v>78</v>
      </c>
      <c r="AE738" s="17">
        <v>7.9</v>
      </c>
      <c r="AF738" s="15">
        <v>0</v>
      </c>
      <c r="AG738" s="20">
        <f t="shared" si="125"/>
        <v>474734</v>
      </c>
      <c r="AH738" s="14">
        <v>1</v>
      </c>
      <c r="AI738" s="14" t="s">
        <v>76</v>
      </c>
      <c r="AJ738" s="14">
        <v>36</v>
      </c>
      <c r="AK738" s="21">
        <f t="shared" si="126"/>
        <v>0.09</v>
      </c>
      <c r="AL738" s="20">
        <f t="shared" si="127"/>
        <v>0</v>
      </c>
      <c r="AM738" s="22">
        <f t="shared" si="128"/>
        <v>0</v>
      </c>
      <c r="AN738" s="20">
        <f t="shared" si="129"/>
        <v>2310.63</v>
      </c>
      <c r="AO738" s="16">
        <f t="shared" si="130"/>
        <v>5.8406518176494629E-2</v>
      </c>
      <c r="AP738" s="15">
        <v>1123494</v>
      </c>
      <c r="AQ738" s="18">
        <f t="shared" si="131"/>
        <v>0</v>
      </c>
      <c r="AR738" s="23">
        <v>45958</v>
      </c>
      <c r="AS738" s="14" t="s">
        <v>79</v>
      </c>
    </row>
    <row r="739" spans="1:45" x14ac:dyDescent="0.25">
      <c r="A739" s="14" t="s">
        <v>2380</v>
      </c>
      <c r="B739" s="14" t="s">
        <v>2381</v>
      </c>
      <c r="C739" s="14">
        <v>9174560682</v>
      </c>
      <c r="D739" s="15" t="s">
        <v>2399</v>
      </c>
      <c r="E739" s="14">
        <v>59</v>
      </c>
      <c r="F739" s="14" t="s">
        <v>89</v>
      </c>
      <c r="G739" s="14" t="s">
        <v>106</v>
      </c>
      <c r="H739" s="14" t="s">
        <v>103</v>
      </c>
      <c r="I739" s="14" t="s">
        <v>74</v>
      </c>
      <c r="J739" s="15">
        <v>1186513</v>
      </c>
      <c r="K739" s="14">
        <v>1</v>
      </c>
      <c r="L739" s="14" t="s">
        <v>76</v>
      </c>
      <c r="M739" s="14" t="s">
        <v>75</v>
      </c>
      <c r="N739" s="14" t="s">
        <v>75</v>
      </c>
      <c r="O739" s="14" t="s">
        <v>75</v>
      </c>
      <c r="P739" s="14">
        <v>715</v>
      </c>
      <c r="Q739" s="15">
        <v>1161580</v>
      </c>
      <c r="R739" s="15">
        <v>5077.21</v>
      </c>
      <c r="S739" s="14" t="s">
        <v>22</v>
      </c>
      <c r="T739" s="15">
        <v>184512</v>
      </c>
      <c r="U739" s="16">
        <f t="shared" si="121"/>
        <v>5.1349222469538894E-2</v>
      </c>
      <c r="V739" s="14">
        <v>0</v>
      </c>
      <c r="W739" s="17">
        <v>63.6</v>
      </c>
      <c r="X739" s="14">
        <v>1</v>
      </c>
      <c r="Y739" s="18">
        <f t="shared" si="122"/>
        <v>20.2</v>
      </c>
      <c r="Z739" s="18" t="str">
        <f t="shared" si="123"/>
        <v>Low</v>
      </c>
      <c r="AA739" s="19" t="str">
        <f t="shared" si="124"/>
        <v>Eligible</v>
      </c>
      <c r="AB739" s="14" t="s">
        <v>77</v>
      </c>
      <c r="AC739" s="14">
        <v>1</v>
      </c>
      <c r="AD739" s="14" t="s">
        <v>78</v>
      </c>
      <c r="AE739" s="17">
        <v>24.4</v>
      </c>
      <c r="AF739" s="15">
        <v>464999</v>
      </c>
      <c r="AG739" s="20">
        <f t="shared" si="125"/>
        <v>1651512</v>
      </c>
      <c r="AH739" s="14">
        <v>0</v>
      </c>
      <c r="AI739" s="14" t="s">
        <v>75</v>
      </c>
      <c r="AJ739" s="14">
        <v>24</v>
      </c>
      <c r="AK739" s="21">
        <f t="shared" si="126"/>
        <v>0.09</v>
      </c>
      <c r="AL739" s="20">
        <f t="shared" si="127"/>
        <v>8429.3831674147859</v>
      </c>
      <c r="AM739" s="22">
        <f t="shared" si="128"/>
        <v>0.15550777783302838</v>
      </c>
      <c r="AN739" s="20">
        <f t="shared" si="129"/>
        <v>13506.593167414787</v>
      </c>
      <c r="AO739" s="16">
        <f t="shared" si="130"/>
        <v>0.1366012155020446</v>
      </c>
      <c r="AP739" s="15">
        <v>698908</v>
      </c>
      <c r="AQ739" s="18">
        <f t="shared" si="131"/>
        <v>0.26400041207140279</v>
      </c>
      <c r="AR739" s="23">
        <v>46046</v>
      </c>
      <c r="AS739" s="14" t="s">
        <v>79</v>
      </c>
    </row>
    <row r="740" spans="1:45" x14ac:dyDescent="0.25">
      <c r="A740" s="14" t="s">
        <v>2382</v>
      </c>
      <c r="B740" s="14" t="s">
        <v>2383</v>
      </c>
      <c r="C740" s="14">
        <v>9156221065</v>
      </c>
      <c r="D740" s="15" t="s">
        <v>2402</v>
      </c>
      <c r="E740" s="14">
        <v>22</v>
      </c>
      <c r="F740" s="14" t="s">
        <v>71</v>
      </c>
      <c r="G740" s="14" t="s">
        <v>388</v>
      </c>
      <c r="H740" s="14" t="s">
        <v>103</v>
      </c>
      <c r="I740" s="14" t="s">
        <v>74</v>
      </c>
      <c r="J740" s="15">
        <v>563770</v>
      </c>
      <c r="K740" s="14">
        <v>2</v>
      </c>
      <c r="L740" s="14" t="s">
        <v>76</v>
      </c>
      <c r="M740" s="14" t="s">
        <v>75</v>
      </c>
      <c r="N740" s="14" t="s">
        <v>76</v>
      </c>
      <c r="O740" s="14" t="s">
        <v>75</v>
      </c>
      <c r="P740" s="14">
        <v>304</v>
      </c>
      <c r="Q740" s="15"/>
      <c r="R740" s="15">
        <v>882.75</v>
      </c>
      <c r="S740" s="14" t="s">
        <v>20</v>
      </c>
      <c r="T740" s="15">
        <v>412503</v>
      </c>
      <c r="U740" s="16">
        <f t="shared" si="121"/>
        <v>1.8789577309895878E-2</v>
      </c>
      <c r="V740" s="14">
        <v>1</v>
      </c>
      <c r="W740" s="17">
        <v>13.9</v>
      </c>
      <c r="X740" s="14">
        <v>6.5</v>
      </c>
      <c r="Y740" s="18">
        <f t="shared" si="122"/>
        <v>45.7</v>
      </c>
      <c r="Z740" s="18" t="str">
        <f t="shared" si="123"/>
        <v>Medium</v>
      </c>
      <c r="AA740" s="19" t="str">
        <f t="shared" si="124"/>
        <v>Not Eligible</v>
      </c>
      <c r="AB740" s="14" t="s">
        <v>85</v>
      </c>
      <c r="AC740" s="14">
        <v>1</v>
      </c>
      <c r="AD740" s="14" t="s">
        <v>78</v>
      </c>
      <c r="AE740" s="17">
        <v>0.4</v>
      </c>
      <c r="AF740" s="15">
        <v>206290</v>
      </c>
      <c r="AG740" s="20">
        <f t="shared" si="125"/>
        <v>770060</v>
      </c>
      <c r="AH740" s="14">
        <v>0</v>
      </c>
      <c r="AI740" s="14" t="s">
        <v>75</v>
      </c>
      <c r="AJ740" s="14">
        <v>36</v>
      </c>
      <c r="AK740" s="21">
        <f t="shared" si="126"/>
        <v>0.375</v>
      </c>
      <c r="AL740" s="20">
        <f t="shared" si="127"/>
        <v>19248.252864517664</v>
      </c>
      <c r="AM740" s="22">
        <f t="shared" si="128"/>
        <v>0.7316866807385991</v>
      </c>
      <c r="AN740" s="20">
        <f t="shared" si="129"/>
        <v>20131.002864517664</v>
      </c>
      <c r="AO740" s="16">
        <f t="shared" si="130"/>
        <v>0.42849395032408955</v>
      </c>
      <c r="AP740" s="15">
        <v>0</v>
      </c>
      <c r="AQ740" s="18" t="str">
        <f t="shared" si="131"/>
        <v>N/A</v>
      </c>
      <c r="AR740" s="23">
        <v>46185</v>
      </c>
      <c r="AS740" s="14" t="s">
        <v>79</v>
      </c>
    </row>
    <row r="741" spans="1:45" x14ac:dyDescent="0.25">
      <c r="A741" s="14" t="s">
        <v>2385</v>
      </c>
      <c r="B741" s="14" t="s">
        <v>2386</v>
      </c>
      <c r="C741" s="14">
        <v>9142960220</v>
      </c>
      <c r="D741" s="15" t="s">
        <v>2405</v>
      </c>
      <c r="E741" s="14">
        <v>34</v>
      </c>
      <c r="F741" s="14" t="s">
        <v>71</v>
      </c>
      <c r="G741" s="14" t="s">
        <v>226</v>
      </c>
      <c r="H741" s="14" t="s">
        <v>107</v>
      </c>
      <c r="I741" s="14" t="s">
        <v>92</v>
      </c>
      <c r="J741" s="15">
        <v>528229</v>
      </c>
      <c r="K741" s="14">
        <v>1</v>
      </c>
      <c r="L741" s="14" t="s">
        <v>76</v>
      </c>
      <c r="M741" s="14" t="s">
        <v>75</v>
      </c>
      <c r="N741" s="14" t="s">
        <v>75</v>
      </c>
      <c r="O741" s="14" t="s">
        <v>75</v>
      </c>
      <c r="P741" s="14">
        <v>837</v>
      </c>
      <c r="Q741" s="15"/>
      <c r="R741" s="15">
        <v>4390.4399999999996</v>
      </c>
      <c r="S741" s="14" t="s">
        <v>23</v>
      </c>
      <c r="T741" s="15">
        <v>294055</v>
      </c>
      <c r="U741" s="16">
        <f t="shared" si="121"/>
        <v>9.973946905603441E-2</v>
      </c>
      <c r="V741" s="14">
        <v>6</v>
      </c>
      <c r="W741" s="17">
        <v>94</v>
      </c>
      <c r="X741" s="14">
        <v>12.7</v>
      </c>
      <c r="Y741" s="18">
        <f t="shared" si="122"/>
        <v>36.6</v>
      </c>
      <c r="Z741" s="18" t="str">
        <f t="shared" si="123"/>
        <v>Medium</v>
      </c>
      <c r="AA741" s="19" t="str">
        <f t="shared" si="124"/>
        <v>Not Eligible</v>
      </c>
      <c r="AB741" s="14" t="s">
        <v>85</v>
      </c>
      <c r="AC741" s="14">
        <v>0</v>
      </c>
      <c r="AD741" s="14" t="s">
        <v>78</v>
      </c>
      <c r="AE741" s="17">
        <v>11.5</v>
      </c>
      <c r="AF741" s="15">
        <v>0</v>
      </c>
      <c r="AG741" s="20">
        <f t="shared" si="125"/>
        <v>528229</v>
      </c>
      <c r="AH741" s="14">
        <v>0</v>
      </c>
      <c r="AI741" s="14" t="s">
        <v>75</v>
      </c>
      <c r="AJ741" s="14">
        <v>360</v>
      </c>
      <c r="AK741" s="21">
        <f t="shared" si="126"/>
        <v>0.1</v>
      </c>
      <c r="AL741" s="20">
        <f t="shared" si="127"/>
        <v>2580.5430804246171</v>
      </c>
      <c r="AM741" s="22">
        <f t="shared" si="128"/>
        <v>0.55668090922686941</v>
      </c>
      <c r="AN741" s="20">
        <f t="shared" si="129"/>
        <v>6970.9830804246167</v>
      </c>
      <c r="AO741" s="16">
        <f t="shared" si="130"/>
        <v>0.15836274980187648</v>
      </c>
      <c r="AP741" s="15">
        <v>6555547</v>
      </c>
      <c r="AQ741" s="18">
        <f t="shared" si="131"/>
        <v>4.4855905998385792E-2</v>
      </c>
      <c r="AR741" s="23">
        <v>46216</v>
      </c>
      <c r="AS741" s="14" t="s">
        <v>79</v>
      </c>
    </row>
    <row r="742" spans="1:45" x14ac:dyDescent="0.25">
      <c r="A742" s="14" t="s">
        <v>2388</v>
      </c>
      <c r="B742" s="14" t="s">
        <v>224</v>
      </c>
      <c r="C742" s="14">
        <v>9438222298</v>
      </c>
      <c r="D742" s="15" t="s">
        <v>2409</v>
      </c>
      <c r="E742" s="14">
        <v>44</v>
      </c>
      <c r="F742" s="14" t="s">
        <v>89</v>
      </c>
      <c r="G742" s="14" t="s">
        <v>90</v>
      </c>
      <c r="H742" s="14" t="s">
        <v>132</v>
      </c>
      <c r="I742" s="14" t="s">
        <v>92</v>
      </c>
      <c r="J742" s="15">
        <v>1318743</v>
      </c>
      <c r="K742" s="14">
        <v>0</v>
      </c>
      <c r="L742" s="14" t="s">
        <v>75</v>
      </c>
      <c r="M742" s="14" t="s">
        <v>75</v>
      </c>
      <c r="N742" s="14" t="s">
        <v>75</v>
      </c>
      <c r="O742" s="14" t="s">
        <v>75</v>
      </c>
      <c r="P742" s="14">
        <v>390</v>
      </c>
      <c r="Q742" s="15">
        <v>1198988.3799999999</v>
      </c>
      <c r="R742" s="15">
        <v>2647.55</v>
      </c>
      <c r="S742" s="14" t="s">
        <v>20</v>
      </c>
      <c r="T742" s="15">
        <v>2350850</v>
      </c>
      <c r="U742" s="16">
        <f t="shared" si="121"/>
        <v>2.4091578116433605E-2</v>
      </c>
      <c r="V742" s="14">
        <v>1</v>
      </c>
      <c r="W742" s="17">
        <v>58.5</v>
      </c>
      <c r="X742" s="14">
        <v>2.6</v>
      </c>
      <c r="Y742" s="18">
        <f t="shared" si="122"/>
        <v>44.6</v>
      </c>
      <c r="Z742" s="18" t="str">
        <f t="shared" si="123"/>
        <v>Medium</v>
      </c>
      <c r="AA742" s="19" t="str">
        <f t="shared" si="124"/>
        <v>Not Eligible</v>
      </c>
      <c r="AB742" s="14" t="s">
        <v>77</v>
      </c>
      <c r="AC742" s="14">
        <v>1</v>
      </c>
      <c r="AD742" s="14" t="s">
        <v>78</v>
      </c>
      <c r="AE742" s="17">
        <v>4.5999999999999996</v>
      </c>
      <c r="AF742" s="15">
        <v>0</v>
      </c>
      <c r="AG742" s="20">
        <f t="shared" si="125"/>
        <v>1318743</v>
      </c>
      <c r="AH742" s="14">
        <v>1</v>
      </c>
      <c r="AI742" s="14" t="s">
        <v>75</v>
      </c>
      <c r="AJ742" s="14">
        <v>36</v>
      </c>
      <c r="AK742" s="21">
        <f t="shared" si="126"/>
        <v>0.375</v>
      </c>
      <c r="AL742" s="20">
        <f t="shared" si="127"/>
        <v>109695.57856925004</v>
      </c>
      <c r="AM742" s="22">
        <f t="shared" si="128"/>
        <v>1.7826445334686136</v>
      </c>
      <c r="AN742" s="20">
        <f t="shared" si="129"/>
        <v>112343.12856925004</v>
      </c>
      <c r="AO742" s="16">
        <f t="shared" si="130"/>
        <v>1.0222746530832774</v>
      </c>
      <c r="AP742" s="15">
        <v>0</v>
      </c>
      <c r="AQ742" s="18" t="str">
        <f t="shared" si="131"/>
        <v>N/A</v>
      </c>
      <c r="AR742" s="23">
        <v>46003</v>
      </c>
      <c r="AS742" s="14" t="s">
        <v>79</v>
      </c>
    </row>
    <row r="743" spans="1:45" x14ac:dyDescent="0.25">
      <c r="A743" s="14" t="s">
        <v>2391</v>
      </c>
      <c r="B743" s="14" t="s">
        <v>2392</v>
      </c>
      <c r="C743" s="14">
        <v>9178634632</v>
      </c>
      <c r="D743" s="15" t="s">
        <v>2413</v>
      </c>
      <c r="E743" s="14">
        <v>39</v>
      </c>
      <c r="F743" s="14" t="s">
        <v>89</v>
      </c>
      <c r="G743" s="14" t="s">
        <v>90</v>
      </c>
      <c r="H743" s="14" t="s">
        <v>132</v>
      </c>
      <c r="I743" s="14" t="s">
        <v>92</v>
      </c>
      <c r="J743" s="15">
        <v>859400</v>
      </c>
      <c r="K743" s="14">
        <v>1</v>
      </c>
      <c r="L743" s="14" t="s">
        <v>76</v>
      </c>
      <c r="M743" s="14" t="s">
        <v>75</v>
      </c>
      <c r="N743" s="14" t="s">
        <v>75</v>
      </c>
      <c r="O743" s="14" t="s">
        <v>75</v>
      </c>
      <c r="P743" s="14">
        <v>771</v>
      </c>
      <c r="Q743" s="15">
        <v>53738</v>
      </c>
      <c r="R743" s="15">
        <v>3957.4</v>
      </c>
      <c r="S743" s="14" t="s">
        <v>21</v>
      </c>
      <c r="T743" s="15">
        <v>7762290</v>
      </c>
      <c r="U743" s="16">
        <f t="shared" si="121"/>
        <v>5.5258087037468005E-2</v>
      </c>
      <c r="V743" s="14">
        <v>0</v>
      </c>
      <c r="W743" s="17">
        <v>50</v>
      </c>
      <c r="X743" s="14">
        <v>3.7</v>
      </c>
      <c r="Y743" s="18">
        <f t="shared" si="122"/>
        <v>15.3</v>
      </c>
      <c r="Z743" s="18" t="str">
        <f t="shared" si="123"/>
        <v>Low</v>
      </c>
      <c r="AA743" s="19" t="str">
        <f t="shared" si="124"/>
        <v>Eligible</v>
      </c>
      <c r="AB743" s="14" t="s">
        <v>77</v>
      </c>
      <c r="AC743" s="14">
        <v>0</v>
      </c>
      <c r="AD743" s="14" t="s">
        <v>93</v>
      </c>
      <c r="AE743" s="17">
        <v>15.7</v>
      </c>
      <c r="AF743" s="15">
        <v>0</v>
      </c>
      <c r="AG743" s="20">
        <f t="shared" si="125"/>
        <v>859400</v>
      </c>
      <c r="AH743" s="14">
        <v>0</v>
      </c>
      <c r="AI743" s="14" t="s">
        <v>75</v>
      </c>
      <c r="AJ743" s="14">
        <v>24</v>
      </c>
      <c r="AK743" s="21">
        <f t="shared" si="126"/>
        <v>0.14000000000000001</v>
      </c>
      <c r="AL743" s="20">
        <f t="shared" si="127"/>
        <v>372689.92366537644</v>
      </c>
      <c r="AM743" s="22">
        <f t="shared" si="128"/>
        <v>9.0322201535955315</v>
      </c>
      <c r="AN743" s="20">
        <f t="shared" si="129"/>
        <v>376647.32366537646</v>
      </c>
      <c r="AO743" s="16">
        <f t="shared" si="130"/>
        <v>5.2592132697050467</v>
      </c>
      <c r="AP743" s="15">
        <v>0</v>
      </c>
      <c r="AQ743" s="18" t="str">
        <f t="shared" si="131"/>
        <v>N/A</v>
      </c>
      <c r="AR743" s="23">
        <v>45906</v>
      </c>
      <c r="AS743" s="14" t="s">
        <v>79</v>
      </c>
    </row>
    <row r="744" spans="1:45" x14ac:dyDescent="0.25">
      <c r="A744" s="14" t="s">
        <v>2394</v>
      </c>
      <c r="B744" s="14" t="s">
        <v>2395</v>
      </c>
      <c r="C744" s="14">
        <v>9516539714</v>
      </c>
      <c r="D744" s="15"/>
      <c r="E744" s="14">
        <v>60</v>
      </c>
      <c r="F744" s="14" t="s">
        <v>71</v>
      </c>
      <c r="G744" s="14" t="s">
        <v>131</v>
      </c>
      <c r="H744" s="14" t="s">
        <v>132</v>
      </c>
      <c r="I744" s="14" t="s">
        <v>92</v>
      </c>
      <c r="J744" s="15">
        <v>2465375</v>
      </c>
      <c r="K744" s="14">
        <v>2</v>
      </c>
      <c r="L744" s="14" t="s">
        <v>76</v>
      </c>
      <c r="M744" s="14" t="s">
        <v>76</v>
      </c>
      <c r="N744" s="14" t="s">
        <v>75</v>
      </c>
      <c r="O744" s="14" t="s">
        <v>75</v>
      </c>
      <c r="P744" s="14">
        <v>372</v>
      </c>
      <c r="Q744" s="15">
        <v>434991.78</v>
      </c>
      <c r="R744" s="15">
        <v>19875.849999999999</v>
      </c>
      <c r="S744" s="14" t="s">
        <v>21</v>
      </c>
      <c r="T744" s="15">
        <v>1380691</v>
      </c>
      <c r="U744" s="16">
        <f t="shared" si="121"/>
        <v>9.6743984180905532E-2</v>
      </c>
      <c r="V744" s="14">
        <v>1</v>
      </c>
      <c r="W744" s="17">
        <v>81</v>
      </c>
      <c r="X744" s="14">
        <v>7.4</v>
      </c>
      <c r="Y744" s="18">
        <f t="shared" si="122"/>
        <v>50.2</v>
      </c>
      <c r="Z744" s="18" t="str">
        <f t="shared" si="123"/>
        <v>Medium</v>
      </c>
      <c r="AA744" s="19" t="str">
        <f t="shared" si="124"/>
        <v>Not Eligible</v>
      </c>
      <c r="AB744" s="14" t="s">
        <v>77</v>
      </c>
      <c r="AC744" s="14">
        <v>3</v>
      </c>
      <c r="AD744" s="14" t="s">
        <v>78</v>
      </c>
      <c r="AE744" s="17">
        <v>8.3000000000000007</v>
      </c>
      <c r="AF744" s="15">
        <v>822524</v>
      </c>
      <c r="AG744" s="20">
        <f t="shared" si="125"/>
        <v>3287899</v>
      </c>
      <c r="AH744" s="14">
        <v>0</v>
      </c>
      <c r="AI744" s="14" t="s">
        <v>76</v>
      </c>
      <c r="AJ744" s="14">
        <v>36</v>
      </c>
      <c r="AK744" s="21">
        <f t="shared" si="126"/>
        <v>0.15500000000000003</v>
      </c>
      <c r="AL744" s="20">
        <f t="shared" si="127"/>
        <v>48200.863090663763</v>
      </c>
      <c r="AM744" s="22">
        <f t="shared" si="128"/>
        <v>0.56003285504233635</v>
      </c>
      <c r="AN744" s="20">
        <f t="shared" si="129"/>
        <v>68076.713090663761</v>
      </c>
      <c r="AO744" s="16">
        <f t="shared" si="130"/>
        <v>0.33135752455020639</v>
      </c>
      <c r="AP744" s="15">
        <v>0</v>
      </c>
      <c r="AQ744" s="18" t="str">
        <f t="shared" si="131"/>
        <v>N/A</v>
      </c>
      <c r="AR744" s="23">
        <v>46118</v>
      </c>
      <c r="AS744" s="14" t="s">
        <v>79</v>
      </c>
    </row>
    <row r="745" spans="1:45" x14ac:dyDescent="0.25">
      <c r="A745" s="14" t="s">
        <v>2398</v>
      </c>
      <c r="B745" s="14" t="s">
        <v>1569</v>
      </c>
      <c r="C745" s="14">
        <v>9683045299</v>
      </c>
      <c r="D745" s="15" t="s">
        <v>2418</v>
      </c>
      <c r="E745" s="14">
        <v>35</v>
      </c>
      <c r="F745" s="14" t="s">
        <v>71</v>
      </c>
      <c r="G745" s="14" t="s">
        <v>127</v>
      </c>
      <c r="H745" s="14" t="s">
        <v>166</v>
      </c>
      <c r="I745" s="14" t="s">
        <v>74</v>
      </c>
      <c r="J745" s="15">
        <v>1949819</v>
      </c>
      <c r="K745" s="14">
        <v>2</v>
      </c>
      <c r="L745" s="14" t="s">
        <v>75</v>
      </c>
      <c r="M745" s="14" t="s">
        <v>75</v>
      </c>
      <c r="N745" s="14" t="s">
        <v>76</v>
      </c>
      <c r="O745" s="14" t="s">
        <v>76</v>
      </c>
      <c r="P745" s="14">
        <v>742</v>
      </c>
      <c r="Q745" s="15"/>
      <c r="R745" s="15">
        <v>20027.23</v>
      </c>
      <c r="S745" s="14" t="s">
        <v>21</v>
      </c>
      <c r="T745" s="15">
        <v>993200</v>
      </c>
      <c r="U745" s="16">
        <f t="shared" si="121"/>
        <v>0.1232559329866003</v>
      </c>
      <c r="V745" s="14">
        <v>1</v>
      </c>
      <c r="W745" s="17">
        <v>49.4</v>
      </c>
      <c r="X745" s="14">
        <v>3.4</v>
      </c>
      <c r="Y745" s="18">
        <f t="shared" si="122"/>
        <v>23.2</v>
      </c>
      <c r="Z745" s="18" t="str">
        <f t="shared" si="123"/>
        <v>Low</v>
      </c>
      <c r="AA745" s="19" t="str">
        <f t="shared" si="124"/>
        <v>Eligible</v>
      </c>
      <c r="AB745" s="14" t="s">
        <v>77</v>
      </c>
      <c r="AC745" s="14">
        <v>1</v>
      </c>
      <c r="AD745" s="14" t="s">
        <v>93</v>
      </c>
      <c r="AE745" s="17">
        <v>9.9</v>
      </c>
      <c r="AF745" s="15">
        <v>448819</v>
      </c>
      <c r="AG745" s="20">
        <f t="shared" si="125"/>
        <v>2398638</v>
      </c>
      <c r="AH745" s="14">
        <v>2</v>
      </c>
      <c r="AI745" s="14" t="s">
        <v>75</v>
      </c>
      <c r="AJ745" s="14">
        <v>12</v>
      </c>
      <c r="AK745" s="21">
        <f t="shared" si="126"/>
        <v>0.14000000000000001</v>
      </c>
      <c r="AL745" s="20">
        <f t="shared" si="127"/>
        <v>89176.565211655907</v>
      </c>
      <c r="AM745" s="22">
        <f t="shared" si="128"/>
        <v>0.50938061430317383</v>
      </c>
      <c r="AN745" s="20">
        <f t="shared" si="129"/>
        <v>109203.7952116559</v>
      </c>
      <c r="AO745" s="16">
        <f t="shared" si="130"/>
        <v>0.67208573849155784</v>
      </c>
      <c r="AP745" s="15">
        <v>0</v>
      </c>
      <c r="AQ745" s="18" t="str">
        <f t="shared" si="131"/>
        <v>N/A</v>
      </c>
      <c r="AR745" s="23">
        <v>46121</v>
      </c>
      <c r="AS745" s="14" t="s">
        <v>79</v>
      </c>
    </row>
    <row r="746" spans="1:45" x14ac:dyDescent="0.25">
      <c r="A746" s="14" t="s">
        <v>2400</v>
      </c>
      <c r="B746" s="14" t="s">
        <v>2401</v>
      </c>
      <c r="C746" s="14"/>
      <c r="D746" s="15"/>
      <c r="E746" s="14">
        <v>23</v>
      </c>
      <c r="F746" s="14" t="s">
        <v>89</v>
      </c>
      <c r="G746" s="14" t="s">
        <v>226</v>
      </c>
      <c r="H746" s="14" t="s">
        <v>132</v>
      </c>
      <c r="I746" s="14" t="s">
        <v>92</v>
      </c>
      <c r="J746" s="15">
        <v>2411510</v>
      </c>
      <c r="K746" s="14">
        <v>1</v>
      </c>
      <c r="L746" s="14" t="s">
        <v>75</v>
      </c>
      <c r="M746" s="14" t="s">
        <v>76</v>
      </c>
      <c r="N746" s="14" t="s">
        <v>75</v>
      </c>
      <c r="O746" s="14" t="s">
        <v>75</v>
      </c>
      <c r="P746" s="14">
        <v>338</v>
      </c>
      <c r="Q746" s="15">
        <v>962634</v>
      </c>
      <c r="R746" s="15">
        <v>16253.91</v>
      </c>
      <c r="S746" s="14" t="s">
        <v>22</v>
      </c>
      <c r="T746" s="15"/>
      <c r="U746" s="16">
        <f t="shared" si="121"/>
        <v>8.0881655062595634E-2</v>
      </c>
      <c r="V746" s="14">
        <v>0</v>
      </c>
      <c r="W746" s="17">
        <v>52.1</v>
      </c>
      <c r="X746" s="14">
        <v>0.5</v>
      </c>
      <c r="Y746" s="18">
        <f t="shared" si="122"/>
        <v>45.1</v>
      </c>
      <c r="Z746" s="18" t="str">
        <f t="shared" si="123"/>
        <v>Medium</v>
      </c>
      <c r="AA746" s="19" t="str">
        <f t="shared" si="124"/>
        <v>Not Eligible</v>
      </c>
      <c r="AB746" s="14" t="s">
        <v>77</v>
      </c>
      <c r="AC746" s="14">
        <v>1</v>
      </c>
      <c r="AD746" s="14" t="s">
        <v>93</v>
      </c>
      <c r="AE746" s="17">
        <v>0.9</v>
      </c>
      <c r="AF746" s="15">
        <v>490082</v>
      </c>
      <c r="AG746" s="20">
        <f t="shared" si="125"/>
        <v>2901592</v>
      </c>
      <c r="AH746" s="14">
        <v>0</v>
      </c>
      <c r="AI746" s="14" t="s">
        <v>75</v>
      </c>
      <c r="AJ746" s="14">
        <v>24</v>
      </c>
      <c r="AK746" s="21">
        <f t="shared" si="126"/>
        <v>0.105</v>
      </c>
      <c r="AL746" s="20">
        <f t="shared" si="127"/>
        <v>0</v>
      </c>
      <c r="AM746" s="22">
        <f t="shared" si="128"/>
        <v>0</v>
      </c>
      <c r="AN746" s="20">
        <f t="shared" si="129"/>
        <v>16253.91</v>
      </c>
      <c r="AO746" s="16">
        <f t="shared" si="130"/>
        <v>8.0881655062595634E-2</v>
      </c>
      <c r="AP746" s="15">
        <v>502582</v>
      </c>
      <c r="AQ746" s="18">
        <f t="shared" si="131"/>
        <v>0</v>
      </c>
      <c r="AR746" s="23">
        <v>46115</v>
      </c>
      <c r="AS746" s="14" t="s">
        <v>79</v>
      </c>
    </row>
    <row r="747" spans="1:45" x14ac:dyDescent="0.25">
      <c r="A747" s="14" t="s">
        <v>2403</v>
      </c>
      <c r="B747" s="14" t="s">
        <v>2404</v>
      </c>
      <c r="C747" s="14">
        <v>9144986086</v>
      </c>
      <c r="D747" s="15" t="s">
        <v>2422</v>
      </c>
      <c r="E747" s="14">
        <v>33</v>
      </c>
      <c r="F747" s="14" t="s">
        <v>89</v>
      </c>
      <c r="G747" s="14" t="s">
        <v>153</v>
      </c>
      <c r="H747" s="14" t="s">
        <v>84</v>
      </c>
      <c r="I747" s="14" t="s">
        <v>74</v>
      </c>
      <c r="J747" s="15">
        <v>2026472</v>
      </c>
      <c r="K747" s="14">
        <v>1</v>
      </c>
      <c r="L747" s="14" t="s">
        <v>75</v>
      </c>
      <c r="M747" s="14" t="s">
        <v>76</v>
      </c>
      <c r="N747" s="14" t="s">
        <v>75</v>
      </c>
      <c r="O747" s="14" t="s">
        <v>75</v>
      </c>
      <c r="P747" s="14">
        <v>797</v>
      </c>
      <c r="Q747" s="15">
        <v>342573</v>
      </c>
      <c r="R747" s="15">
        <v>31403.29</v>
      </c>
      <c r="S747" s="14" t="s">
        <v>20</v>
      </c>
      <c r="T747" s="15">
        <v>110889</v>
      </c>
      <c r="U747" s="16">
        <f t="shared" si="121"/>
        <v>0.18595839468791081</v>
      </c>
      <c r="V747" s="14">
        <v>5</v>
      </c>
      <c r="W747" s="17">
        <v>98.2</v>
      </c>
      <c r="X747" s="14">
        <v>10.5</v>
      </c>
      <c r="Y747" s="18">
        <f t="shared" si="122"/>
        <v>42.3</v>
      </c>
      <c r="Z747" s="18" t="str">
        <f t="shared" si="123"/>
        <v>Medium</v>
      </c>
      <c r="AA747" s="19" t="str">
        <f t="shared" si="124"/>
        <v>Not Eligible</v>
      </c>
      <c r="AB747" s="14" t="s">
        <v>85</v>
      </c>
      <c r="AC747" s="14">
        <v>1</v>
      </c>
      <c r="AD747" s="14" t="s">
        <v>93</v>
      </c>
      <c r="AE747" s="17">
        <v>6.6</v>
      </c>
      <c r="AF747" s="15">
        <v>897942</v>
      </c>
      <c r="AG747" s="20">
        <f t="shared" si="125"/>
        <v>2924414</v>
      </c>
      <c r="AH747" s="14">
        <v>1</v>
      </c>
      <c r="AI747" s="14" t="s">
        <v>75</v>
      </c>
      <c r="AJ747" s="14">
        <v>36</v>
      </c>
      <c r="AK747" s="21">
        <f t="shared" si="126"/>
        <v>0.375</v>
      </c>
      <c r="AL747" s="20">
        <f t="shared" si="127"/>
        <v>5174.3127004979342</v>
      </c>
      <c r="AM747" s="22">
        <f t="shared" si="128"/>
        <v>5.4720223126695063E-2</v>
      </c>
      <c r="AN747" s="20">
        <f t="shared" si="129"/>
        <v>36577.602700497933</v>
      </c>
      <c r="AO747" s="16">
        <f t="shared" si="130"/>
        <v>0.21659871560326283</v>
      </c>
      <c r="AP747" s="15">
        <v>0</v>
      </c>
      <c r="AQ747" s="18" t="str">
        <f t="shared" si="131"/>
        <v>N/A</v>
      </c>
      <c r="AR747" s="23">
        <v>45912</v>
      </c>
      <c r="AS747" s="14" t="s">
        <v>79</v>
      </c>
    </row>
    <row r="748" spans="1:45" x14ac:dyDescent="0.25">
      <c r="A748" s="14" t="s">
        <v>2406</v>
      </c>
      <c r="B748" s="14" t="s">
        <v>2407</v>
      </c>
      <c r="C748" s="14">
        <v>9565207619</v>
      </c>
      <c r="D748" s="15" t="s">
        <v>2426</v>
      </c>
      <c r="E748" s="14">
        <v>21</v>
      </c>
      <c r="F748" s="14" t="s">
        <v>89</v>
      </c>
      <c r="G748" s="14" t="s">
        <v>388</v>
      </c>
      <c r="H748" s="14" t="s">
        <v>132</v>
      </c>
      <c r="I748" s="14" t="s">
        <v>92</v>
      </c>
      <c r="J748" s="15">
        <v>2048797</v>
      </c>
      <c r="K748" s="14">
        <v>2</v>
      </c>
      <c r="L748" s="14" t="s">
        <v>75</v>
      </c>
      <c r="M748" s="14" t="s">
        <v>75</v>
      </c>
      <c r="N748" s="14" t="s">
        <v>76</v>
      </c>
      <c r="O748" s="14" t="s">
        <v>76</v>
      </c>
      <c r="P748" s="14">
        <v>527</v>
      </c>
      <c r="Q748" s="15"/>
      <c r="R748" s="15">
        <v>42821.01</v>
      </c>
      <c r="S748" s="14" t="s">
        <v>23</v>
      </c>
      <c r="T748" s="15">
        <v>1404416</v>
      </c>
      <c r="U748" s="16">
        <f t="shared" si="121"/>
        <v>0.25080675147415776</v>
      </c>
      <c r="V748" s="14">
        <v>0</v>
      </c>
      <c r="W748" s="17">
        <v>19.899999999999999</v>
      </c>
      <c r="X748" s="14">
        <v>8.3000000000000007</v>
      </c>
      <c r="Y748" s="18">
        <f t="shared" si="122"/>
        <v>34.4</v>
      </c>
      <c r="Z748" s="18" t="str">
        <f t="shared" si="123"/>
        <v>Medium</v>
      </c>
      <c r="AA748" s="19" t="str">
        <f t="shared" si="124"/>
        <v>Not Eligible</v>
      </c>
      <c r="AB748" s="14" t="s">
        <v>77</v>
      </c>
      <c r="AC748" s="14">
        <v>3</v>
      </c>
      <c r="AD748" s="14" t="s">
        <v>93</v>
      </c>
      <c r="AE748" s="17">
        <v>0.3</v>
      </c>
      <c r="AF748" s="15">
        <v>800268</v>
      </c>
      <c r="AG748" s="20">
        <f t="shared" si="125"/>
        <v>2849065</v>
      </c>
      <c r="AH748" s="14">
        <v>0</v>
      </c>
      <c r="AI748" s="14" t="s">
        <v>75</v>
      </c>
      <c r="AJ748" s="14">
        <v>360</v>
      </c>
      <c r="AK748" s="21">
        <f t="shared" si="126"/>
        <v>0.1</v>
      </c>
      <c r="AL748" s="20">
        <f t="shared" si="127"/>
        <v>12324.755541778306</v>
      </c>
      <c r="AM748" s="22">
        <f t="shared" si="128"/>
        <v>0.68548323723629034</v>
      </c>
      <c r="AN748" s="20">
        <f t="shared" si="129"/>
        <v>55145.76554177831</v>
      </c>
      <c r="AO748" s="16">
        <f t="shared" si="130"/>
        <v>0.32299402356667828</v>
      </c>
      <c r="AP748" s="15">
        <v>3251687</v>
      </c>
      <c r="AQ748" s="18">
        <f t="shared" si="131"/>
        <v>0.43190380869991485</v>
      </c>
      <c r="AR748" s="23">
        <v>46011</v>
      </c>
      <c r="AS748" s="14" t="s">
        <v>79</v>
      </c>
    </row>
    <row r="749" spans="1:45" x14ac:dyDescent="0.25">
      <c r="A749" s="14" t="s">
        <v>2410</v>
      </c>
      <c r="B749" s="14" t="s">
        <v>2411</v>
      </c>
      <c r="C749" s="14">
        <v>9461617321</v>
      </c>
      <c r="D749" s="15" t="s">
        <v>2429</v>
      </c>
      <c r="E749" s="14">
        <v>48</v>
      </c>
      <c r="F749" s="14" t="s">
        <v>71</v>
      </c>
      <c r="G749" s="14" t="s">
        <v>72</v>
      </c>
      <c r="H749" s="14" t="s">
        <v>91</v>
      </c>
      <c r="I749" s="14" t="s">
        <v>92</v>
      </c>
      <c r="J749" s="15">
        <v>1575847</v>
      </c>
      <c r="K749" s="14">
        <v>0</v>
      </c>
      <c r="L749" s="14" t="s">
        <v>75</v>
      </c>
      <c r="M749" s="14" t="s">
        <v>75</v>
      </c>
      <c r="N749" s="14" t="s">
        <v>75</v>
      </c>
      <c r="O749" s="14" t="s">
        <v>75</v>
      </c>
      <c r="P749" s="14">
        <v>465</v>
      </c>
      <c r="Q749" s="15"/>
      <c r="R749" s="15">
        <v>942.77</v>
      </c>
      <c r="S749" s="14" t="s">
        <v>23</v>
      </c>
      <c r="T749" s="15">
        <v>1412426</v>
      </c>
      <c r="U749" s="16">
        <f t="shared" si="121"/>
        <v>7.1791487371553201E-3</v>
      </c>
      <c r="V749" s="14">
        <v>1</v>
      </c>
      <c r="W749" s="17">
        <v>51.7</v>
      </c>
      <c r="X749" s="14">
        <v>12.7</v>
      </c>
      <c r="Y749" s="18">
        <f t="shared" si="122"/>
        <v>38.4</v>
      </c>
      <c r="Z749" s="18" t="str">
        <f t="shared" si="123"/>
        <v>Medium</v>
      </c>
      <c r="AA749" s="19" t="str">
        <f t="shared" si="124"/>
        <v>Not Eligible</v>
      </c>
      <c r="AB749" s="14" t="s">
        <v>77</v>
      </c>
      <c r="AC749" s="14">
        <v>2</v>
      </c>
      <c r="AD749" s="14" t="s">
        <v>194</v>
      </c>
      <c r="AE749" s="17">
        <v>3.7</v>
      </c>
      <c r="AF749" s="15">
        <v>0</v>
      </c>
      <c r="AG749" s="20">
        <f t="shared" si="125"/>
        <v>1575847</v>
      </c>
      <c r="AH749" s="14">
        <v>1</v>
      </c>
      <c r="AI749" s="14" t="s">
        <v>75</v>
      </c>
      <c r="AJ749" s="14">
        <v>120</v>
      </c>
      <c r="AK749" s="21">
        <f t="shared" si="126"/>
        <v>0.1</v>
      </c>
      <c r="AL749" s="20">
        <f t="shared" si="127"/>
        <v>18665.313669095911</v>
      </c>
      <c r="AM749" s="22">
        <f t="shared" si="128"/>
        <v>0.89629640440981895</v>
      </c>
      <c r="AN749" s="20">
        <f t="shared" si="129"/>
        <v>19608.083669095911</v>
      </c>
      <c r="AO749" s="16">
        <f t="shared" si="130"/>
        <v>0.14931462510583257</v>
      </c>
      <c r="AP749" s="15">
        <v>9566688</v>
      </c>
      <c r="AQ749" s="18">
        <f t="shared" si="131"/>
        <v>0.14764001919995717</v>
      </c>
      <c r="AR749" s="23">
        <v>46174</v>
      </c>
      <c r="AS749" s="14" t="s">
        <v>94</v>
      </c>
    </row>
    <row r="750" spans="1:45" x14ac:dyDescent="0.25">
      <c r="A750" s="14" t="s">
        <v>2414</v>
      </c>
      <c r="B750" s="14" t="s">
        <v>2415</v>
      </c>
      <c r="C750" s="14">
        <v>9754620092</v>
      </c>
      <c r="D750" s="15"/>
      <c r="E750" s="14">
        <v>45</v>
      </c>
      <c r="F750" s="14" t="s">
        <v>71</v>
      </c>
      <c r="G750" s="14" t="s">
        <v>388</v>
      </c>
      <c r="H750" s="14" t="s">
        <v>84</v>
      </c>
      <c r="I750" s="14" t="s">
        <v>74</v>
      </c>
      <c r="J750" s="15">
        <v>1852219</v>
      </c>
      <c r="K750" s="14">
        <v>1</v>
      </c>
      <c r="L750" s="14" t="s">
        <v>76</v>
      </c>
      <c r="M750" s="14" t="s">
        <v>75</v>
      </c>
      <c r="N750" s="14" t="s">
        <v>75</v>
      </c>
      <c r="O750" s="14" t="s">
        <v>75</v>
      </c>
      <c r="P750" s="14">
        <v>577</v>
      </c>
      <c r="Q750" s="15">
        <v>770</v>
      </c>
      <c r="R750" s="15">
        <v>7249.86</v>
      </c>
      <c r="S750" s="14" t="s">
        <v>22</v>
      </c>
      <c r="T750" s="15">
        <v>929859</v>
      </c>
      <c r="U750" s="16">
        <f t="shared" si="121"/>
        <v>4.696978057130393E-2</v>
      </c>
      <c r="V750" s="14">
        <v>0</v>
      </c>
      <c r="W750" s="17">
        <v>47.2</v>
      </c>
      <c r="X750" s="14">
        <v>4.2</v>
      </c>
      <c r="Y750" s="18">
        <f t="shared" si="122"/>
        <v>27.7</v>
      </c>
      <c r="Z750" s="18" t="str">
        <f t="shared" si="123"/>
        <v>Low</v>
      </c>
      <c r="AA750" s="19" t="str">
        <f t="shared" si="124"/>
        <v>Review</v>
      </c>
      <c r="AB750" s="14" t="s">
        <v>77</v>
      </c>
      <c r="AC750" s="14">
        <v>1</v>
      </c>
      <c r="AD750" s="14" t="s">
        <v>93</v>
      </c>
      <c r="AE750" s="17">
        <v>13.1</v>
      </c>
      <c r="AF750" s="15">
        <v>0</v>
      </c>
      <c r="AG750" s="20">
        <f t="shared" si="125"/>
        <v>1852219</v>
      </c>
      <c r="AH750" s="14">
        <v>2</v>
      </c>
      <c r="AI750" s="14" t="s">
        <v>75</v>
      </c>
      <c r="AJ750" s="14">
        <v>60</v>
      </c>
      <c r="AK750" s="21">
        <f t="shared" si="126"/>
        <v>0.09</v>
      </c>
      <c r="AL750" s="20">
        <f t="shared" si="127"/>
        <v>19302.343432422313</v>
      </c>
      <c r="AM750" s="22">
        <f t="shared" si="128"/>
        <v>0.50202432865660052</v>
      </c>
      <c r="AN750" s="20">
        <f t="shared" si="129"/>
        <v>26552.203432422313</v>
      </c>
      <c r="AO750" s="16">
        <f t="shared" si="130"/>
        <v>0.17202417272961124</v>
      </c>
      <c r="AP750" s="15">
        <v>1492296</v>
      </c>
      <c r="AQ750" s="18">
        <f t="shared" si="131"/>
        <v>0.62310627382235162</v>
      </c>
      <c r="AR750" s="23">
        <v>46097</v>
      </c>
      <c r="AS750" s="14" t="s">
        <v>79</v>
      </c>
    </row>
    <row r="751" spans="1:45" x14ac:dyDescent="0.25">
      <c r="A751" s="14" t="s">
        <v>2416</v>
      </c>
      <c r="B751" s="14" t="s">
        <v>2417</v>
      </c>
      <c r="C751" s="14">
        <v>9875855314</v>
      </c>
      <c r="D751" s="15"/>
      <c r="E751" s="14">
        <v>30</v>
      </c>
      <c r="F751" s="14" t="s">
        <v>89</v>
      </c>
      <c r="G751" s="14" t="s">
        <v>120</v>
      </c>
      <c r="H751" s="14" t="s">
        <v>99</v>
      </c>
      <c r="I751" s="14" t="s">
        <v>74</v>
      </c>
      <c r="J751" s="15">
        <v>1980976</v>
      </c>
      <c r="K751" s="14">
        <v>2</v>
      </c>
      <c r="L751" s="14" t="s">
        <v>76</v>
      </c>
      <c r="M751" s="14" t="s">
        <v>76</v>
      </c>
      <c r="N751" s="14" t="s">
        <v>75</v>
      </c>
      <c r="O751" s="14" t="s">
        <v>75</v>
      </c>
      <c r="P751" s="14">
        <v>760</v>
      </c>
      <c r="Q751" s="15">
        <v>238073</v>
      </c>
      <c r="R751" s="15">
        <v>21406.55</v>
      </c>
      <c r="S751" s="14" t="s">
        <v>22</v>
      </c>
      <c r="T751" s="15">
        <v>4879393</v>
      </c>
      <c r="U751" s="16">
        <f t="shared" si="121"/>
        <v>0.12967274717109142</v>
      </c>
      <c r="V751" s="14">
        <v>1</v>
      </c>
      <c r="W751" s="17">
        <v>93</v>
      </c>
      <c r="X751" s="14">
        <v>14.2</v>
      </c>
      <c r="Y751" s="18">
        <f t="shared" si="122"/>
        <v>26.5</v>
      </c>
      <c r="Z751" s="18" t="str">
        <f t="shared" si="123"/>
        <v>Low</v>
      </c>
      <c r="AA751" s="19" t="str">
        <f t="shared" si="124"/>
        <v>Eligible</v>
      </c>
      <c r="AB751" s="14" t="s">
        <v>85</v>
      </c>
      <c r="AC751" s="14">
        <v>2</v>
      </c>
      <c r="AD751" s="14" t="s">
        <v>78</v>
      </c>
      <c r="AE751" s="17">
        <v>4.5999999999999996</v>
      </c>
      <c r="AF751" s="15">
        <v>874547</v>
      </c>
      <c r="AG751" s="20">
        <f t="shared" si="125"/>
        <v>2855523</v>
      </c>
      <c r="AH751" s="14">
        <v>0</v>
      </c>
      <c r="AI751" s="14" t="s">
        <v>75</v>
      </c>
      <c r="AJ751" s="14">
        <v>24</v>
      </c>
      <c r="AK751" s="21">
        <f t="shared" si="126"/>
        <v>0.09</v>
      </c>
      <c r="AL751" s="20">
        <f t="shared" si="127"/>
        <v>222913.81168380124</v>
      </c>
      <c r="AM751" s="22">
        <f t="shared" si="128"/>
        <v>2.4631257521544936</v>
      </c>
      <c r="AN751" s="20">
        <f t="shared" si="129"/>
        <v>244320.36168380122</v>
      </c>
      <c r="AO751" s="16">
        <f t="shared" si="130"/>
        <v>1.4799999294315602</v>
      </c>
      <c r="AP751" s="15">
        <v>1044220</v>
      </c>
      <c r="AQ751" s="18">
        <f t="shared" si="131"/>
        <v>4.6727634023481643</v>
      </c>
      <c r="AR751" s="23">
        <v>46092</v>
      </c>
      <c r="AS751" s="14" t="s">
        <v>79</v>
      </c>
    </row>
    <row r="752" spans="1:45" x14ac:dyDescent="0.25">
      <c r="A752" s="14" t="s">
        <v>2419</v>
      </c>
      <c r="B752" s="14" t="s">
        <v>2420</v>
      </c>
      <c r="C752" s="14">
        <v>9509616187</v>
      </c>
      <c r="D752" s="15" t="s">
        <v>2435</v>
      </c>
      <c r="E752" s="14">
        <v>54</v>
      </c>
      <c r="F752" s="14" t="s">
        <v>71</v>
      </c>
      <c r="G752" s="14" t="s">
        <v>143</v>
      </c>
      <c r="H752" s="14" t="s">
        <v>166</v>
      </c>
      <c r="I752" s="14" t="s">
        <v>74</v>
      </c>
      <c r="J752" s="15">
        <v>1799100</v>
      </c>
      <c r="K752" s="14">
        <v>2</v>
      </c>
      <c r="L752" s="14" t="s">
        <v>76</v>
      </c>
      <c r="M752" s="14" t="s">
        <v>75</v>
      </c>
      <c r="N752" s="14" t="s">
        <v>75</v>
      </c>
      <c r="O752" s="14" t="s">
        <v>76</v>
      </c>
      <c r="P752" s="14">
        <v>479</v>
      </c>
      <c r="Q752" s="15"/>
      <c r="R752" s="15">
        <v>31052.73</v>
      </c>
      <c r="S752" s="14" t="s">
        <v>22</v>
      </c>
      <c r="T752" s="15"/>
      <c r="U752" s="16">
        <f t="shared" si="121"/>
        <v>0.20712176088044024</v>
      </c>
      <c r="V752" s="14">
        <v>2</v>
      </c>
      <c r="W752" s="17">
        <v>60.9</v>
      </c>
      <c r="X752" s="14">
        <v>7.2</v>
      </c>
      <c r="Y752" s="18">
        <f t="shared" si="122"/>
        <v>48.4</v>
      </c>
      <c r="Z752" s="18" t="str">
        <f t="shared" si="123"/>
        <v>Medium</v>
      </c>
      <c r="AA752" s="19" t="str">
        <f t="shared" si="124"/>
        <v>Not Eligible</v>
      </c>
      <c r="AB752" s="14" t="s">
        <v>85</v>
      </c>
      <c r="AC752" s="14">
        <v>0</v>
      </c>
      <c r="AD752" s="14" t="s">
        <v>93</v>
      </c>
      <c r="AE752" s="17">
        <v>6.3</v>
      </c>
      <c r="AF752" s="15">
        <v>0</v>
      </c>
      <c r="AG752" s="20">
        <f t="shared" si="125"/>
        <v>1799100</v>
      </c>
      <c r="AH752" s="14">
        <v>2</v>
      </c>
      <c r="AI752" s="14" t="s">
        <v>76</v>
      </c>
      <c r="AJ752" s="14">
        <v>24</v>
      </c>
      <c r="AK752" s="21">
        <f t="shared" si="126"/>
        <v>0.105</v>
      </c>
      <c r="AL752" s="20">
        <f t="shared" si="127"/>
        <v>0</v>
      </c>
      <c r="AM752" s="22">
        <f t="shared" si="128"/>
        <v>0</v>
      </c>
      <c r="AN752" s="20">
        <f t="shared" si="129"/>
        <v>31052.73</v>
      </c>
      <c r="AO752" s="16">
        <f t="shared" si="130"/>
        <v>0.20712176088044024</v>
      </c>
      <c r="AP752" s="15">
        <v>511827</v>
      </c>
      <c r="AQ752" s="18">
        <f t="shared" si="131"/>
        <v>0</v>
      </c>
      <c r="AR752" s="23">
        <v>46014</v>
      </c>
      <c r="AS752" s="14" t="s">
        <v>79</v>
      </c>
    </row>
    <row r="753" spans="1:45" x14ac:dyDescent="0.25">
      <c r="A753" s="14" t="s">
        <v>2421</v>
      </c>
      <c r="B753" s="14" t="s">
        <v>208</v>
      </c>
      <c r="C753" s="14"/>
      <c r="D753" s="15" t="s">
        <v>2438</v>
      </c>
      <c r="E753" s="14">
        <v>49</v>
      </c>
      <c r="F753" s="14" t="s">
        <v>71</v>
      </c>
      <c r="G753" s="14" t="s">
        <v>131</v>
      </c>
      <c r="H753" s="14" t="s">
        <v>99</v>
      </c>
      <c r="I753" s="14" t="s">
        <v>74</v>
      </c>
      <c r="J753" s="15">
        <v>1113635</v>
      </c>
      <c r="K753" s="14">
        <v>1</v>
      </c>
      <c r="L753" s="14" t="s">
        <v>76</v>
      </c>
      <c r="M753" s="14" t="s">
        <v>75</v>
      </c>
      <c r="N753" s="14" t="s">
        <v>75</v>
      </c>
      <c r="O753" s="14" t="s">
        <v>75</v>
      </c>
      <c r="P753" s="14">
        <v>517</v>
      </c>
      <c r="Q753" s="15">
        <v>311601</v>
      </c>
      <c r="R753" s="15">
        <v>9015.07</v>
      </c>
      <c r="S753" s="14" t="s">
        <v>20</v>
      </c>
      <c r="T753" s="15">
        <v>449152</v>
      </c>
      <c r="U753" s="16">
        <f t="shared" si="121"/>
        <v>9.7142097725017626E-2</v>
      </c>
      <c r="V753" s="14">
        <v>0</v>
      </c>
      <c r="W753" s="17">
        <v>70.900000000000006</v>
      </c>
      <c r="X753" s="14">
        <v>11</v>
      </c>
      <c r="Y753" s="18">
        <f t="shared" si="122"/>
        <v>35.5</v>
      </c>
      <c r="Z753" s="18" t="str">
        <f t="shared" si="123"/>
        <v>Medium</v>
      </c>
      <c r="AA753" s="19" t="str">
        <f t="shared" si="124"/>
        <v>Not Eligible</v>
      </c>
      <c r="AB753" s="14" t="s">
        <v>85</v>
      </c>
      <c r="AC753" s="14">
        <v>2</v>
      </c>
      <c r="AD753" s="14" t="s">
        <v>78</v>
      </c>
      <c r="AE753" s="17">
        <v>27.5</v>
      </c>
      <c r="AF753" s="15">
        <v>0</v>
      </c>
      <c r="AG753" s="20">
        <f t="shared" si="125"/>
        <v>1113635</v>
      </c>
      <c r="AH753" s="14">
        <v>0</v>
      </c>
      <c r="AI753" s="14" t="s">
        <v>75</v>
      </c>
      <c r="AJ753" s="14">
        <v>24</v>
      </c>
      <c r="AK753" s="21">
        <f t="shared" si="126"/>
        <v>0.375</v>
      </c>
      <c r="AL753" s="20">
        <f t="shared" si="127"/>
        <v>26879.653958928837</v>
      </c>
      <c r="AM753" s="22">
        <f t="shared" si="128"/>
        <v>0.40332065712733528</v>
      </c>
      <c r="AN753" s="20">
        <f t="shared" si="129"/>
        <v>35894.723958928837</v>
      </c>
      <c r="AO753" s="16">
        <f t="shared" si="130"/>
        <v>0.38678443790572858</v>
      </c>
      <c r="AP753" s="15">
        <v>0</v>
      </c>
      <c r="AQ753" s="18" t="str">
        <f t="shared" si="131"/>
        <v>N/A</v>
      </c>
      <c r="AR753" s="23">
        <v>46237</v>
      </c>
      <c r="AS753" s="14" t="s">
        <v>79</v>
      </c>
    </row>
    <row r="754" spans="1:45" x14ac:dyDescent="0.25">
      <c r="A754" s="14" t="s">
        <v>2423</v>
      </c>
      <c r="B754" s="14" t="s">
        <v>2424</v>
      </c>
      <c r="C754" s="14"/>
      <c r="D754" s="15" t="s">
        <v>2441</v>
      </c>
      <c r="E754" s="14">
        <v>59</v>
      </c>
      <c r="F754" s="14" t="s">
        <v>89</v>
      </c>
      <c r="G754" s="14" t="s">
        <v>115</v>
      </c>
      <c r="H754" s="14" t="s">
        <v>107</v>
      </c>
      <c r="I754" s="14" t="s">
        <v>92</v>
      </c>
      <c r="J754" s="15">
        <v>865935</v>
      </c>
      <c r="K754" s="14">
        <v>1</v>
      </c>
      <c r="L754" s="14" t="s">
        <v>75</v>
      </c>
      <c r="M754" s="14" t="s">
        <v>75</v>
      </c>
      <c r="N754" s="14" t="s">
        <v>76</v>
      </c>
      <c r="O754" s="14" t="s">
        <v>75</v>
      </c>
      <c r="P754" s="14">
        <v>514</v>
      </c>
      <c r="Q754" s="15">
        <v>1393365.97</v>
      </c>
      <c r="R754" s="15">
        <v>3693.76</v>
      </c>
      <c r="S754" s="14" t="s">
        <v>22</v>
      </c>
      <c r="T754" s="15">
        <v>4843646</v>
      </c>
      <c r="U754" s="16">
        <f t="shared" si="121"/>
        <v>5.1187583363647392E-2</v>
      </c>
      <c r="V754" s="14">
        <v>0</v>
      </c>
      <c r="W754" s="17">
        <v>35.200000000000003</v>
      </c>
      <c r="X754" s="14">
        <v>0.8</v>
      </c>
      <c r="Y754" s="18">
        <f t="shared" si="122"/>
        <v>30.8</v>
      </c>
      <c r="Z754" s="18" t="str">
        <f t="shared" si="123"/>
        <v>Medium</v>
      </c>
      <c r="AA754" s="19" t="str">
        <f t="shared" si="124"/>
        <v>Not Eligible</v>
      </c>
      <c r="AB754" s="14" t="s">
        <v>85</v>
      </c>
      <c r="AC754" s="14">
        <v>2</v>
      </c>
      <c r="AD754" s="14" t="s">
        <v>78</v>
      </c>
      <c r="AE754" s="17">
        <v>20.8</v>
      </c>
      <c r="AF754" s="15">
        <v>532080</v>
      </c>
      <c r="AG754" s="20">
        <f t="shared" si="125"/>
        <v>1398015</v>
      </c>
      <c r="AH754" s="14">
        <v>3</v>
      </c>
      <c r="AI754" s="14" t="s">
        <v>75</v>
      </c>
      <c r="AJ754" s="14">
        <v>60</v>
      </c>
      <c r="AK754" s="21">
        <f t="shared" si="126"/>
        <v>0.105</v>
      </c>
      <c r="AL754" s="20">
        <f t="shared" si="127"/>
        <v>104108.84459086711</v>
      </c>
      <c r="AM754" s="22">
        <f t="shared" si="128"/>
        <v>5.5935445501105745</v>
      </c>
      <c r="AN754" s="20">
        <f t="shared" si="129"/>
        <v>107802.60459086711</v>
      </c>
      <c r="AO754" s="16">
        <f t="shared" si="130"/>
        <v>1.4939126552113093</v>
      </c>
      <c r="AP754" s="15">
        <v>1654464</v>
      </c>
      <c r="AQ754" s="18">
        <f t="shared" si="131"/>
        <v>2.9276224807550966</v>
      </c>
      <c r="AR754" s="23">
        <v>46009</v>
      </c>
      <c r="AS754" s="14" t="s">
        <v>79</v>
      </c>
    </row>
    <row r="755" spans="1:45" x14ac:dyDescent="0.25">
      <c r="A755" s="14" t="s">
        <v>2427</v>
      </c>
      <c r="B755" s="14" t="s">
        <v>2428</v>
      </c>
      <c r="C755" s="14">
        <v>9791033824</v>
      </c>
      <c r="D755" s="15" t="s">
        <v>2444</v>
      </c>
      <c r="E755" s="14">
        <v>23</v>
      </c>
      <c r="F755" s="14" t="s">
        <v>71</v>
      </c>
      <c r="G755" s="14" t="s">
        <v>174</v>
      </c>
      <c r="H755" s="14" t="s">
        <v>166</v>
      </c>
      <c r="I755" s="14" t="s">
        <v>74</v>
      </c>
      <c r="J755" s="15">
        <v>1007100</v>
      </c>
      <c r="K755" s="14">
        <v>2</v>
      </c>
      <c r="L755" s="14" t="s">
        <v>75</v>
      </c>
      <c r="M755" s="14" t="s">
        <v>76</v>
      </c>
      <c r="N755" s="14" t="s">
        <v>76</v>
      </c>
      <c r="O755" s="14" t="s">
        <v>75</v>
      </c>
      <c r="P755" s="14">
        <v>345</v>
      </c>
      <c r="Q755" s="15">
        <v>28771.27</v>
      </c>
      <c r="R755" s="15">
        <v>28486.62</v>
      </c>
      <c r="S755" s="14" t="s">
        <v>22</v>
      </c>
      <c r="T755" s="15"/>
      <c r="U755" s="16">
        <f t="shared" si="121"/>
        <v>0.33942949061662198</v>
      </c>
      <c r="V755" s="14">
        <v>1</v>
      </c>
      <c r="W755" s="17">
        <v>77.5</v>
      </c>
      <c r="X755" s="14">
        <v>5.0999999999999996</v>
      </c>
      <c r="Y755" s="18">
        <f t="shared" si="122"/>
        <v>58.9</v>
      </c>
      <c r="Z755" s="18" t="str">
        <f t="shared" si="123"/>
        <v>Medium</v>
      </c>
      <c r="AA755" s="19" t="str">
        <f t="shared" si="124"/>
        <v>Not Eligible</v>
      </c>
      <c r="AB755" s="14" t="s">
        <v>85</v>
      </c>
      <c r="AC755" s="14">
        <v>3</v>
      </c>
      <c r="AD755" s="14" t="s">
        <v>78</v>
      </c>
      <c r="AE755" s="17">
        <v>0.6</v>
      </c>
      <c r="AF755" s="15">
        <v>180652</v>
      </c>
      <c r="AG755" s="20">
        <f t="shared" si="125"/>
        <v>1187752</v>
      </c>
      <c r="AH755" s="14">
        <v>0</v>
      </c>
      <c r="AI755" s="14" t="s">
        <v>75</v>
      </c>
      <c r="AJ755" s="14">
        <v>84</v>
      </c>
      <c r="AK755" s="21">
        <f t="shared" si="126"/>
        <v>0.105</v>
      </c>
      <c r="AL755" s="20">
        <f t="shared" si="127"/>
        <v>0</v>
      </c>
      <c r="AM755" s="22">
        <f t="shared" si="128"/>
        <v>0</v>
      </c>
      <c r="AN755" s="20">
        <f t="shared" si="129"/>
        <v>28486.62</v>
      </c>
      <c r="AO755" s="16">
        <f t="shared" si="130"/>
        <v>0.33942949061662198</v>
      </c>
      <c r="AP755" s="15">
        <v>1612944</v>
      </c>
      <c r="AQ755" s="18">
        <f t="shared" si="131"/>
        <v>0</v>
      </c>
      <c r="AR755" s="23">
        <v>46041</v>
      </c>
      <c r="AS755" s="14" t="s">
        <v>79</v>
      </c>
    </row>
    <row r="756" spans="1:45" x14ac:dyDescent="0.25">
      <c r="A756" s="14" t="s">
        <v>2430</v>
      </c>
      <c r="B756" s="14" t="s">
        <v>2431</v>
      </c>
      <c r="C756" s="14"/>
      <c r="D756" s="15" t="s">
        <v>2447</v>
      </c>
      <c r="E756" s="14">
        <v>63</v>
      </c>
      <c r="F756" s="14" t="s">
        <v>89</v>
      </c>
      <c r="G756" s="14" t="s">
        <v>120</v>
      </c>
      <c r="H756" s="14" t="s">
        <v>144</v>
      </c>
      <c r="I756" s="14" t="s">
        <v>92</v>
      </c>
      <c r="J756" s="15">
        <v>2084092</v>
      </c>
      <c r="K756" s="14">
        <v>0</v>
      </c>
      <c r="L756" s="14" t="s">
        <v>75</v>
      </c>
      <c r="M756" s="14" t="s">
        <v>75</v>
      </c>
      <c r="N756" s="14" t="s">
        <v>75</v>
      </c>
      <c r="O756" s="14" t="s">
        <v>75</v>
      </c>
      <c r="P756" s="14">
        <v>506</v>
      </c>
      <c r="Q756" s="15">
        <v>68863</v>
      </c>
      <c r="R756" s="15">
        <v>17.11</v>
      </c>
      <c r="S756" s="14" t="s">
        <v>21</v>
      </c>
      <c r="T756" s="15">
        <v>1611314</v>
      </c>
      <c r="U756" s="16">
        <f t="shared" si="121"/>
        <v>9.8517723785706193E-5</v>
      </c>
      <c r="V756" s="14">
        <v>1</v>
      </c>
      <c r="W756" s="17">
        <v>79.7</v>
      </c>
      <c r="X756" s="14">
        <v>7.9</v>
      </c>
      <c r="Y756" s="18">
        <f t="shared" si="122"/>
        <v>38.200000000000003</v>
      </c>
      <c r="Z756" s="18" t="str">
        <f t="shared" si="123"/>
        <v>Medium</v>
      </c>
      <c r="AA756" s="19" t="str">
        <f t="shared" si="124"/>
        <v>Not Eligible</v>
      </c>
      <c r="AB756" s="14" t="s">
        <v>85</v>
      </c>
      <c r="AC756" s="14">
        <v>2</v>
      </c>
      <c r="AD756" s="14" t="s">
        <v>194</v>
      </c>
      <c r="AE756" s="17">
        <v>3.4</v>
      </c>
      <c r="AF756" s="15">
        <v>0</v>
      </c>
      <c r="AG756" s="20">
        <f t="shared" si="125"/>
        <v>2084092</v>
      </c>
      <c r="AH756" s="14">
        <v>0</v>
      </c>
      <c r="AI756" s="14" t="s">
        <v>75</v>
      </c>
      <c r="AJ756" s="14">
        <v>24</v>
      </c>
      <c r="AK756" s="21">
        <f t="shared" si="126"/>
        <v>0.15500000000000003</v>
      </c>
      <c r="AL756" s="20">
        <f t="shared" si="127"/>
        <v>78510.537439295338</v>
      </c>
      <c r="AM756" s="22">
        <f t="shared" si="128"/>
        <v>0.77314916999825345</v>
      </c>
      <c r="AN756" s="20">
        <f t="shared" si="129"/>
        <v>78527.647439295339</v>
      </c>
      <c r="AO756" s="16">
        <f t="shared" si="130"/>
        <v>0.45215459263388758</v>
      </c>
      <c r="AP756" s="15">
        <v>0</v>
      </c>
      <c r="AQ756" s="18" t="str">
        <f t="shared" si="131"/>
        <v>N/A</v>
      </c>
      <c r="AR756" s="23">
        <v>46114</v>
      </c>
      <c r="AS756" s="14" t="s">
        <v>79</v>
      </c>
    </row>
    <row r="757" spans="1:45" x14ac:dyDescent="0.25">
      <c r="A757" s="14" t="s">
        <v>2432</v>
      </c>
      <c r="B757" s="14" t="s">
        <v>1277</v>
      </c>
      <c r="C757" s="14">
        <v>9663497143</v>
      </c>
      <c r="D757" s="15" t="s">
        <v>2451</v>
      </c>
      <c r="E757" s="14">
        <v>60</v>
      </c>
      <c r="F757" s="14" t="s">
        <v>89</v>
      </c>
      <c r="G757" s="14" t="s">
        <v>98</v>
      </c>
      <c r="H757" s="14" t="s">
        <v>107</v>
      </c>
      <c r="I757" s="14" t="s">
        <v>92</v>
      </c>
      <c r="J757" s="15">
        <v>2061565</v>
      </c>
      <c r="K757" s="14">
        <v>2</v>
      </c>
      <c r="L757" s="14" t="s">
        <v>75</v>
      </c>
      <c r="M757" s="14" t="s">
        <v>76</v>
      </c>
      <c r="N757" s="14" t="s">
        <v>75</v>
      </c>
      <c r="O757" s="14" t="s">
        <v>76</v>
      </c>
      <c r="P757" s="14">
        <v>754</v>
      </c>
      <c r="Q757" s="15">
        <v>860131</v>
      </c>
      <c r="R757" s="15">
        <v>19839.45</v>
      </c>
      <c r="S757" s="14" t="s">
        <v>23</v>
      </c>
      <c r="T757" s="15">
        <v>181778</v>
      </c>
      <c r="U757" s="16">
        <f t="shared" si="121"/>
        <v>0.11548187905790019</v>
      </c>
      <c r="V757" s="14">
        <v>0</v>
      </c>
      <c r="W757" s="17">
        <v>61.1</v>
      </c>
      <c r="X757" s="14">
        <v>9.9</v>
      </c>
      <c r="Y757" s="18">
        <f t="shared" si="122"/>
        <v>19.3</v>
      </c>
      <c r="Z757" s="18" t="str">
        <f t="shared" si="123"/>
        <v>Low</v>
      </c>
      <c r="AA757" s="19" t="str">
        <f t="shared" si="124"/>
        <v>Eligible</v>
      </c>
      <c r="AB757" s="14" t="s">
        <v>77</v>
      </c>
      <c r="AC757" s="14">
        <v>2</v>
      </c>
      <c r="AD757" s="14" t="s">
        <v>78</v>
      </c>
      <c r="AE757" s="17">
        <v>29.5</v>
      </c>
      <c r="AF757" s="15">
        <v>0</v>
      </c>
      <c r="AG757" s="20">
        <f t="shared" si="125"/>
        <v>2061565</v>
      </c>
      <c r="AH757" s="14">
        <v>2</v>
      </c>
      <c r="AI757" s="14" t="s">
        <v>75</v>
      </c>
      <c r="AJ757" s="14">
        <v>300</v>
      </c>
      <c r="AK757" s="21">
        <f t="shared" si="126"/>
        <v>8.5000000000000006E-2</v>
      </c>
      <c r="AL757" s="20">
        <f t="shared" si="127"/>
        <v>1463.7256877757929</v>
      </c>
      <c r="AM757" s="22">
        <f t="shared" si="128"/>
        <v>8.8174760436852587E-2</v>
      </c>
      <c r="AN757" s="20">
        <f t="shared" si="129"/>
        <v>21303.175687775794</v>
      </c>
      <c r="AO757" s="16">
        <f t="shared" si="130"/>
        <v>0.12400196367968487</v>
      </c>
      <c r="AP757" s="15">
        <v>6271096</v>
      </c>
      <c r="AQ757" s="18">
        <f t="shared" si="131"/>
        <v>2.8986639655970821E-2</v>
      </c>
      <c r="AR757" s="23">
        <v>45971</v>
      </c>
      <c r="AS757" s="14" t="s">
        <v>79</v>
      </c>
    </row>
    <row r="758" spans="1:45" x14ac:dyDescent="0.25">
      <c r="A758" s="14" t="s">
        <v>2434</v>
      </c>
      <c r="B758" s="14" t="s">
        <v>1466</v>
      </c>
      <c r="C758" s="14">
        <v>9979540035</v>
      </c>
      <c r="D758" s="15" t="s">
        <v>2455</v>
      </c>
      <c r="E758" s="14">
        <v>42</v>
      </c>
      <c r="F758" s="14" t="s">
        <v>89</v>
      </c>
      <c r="G758" s="14" t="s">
        <v>174</v>
      </c>
      <c r="H758" s="14" t="s">
        <v>144</v>
      </c>
      <c r="I758" s="14" t="s">
        <v>92</v>
      </c>
      <c r="J758" s="15">
        <v>398161</v>
      </c>
      <c r="K758" s="14">
        <v>1</v>
      </c>
      <c r="L758" s="14" t="s">
        <v>75</v>
      </c>
      <c r="M758" s="14" t="s">
        <v>75</v>
      </c>
      <c r="N758" s="14" t="s">
        <v>76</v>
      </c>
      <c r="O758" s="14" t="s">
        <v>75</v>
      </c>
      <c r="P758" s="14">
        <v>447</v>
      </c>
      <c r="Q758" s="15">
        <v>1056284.92</v>
      </c>
      <c r="R758" s="15">
        <v>1251.72</v>
      </c>
      <c r="S758" s="14" t="s">
        <v>20</v>
      </c>
      <c r="T758" s="15"/>
      <c r="U758" s="16">
        <f t="shared" si="121"/>
        <v>3.7725040875424762E-2</v>
      </c>
      <c r="V758" s="14">
        <v>1</v>
      </c>
      <c r="W758" s="17">
        <v>94.9</v>
      </c>
      <c r="X758" s="14">
        <v>0.6</v>
      </c>
      <c r="Y758" s="18">
        <f t="shared" si="122"/>
        <v>44.8</v>
      </c>
      <c r="Z758" s="18" t="str">
        <f t="shared" si="123"/>
        <v>Medium</v>
      </c>
      <c r="AA758" s="19" t="str">
        <f t="shared" si="124"/>
        <v>Not Eligible</v>
      </c>
      <c r="AB758" s="14" t="s">
        <v>85</v>
      </c>
      <c r="AC758" s="14">
        <v>0</v>
      </c>
      <c r="AD758" s="14" t="s">
        <v>93</v>
      </c>
      <c r="AE758" s="17">
        <v>17.399999999999999</v>
      </c>
      <c r="AF758" s="15">
        <v>681322</v>
      </c>
      <c r="AG758" s="20">
        <f t="shared" si="125"/>
        <v>1079483</v>
      </c>
      <c r="AH758" s="14">
        <v>1</v>
      </c>
      <c r="AI758" s="14" t="s">
        <v>76</v>
      </c>
      <c r="AJ758" s="14">
        <v>24</v>
      </c>
      <c r="AK758" s="21">
        <f t="shared" si="126"/>
        <v>0.375</v>
      </c>
      <c r="AL758" s="20">
        <f t="shared" si="127"/>
        <v>0</v>
      </c>
      <c r="AM758" s="22">
        <f t="shared" si="128"/>
        <v>0</v>
      </c>
      <c r="AN758" s="20">
        <f t="shared" si="129"/>
        <v>1251.72</v>
      </c>
      <c r="AO758" s="16">
        <f t="shared" si="130"/>
        <v>3.7725040875424762E-2</v>
      </c>
      <c r="AP758" s="15">
        <v>0</v>
      </c>
      <c r="AQ758" s="18" t="str">
        <f t="shared" si="131"/>
        <v>N/A</v>
      </c>
      <c r="AR758" s="23">
        <v>46034</v>
      </c>
      <c r="AS758" s="14" t="s">
        <v>79</v>
      </c>
    </row>
    <row r="759" spans="1:45" x14ac:dyDescent="0.25">
      <c r="A759" s="14" t="s">
        <v>2436</v>
      </c>
      <c r="B759" s="14" t="s">
        <v>2437</v>
      </c>
      <c r="C759" s="14">
        <v>9442843619</v>
      </c>
      <c r="D759" s="15" t="s">
        <v>2458</v>
      </c>
      <c r="E759" s="14">
        <v>24</v>
      </c>
      <c r="F759" s="14" t="s">
        <v>89</v>
      </c>
      <c r="G759" s="14" t="s">
        <v>417</v>
      </c>
      <c r="H759" s="14" t="s">
        <v>107</v>
      </c>
      <c r="I759" s="14" t="s">
        <v>92</v>
      </c>
      <c r="J759" s="15">
        <v>1654595</v>
      </c>
      <c r="K759" s="14">
        <v>1</v>
      </c>
      <c r="L759" s="14" t="s">
        <v>75</v>
      </c>
      <c r="M759" s="14" t="s">
        <v>76</v>
      </c>
      <c r="N759" s="14" t="s">
        <v>75</v>
      </c>
      <c r="O759" s="14" t="s">
        <v>75</v>
      </c>
      <c r="P759" s="14">
        <v>621</v>
      </c>
      <c r="Q759" s="15">
        <v>949965.5</v>
      </c>
      <c r="R759" s="15">
        <v>6359.21</v>
      </c>
      <c r="S759" s="14" t="s">
        <v>20</v>
      </c>
      <c r="T759" s="15">
        <v>286885</v>
      </c>
      <c r="U759" s="16">
        <f t="shared" si="121"/>
        <v>4.6120361780375263E-2</v>
      </c>
      <c r="V759" s="14">
        <v>4</v>
      </c>
      <c r="W759" s="17">
        <v>56.7</v>
      </c>
      <c r="X759" s="14">
        <v>9.4</v>
      </c>
      <c r="Y759" s="18">
        <f t="shared" si="122"/>
        <v>41.7</v>
      </c>
      <c r="Z759" s="18" t="str">
        <f t="shared" si="123"/>
        <v>Medium</v>
      </c>
      <c r="AA759" s="19" t="str">
        <f t="shared" si="124"/>
        <v>Review</v>
      </c>
      <c r="AB759" s="14" t="s">
        <v>85</v>
      </c>
      <c r="AC759" s="14">
        <v>1</v>
      </c>
      <c r="AD759" s="14" t="s">
        <v>78</v>
      </c>
      <c r="AE759" s="17">
        <v>1.7</v>
      </c>
      <c r="AF759" s="15">
        <v>0</v>
      </c>
      <c r="AG759" s="20">
        <f t="shared" si="125"/>
        <v>1654595</v>
      </c>
      <c r="AH759" s="14">
        <v>0</v>
      </c>
      <c r="AI759" s="14" t="s">
        <v>75</v>
      </c>
      <c r="AJ759" s="14">
        <v>12</v>
      </c>
      <c r="AK759" s="21">
        <f t="shared" si="126"/>
        <v>0.375</v>
      </c>
      <c r="AL759" s="20">
        <f t="shared" si="127"/>
        <v>29036.541705259649</v>
      </c>
      <c r="AM759" s="22">
        <f t="shared" si="128"/>
        <v>0.1733868408885558</v>
      </c>
      <c r="AN759" s="20">
        <f t="shared" si="129"/>
        <v>35395.751705259652</v>
      </c>
      <c r="AO759" s="16">
        <f t="shared" si="130"/>
        <v>0.25670875378150898</v>
      </c>
      <c r="AP759" s="15">
        <v>0</v>
      </c>
      <c r="AQ759" s="18" t="str">
        <f t="shared" si="131"/>
        <v>N/A</v>
      </c>
      <c r="AR759" s="23">
        <v>46180</v>
      </c>
      <c r="AS759" s="14" t="s">
        <v>79</v>
      </c>
    </row>
    <row r="760" spans="1:45" x14ac:dyDescent="0.25">
      <c r="A760" s="14" t="s">
        <v>2439</v>
      </c>
      <c r="B760" s="14" t="s">
        <v>2440</v>
      </c>
      <c r="C760" s="14">
        <v>9503635940</v>
      </c>
      <c r="D760" s="15" t="s">
        <v>2462</v>
      </c>
      <c r="E760" s="14">
        <v>31</v>
      </c>
      <c r="F760" s="14" t="s">
        <v>89</v>
      </c>
      <c r="G760" s="14" t="s">
        <v>83</v>
      </c>
      <c r="H760" s="14" t="s">
        <v>91</v>
      </c>
      <c r="I760" s="14" t="s">
        <v>92</v>
      </c>
      <c r="J760" s="15">
        <v>2420337</v>
      </c>
      <c r="K760" s="14">
        <v>1</v>
      </c>
      <c r="L760" s="14" t="s">
        <v>76</v>
      </c>
      <c r="M760" s="14" t="s">
        <v>75</v>
      </c>
      <c r="N760" s="14" t="s">
        <v>75</v>
      </c>
      <c r="O760" s="14" t="s">
        <v>75</v>
      </c>
      <c r="P760" s="14">
        <v>459</v>
      </c>
      <c r="Q760" s="15"/>
      <c r="R760" s="15">
        <v>25333.93</v>
      </c>
      <c r="S760" s="14" t="s">
        <v>23</v>
      </c>
      <c r="T760" s="15">
        <v>7447682</v>
      </c>
      <c r="U760" s="16">
        <f t="shared" si="121"/>
        <v>0.12560530207157103</v>
      </c>
      <c r="V760" s="14">
        <v>0</v>
      </c>
      <c r="W760" s="17">
        <v>27.6</v>
      </c>
      <c r="X760" s="14">
        <v>6.1</v>
      </c>
      <c r="Y760" s="18">
        <f t="shared" si="122"/>
        <v>35.9</v>
      </c>
      <c r="Z760" s="18" t="str">
        <f t="shared" si="123"/>
        <v>Medium</v>
      </c>
      <c r="AA760" s="19" t="str">
        <f t="shared" si="124"/>
        <v>Not Eligible</v>
      </c>
      <c r="AB760" s="14" t="s">
        <v>85</v>
      </c>
      <c r="AC760" s="14">
        <v>0</v>
      </c>
      <c r="AD760" s="14" t="s">
        <v>93</v>
      </c>
      <c r="AE760" s="17">
        <v>6.8</v>
      </c>
      <c r="AF760" s="15">
        <v>787293</v>
      </c>
      <c r="AG760" s="20">
        <f t="shared" si="125"/>
        <v>3207630</v>
      </c>
      <c r="AH760" s="14">
        <v>1</v>
      </c>
      <c r="AI760" s="14" t="s">
        <v>75</v>
      </c>
      <c r="AJ760" s="14">
        <v>360</v>
      </c>
      <c r="AK760" s="21">
        <f t="shared" si="126"/>
        <v>0.1</v>
      </c>
      <c r="AL760" s="20">
        <f t="shared" si="127"/>
        <v>65358.739862620852</v>
      </c>
      <c r="AM760" s="22">
        <f t="shared" si="128"/>
        <v>3.0771260365808564</v>
      </c>
      <c r="AN760" s="20">
        <f t="shared" si="129"/>
        <v>90692.669862620853</v>
      </c>
      <c r="AO760" s="16">
        <f t="shared" si="130"/>
        <v>0.44965310134557712</v>
      </c>
      <c r="AP760" s="15">
        <v>5691003</v>
      </c>
      <c r="AQ760" s="18">
        <f t="shared" si="131"/>
        <v>1.3086765197628607</v>
      </c>
      <c r="AR760" s="23">
        <v>46185</v>
      </c>
      <c r="AS760" s="14" t="s">
        <v>79</v>
      </c>
    </row>
    <row r="761" spans="1:45" x14ac:dyDescent="0.25">
      <c r="A761" s="14" t="s">
        <v>2442</v>
      </c>
      <c r="B761" s="14" t="s">
        <v>2443</v>
      </c>
      <c r="C761" s="14">
        <v>9273475833</v>
      </c>
      <c r="D761" s="15" t="s">
        <v>2465</v>
      </c>
      <c r="E761" s="14">
        <v>53</v>
      </c>
      <c r="F761" s="14" t="s">
        <v>71</v>
      </c>
      <c r="G761" s="14" t="s">
        <v>127</v>
      </c>
      <c r="H761" s="14" t="s">
        <v>107</v>
      </c>
      <c r="I761" s="14" t="s">
        <v>92</v>
      </c>
      <c r="J761" s="15">
        <v>329539</v>
      </c>
      <c r="K761" s="14">
        <v>0</v>
      </c>
      <c r="L761" s="14" t="s">
        <v>75</v>
      </c>
      <c r="M761" s="14" t="s">
        <v>75</v>
      </c>
      <c r="N761" s="14" t="s">
        <v>75</v>
      </c>
      <c r="O761" s="14" t="s">
        <v>75</v>
      </c>
      <c r="P761" s="14">
        <v>337</v>
      </c>
      <c r="Q761" s="15">
        <v>302189.40000000002</v>
      </c>
      <c r="R761" s="15">
        <v>1918.08</v>
      </c>
      <c r="S761" s="14" t="s">
        <v>23</v>
      </c>
      <c r="T761" s="15">
        <v>4743069</v>
      </c>
      <c r="U761" s="16">
        <f t="shared" si="121"/>
        <v>6.9845936292821181E-2</v>
      </c>
      <c r="V761" s="14">
        <v>0</v>
      </c>
      <c r="W761" s="17">
        <v>50.7</v>
      </c>
      <c r="X761" s="14">
        <v>2.4</v>
      </c>
      <c r="Y761" s="18">
        <f t="shared" si="122"/>
        <v>44.7</v>
      </c>
      <c r="Z761" s="18" t="str">
        <f t="shared" si="123"/>
        <v>Medium</v>
      </c>
      <c r="AA761" s="19" t="str">
        <f t="shared" si="124"/>
        <v>Not Eligible</v>
      </c>
      <c r="AB761" s="14" t="s">
        <v>85</v>
      </c>
      <c r="AC761" s="14">
        <v>1</v>
      </c>
      <c r="AD761" s="14" t="s">
        <v>93</v>
      </c>
      <c r="AE761" s="17">
        <v>7.2</v>
      </c>
      <c r="AF761" s="15">
        <v>679830</v>
      </c>
      <c r="AG761" s="20">
        <f t="shared" si="125"/>
        <v>1009369</v>
      </c>
      <c r="AH761" s="14">
        <v>1</v>
      </c>
      <c r="AI761" s="14" t="s">
        <v>75</v>
      </c>
      <c r="AJ761" s="14">
        <v>240</v>
      </c>
      <c r="AK761" s="21">
        <f t="shared" si="126"/>
        <v>0.1</v>
      </c>
      <c r="AL761" s="20">
        <f t="shared" si="127"/>
        <v>45771.64249079529</v>
      </c>
      <c r="AM761" s="22">
        <f t="shared" si="128"/>
        <v>14.393043008566513</v>
      </c>
      <c r="AN761" s="20">
        <f t="shared" si="129"/>
        <v>47689.722490795291</v>
      </c>
      <c r="AO761" s="16">
        <f t="shared" si="130"/>
        <v>1.7365977013025573</v>
      </c>
      <c r="AP761" s="15">
        <v>8353915</v>
      </c>
      <c r="AQ761" s="18">
        <f t="shared" si="131"/>
        <v>0.56776601150478545</v>
      </c>
      <c r="AR761" s="23">
        <v>46127</v>
      </c>
      <c r="AS761" s="14" t="s">
        <v>94</v>
      </c>
    </row>
    <row r="762" spans="1:45" x14ac:dyDescent="0.25">
      <c r="A762" s="14" t="s">
        <v>2445</v>
      </c>
      <c r="B762" s="14" t="s">
        <v>2446</v>
      </c>
      <c r="C762" s="14">
        <v>9927479704</v>
      </c>
      <c r="D762" s="15"/>
      <c r="E762" s="14">
        <v>52</v>
      </c>
      <c r="F762" s="14" t="s">
        <v>89</v>
      </c>
      <c r="G762" s="14" t="s">
        <v>417</v>
      </c>
      <c r="H762" s="14" t="s">
        <v>144</v>
      </c>
      <c r="I762" s="14" t="s">
        <v>92</v>
      </c>
      <c r="J762" s="15">
        <v>2035459</v>
      </c>
      <c r="K762" s="14">
        <v>0</v>
      </c>
      <c r="L762" s="14" t="s">
        <v>75</v>
      </c>
      <c r="M762" s="14" t="s">
        <v>75</v>
      </c>
      <c r="N762" s="14" t="s">
        <v>75</v>
      </c>
      <c r="O762" s="14" t="s">
        <v>75</v>
      </c>
      <c r="P762" s="14">
        <v>495</v>
      </c>
      <c r="Q762" s="15">
        <v>519175.44</v>
      </c>
      <c r="R762" s="15">
        <v>1229.71</v>
      </c>
      <c r="S762" s="14" t="s">
        <v>23</v>
      </c>
      <c r="T762" s="15">
        <v>4985364</v>
      </c>
      <c r="U762" s="16">
        <f t="shared" si="121"/>
        <v>7.2497259831811895E-3</v>
      </c>
      <c r="V762" s="14">
        <v>3</v>
      </c>
      <c r="W762" s="17">
        <v>47</v>
      </c>
      <c r="X762" s="14">
        <v>11.1</v>
      </c>
      <c r="Y762" s="18">
        <f t="shared" si="122"/>
        <v>43.9</v>
      </c>
      <c r="Z762" s="18" t="str">
        <f t="shared" si="123"/>
        <v>Medium</v>
      </c>
      <c r="AA762" s="19" t="str">
        <f t="shared" si="124"/>
        <v>Not Eligible</v>
      </c>
      <c r="AB762" s="14" t="s">
        <v>77</v>
      </c>
      <c r="AC762" s="14">
        <v>3</v>
      </c>
      <c r="AD762" s="14" t="s">
        <v>93</v>
      </c>
      <c r="AE762" s="17">
        <v>26.4</v>
      </c>
      <c r="AF762" s="15">
        <v>396952</v>
      </c>
      <c r="AG762" s="20">
        <f t="shared" si="125"/>
        <v>2432411</v>
      </c>
      <c r="AH762" s="14">
        <v>1</v>
      </c>
      <c r="AI762" s="14" t="s">
        <v>75</v>
      </c>
      <c r="AJ762" s="14">
        <v>240</v>
      </c>
      <c r="AK762" s="21">
        <f t="shared" si="126"/>
        <v>0.1</v>
      </c>
      <c r="AL762" s="20">
        <f t="shared" si="127"/>
        <v>48109.841685727362</v>
      </c>
      <c r="AM762" s="22">
        <f t="shared" si="128"/>
        <v>2.4492578823744422</v>
      </c>
      <c r="AN762" s="20">
        <f t="shared" si="129"/>
        <v>49339.551685727361</v>
      </c>
      <c r="AO762" s="16">
        <f t="shared" si="130"/>
        <v>0.29088015048631699</v>
      </c>
      <c r="AP762" s="15">
        <v>2030247</v>
      </c>
      <c r="AQ762" s="18">
        <f t="shared" si="131"/>
        <v>2.4555455567721562</v>
      </c>
      <c r="AR762" s="23">
        <v>45911</v>
      </c>
      <c r="AS762" s="14" t="s">
        <v>79</v>
      </c>
    </row>
    <row r="763" spans="1:45" x14ac:dyDescent="0.25">
      <c r="A763" s="14" t="s">
        <v>2448</v>
      </c>
      <c r="B763" s="14" t="s">
        <v>2449</v>
      </c>
      <c r="C763" s="14">
        <v>9731771542</v>
      </c>
      <c r="D763" s="15" t="s">
        <v>2471</v>
      </c>
      <c r="E763" s="14">
        <v>59</v>
      </c>
      <c r="F763" s="14" t="s">
        <v>71</v>
      </c>
      <c r="G763" s="14" t="s">
        <v>314</v>
      </c>
      <c r="H763" s="14" t="s">
        <v>84</v>
      </c>
      <c r="I763" s="14" t="s">
        <v>74</v>
      </c>
      <c r="J763" s="15">
        <v>1475062</v>
      </c>
      <c r="K763" s="14">
        <v>1</v>
      </c>
      <c r="L763" s="14" t="s">
        <v>76</v>
      </c>
      <c r="M763" s="14" t="s">
        <v>75</v>
      </c>
      <c r="N763" s="14" t="s">
        <v>75</v>
      </c>
      <c r="O763" s="14" t="s">
        <v>75</v>
      </c>
      <c r="P763" s="14">
        <v>407</v>
      </c>
      <c r="Q763" s="15">
        <v>635589</v>
      </c>
      <c r="R763" s="15">
        <v>27746.16</v>
      </c>
      <c r="S763" s="14" t="s">
        <v>20</v>
      </c>
      <c r="T763" s="15">
        <v>191650</v>
      </c>
      <c r="U763" s="16">
        <f t="shared" si="121"/>
        <v>0.22572198321155312</v>
      </c>
      <c r="V763" s="14">
        <v>4</v>
      </c>
      <c r="W763" s="17">
        <v>95.3</v>
      </c>
      <c r="X763" s="14">
        <v>9.8000000000000007</v>
      </c>
      <c r="Y763" s="18">
        <f t="shared" si="122"/>
        <v>65.2</v>
      </c>
      <c r="Z763" s="18" t="str">
        <f t="shared" si="123"/>
        <v>High</v>
      </c>
      <c r="AA763" s="19" t="str">
        <f t="shared" si="124"/>
        <v>Not Eligible</v>
      </c>
      <c r="AB763" s="14" t="s">
        <v>77</v>
      </c>
      <c r="AC763" s="14">
        <v>2</v>
      </c>
      <c r="AD763" s="14" t="s">
        <v>194</v>
      </c>
      <c r="AE763" s="17">
        <v>29.3</v>
      </c>
      <c r="AF763" s="15">
        <v>0</v>
      </c>
      <c r="AG763" s="20">
        <f t="shared" si="125"/>
        <v>1475062</v>
      </c>
      <c r="AH763" s="14">
        <v>2</v>
      </c>
      <c r="AI763" s="14" t="s">
        <v>75</v>
      </c>
      <c r="AJ763" s="14">
        <v>36</v>
      </c>
      <c r="AK763" s="21">
        <f t="shared" si="126"/>
        <v>0.39</v>
      </c>
      <c r="AL763" s="20">
        <f t="shared" si="127"/>
        <v>9108.8011469862104</v>
      </c>
      <c r="AM763" s="22">
        <f t="shared" si="128"/>
        <v>0.12992674206236754</v>
      </c>
      <c r="AN763" s="20">
        <f t="shared" si="129"/>
        <v>36854.961146986214</v>
      </c>
      <c r="AO763" s="16">
        <f t="shared" si="130"/>
        <v>0.29982436925623096</v>
      </c>
      <c r="AP763" s="15">
        <v>0</v>
      </c>
      <c r="AQ763" s="18" t="str">
        <f t="shared" si="131"/>
        <v>N/A</v>
      </c>
      <c r="AR763" s="23">
        <v>45953</v>
      </c>
      <c r="AS763" s="14" t="s">
        <v>79</v>
      </c>
    </row>
    <row r="764" spans="1:45" x14ac:dyDescent="0.25">
      <c r="A764" s="14" t="s">
        <v>2452</v>
      </c>
      <c r="B764" s="14" t="s">
        <v>2453</v>
      </c>
      <c r="C764" s="14">
        <v>9968661351</v>
      </c>
      <c r="D764" s="15"/>
      <c r="E764" s="14">
        <v>59</v>
      </c>
      <c r="F764" s="14" t="s">
        <v>71</v>
      </c>
      <c r="G764" s="14" t="s">
        <v>90</v>
      </c>
      <c r="H764" s="14" t="s">
        <v>107</v>
      </c>
      <c r="I764" s="14" t="s">
        <v>92</v>
      </c>
      <c r="J764" s="15">
        <v>2188838</v>
      </c>
      <c r="K764" s="14">
        <v>1</v>
      </c>
      <c r="L764" s="14" t="s">
        <v>75</v>
      </c>
      <c r="M764" s="14" t="s">
        <v>75</v>
      </c>
      <c r="N764" s="14" t="s">
        <v>75</v>
      </c>
      <c r="O764" s="14" t="s">
        <v>76</v>
      </c>
      <c r="P764" s="14">
        <v>609</v>
      </c>
      <c r="Q764" s="15">
        <v>449252</v>
      </c>
      <c r="R764" s="15">
        <v>20313.169999999998</v>
      </c>
      <c r="S764" s="14" t="s">
        <v>22</v>
      </c>
      <c r="T764" s="15">
        <v>1046617</v>
      </c>
      <c r="U764" s="16">
        <f t="shared" si="121"/>
        <v>0.11136413019145318</v>
      </c>
      <c r="V764" s="14">
        <v>0</v>
      </c>
      <c r="W764" s="17">
        <v>32.700000000000003</v>
      </c>
      <c r="X764" s="14">
        <v>6.3</v>
      </c>
      <c r="Y764" s="18">
        <f t="shared" si="122"/>
        <v>26</v>
      </c>
      <c r="Z764" s="18" t="str">
        <f t="shared" si="123"/>
        <v>Low</v>
      </c>
      <c r="AA764" s="19" t="str">
        <f t="shared" si="124"/>
        <v>Review</v>
      </c>
      <c r="AB764" s="14" t="s">
        <v>85</v>
      </c>
      <c r="AC764" s="14">
        <v>3</v>
      </c>
      <c r="AD764" s="14" t="s">
        <v>78</v>
      </c>
      <c r="AE764" s="17">
        <v>22.9</v>
      </c>
      <c r="AF764" s="15">
        <v>729113</v>
      </c>
      <c r="AG764" s="20">
        <f t="shared" si="125"/>
        <v>2917951</v>
      </c>
      <c r="AH764" s="14">
        <v>1</v>
      </c>
      <c r="AI764" s="14" t="s">
        <v>75</v>
      </c>
      <c r="AJ764" s="14">
        <v>48</v>
      </c>
      <c r="AK764" s="21">
        <f t="shared" si="126"/>
        <v>0.09</v>
      </c>
      <c r="AL764" s="20">
        <f t="shared" si="127"/>
        <v>26045.108394279898</v>
      </c>
      <c r="AM764" s="22">
        <f t="shared" si="128"/>
        <v>0.47816101511395542</v>
      </c>
      <c r="AN764" s="20">
        <f t="shared" si="129"/>
        <v>46358.2783942799</v>
      </c>
      <c r="AO764" s="16">
        <f t="shared" si="130"/>
        <v>0.25415281566354331</v>
      </c>
      <c r="AP764" s="15">
        <v>1272335</v>
      </c>
      <c r="AQ764" s="18">
        <f t="shared" si="131"/>
        <v>0.82259546424487262</v>
      </c>
      <c r="AR764" s="23">
        <v>45928</v>
      </c>
      <c r="AS764" s="14" t="s">
        <v>79</v>
      </c>
    </row>
    <row r="765" spans="1:45" x14ac:dyDescent="0.25">
      <c r="A765" s="14" t="s">
        <v>2456</v>
      </c>
      <c r="B765" s="14" t="s">
        <v>1177</v>
      </c>
      <c r="C765" s="14">
        <v>9168231868</v>
      </c>
      <c r="D765" s="15"/>
      <c r="E765" s="14">
        <v>52</v>
      </c>
      <c r="F765" s="14" t="s">
        <v>71</v>
      </c>
      <c r="G765" s="14" t="s">
        <v>139</v>
      </c>
      <c r="H765" s="14" t="s">
        <v>103</v>
      </c>
      <c r="I765" s="14" t="s">
        <v>74</v>
      </c>
      <c r="J765" s="15">
        <v>2389683</v>
      </c>
      <c r="K765" s="14">
        <v>2</v>
      </c>
      <c r="L765" s="14" t="s">
        <v>76</v>
      </c>
      <c r="M765" s="14" t="s">
        <v>75</v>
      </c>
      <c r="N765" s="14" t="s">
        <v>76</v>
      </c>
      <c r="O765" s="14" t="s">
        <v>75</v>
      </c>
      <c r="P765" s="14">
        <v>450</v>
      </c>
      <c r="Q765" s="15"/>
      <c r="R765" s="15">
        <v>36537.129999999997</v>
      </c>
      <c r="S765" s="14" t="s">
        <v>20</v>
      </c>
      <c r="T765" s="15"/>
      <c r="U765" s="16">
        <f t="shared" si="121"/>
        <v>0.18347436040679871</v>
      </c>
      <c r="V765" s="14">
        <v>0</v>
      </c>
      <c r="W765" s="17">
        <v>58.2</v>
      </c>
      <c r="X765" s="14">
        <v>11.2</v>
      </c>
      <c r="Y765" s="18">
        <f t="shared" si="122"/>
        <v>41.3</v>
      </c>
      <c r="Z765" s="18" t="str">
        <f t="shared" si="123"/>
        <v>Medium</v>
      </c>
      <c r="AA765" s="19" t="str">
        <f t="shared" si="124"/>
        <v>Not Eligible</v>
      </c>
      <c r="AB765" s="14" t="s">
        <v>77</v>
      </c>
      <c r="AC765" s="14">
        <v>0</v>
      </c>
      <c r="AD765" s="14" t="s">
        <v>93</v>
      </c>
      <c r="AE765" s="17">
        <v>10.1</v>
      </c>
      <c r="AF765" s="15">
        <v>0</v>
      </c>
      <c r="AG765" s="20">
        <f t="shared" si="125"/>
        <v>2389683</v>
      </c>
      <c r="AH765" s="14">
        <v>1</v>
      </c>
      <c r="AI765" s="14" t="s">
        <v>75</v>
      </c>
      <c r="AJ765" s="14">
        <v>18</v>
      </c>
      <c r="AK765" s="21">
        <f t="shared" si="126"/>
        <v>0.375</v>
      </c>
      <c r="AL765" s="20">
        <f t="shared" si="127"/>
        <v>0</v>
      </c>
      <c r="AM765" s="22">
        <f t="shared" si="128"/>
        <v>0</v>
      </c>
      <c r="AN765" s="20">
        <f t="shared" si="129"/>
        <v>36537.129999999997</v>
      </c>
      <c r="AO765" s="16">
        <f t="shared" si="130"/>
        <v>0.18347436040679871</v>
      </c>
      <c r="AP765" s="15">
        <v>0</v>
      </c>
      <c r="AQ765" s="18" t="str">
        <f t="shared" si="131"/>
        <v>N/A</v>
      </c>
      <c r="AR765" s="23">
        <v>46011</v>
      </c>
      <c r="AS765" s="14" t="s">
        <v>79</v>
      </c>
    </row>
    <row r="766" spans="1:45" x14ac:dyDescent="0.25">
      <c r="A766" s="14" t="s">
        <v>2459</v>
      </c>
      <c r="B766" s="14" t="s">
        <v>2460</v>
      </c>
      <c r="C766" s="14">
        <v>9664770094</v>
      </c>
      <c r="D766" s="15" t="s">
        <v>2478</v>
      </c>
      <c r="E766" s="14">
        <v>25</v>
      </c>
      <c r="F766" s="14" t="s">
        <v>89</v>
      </c>
      <c r="G766" s="14" t="s">
        <v>215</v>
      </c>
      <c r="H766" s="14" t="s">
        <v>144</v>
      </c>
      <c r="I766" s="14" t="s">
        <v>92</v>
      </c>
      <c r="J766" s="15">
        <v>1337834</v>
      </c>
      <c r="K766" s="14">
        <v>1</v>
      </c>
      <c r="L766" s="14" t="s">
        <v>75</v>
      </c>
      <c r="M766" s="14" t="s">
        <v>75</v>
      </c>
      <c r="N766" s="14" t="s">
        <v>76</v>
      </c>
      <c r="O766" s="14" t="s">
        <v>75</v>
      </c>
      <c r="P766" s="14">
        <v>512</v>
      </c>
      <c r="Q766" s="15"/>
      <c r="R766" s="15">
        <v>6686.74</v>
      </c>
      <c r="S766" s="14" t="s">
        <v>23</v>
      </c>
      <c r="T766" s="15">
        <v>5064536</v>
      </c>
      <c r="U766" s="16">
        <f t="shared" si="121"/>
        <v>5.9978203573836521E-2</v>
      </c>
      <c r="V766" s="14">
        <v>0</v>
      </c>
      <c r="W766" s="17">
        <v>21.8</v>
      </c>
      <c r="X766" s="14">
        <v>2</v>
      </c>
      <c r="Y766" s="18">
        <f t="shared" si="122"/>
        <v>29.8</v>
      </c>
      <c r="Z766" s="18" t="str">
        <f t="shared" si="123"/>
        <v>Low</v>
      </c>
      <c r="AA766" s="19" t="str">
        <f t="shared" si="124"/>
        <v>Not Eligible</v>
      </c>
      <c r="AB766" s="14" t="s">
        <v>77</v>
      </c>
      <c r="AC766" s="14">
        <v>2</v>
      </c>
      <c r="AD766" s="14" t="s">
        <v>93</v>
      </c>
      <c r="AE766" s="17">
        <v>2.7</v>
      </c>
      <c r="AF766" s="15">
        <v>0</v>
      </c>
      <c r="AG766" s="20">
        <f t="shared" si="125"/>
        <v>1337834</v>
      </c>
      <c r="AH766" s="14">
        <v>0</v>
      </c>
      <c r="AI766" s="14" t="s">
        <v>75</v>
      </c>
      <c r="AJ766" s="14">
        <v>360</v>
      </c>
      <c r="AK766" s="21">
        <f t="shared" si="126"/>
        <v>8.5000000000000006E-2</v>
      </c>
      <c r="AL766" s="20">
        <f t="shared" si="127"/>
        <v>38941.900184982667</v>
      </c>
      <c r="AM766" s="22">
        <f t="shared" si="128"/>
        <v>3.7856236274455575</v>
      </c>
      <c r="AN766" s="20">
        <f t="shared" si="129"/>
        <v>45628.640184982665</v>
      </c>
      <c r="AO766" s="16">
        <f t="shared" si="130"/>
        <v>0.40927624968403548</v>
      </c>
      <c r="AP766" s="15">
        <v>8778777</v>
      </c>
      <c r="AQ766" s="18">
        <f t="shared" si="131"/>
        <v>0.57690678325693889</v>
      </c>
      <c r="AR766" s="23">
        <v>45927</v>
      </c>
      <c r="AS766" s="14" t="s">
        <v>79</v>
      </c>
    </row>
    <row r="767" spans="1:45" x14ac:dyDescent="0.25">
      <c r="A767" s="14" t="s">
        <v>2463</v>
      </c>
      <c r="B767" s="14" t="s">
        <v>1197</v>
      </c>
      <c r="C767" s="14">
        <v>9345715035</v>
      </c>
      <c r="D767" s="15"/>
      <c r="E767" s="14">
        <v>25</v>
      </c>
      <c r="F767" s="14" t="s">
        <v>71</v>
      </c>
      <c r="G767" s="14" t="s">
        <v>153</v>
      </c>
      <c r="H767" s="14" t="s">
        <v>144</v>
      </c>
      <c r="I767" s="14" t="s">
        <v>92</v>
      </c>
      <c r="J767" s="15">
        <v>601173</v>
      </c>
      <c r="K767" s="14">
        <v>1</v>
      </c>
      <c r="L767" s="14" t="s">
        <v>75</v>
      </c>
      <c r="M767" s="14" t="s">
        <v>75</v>
      </c>
      <c r="N767" s="14" t="s">
        <v>75</v>
      </c>
      <c r="O767" s="14" t="s">
        <v>76</v>
      </c>
      <c r="P767" s="14">
        <v>607</v>
      </c>
      <c r="Q767" s="15">
        <v>137023</v>
      </c>
      <c r="R767" s="15">
        <v>5596.1</v>
      </c>
      <c r="S767" s="14" t="s">
        <v>23</v>
      </c>
      <c r="T767" s="15">
        <v>4026584</v>
      </c>
      <c r="U767" s="16">
        <f t="shared" si="121"/>
        <v>0.11170361942402605</v>
      </c>
      <c r="V767" s="14">
        <v>2</v>
      </c>
      <c r="W767" s="17">
        <v>10.6</v>
      </c>
      <c r="X767" s="14">
        <v>8.9</v>
      </c>
      <c r="Y767" s="18">
        <f t="shared" si="122"/>
        <v>31.9</v>
      </c>
      <c r="Z767" s="18" t="str">
        <f t="shared" si="123"/>
        <v>Medium</v>
      </c>
      <c r="AA767" s="19" t="str">
        <f t="shared" si="124"/>
        <v>Review</v>
      </c>
      <c r="AB767" s="14" t="s">
        <v>77</v>
      </c>
      <c r="AC767" s="14">
        <v>0</v>
      </c>
      <c r="AD767" s="14" t="s">
        <v>93</v>
      </c>
      <c r="AE767" s="17">
        <v>2</v>
      </c>
      <c r="AF767" s="15">
        <v>897168</v>
      </c>
      <c r="AG767" s="20">
        <f t="shared" si="125"/>
        <v>1498341</v>
      </c>
      <c r="AH767" s="14">
        <v>1</v>
      </c>
      <c r="AI767" s="14" t="s">
        <v>75</v>
      </c>
      <c r="AJ767" s="14">
        <v>180</v>
      </c>
      <c r="AK767" s="21">
        <f t="shared" si="126"/>
        <v>0.1</v>
      </c>
      <c r="AL767" s="20">
        <f t="shared" si="127"/>
        <v>43269.877732816174</v>
      </c>
      <c r="AM767" s="22">
        <f t="shared" si="128"/>
        <v>6.6978789799275749</v>
      </c>
      <c r="AN767" s="20">
        <f t="shared" si="129"/>
        <v>48865.977732816173</v>
      </c>
      <c r="AO767" s="16">
        <f t="shared" si="130"/>
        <v>0.97541262297840059</v>
      </c>
      <c r="AP767" s="15">
        <v>6090118</v>
      </c>
      <c r="AQ767" s="18">
        <f t="shared" si="131"/>
        <v>0.66116682796622328</v>
      </c>
      <c r="AR767" s="23">
        <v>46042</v>
      </c>
      <c r="AS767" s="14" t="s">
        <v>79</v>
      </c>
    </row>
    <row r="768" spans="1:45" x14ac:dyDescent="0.25">
      <c r="A768" s="14" t="s">
        <v>2466</v>
      </c>
      <c r="B768" s="14" t="s">
        <v>2467</v>
      </c>
      <c r="C768" s="14">
        <v>9113139785</v>
      </c>
      <c r="D768" s="15" t="s">
        <v>2484</v>
      </c>
      <c r="E768" s="14">
        <v>30</v>
      </c>
      <c r="F768" s="14" t="s">
        <v>89</v>
      </c>
      <c r="G768" s="14" t="s">
        <v>106</v>
      </c>
      <c r="H768" s="14" t="s">
        <v>166</v>
      </c>
      <c r="I768" s="14" t="s">
        <v>74</v>
      </c>
      <c r="J768" s="15">
        <v>1912587</v>
      </c>
      <c r="K768" s="14">
        <v>1</v>
      </c>
      <c r="L768" s="14" t="s">
        <v>75</v>
      </c>
      <c r="M768" s="14" t="s">
        <v>76</v>
      </c>
      <c r="N768" s="14" t="s">
        <v>75</v>
      </c>
      <c r="O768" s="14" t="s">
        <v>75</v>
      </c>
      <c r="P768" s="14">
        <v>686</v>
      </c>
      <c r="Q768" s="15">
        <v>97913.47</v>
      </c>
      <c r="R768" s="15">
        <v>27325.02</v>
      </c>
      <c r="S768" s="14" t="s">
        <v>23</v>
      </c>
      <c r="T768" s="15">
        <v>589628</v>
      </c>
      <c r="U768" s="16">
        <f t="shared" si="121"/>
        <v>0.17144330689270607</v>
      </c>
      <c r="V768" s="14">
        <v>0</v>
      </c>
      <c r="W768" s="17">
        <v>95.5</v>
      </c>
      <c r="X768" s="14">
        <v>0.2</v>
      </c>
      <c r="Y768" s="18">
        <f t="shared" si="122"/>
        <v>29</v>
      </c>
      <c r="Z768" s="18" t="str">
        <f t="shared" si="123"/>
        <v>Low</v>
      </c>
      <c r="AA768" s="19" t="str">
        <f t="shared" si="124"/>
        <v>Eligible</v>
      </c>
      <c r="AB768" s="14" t="s">
        <v>161</v>
      </c>
      <c r="AC768" s="14">
        <v>2</v>
      </c>
      <c r="AD768" s="14" t="s">
        <v>194</v>
      </c>
      <c r="AE768" s="17">
        <v>2.7</v>
      </c>
      <c r="AF768" s="15">
        <v>0</v>
      </c>
      <c r="AG768" s="20">
        <f t="shared" si="125"/>
        <v>1912587</v>
      </c>
      <c r="AH768" s="14">
        <v>2</v>
      </c>
      <c r="AI768" s="14" t="s">
        <v>75</v>
      </c>
      <c r="AJ768" s="14">
        <v>180</v>
      </c>
      <c r="AK768" s="21">
        <f t="shared" si="126"/>
        <v>8.5000000000000006E-2</v>
      </c>
      <c r="AL768" s="20">
        <f t="shared" si="127"/>
        <v>5806.3001606055177</v>
      </c>
      <c r="AM768" s="22">
        <f t="shared" si="128"/>
        <v>0.30828819813164055</v>
      </c>
      <c r="AN768" s="20">
        <f t="shared" si="129"/>
        <v>33131.320160605515</v>
      </c>
      <c r="AO768" s="16">
        <f t="shared" si="130"/>
        <v>0.2078733369657256</v>
      </c>
      <c r="AP768" s="15">
        <v>5899729</v>
      </c>
      <c r="AQ768" s="18">
        <f t="shared" si="131"/>
        <v>9.9941539687670403E-2</v>
      </c>
      <c r="AR768" s="23">
        <v>46252</v>
      </c>
      <c r="AS768" s="14" t="s">
        <v>94</v>
      </c>
    </row>
    <row r="769" spans="1:45" x14ac:dyDescent="0.25">
      <c r="A769" s="14" t="s">
        <v>2469</v>
      </c>
      <c r="B769" s="14" t="s">
        <v>2470</v>
      </c>
      <c r="C769" s="14">
        <v>9894771417</v>
      </c>
      <c r="D769" s="15" t="s">
        <v>2486</v>
      </c>
      <c r="E769" s="14">
        <v>25</v>
      </c>
      <c r="F769" s="14" t="s">
        <v>71</v>
      </c>
      <c r="G769" s="14" t="s">
        <v>417</v>
      </c>
      <c r="H769" s="14" t="s">
        <v>99</v>
      </c>
      <c r="I769" s="14" t="s">
        <v>74</v>
      </c>
      <c r="J769" s="15">
        <v>1225713</v>
      </c>
      <c r="K769" s="14">
        <v>1</v>
      </c>
      <c r="L769" s="14" t="s">
        <v>75</v>
      </c>
      <c r="M769" s="14" t="s">
        <v>75</v>
      </c>
      <c r="N769" s="14" t="s">
        <v>75</v>
      </c>
      <c r="O769" s="14" t="s">
        <v>76</v>
      </c>
      <c r="P769" s="14">
        <v>785</v>
      </c>
      <c r="Q769" s="15"/>
      <c r="R769" s="15">
        <v>12462.53</v>
      </c>
      <c r="S769" s="14" t="s">
        <v>20</v>
      </c>
      <c r="T769" s="15">
        <v>1092263</v>
      </c>
      <c r="U769" s="16">
        <f t="shared" si="121"/>
        <v>0.12201091120025652</v>
      </c>
      <c r="V769" s="14">
        <v>0</v>
      </c>
      <c r="W769" s="17">
        <v>33.9</v>
      </c>
      <c r="X769" s="14">
        <v>12.3</v>
      </c>
      <c r="Y769" s="18">
        <f t="shared" si="122"/>
        <v>14.7</v>
      </c>
      <c r="Z769" s="18" t="str">
        <f t="shared" si="123"/>
        <v>Low</v>
      </c>
      <c r="AA769" s="19" t="str">
        <f t="shared" si="124"/>
        <v>Eligible</v>
      </c>
      <c r="AB769" s="14" t="s">
        <v>85</v>
      </c>
      <c r="AC769" s="14">
        <v>1</v>
      </c>
      <c r="AD769" s="14" t="s">
        <v>93</v>
      </c>
      <c r="AE769" s="17">
        <v>1.1000000000000001</v>
      </c>
      <c r="AF769" s="15">
        <v>0</v>
      </c>
      <c r="AG769" s="20">
        <f t="shared" si="125"/>
        <v>1225713</v>
      </c>
      <c r="AH769" s="14">
        <v>0</v>
      </c>
      <c r="AI769" s="14" t="s">
        <v>75</v>
      </c>
      <c r="AJ769" s="14">
        <v>36</v>
      </c>
      <c r="AK769" s="21">
        <f t="shared" si="126"/>
        <v>0.36</v>
      </c>
      <c r="AL769" s="20">
        <f t="shared" si="127"/>
        <v>50029.789646969948</v>
      </c>
      <c r="AM769" s="22">
        <f t="shared" si="128"/>
        <v>0.89112459441973768</v>
      </c>
      <c r="AN769" s="20">
        <f t="shared" si="129"/>
        <v>62492.319646969947</v>
      </c>
      <c r="AO769" s="16">
        <f t="shared" si="130"/>
        <v>0.61181356138316167</v>
      </c>
      <c r="AP769" s="15">
        <v>0</v>
      </c>
      <c r="AQ769" s="18" t="str">
        <f t="shared" si="131"/>
        <v>N/A</v>
      </c>
      <c r="AR769" s="23">
        <v>46079</v>
      </c>
      <c r="AS769" s="14" t="s">
        <v>79</v>
      </c>
    </row>
    <row r="770" spans="1:45" x14ac:dyDescent="0.25">
      <c r="A770" s="14" t="s">
        <v>2472</v>
      </c>
      <c r="B770" s="14" t="s">
        <v>2473</v>
      </c>
      <c r="C770" s="14"/>
      <c r="D770" s="15" t="s">
        <v>2489</v>
      </c>
      <c r="E770" s="14">
        <v>28</v>
      </c>
      <c r="F770" s="14" t="s">
        <v>89</v>
      </c>
      <c r="G770" s="14" t="s">
        <v>131</v>
      </c>
      <c r="H770" s="14" t="s">
        <v>107</v>
      </c>
      <c r="I770" s="14" t="s">
        <v>92</v>
      </c>
      <c r="J770" s="15">
        <v>837880</v>
      </c>
      <c r="K770" s="14">
        <v>2</v>
      </c>
      <c r="L770" s="14" t="s">
        <v>76</v>
      </c>
      <c r="M770" s="14" t="s">
        <v>76</v>
      </c>
      <c r="N770" s="14" t="s">
        <v>75</v>
      </c>
      <c r="O770" s="14" t="s">
        <v>75</v>
      </c>
      <c r="P770" s="14">
        <v>690</v>
      </c>
      <c r="Q770" s="15"/>
      <c r="R770" s="15">
        <v>8639.4599999999991</v>
      </c>
      <c r="S770" s="14" t="s">
        <v>22</v>
      </c>
      <c r="T770" s="15"/>
      <c r="U770" s="16">
        <f t="shared" ref="U770:U833" si="132">IFERROR((R770*12)/J770,0)</f>
        <v>0.12373313600992981</v>
      </c>
      <c r="V770" s="14">
        <v>1</v>
      </c>
      <c r="W770" s="17">
        <v>20</v>
      </c>
      <c r="X770" s="14">
        <v>2.9</v>
      </c>
      <c r="Y770" s="18">
        <f t="shared" ref="Y770:Y833" si="133">ROUND(0.4*((900-P770)/600*100)+0.3*MIN(U770*100,100)+0.2*MIN(V770*20,100)+0.1*W770,1)</f>
        <v>23.7</v>
      </c>
      <c r="Z770" s="18" t="str">
        <f t="shared" ref="Z770:Z833" si="134">IF(Y770&lt;=30,"Low",IF(Y770&lt;=60,"Medium","High"))</f>
        <v>Low</v>
      </c>
      <c r="AA770" s="19" t="str">
        <f t="shared" ref="AA770:AA833" si="135">IF(AND(P770&gt;=650,U770&lt;=0.4,V770&lt;=2,Y770&lt;=50),"Eligible",IF(AND(P770&gt;=550,V770&lt;=4,Y770&lt;=75),"Review","Not Eligible"))</f>
        <v>Eligible</v>
      </c>
      <c r="AB770" s="14" t="s">
        <v>77</v>
      </c>
      <c r="AC770" s="14">
        <v>1</v>
      </c>
      <c r="AD770" s="14" t="s">
        <v>93</v>
      </c>
      <c r="AE770" s="17">
        <v>5.7</v>
      </c>
      <c r="AF770" s="15">
        <v>183736</v>
      </c>
      <c r="AG770" s="20">
        <f t="shared" ref="AG770:AG833" si="136">J770+AF770</f>
        <v>1021616</v>
      </c>
      <c r="AH770" s="14">
        <v>0</v>
      </c>
      <c r="AI770" s="14" t="s">
        <v>75</v>
      </c>
      <c r="AJ770" s="14">
        <v>72</v>
      </c>
      <c r="AK770" s="21">
        <f t="shared" ref="AK770:AK833" si="137">(IF(S770="Credit Card",0.36,IF(S770="Personal Loan",0.14,IF(S770="Car Loan",0.09,0.085))))+IF(Z770="Low",0,IF(Z770="Medium",0.015,0.03))</f>
        <v>0.09</v>
      </c>
      <c r="AL770" s="20">
        <f t="shared" ref="AL770:AL833" si="138">-PMT(AK770/12,AJ770,T770)</f>
        <v>0</v>
      </c>
      <c r="AM770" s="22">
        <f t="shared" ref="AM770:AM833" si="139">IFERROR(T770/J770,0)</f>
        <v>0</v>
      </c>
      <c r="AN770" s="20">
        <f t="shared" ref="AN770:AN833" si="140">R770+AL770</f>
        <v>8639.4599999999991</v>
      </c>
      <c r="AO770" s="16">
        <f t="shared" ref="AO770:AO833" si="141">IFERROR((AN770*12)/J770,0)</f>
        <v>0.12373313600992981</v>
      </c>
      <c r="AP770" s="15">
        <v>1166638</v>
      </c>
      <c r="AQ770" s="18">
        <f t="shared" ref="AQ770:AQ833" si="142">IF(AP770&gt;0,T770/AP770,"N/A")</f>
        <v>0</v>
      </c>
      <c r="AR770" s="23">
        <v>45986</v>
      </c>
      <c r="AS770" s="14" t="s">
        <v>79</v>
      </c>
    </row>
    <row r="771" spans="1:45" x14ac:dyDescent="0.25">
      <c r="A771" s="14" t="s">
        <v>2474</v>
      </c>
      <c r="B771" s="14" t="s">
        <v>150</v>
      </c>
      <c r="C771" s="14">
        <v>9360385581</v>
      </c>
      <c r="D771" s="15" t="s">
        <v>2493</v>
      </c>
      <c r="E771" s="14">
        <v>38</v>
      </c>
      <c r="F771" s="14" t="s">
        <v>89</v>
      </c>
      <c r="G771" s="14" t="s">
        <v>215</v>
      </c>
      <c r="H771" s="14" t="s">
        <v>144</v>
      </c>
      <c r="I771" s="14" t="s">
        <v>92</v>
      </c>
      <c r="J771" s="15">
        <v>1974912</v>
      </c>
      <c r="K771" s="14">
        <v>2</v>
      </c>
      <c r="L771" s="14" t="s">
        <v>76</v>
      </c>
      <c r="M771" s="14" t="s">
        <v>76</v>
      </c>
      <c r="N771" s="14" t="s">
        <v>75</v>
      </c>
      <c r="O771" s="14" t="s">
        <v>75</v>
      </c>
      <c r="P771" s="14">
        <v>300</v>
      </c>
      <c r="Q771" s="15">
        <v>750105</v>
      </c>
      <c r="R771" s="15">
        <v>5938.36</v>
      </c>
      <c r="S771" s="14" t="s">
        <v>21</v>
      </c>
      <c r="T771" s="15">
        <v>997335</v>
      </c>
      <c r="U771" s="16">
        <f t="shared" si="132"/>
        <v>3.6082782422710478E-2</v>
      </c>
      <c r="V771" s="14">
        <v>0</v>
      </c>
      <c r="W771" s="17">
        <v>92.9</v>
      </c>
      <c r="X771" s="14">
        <v>4.3</v>
      </c>
      <c r="Y771" s="18">
        <f t="shared" si="133"/>
        <v>50.4</v>
      </c>
      <c r="Z771" s="18" t="str">
        <f t="shared" si="134"/>
        <v>Medium</v>
      </c>
      <c r="AA771" s="19" t="str">
        <f t="shared" si="135"/>
        <v>Not Eligible</v>
      </c>
      <c r="AB771" s="14" t="s">
        <v>77</v>
      </c>
      <c r="AC771" s="14">
        <v>2</v>
      </c>
      <c r="AD771" s="14" t="s">
        <v>78</v>
      </c>
      <c r="AE771" s="17">
        <v>8.4</v>
      </c>
      <c r="AF771" s="15">
        <v>0</v>
      </c>
      <c r="AG771" s="20">
        <f t="shared" si="136"/>
        <v>1974912</v>
      </c>
      <c r="AH771" s="14">
        <v>0</v>
      </c>
      <c r="AI771" s="14" t="s">
        <v>75</v>
      </c>
      <c r="AJ771" s="14">
        <v>12</v>
      </c>
      <c r="AK771" s="21">
        <f t="shared" si="137"/>
        <v>0.15500000000000003</v>
      </c>
      <c r="AL771" s="20">
        <f t="shared" si="138"/>
        <v>90253.248764180462</v>
      </c>
      <c r="AM771" s="22">
        <f t="shared" si="139"/>
        <v>0.5050022482014388</v>
      </c>
      <c r="AN771" s="20">
        <f t="shared" si="140"/>
        <v>96191.608764180462</v>
      </c>
      <c r="AO771" s="16">
        <f t="shared" si="141"/>
        <v>0.58448138710492703</v>
      </c>
      <c r="AP771" s="15">
        <v>0</v>
      </c>
      <c r="AQ771" s="18" t="str">
        <f t="shared" si="142"/>
        <v>N/A</v>
      </c>
      <c r="AR771" s="23">
        <v>46028</v>
      </c>
      <c r="AS771" s="14" t="s">
        <v>79</v>
      </c>
    </row>
    <row r="772" spans="1:45" x14ac:dyDescent="0.25">
      <c r="A772" s="14" t="s">
        <v>2476</v>
      </c>
      <c r="B772" s="14" t="s">
        <v>2477</v>
      </c>
      <c r="C772" s="14">
        <v>9367591057</v>
      </c>
      <c r="D772" s="15" t="s">
        <v>2495</v>
      </c>
      <c r="E772" s="14">
        <v>58</v>
      </c>
      <c r="F772" s="14" t="s">
        <v>89</v>
      </c>
      <c r="G772" s="14" t="s">
        <v>388</v>
      </c>
      <c r="H772" s="14" t="s">
        <v>73</v>
      </c>
      <c r="I772" s="14" t="s">
        <v>74</v>
      </c>
      <c r="J772" s="15">
        <v>862091</v>
      </c>
      <c r="K772" s="14">
        <v>2</v>
      </c>
      <c r="L772" s="14" t="s">
        <v>75</v>
      </c>
      <c r="M772" s="14" t="s">
        <v>76</v>
      </c>
      <c r="N772" s="14" t="s">
        <v>76</v>
      </c>
      <c r="O772" s="14" t="s">
        <v>75</v>
      </c>
      <c r="P772" s="14">
        <v>549</v>
      </c>
      <c r="Q772" s="15">
        <v>143516</v>
      </c>
      <c r="R772" s="15">
        <v>4302.12</v>
      </c>
      <c r="S772" s="14" t="s">
        <v>23</v>
      </c>
      <c r="T772" s="15"/>
      <c r="U772" s="16">
        <f t="shared" si="132"/>
        <v>5.9883979765477199E-2</v>
      </c>
      <c r="V772" s="14">
        <v>0</v>
      </c>
      <c r="W772" s="17">
        <v>23.5</v>
      </c>
      <c r="X772" s="14">
        <v>10.5</v>
      </c>
      <c r="Y772" s="18">
        <f t="shared" si="133"/>
        <v>27.5</v>
      </c>
      <c r="Z772" s="18" t="str">
        <f t="shared" si="134"/>
        <v>Low</v>
      </c>
      <c r="AA772" s="19" t="str">
        <f t="shared" si="135"/>
        <v>Not Eligible</v>
      </c>
      <c r="AB772" s="14" t="s">
        <v>77</v>
      </c>
      <c r="AC772" s="14">
        <v>2</v>
      </c>
      <c r="AD772" s="14" t="s">
        <v>78</v>
      </c>
      <c r="AE772" s="17">
        <v>21.8</v>
      </c>
      <c r="AF772" s="15">
        <v>0</v>
      </c>
      <c r="AG772" s="20">
        <f t="shared" si="136"/>
        <v>862091</v>
      </c>
      <c r="AH772" s="14">
        <v>3</v>
      </c>
      <c r="AI772" s="14" t="s">
        <v>75</v>
      </c>
      <c r="AJ772" s="14">
        <v>180</v>
      </c>
      <c r="AK772" s="21">
        <f t="shared" si="137"/>
        <v>8.5000000000000006E-2</v>
      </c>
      <c r="AL772" s="20">
        <f t="shared" si="138"/>
        <v>0</v>
      </c>
      <c r="AM772" s="22">
        <f t="shared" si="139"/>
        <v>0</v>
      </c>
      <c r="AN772" s="20">
        <f t="shared" si="140"/>
        <v>4302.12</v>
      </c>
      <c r="AO772" s="16">
        <f t="shared" si="141"/>
        <v>5.9883979765477199E-2</v>
      </c>
      <c r="AP772" s="15">
        <v>6561483</v>
      </c>
      <c r="AQ772" s="18">
        <f t="shared" si="142"/>
        <v>0</v>
      </c>
      <c r="AR772" s="23">
        <v>46061</v>
      </c>
      <c r="AS772" s="14" t="s">
        <v>79</v>
      </c>
    </row>
    <row r="773" spans="1:45" x14ac:dyDescent="0.25">
      <c r="A773" s="14" t="s">
        <v>2479</v>
      </c>
      <c r="B773" s="14" t="s">
        <v>2480</v>
      </c>
      <c r="C773" s="14">
        <v>9210872170</v>
      </c>
      <c r="D773" s="15" t="s">
        <v>2499</v>
      </c>
      <c r="E773" s="14">
        <v>55</v>
      </c>
      <c r="F773" s="14" t="s">
        <v>89</v>
      </c>
      <c r="G773" s="14" t="s">
        <v>98</v>
      </c>
      <c r="H773" s="14" t="s">
        <v>73</v>
      </c>
      <c r="I773" s="14" t="s">
        <v>74</v>
      </c>
      <c r="J773" s="15">
        <v>362000</v>
      </c>
      <c r="K773" s="14">
        <v>2</v>
      </c>
      <c r="L773" s="14" t="s">
        <v>76</v>
      </c>
      <c r="M773" s="14" t="s">
        <v>75</v>
      </c>
      <c r="N773" s="14" t="s">
        <v>75</v>
      </c>
      <c r="O773" s="14" t="s">
        <v>76</v>
      </c>
      <c r="P773" s="14">
        <v>715</v>
      </c>
      <c r="Q773" s="15"/>
      <c r="R773" s="15">
        <v>4281.97</v>
      </c>
      <c r="S773" s="14" t="s">
        <v>23</v>
      </c>
      <c r="T773" s="15"/>
      <c r="U773" s="16">
        <f t="shared" si="132"/>
        <v>0.14194375690607736</v>
      </c>
      <c r="V773" s="14">
        <v>0</v>
      </c>
      <c r="W773" s="17">
        <v>77.3</v>
      </c>
      <c r="X773" s="14">
        <v>12.6</v>
      </c>
      <c r="Y773" s="18">
        <f t="shared" si="133"/>
        <v>24.3</v>
      </c>
      <c r="Z773" s="18" t="str">
        <f t="shared" si="134"/>
        <v>Low</v>
      </c>
      <c r="AA773" s="19" t="str">
        <f t="shared" si="135"/>
        <v>Eligible</v>
      </c>
      <c r="AB773" s="14" t="s">
        <v>85</v>
      </c>
      <c r="AC773" s="14">
        <v>2</v>
      </c>
      <c r="AD773" s="14" t="s">
        <v>93</v>
      </c>
      <c r="AE773" s="17">
        <v>4.5</v>
      </c>
      <c r="AF773" s="15">
        <v>0</v>
      </c>
      <c r="AG773" s="20">
        <f t="shared" si="136"/>
        <v>362000</v>
      </c>
      <c r="AH773" s="14">
        <v>1</v>
      </c>
      <c r="AI773" s="14" t="s">
        <v>75</v>
      </c>
      <c r="AJ773" s="14">
        <v>120</v>
      </c>
      <c r="AK773" s="21">
        <f t="shared" si="137"/>
        <v>8.5000000000000006E-2</v>
      </c>
      <c r="AL773" s="20">
        <f t="shared" si="138"/>
        <v>0</v>
      </c>
      <c r="AM773" s="22">
        <f t="shared" si="139"/>
        <v>0</v>
      </c>
      <c r="AN773" s="20">
        <f t="shared" si="140"/>
        <v>4281.97</v>
      </c>
      <c r="AO773" s="16">
        <f t="shared" si="141"/>
        <v>0.14194375690607736</v>
      </c>
      <c r="AP773" s="15">
        <v>5005334</v>
      </c>
      <c r="AQ773" s="18">
        <f t="shared" si="142"/>
        <v>0</v>
      </c>
      <c r="AR773" s="23">
        <v>46029</v>
      </c>
      <c r="AS773" s="14" t="s">
        <v>79</v>
      </c>
    </row>
    <row r="774" spans="1:45" x14ac:dyDescent="0.25">
      <c r="A774" s="14" t="s">
        <v>2482</v>
      </c>
      <c r="B774" s="14" t="s">
        <v>2483</v>
      </c>
      <c r="C774" s="14"/>
      <c r="D774" s="15" t="s">
        <v>2502</v>
      </c>
      <c r="E774" s="14">
        <v>24</v>
      </c>
      <c r="F774" s="14" t="s">
        <v>71</v>
      </c>
      <c r="G774" s="14" t="s">
        <v>388</v>
      </c>
      <c r="H774" s="14" t="s">
        <v>166</v>
      </c>
      <c r="I774" s="14" t="s">
        <v>74</v>
      </c>
      <c r="J774" s="15">
        <v>1076027</v>
      </c>
      <c r="K774" s="14">
        <v>0</v>
      </c>
      <c r="L774" s="14" t="s">
        <v>75</v>
      </c>
      <c r="M774" s="14" t="s">
        <v>75</v>
      </c>
      <c r="N774" s="14" t="s">
        <v>75</v>
      </c>
      <c r="O774" s="14" t="s">
        <v>75</v>
      </c>
      <c r="P774" s="14">
        <v>643</v>
      </c>
      <c r="Q774" s="15">
        <v>319985</v>
      </c>
      <c r="R774" s="15">
        <v>7531.81</v>
      </c>
      <c r="S774" s="14" t="s">
        <v>22</v>
      </c>
      <c r="T774" s="15">
        <v>267217</v>
      </c>
      <c r="U774" s="16">
        <f t="shared" si="132"/>
        <v>8.3995773340260052E-2</v>
      </c>
      <c r="V774" s="14">
        <v>0</v>
      </c>
      <c r="W774" s="17">
        <v>75.400000000000006</v>
      </c>
      <c r="X774" s="14">
        <v>1.6</v>
      </c>
      <c r="Y774" s="18">
        <f t="shared" si="133"/>
        <v>27.2</v>
      </c>
      <c r="Z774" s="18" t="str">
        <f t="shared" si="134"/>
        <v>Low</v>
      </c>
      <c r="AA774" s="19" t="str">
        <f t="shared" si="135"/>
        <v>Review</v>
      </c>
      <c r="AB774" s="14" t="s">
        <v>77</v>
      </c>
      <c r="AC774" s="14">
        <v>0</v>
      </c>
      <c r="AD774" s="14" t="s">
        <v>78</v>
      </c>
      <c r="AE774" s="17">
        <v>0.4</v>
      </c>
      <c r="AF774" s="15">
        <v>342071</v>
      </c>
      <c r="AG774" s="20">
        <f t="shared" si="136"/>
        <v>1418098</v>
      </c>
      <c r="AH774" s="14">
        <v>1</v>
      </c>
      <c r="AI774" s="14" t="s">
        <v>75</v>
      </c>
      <c r="AJ774" s="14">
        <v>24</v>
      </c>
      <c r="AK774" s="21">
        <f t="shared" si="137"/>
        <v>0.09</v>
      </c>
      <c r="AL774" s="20">
        <f t="shared" si="138"/>
        <v>12207.739777613797</v>
      </c>
      <c r="AM774" s="22">
        <f t="shared" si="139"/>
        <v>0.24833670530572188</v>
      </c>
      <c r="AN774" s="20">
        <f t="shared" si="140"/>
        <v>19739.549777613796</v>
      </c>
      <c r="AO774" s="16">
        <f t="shared" si="141"/>
        <v>0.22013815390447039</v>
      </c>
      <c r="AP774" s="15">
        <v>630365</v>
      </c>
      <c r="AQ774" s="18">
        <f t="shared" si="142"/>
        <v>0.42390837054722263</v>
      </c>
      <c r="AR774" s="23">
        <v>46100</v>
      </c>
      <c r="AS774" s="14" t="s">
        <v>79</v>
      </c>
    </row>
    <row r="775" spans="1:45" x14ac:dyDescent="0.25">
      <c r="A775" s="14" t="s">
        <v>2485</v>
      </c>
      <c r="B775" s="14" t="s">
        <v>2467</v>
      </c>
      <c r="C775" s="14"/>
      <c r="D775" s="15" t="s">
        <v>2505</v>
      </c>
      <c r="E775" s="14">
        <v>29</v>
      </c>
      <c r="F775" s="14" t="s">
        <v>71</v>
      </c>
      <c r="G775" s="14" t="s">
        <v>72</v>
      </c>
      <c r="H775" s="14" t="s">
        <v>84</v>
      </c>
      <c r="I775" s="14" t="s">
        <v>74</v>
      </c>
      <c r="J775" s="15">
        <v>456691</v>
      </c>
      <c r="K775" s="14">
        <v>1</v>
      </c>
      <c r="L775" s="14" t="s">
        <v>76</v>
      </c>
      <c r="M775" s="14" t="s">
        <v>75</v>
      </c>
      <c r="N775" s="14" t="s">
        <v>75</v>
      </c>
      <c r="O775" s="14" t="s">
        <v>75</v>
      </c>
      <c r="P775" s="14">
        <v>488</v>
      </c>
      <c r="Q775" s="15"/>
      <c r="R775" s="15">
        <v>12145.04</v>
      </c>
      <c r="S775" s="14" t="s">
        <v>22</v>
      </c>
      <c r="T775" s="15">
        <v>457477</v>
      </c>
      <c r="U775" s="16">
        <f t="shared" si="132"/>
        <v>0.3191227328762774</v>
      </c>
      <c r="V775" s="14">
        <v>0</v>
      </c>
      <c r="W775" s="17">
        <v>7.6</v>
      </c>
      <c r="X775" s="14">
        <v>14.4</v>
      </c>
      <c r="Y775" s="18">
        <f t="shared" si="133"/>
        <v>37.799999999999997</v>
      </c>
      <c r="Z775" s="18" t="str">
        <f t="shared" si="134"/>
        <v>Medium</v>
      </c>
      <c r="AA775" s="19" t="str">
        <f t="shared" si="135"/>
        <v>Not Eligible</v>
      </c>
      <c r="AB775" s="14" t="s">
        <v>77</v>
      </c>
      <c r="AC775" s="14">
        <v>2</v>
      </c>
      <c r="AD775" s="14" t="s">
        <v>93</v>
      </c>
      <c r="AE775" s="17">
        <v>1.2</v>
      </c>
      <c r="AF775" s="15">
        <v>550639</v>
      </c>
      <c r="AG775" s="20">
        <f t="shared" si="136"/>
        <v>1007330</v>
      </c>
      <c r="AH775" s="14">
        <v>0</v>
      </c>
      <c r="AI775" s="14" t="s">
        <v>75</v>
      </c>
      <c r="AJ775" s="14">
        <v>36</v>
      </c>
      <c r="AK775" s="21">
        <f t="shared" si="137"/>
        <v>0.105</v>
      </c>
      <c r="AL775" s="20">
        <f t="shared" si="138"/>
        <v>14869.120347193662</v>
      </c>
      <c r="AM775" s="22">
        <f t="shared" si="139"/>
        <v>1.001721076176233</v>
      </c>
      <c r="AN775" s="20">
        <f t="shared" si="140"/>
        <v>27014.160347193661</v>
      </c>
      <c r="AO775" s="16">
        <f t="shared" si="141"/>
        <v>0.70982332510674384</v>
      </c>
      <c r="AP775" s="15">
        <v>1196645</v>
      </c>
      <c r="AQ775" s="18">
        <f t="shared" si="142"/>
        <v>0.38229967952065985</v>
      </c>
      <c r="AR775" s="23">
        <v>45984</v>
      </c>
      <c r="AS775" s="14" t="s">
        <v>79</v>
      </c>
    </row>
    <row r="776" spans="1:45" x14ac:dyDescent="0.25">
      <c r="A776" s="14" t="s">
        <v>2487</v>
      </c>
      <c r="B776" s="14" t="s">
        <v>2488</v>
      </c>
      <c r="C776" s="14"/>
      <c r="D776" s="15" t="s">
        <v>2508</v>
      </c>
      <c r="E776" s="14">
        <v>31</v>
      </c>
      <c r="F776" s="14" t="s">
        <v>71</v>
      </c>
      <c r="G776" s="14" t="s">
        <v>215</v>
      </c>
      <c r="H776" s="14" t="s">
        <v>103</v>
      </c>
      <c r="I776" s="14" t="s">
        <v>74</v>
      </c>
      <c r="J776" s="15">
        <v>2026880</v>
      </c>
      <c r="K776" s="14">
        <v>1</v>
      </c>
      <c r="L776" s="14" t="s">
        <v>75</v>
      </c>
      <c r="M776" s="14" t="s">
        <v>75</v>
      </c>
      <c r="N776" s="14" t="s">
        <v>76</v>
      </c>
      <c r="O776" s="14" t="s">
        <v>75</v>
      </c>
      <c r="P776" s="14">
        <v>709</v>
      </c>
      <c r="Q776" s="15">
        <v>471194</v>
      </c>
      <c r="R776" s="15">
        <v>11706.25</v>
      </c>
      <c r="S776" s="14" t="s">
        <v>23</v>
      </c>
      <c r="T776" s="15">
        <v>279062</v>
      </c>
      <c r="U776" s="16">
        <f t="shared" si="132"/>
        <v>6.9306026997158196E-2</v>
      </c>
      <c r="V776" s="14">
        <v>3</v>
      </c>
      <c r="W776" s="17">
        <v>21.5</v>
      </c>
      <c r="X776" s="14">
        <v>8.8000000000000007</v>
      </c>
      <c r="Y776" s="18">
        <f t="shared" si="133"/>
        <v>29</v>
      </c>
      <c r="Z776" s="18" t="str">
        <f t="shared" si="134"/>
        <v>Low</v>
      </c>
      <c r="AA776" s="19" t="str">
        <f t="shared" si="135"/>
        <v>Review</v>
      </c>
      <c r="AB776" s="14" t="s">
        <v>85</v>
      </c>
      <c r="AC776" s="14">
        <v>0</v>
      </c>
      <c r="AD776" s="14" t="s">
        <v>78</v>
      </c>
      <c r="AE776" s="17">
        <v>0.8</v>
      </c>
      <c r="AF776" s="15">
        <v>0</v>
      </c>
      <c r="AG776" s="20">
        <f t="shared" si="136"/>
        <v>2026880</v>
      </c>
      <c r="AH776" s="14">
        <v>3</v>
      </c>
      <c r="AI776" s="14" t="s">
        <v>75</v>
      </c>
      <c r="AJ776" s="14">
        <v>300</v>
      </c>
      <c r="AK776" s="21">
        <f t="shared" si="137"/>
        <v>8.5000000000000006E-2</v>
      </c>
      <c r="AL776" s="20">
        <f t="shared" si="138"/>
        <v>2247.0828036510925</v>
      </c>
      <c r="AM776" s="22">
        <f t="shared" si="139"/>
        <v>0.13768057309756868</v>
      </c>
      <c r="AN776" s="20">
        <f t="shared" si="140"/>
        <v>13953.332803651092</v>
      </c>
      <c r="AO776" s="16">
        <f t="shared" si="141"/>
        <v>8.260972215612819E-2</v>
      </c>
      <c r="AP776" s="15">
        <v>6666232</v>
      </c>
      <c r="AQ776" s="18">
        <f t="shared" si="142"/>
        <v>4.1862029404317158E-2</v>
      </c>
      <c r="AR776" s="23">
        <v>46137</v>
      </c>
      <c r="AS776" s="14" t="s">
        <v>79</v>
      </c>
    </row>
    <row r="777" spans="1:45" x14ac:dyDescent="0.25">
      <c r="A777" s="14" t="s">
        <v>2490</v>
      </c>
      <c r="B777" s="14" t="s">
        <v>2491</v>
      </c>
      <c r="C777" s="14">
        <v>9802713346</v>
      </c>
      <c r="D777" s="15" t="s">
        <v>2514</v>
      </c>
      <c r="E777" s="14">
        <v>56</v>
      </c>
      <c r="F777" s="14" t="s">
        <v>89</v>
      </c>
      <c r="G777" s="14" t="s">
        <v>98</v>
      </c>
      <c r="H777" s="14" t="s">
        <v>107</v>
      </c>
      <c r="I777" s="14" t="s">
        <v>92</v>
      </c>
      <c r="J777" s="15">
        <v>1273302</v>
      </c>
      <c r="K777" s="14">
        <v>2</v>
      </c>
      <c r="L777" s="14" t="s">
        <v>76</v>
      </c>
      <c r="M777" s="14" t="s">
        <v>75</v>
      </c>
      <c r="N777" s="14" t="s">
        <v>76</v>
      </c>
      <c r="O777" s="14" t="s">
        <v>75</v>
      </c>
      <c r="P777" s="14">
        <v>692</v>
      </c>
      <c r="Q777" s="15">
        <v>541619</v>
      </c>
      <c r="R777" s="15">
        <v>20273.099999999999</v>
      </c>
      <c r="S777" s="14" t="s">
        <v>22</v>
      </c>
      <c r="T777" s="15"/>
      <c r="U777" s="16">
        <f t="shared" si="132"/>
        <v>0.19106009414891359</v>
      </c>
      <c r="V777" s="14">
        <v>1</v>
      </c>
      <c r="W777" s="17">
        <v>11.3</v>
      </c>
      <c r="X777" s="14">
        <v>7.4</v>
      </c>
      <c r="Y777" s="18">
        <f t="shared" si="133"/>
        <v>24.7</v>
      </c>
      <c r="Z777" s="18" t="str">
        <f t="shared" si="134"/>
        <v>Low</v>
      </c>
      <c r="AA777" s="19" t="str">
        <f t="shared" si="135"/>
        <v>Eligible</v>
      </c>
      <c r="AB777" s="14" t="s">
        <v>77</v>
      </c>
      <c r="AC777" s="14">
        <v>4</v>
      </c>
      <c r="AD777" s="14" t="s">
        <v>78</v>
      </c>
      <c r="AE777" s="17">
        <v>7.6</v>
      </c>
      <c r="AF777" s="15">
        <v>0</v>
      </c>
      <c r="AG777" s="20">
        <f t="shared" si="136"/>
        <v>1273302</v>
      </c>
      <c r="AH777" s="14">
        <v>0</v>
      </c>
      <c r="AI777" s="14" t="s">
        <v>76</v>
      </c>
      <c r="AJ777" s="14">
        <v>60</v>
      </c>
      <c r="AK777" s="21">
        <f t="shared" si="137"/>
        <v>0.09</v>
      </c>
      <c r="AL777" s="20">
        <f t="shared" si="138"/>
        <v>0</v>
      </c>
      <c r="AM777" s="22">
        <f t="shared" si="139"/>
        <v>0</v>
      </c>
      <c r="AN777" s="20">
        <f t="shared" si="140"/>
        <v>20273.099999999999</v>
      </c>
      <c r="AO777" s="16">
        <f t="shared" si="141"/>
        <v>0.19106009414891359</v>
      </c>
      <c r="AP777" s="15">
        <v>1107071</v>
      </c>
      <c r="AQ777" s="18">
        <f t="shared" si="142"/>
        <v>0</v>
      </c>
      <c r="AR777" s="23">
        <v>46031</v>
      </c>
      <c r="AS777" s="14" t="s">
        <v>79</v>
      </c>
    </row>
    <row r="778" spans="1:45" x14ac:dyDescent="0.25">
      <c r="A778" s="14" t="s">
        <v>2494</v>
      </c>
      <c r="B778" s="14" t="s">
        <v>254</v>
      </c>
      <c r="C778" s="14">
        <v>9442793673</v>
      </c>
      <c r="D778" s="15" t="s">
        <v>2517</v>
      </c>
      <c r="E778" s="14">
        <v>65</v>
      </c>
      <c r="F778" s="14" t="s">
        <v>89</v>
      </c>
      <c r="G778" s="14" t="s">
        <v>98</v>
      </c>
      <c r="H778" s="14" t="s">
        <v>84</v>
      </c>
      <c r="I778" s="14" t="s">
        <v>74</v>
      </c>
      <c r="J778" s="15">
        <v>2151917</v>
      </c>
      <c r="K778" s="14">
        <v>0</v>
      </c>
      <c r="L778" s="14" t="s">
        <v>75</v>
      </c>
      <c r="M778" s="14" t="s">
        <v>75</v>
      </c>
      <c r="N778" s="14" t="s">
        <v>75</v>
      </c>
      <c r="O778" s="14" t="s">
        <v>75</v>
      </c>
      <c r="P778" s="14">
        <v>625</v>
      </c>
      <c r="Q778" s="15">
        <v>82394.929999999993</v>
      </c>
      <c r="R778" s="15">
        <v>4348.9799999999996</v>
      </c>
      <c r="S778" s="14" t="s">
        <v>21</v>
      </c>
      <c r="T778" s="15">
        <v>2329482</v>
      </c>
      <c r="U778" s="16">
        <f t="shared" si="132"/>
        <v>2.4251753204236035E-2</v>
      </c>
      <c r="V778" s="14">
        <v>1</v>
      </c>
      <c r="W778" s="17">
        <v>70.5</v>
      </c>
      <c r="X778" s="14">
        <v>13.9</v>
      </c>
      <c r="Y778" s="18">
        <f t="shared" si="133"/>
        <v>30.1</v>
      </c>
      <c r="Z778" s="18" t="str">
        <f t="shared" si="134"/>
        <v>Medium</v>
      </c>
      <c r="AA778" s="19" t="str">
        <f t="shared" si="135"/>
        <v>Review</v>
      </c>
      <c r="AB778" s="14" t="s">
        <v>85</v>
      </c>
      <c r="AC778" s="14">
        <v>2</v>
      </c>
      <c r="AD778" s="14" t="s">
        <v>93</v>
      </c>
      <c r="AE778" s="17">
        <v>16.7</v>
      </c>
      <c r="AF778" s="15">
        <v>337381</v>
      </c>
      <c r="AG778" s="20">
        <f t="shared" si="136"/>
        <v>2489298</v>
      </c>
      <c r="AH778" s="14">
        <v>0</v>
      </c>
      <c r="AI778" s="14" t="s">
        <v>75</v>
      </c>
      <c r="AJ778" s="14">
        <v>48</v>
      </c>
      <c r="AK778" s="21">
        <f t="shared" si="137"/>
        <v>0.15500000000000003</v>
      </c>
      <c r="AL778" s="20">
        <f t="shared" si="138"/>
        <v>65423.173268564191</v>
      </c>
      <c r="AM778" s="22">
        <f t="shared" si="139"/>
        <v>1.0825147995949658</v>
      </c>
      <c r="AN778" s="20">
        <f t="shared" si="140"/>
        <v>69772.153268564187</v>
      </c>
      <c r="AO778" s="16">
        <f t="shared" si="141"/>
        <v>0.38907905798540099</v>
      </c>
      <c r="AP778" s="15">
        <v>0</v>
      </c>
      <c r="AQ778" s="18" t="str">
        <f t="shared" si="142"/>
        <v>N/A</v>
      </c>
      <c r="AR778" s="23">
        <v>46147</v>
      </c>
      <c r="AS778" s="14" t="s">
        <v>94</v>
      </c>
    </row>
    <row r="779" spans="1:45" x14ac:dyDescent="0.25">
      <c r="A779" s="14" t="s">
        <v>2496</v>
      </c>
      <c r="B779" s="14" t="s">
        <v>2497</v>
      </c>
      <c r="C779" s="14">
        <v>9659155913</v>
      </c>
      <c r="D779" s="15" t="s">
        <v>2521</v>
      </c>
      <c r="E779" s="14">
        <v>26</v>
      </c>
      <c r="F779" s="14" t="s">
        <v>71</v>
      </c>
      <c r="G779" s="14" t="s">
        <v>417</v>
      </c>
      <c r="H779" s="14" t="s">
        <v>99</v>
      </c>
      <c r="I779" s="14" t="s">
        <v>74</v>
      </c>
      <c r="J779" s="15">
        <v>1124246</v>
      </c>
      <c r="K779" s="14">
        <v>1</v>
      </c>
      <c r="L779" s="14" t="s">
        <v>75</v>
      </c>
      <c r="M779" s="14" t="s">
        <v>75</v>
      </c>
      <c r="N779" s="14" t="s">
        <v>76</v>
      </c>
      <c r="O779" s="14" t="s">
        <v>75</v>
      </c>
      <c r="P779" s="14">
        <v>593</v>
      </c>
      <c r="Q779" s="15">
        <v>1032248.15</v>
      </c>
      <c r="R779" s="15">
        <v>8397.59</v>
      </c>
      <c r="S779" s="14" t="s">
        <v>23</v>
      </c>
      <c r="T779" s="15">
        <v>507325</v>
      </c>
      <c r="U779" s="16">
        <f t="shared" si="132"/>
        <v>8.9634368278828661E-2</v>
      </c>
      <c r="V779" s="14">
        <v>2</v>
      </c>
      <c r="W779" s="17">
        <v>7.5</v>
      </c>
      <c r="X779" s="14">
        <v>11.8</v>
      </c>
      <c r="Y779" s="18">
        <f t="shared" si="133"/>
        <v>31.9</v>
      </c>
      <c r="Z779" s="18" t="str">
        <f t="shared" si="134"/>
        <v>Medium</v>
      </c>
      <c r="AA779" s="19" t="str">
        <f t="shared" si="135"/>
        <v>Review</v>
      </c>
      <c r="AB779" s="14" t="s">
        <v>85</v>
      </c>
      <c r="AC779" s="14">
        <v>2</v>
      </c>
      <c r="AD779" s="14" t="s">
        <v>78</v>
      </c>
      <c r="AE779" s="17">
        <v>2.5</v>
      </c>
      <c r="AF779" s="15">
        <v>0</v>
      </c>
      <c r="AG779" s="20">
        <f t="shared" si="136"/>
        <v>1124246</v>
      </c>
      <c r="AH779" s="14">
        <v>1</v>
      </c>
      <c r="AI779" s="14" t="s">
        <v>75</v>
      </c>
      <c r="AJ779" s="14">
        <v>360</v>
      </c>
      <c r="AK779" s="21">
        <f t="shared" si="137"/>
        <v>0.1</v>
      </c>
      <c r="AL779" s="20">
        <f t="shared" si="138"/>
        <v>4452.1399679529986</v>
      </c>
      <c r="AM779" s="22">
        <f t="shared" si="139"/>
        <v>0.45125799869423594</v>
      </c>
      <c r="AN779" s="20">
        <f t="shared" si="140"/>
        <v>12849.729967952999</v>
      </c>
      <c r="AO779" s="16">
        <f t="shared" si="141"/>
        <v>0.13715571113033623</v>
      </c>
      <c r="AP779" s="15">
        <v>4803533</v>
      </c>
      <c r="AQ779" s="18">
        <f t="shared" si="142"/>
        <v>0.10561497131382255</v>
      </c>
      <c r="AR779" s="23">
        <v>45934</v>
      </c>
      <c r="AS779" s="14" t="s">
        <v>79</v>
      </c>
    </row>
    <row r="780" spans="1:45" x14ac:dyDescent="0.25">
      <c r="A780" s="14" t="s">
        <v>2500</v>
      </c>
      <c r="B780" s="14" t="s">
        <v>2501</v>
      </c>
      <c r="C780" s="14">
        <v>9506895356</v>
      </c>
      <c r="D780" s="15" t="s">
        <v>2525</v>
      </c>
      <c r="E780" s="14">
        <v>26</v>
      </c>
      <c r="F780" s="14" t="s">
        <v>71</v>
      </c>
      <c r="G780" s="14" t="s">
        <v>153</v>
      </c>
      <c r="H780" s="14" t="s">
        <v>144</v>
      </c>
      <c r="I780" s="14" t="s">
        <v>92</v>
      </c>
      <c r="J780" s="15">
        <v>1125163</v>
      </c>
      <c r="K780" s="14">
        <v>2</v>
      </c>
      <c r="L780" s="14" t="s">
        <v>75</v>
      </c>
      <c r="M780" s="14" t="s">
        <v>76</v>
      </c>
      <c r="N780" s="14" t="s">
        <v>76</v>
      </c>
      <c r="O780" s="14" t="s">
        <v>75</v>
      </c>
      <c r="P780" s="14">
        <v>513</v>
      </c>
      <c r="Q780" s="15"/>
      <c r="R780" s="15">
        <v>8888.48</v>
      </c>
      <c r="S780" s="14" t="s">
        <v>20</v>
      </c>
      <c r="T780" s="15">
        <v>6506421</v>
      </c>
      <c r="U780" s="16">
        <f t="shared" si="132"/>
        <v>9.4796718342142428E-2</v>
      </c>
      <c r="V780" s="14">
        <v>2</v>
      </c>
      <c r="W780" s="17">
        <v>78.599999999999994</v>
      </c>
      <c r="X780" s="14">
        <v>11.6</v>
      </c>
      <c r="Y780" s="18">
        <f t="shared" si="133"/>
        <v>44.5</v>
      </c>
      <c r="Z780" s="18" t="str">
        <f t="shared" si="134"/>
        <v>Medium</v>
      </c>
      <c r="AA780" s="19" t="str">
        <f t="shared" si="135"/>
        <v>Not Eligible</v>
      </c>
      <c r="AB780" s="14" t="s">
        <v>77</v>
      </c>
      <c r="AC780" s="14">
        <v>1</v>
      </c>
      <c r="AD780" s="14" t="s">
        <v>93</v>
      </c>
      <c r="AE780" s="17">
        <v>4.0999999999999996</v>
      </c>
      <c r="AF780" s="15">
        <v>0</v>
      </c>
      <c r="AG780" s="20">
        <f t="shared" si="136"/>
        <v>1125163</v>
      </c>
      <c r="AH780" s="14">
        <v>2</v>
      </c>
      <c r="AI780" s="14" t="s">
        <v>75</v>
      </c>
      <c r="AJ780" s="14">
        <v>18</v>
      </c>
      <c r="AK780" s="21">
        <f t="shared" si="137"/>
        <v>0.375</v>
      </c>
      <c r="AL780" s="20">
        <f t="shared" si="138"/>
        <v>478086.99246118887</v>
      </c>
      <c r="AM780" s="22">
        <f t="shared" si="139"/>
        <v>5.7826474919633863</v>
      </c>
      <c r="AN780" s="20">
        <f t="shared" si="140"/>
        <v>486975.47246118885</v>
      </c>
      <c r="AO780" s="16">
        <f t="shared" si="141"/>
        <v>5.1936525370406477</v>
      </c>
      <c r="AP780" s="15">
        <v>0</v>
      </c>
      <c r="AQ780" s="18" t="str">
        <f t="shared" si="142"/>
        <v>N/A</v>
      </c>
      <c r="AR780" s="23">
        <v>46092</v>
      </c>
      <c r="AS780" s="14" t="s">
        <v>79</v>
      </c>
    </row>
    <row r="781" spans="1:45" x14ac:dyDescent="0.25">
      <c r="A781" s="14" t="s">
        <v>2503</v>
      </c>
      <c r="B781" s="14" t="s">
        <v>2504</v>
      </c>
      <c r="C781" s="14">
        <v>9622438534</v>
      </c>
      <c r="D781" s="15" t="s">
        <v>2529</v>
      </c>
      <c r="E781" s="14">
        <v>39</v>
      </c>
      <c r="F781" s="14" t="s">
        <v>89</v>
      </c>
      <c r="G781" s="14" t="s">
        <v>388</v>
      </c>
      <c r="H781" s="14" t="s">
        <v>84</v>
      </c>
      <c r="I781" s="14" t="s">
        <v>74</v>
      </c>
      <c r="J781" s="15">
        <v>2153972</v>
      </c>
      <c r="K781" s="14">
        <v>2</v>
      </c>
      <c r="L781" s="14" t="s">
        <v>76</v>
      </c>
      <c r="M781" s="14" t="s">
        <v>75</v>
      </c>
      <c r="N781" s="14" t="s">
        <v>75</v>
      </c>
      <c r="O781" s="14" t="s">
        <v>76</v>
      </c>
      <c r="P781" s="14">
        <v>892</v>
      </c>
      <c r="Q781" s="15">
        <v>1062765.8500000001</v>
      </c>
      <c r="R781" s="15">
        <v>24642.14</v>
      </c>
      <c r="S781" s="14" t="s">
        <v>21</v>
      </c>
      <c r="T781" s="15">
        <v>522228</v>
      </c>
      <c r="U781" s="16">
        <f t="shared" si="132"/>
        <v>0.13728390155489487</v>
      </c>
      <c r="V781" s="14">
        <v>3</v>
      </c>
      <c r="W781" s="17">
        <v>33.200000000000003</v>
      </c>
      <c r="X781" s="14">
        <v>11.3</v>
      </c>
      <c r="Y781" s="18">
        <f t="shared" si="133"/>
        <v>20</v>
      </c>
      <c r="Z781" s="18" t="str">
        <f t="shared" si="134"/>
        <v>Low</v>
      </c>
      <c r="AA781" s="19" t="str">
        <f t="shared" si="135"/>
        <v>Review</v>
      </c>
      <c r="AB781" s="14" t="s">
        <v>85</v>
      </c>
      <c r="AC781" s="14">
        <v>3</v>
      </c>
      <c r="AD781" s="14" t="s">
        <v>93</v>
      </c>
      <c r="AE781" s="17">
        <v>8.4</v>
      </c>
      <c r="AF781" s="15">
        <v>0</v>
      </c>
      <c r="AG781" s="20">
        <f t="shared" si="136"/>
        <v>2153972</v>
      </c>
      <c r="AH781" s="14">
        <v>1</v>
      </c>
      <c r="AI781" s="14" t="s">
        <v>75</v>
      </c>
      <c r="AJ781" s="14">
        <v>36</v>
      </c>
      <c r="AK781" s="21">
        <f t="shared" si="137"/>
        <v>0.14000000000000001</v>
      </c>
      <c r="AL781" s="20">
        <f t="shared" si="138"/>
        <v>17848.515233274204</v>
      </c>
      <c r="AM781" s="22">
        <f t="shared" si="139"/>
        <v>0.24244883406098131</v>
      </c>
      <c r="AN781" s="20">
        <f t="shared" si="140"/>
        <v>42490.655233274199</v>
      </c>
      <c r="AO781" s="16">
        <f t="shared" si="141"/>
        <v>0.23671981938450937</v>
      </c>
      <c r="AP781" s="15">
        <v>0</v>
      </c>
      <c r="AQ781" s="18" t="str">
        <f t="shared" si="142"/>
        <v>N/A</v>
      </c>
      <c r="AR781" s="23">
        <v>45900</v>
      </c>
      <c r="AS781" s="14" t="s">
        <v>79</v>
      </c>
    </row>
    <row r="782" spans="1:45" x14ac:dyDescent="0.25">
      <c r="A782" s="14" t="s">
        <v>2506</v>
      </c>
      <c r="B782" s="14" t="s">
        <v>2507</v>
      </c>
      <c r="C782" s="14">
        <v>9589287766</v>
      </c>
      <c r="D782" s="15" t="s">
        <v>2531</v>
      </c>
      <c r="E782" s="14">
        <v>63</v>
      </c>
      <c r="F782" s="14" t="s">
        <v>71</v>
      </c>
      <c r="G782" s="14" t="s">
        <v>98</v>
      </c>
      <c r="H782" s="14" t="s">
        <v>99</v>
      </c>
      <c r="I782" s="14" t="s">
        <v>74</v>
      </c>
      <c r="J782" s="15">
        <v>1907541</v>
      </c>
      <c r="K782" s="14">
        <v>1</v>
      </c>
      <c r="L782" s="14" t="s">
        <v>75</v>
      </c>
      <c r="M782" s="14" t="s">
        <v>75</v>
      </c>
      <c r="N782" s="14" t="s">
        <v>76</v>
      </c>
      <c r="O782" s="14" t="s">
        <v>75</v>
      </c>
      <c r="P782" s="14">
        <v>326</v>
      </c>
      <c r="Q782" s="15">
        <v>91592.3</v>
      </c>
      <c r="R782" s="15">
        <v>10025.4</v>
      </c>
      <c r="S782" s="14" t="s">
        <v>21</v>
      </c>
      <c r="T782" s="15">
        <v>533269</v>
      </c>
      <c r="U782" s="16">
        <f t="shared" si="132"/>
        <v>6.3068002208078358E-2</v>
      </c>
      <c r="V782" s="14">
        <v>0</v>
      </c>
      <c r="W782" s="17">
        <v>62</v>
      </c>
      <c r="X782" s="14">
        <v>0.7</v>
      </c>
      <c r="Y782" s="18">
        <f t="shared" si="133"/>
        <v>46.4</v>
      </c>
      <c r="Z782" s="18" t="str">
        <f t="shared" si="134"/>
        <v>Medium</v>
      </c>
      <c r="AA782" s="19" t="str">
        <f t="shared" si="135"/>
        <v>Not Eligible</v>
      </c>
      <c r="AB782" s="14" t="s">
        <v>161</v>
      </c>
      <c r="AC782" s="14">
        <v>0</v>
      </c>
      <c r="AD782" s="14" t="s">
        <v>78</v>
      </c>
      <c r="AE782" s="17">
        <v>23.3</v>
      </c>
      <c r="AF782" s="15">
        <v>451014</v>
      </c>
      <c r="AG782" s="20">
        <f t="shared" si="136"/>
        <v>2358555</v>
      </c>
      <c r="AH782" s="14">
        <v>1</v>
      </c>
      <c r="AI782" s="14" t="s">
        <v>75</v>
      </c>
      <c r="AJ782" s="14">
        <v>36</v>
      </c>
      <c r="AK782" s="21">
        <f t="shared" si="137"/>
        <v>0.15500000000000003</v>
      </c>
      <c r="AL782" s="20">
        <f t="shared" si="138"/>
        <v>18616.783957811829</v>
      </c>
      <c r="AM782" s="22">
        <f t="shared" si="139"/>
        <v>0.27955834238949517</v>
      </c>
      <c r="AN782" s="20">
        <f t="shared" si="140"/>
        <v>28642.183957811831</v>
      </c>
      <c r="AO782" s="16">
        <f t="shared" si="141"/>
        <v>0.18018286762577684</v>
      </c>
      <c r="AP782" s="15">
        <v>0</v>
      </c>
      <c r="AQ782" s="18" t="str">
        <f t="shared" si="142"/>
        <v>N/A</v>
      </c>
      <c r="AR782" s="23">
        <v>46194</v>
      </c>
      <c r="AS782" s="14" t="s">
        <v>79</v>
      </c>
    </row>
    <row r="783" spans="1:45" x14ac:dyDescent="0.25">
      <c r="A783" s="14" t="s">
        <v>2509</v>
      </c>
      <c r="B783" s="14" t="s">
        <v>2510</v>
      </c>
      <c r="C783" s="14">
        <v>9681426233</v>
      </c>
      <c r="D783" s="15" t="s">
        <v>2534</v>
      </c>
      <c r="E783" s="14">
        <v>38</v>
      </c>
      <c r="F783" s="14" t="s">
        <v>89</v>
      </c>
      <c r="G783" s="14" t="s">
        <v>388</v>
      </c>
      <c r="H783" s="14" t="s">
        <v>107</v>
      </c>
      <c r="I783" s="14" t="s">
        <v>92</v>
      </c>
      <c r="J783" s="15">
        <v>2058512</v>
      </c>
      <c r="K783" s="14">
        <v>1</v>
      </c>
      <c r="L783" s="14" t="s">
        <v>75</v>
      </c>
      <c r="M783" s="14" t="s">
        <v>75</v>
      </c>
      <c r="N783" s="14" t="s">
        <v>76</v>
      </c>
      <c r="O783" s="14" t="s">
        <v>75</v>
      </c>
      <c r="P783" s="14">
        <v>846</v>
      </c>
      <c r="Q783" s="15"/>
      <c r="R783" s="15">
        <v>32712.47</v>
      </c>
      <c r="S783" s="14" t="s">
        <v>20</v>
      </c>
      <c r="T783" s="15"/>
      <c r="U783" s="16">
        <f t="shared" si="132"/>
        <v>0.1906958230022463</v>
      </c>
      <c r="V783" s="14">
        <v>1</v>
      </c>
      <c r="W783" s="17">
        <v>80.7</v>
      </c>
      <c r="X783" s="14">
        <v>4.0999999999999996</v>
      </c>
      <c r="Y783" s="18">
        <f t="shared" si="133"/>
        <v>21.4</v>
      </c>
      <c r="Z783" s="18" t="str">
        <f t="shared" si="134"/>
        <v>Low</v>
      </c>
      <c r="AA783" s="19" t="str">
        <f t="shared" si="135"/>
        <v>Eligible</v>
      </c>
      <c r="AB783" s="14" t="s">
        <v>77</v>
      </c>
      <c r="AC783" s="14">
        <v>4</v>
      </c>
      <c r="AD783" s="14" t="s">
        <v>93</v>
      </c>
      <c r="AE783" s="17">
        <v>8.5</v>
      </c>
      <c r="AF783" s="15">
        <v>205435</v>
      </c>
      <c r="AG783" s="20">
        <f t="shared" si="136"/>
        <v>2263947</v>
      </c>
      <c r="AH783" s="14">
        <v>0</v>
      </c>
      <c r="AI783" s="14" t="s">
        <v>75</v>
      </c>
      <c r="AJ783" s="14">
        <v>12</v>
      </c>
      <c r="AK783" s="21">
        <f t="shared" si="137"/>
        <v>0.36</v>
      </c>
      <c r="AL783" s="20">
        <f t="shared" si="138"/>
        <v>0</v>
      </c>
      <c r="AM783" s="22">
        <f t="shared" si="139"/>
        <v>0</v>
      </c>
      <c r="AN783" s="20">
        <f t="shared" si="140"/>
        <v>32712.47</v>
      </c>
      <c r="AO783" s="16">
        <f t="shared" si="141"/>
        <v>0.1906958230022463</v>
      </c>
      <c r="AP783" s="15">
        <v>0</v>
      </c>
      <c r="AQ783" s="18" t="str">
        <f t="shared" si="142"/>
        <v>N/A</v>
      </c>
      <c r="AR783" s="23">
        <v>46100</v>
      </c>
      <c r="AS783" s="14" t="s">
        <v>79</v>
      </c>
    </row>
    <row r="784" spans="1:45" x14ac:dyDescent="0.25">
      <c r="A784" s="14" t="s">
        <v>2512</v>
      </c>
      <c r="B784" s="14" t="s">
        <v>2513</v>
      </c>
      <c r="C784" s="14">
        <v>9393045122</v>
      </c>
      <c r="D784" s="15" t="s">
        <v>2537</v>
      </c>
      <c r="E784" s="14">
        <v>63</v>
      </c>
      <c r="F784" s="14" t="s">
        <v>71</v>
      </c>
      <c r="G784" s="14" t="s">
        <v>127</v>
      </c>
      <c r="H784" s="14" t="s">
        <v>166</v>
      </c>
      <c r="I784" s="14" t="s">
        <v>74</v>
      </c>
      <c r="J784" s="15">
        <v>1606737</v>
      </c>
      <c r="K784" s="14">
        <v>1</v>
      </c>
      <c r="L784" s="14" t="s">
        <v>75</v>
      </c>
      <c r="M784" s="14" t="s">
        <v>75</v>
      </c>
      <c r="N784" s="14" t="s">
        <v>75</v>
      </c>
      <c r="O784" s="14" t="s">
        <v>76</v>
      </c>
      <c r="P784" s="14">
        <v>842</v>
      </c>
      <c r="Q784" s="15">
        <v>503072.64</v>
      </c>
      <c r="R784" s="15">
        <v>14253.14</v>
      </c>
      <c r="S784" s="14" t="s">
        <v>23</v>
      </c>
      <c r="T784" s="15">
        <v>384164</v>
      </c>
      <c r="U784" s="16">
        <f t="shared" si="132"/>
        <v>0.10645032758939391</v>
      </c>
      <c r="V784" s="14">
        <v>0</v>
      </c>
      <c r="W784" s="17">
        <v>56.7</v>
      </c>
      <c r="X784" s="14">
        <v>0.7</v>
      </c>
      <c r="Y784" s="18">
        <f t="shared" si="133"/>
        <v>12.7</v>
      </c>
      <c r="Z784" s="18" t="str">
        <f t="shared" si="134"/>
        <v>Low</v>
      </c>
      <c r="AA784" s="19" t="str">
        <f t="shared" si="135"/>
        <v>Eligible</v>
      </c>
      <c r="AB784" s="14" t="s">
        <v>161</v>
      </c>
      <c r="AC784" s="14">
        <v>3</v>
      </c>
      <c r="AD784" s="14" t="s">
        <v>93</v>
      </c>
      <c r="AE784" s="17">
        <v>7.6</v>
      </c>
      <c r="AF784" s="15">
        <v>866080</v>
      </c>
      <c r="AG784" s="20">
        <f t="shared" si="136"/>
        <v>2472817</v>
      </c>
      <c r="AH784" s="14">
        <v>1</v>
      </c>
      <c r="AI784" s="14" t="s">
        <v>75</v>
      </c>
      <c r="AJ784" s="14">
        <v>240</v>
      </c>
      <c r="AK784" s="21">
        <f t="shared" si="137"/>
        <v>8.5000000000000006E-2</v>
      </c>
      <c r="AL784" s="20">
        <f t="shared" si="138"/>
        <v>3333.8644462263696</v>
      </c>
      <c r="AM784" s="22">
        <f t="shared" si="139"/>
        <v>0.23909575742638653</v>
      </c>
      <c r="AN784" s="20">
        <f t="shared" si="140"/>
        <v>17587.004446226369</v>
      </c>
      <c r="AO784" s="16">
        <f t="shared" si="141"/>
        <v>0.13134946998464367</v>
      </c>
      <c r="AP784" s="15">
        <v>3062544</v>
      </c>
      <c r="AQ784" s="18">
        <f t="shared" si="142"/>
        <v>0.12543950388957678</v>
      </c>
      <c r="AR784" s="23">
        <v>46028</v>
      </c>
      <c r="AS784" s="14" t="s">
        <v>79</v>
      </c>
    </row>
    <row r="785" spans="1:45" x14ac:dyDescent="0.25">
      <c r="A785" s="14" t="s">
        <v>2515</v>
      </c>
      <c r="B785" s="14" t="s">
        <v>2516</v>
      </c>
      <c r="C785" s="14">
        <v>9915153519</v>
      </c>
      <c r="D785" s="15" t="s">
        <v>2540</v>
      </c>
      <c r="E785" s="14">
        <v>48</v>
      </c>
      <c r="F785" s="14" t="s">
        <v>71</v>
      </c>
      <c r="G785" s="14" t="s">
        <v>115</v>
      </c>
      <c r="H785" s="14" t="s">
        <v>73</v>
      </c>
      <c r="I785" s="14" t="s">
        <v>74</v>
      </c>
      <c r="J785" s="15">
        <v>2337020</v>
      </c>
      <c r="K785" s="14">
        <v>1</v>
      </c>
      <c r="L785" s="14" t="s">
        <v>75</v>
      </c>
      <c r="M785" s="14" t="s">
        <v>75</v>
      </c>
      <c r="N785" s="14" t="s">
        <v>76</v>
      </c>
      <c r="O785" s="14" t="s">
        <v>75</v>
      </c>
      <c r="P785" s="14">
        <v>691</v>
      </c>
      <c r="Q785" s="15">
        <v>54161.67</v>
      </c>
      <c r="R785" s="15">
        <v>2574.84</v>
      </c>
      <c r="S785" s="14" t="s">
        <v>23</v>
      </c>
      <c r="T785" s="15">
        <v>564760</v>
      </c>
      <c r="U785" s="16">
        <f t="shared" si="132"/>
        <v>1.3221144876808928E-2</v>
      </c>
      <c r="V785" s="14">
        <v>4</v>
      </c>
      <c r="W785" s="17">
        <v>89</v>
      </c>
      <c r="X785" s="14">
        <v>11.9</v>
      </c>
      <c r="Y785" s="18">
        <f t="shared" si="133"/>
        <v>39.200000000000003</v>
      </c>
      <c r="Z785" s="18" t="str">
        <f t="shared" si="134"/>
        <v>Medium</v>
      </c>
      <c r="AA785" s="19" t="str">
        <f t="shared" si="135"/>
        <v>Review</v>
      </c>
      <c r="AB785" s="14" t="s">
        <v>85</v>
      </c>
      <c r="AC785" s="14">
        <v>3</v>
      </c>
      <c r="AD785" s="14" t="s">
        <v>93</v>
      </c>
      <c r="AE785" s="17">
        <v>2.9</v>
      </c>
      <c r="AF785" s="15">
        <v>0</v>
      </c>
      <c r="AG785" s="20">
        <f t="shared" si="136"/>
        <v>2337020</v>
      </c>
      <c r="AH785" s="14">
        <v>2</v>
      </c>
      <c r="AI785" s="14" t="s">
        <v>75</v>
      </c>
      <c r="AJ785" s="14">
        <v>180</v>
      </c>
      <c r="AK785" s="21">
        <f t="shared" si="137"/>
        <v>0.1</v>
      </c>
      <c r="AL785" s="20">
        <f t="shared" si="138"/>
        <v>6068.9398627683568</v>
      </c>
      <c r="AM785" s="22">
        <f t="shared" si="139"/>
        <v>0.24165818007548073</v>
      </c>
      <c r="AN785" s="20">
        <f t="shared" si="140"/>
        <v>8643.7798627683569</v>
      </c>
      <c r="AO785" s="16">
        <f t="shared" si="141"/>
        <v>4.4383598922225861E-2</v>
      </c>
      <c r="AP785" s="15">
        <v>2855628</v>
      </c>
      <c r="AQ785" s="18">
        <f t="shared" si="142"/>
        <v>0.19777085810896938</v>
      </c>
      <c r="AR785" s="23">
        <v>46132</v>
      </c>
      <c r="AS785" s="14" t="s">
        <v>79</v>
      </c>
    </row>
    <row r="786" spans="1:45" x14ac:dyDescent="0.25">
      <c r="A786" s="14" t="s">
        <v>2518</v>
      </c>
      <c r="B786" s="14" t="s">
        <v>2519</v>
      </c>
      <c r="C786" s="14">
        <v>9755243601</v>
      </c>
      <c r="D786" s="15" t="s">
        <v>2542</v>
      </c>
      <c r="E786" s="14">
        <v>39</v>
      </c>
      <c r="F786" s="14" t="s">
        <v>71</v>
      </c>
      <c r="G786" s="14" t="s">
        <v>139</v>
      </c>
      <c r="H786" s="14" t="s">
        <v>132</v>
      </c>
      <c r="I786" s="14" t="s">
        <v>92</v>
      </c>
      <c r="J786" s="15">
        <v>2226764</v>
      </c>
      <c r="K786" s="14">
        <v>2</v>
      </c>
      <c r="L786" s="14" t="s">
        <v>75</v>
      </c>
      <c r="M786" s="14" t="s">
        <v>76</v>
      </c>
      <c r="N786" s="14" t="s">
        <v>76</v>
      </c>
      <c r="O786" s="14" t="s">
        <v>75</v>
      </c>
      <c r="P786" s="14">
        <v>376</v>
      </c>
      <c r="Q786" s="15">
        <v>23632</v>
      </c>
      <c r="R786" s="15">
        <v>20644.96</v>
      </c>
      <c r="S786" s="14" t="s">
        <v>21</v>
      </c>
      <c r="T786" s="15"/>
      <c r="U786" s="16">
        <f t="shared" si="132"/>
        <v>0.11125540021304457</v>
      </c>
      <c r="V786" s="14">
        <v>1</v>
      </c>
      <c r="W786" s="17">
        <v>53.5</v>
      </c>
      <c r="X786" s="14">
        <v>7.5</v>
      </c>
      <c r="Y786" s="18">
        <f t="shared" si="133"/>
        <v>47.6</v>
      </c>
      <c r="Z786" s="18" t="str">
        <f t="shared" si="134"/>
        <v>Medium</v>
      </c>
      <c r="AA786" s="19" t="str">
        <f t="shared" si="135"/>
        <v>Not Eligible</v>
      </c>
      <c r="AB786" s="14" t="s">
        <v>85</v>
      </c>
      <c r="AC786" s="14">
        <v>1</v>
      </c>
      <c r="AD786" s="14" t="s">
        <v>93</v>
      </c>
      <c r="AE786" s="17">
        <v>4.5</v>
      </c>
      <c r="AF786" s="15">
        <v>0</v>
      </c>
      <c r="AG786" s="20">
        <f t="shared" si="136"/>
        <v>2226764</v>
      </c>
      <c r="AH786" s="14">
        <v>0</v>
      </c>
      <c r="AI786" s="14" t="s">
        <v>76</v>
      </c>
      <c r="AJ786" s="14">
        <v>48</v>
      </c>
      <c r="AK786" s="21">
        <f t="shared" si="137"/>
        <v>0.15500000000000003</v>
      </c>
      <c r="AL786" s="20">
        <f t="shared" si="138"/>
        <v>0</v>
      </c>
      <c r="AM786" s="22">
        <f t="shared" si="139"/>
        <v>0</v>
      </c>
      <c r="AN786" s="20">
        <f t="shared" si="140"/>
        <v>20644.96</v>
      </c>
      <c r="AO786" s="16">
        <f t="shared" si="141"/>
        <v>0.11125540021304457</v>
      </c>
      <c r="AP786" s="15">
        <v>0</v>
      </c>
      <c r="AQ786" s="18" t="str">
        <f t="shared" si="142"/>
        <v>N/A</v>
      </c>
      <c r="AR786" s="23">
        <v>46049</v>
      </c>
      <c r="AS786" s="14" t="s">
        <v>79</v>
      </c>
    </row>
    <row r="787" spans="1:45" x14ac:dyDescent="0.25">
      <c r="A787" s="14" t="s">
        <v>2522</v>
      </c>
      <c r="B787" s="14" t="s">
        <v>2523</v>
      </c>
      <c r="C787" s="14">
        <v>9718381406</v>
      </c>
      <c r="D787" s="15" t="s">
        <v>2546</v>
      </c>
      <c r="E787" s="14">
        <v>39</v>
      </c>
      <c r="F787" s="14" t="s">
        <v>71</v>
      </c>
      <c r="G787" s="14" t="s">
        <v>131</v>
      </c>
      <c r="H787" s="14" t="s">
        <v>132</v>
      </c>
      <c r="I787" s="14" t="s">
        <v>92</v>
      </c>
      <c r="J787" s="15">
        <v>798998</v>
      </c>
      <c r="K787" s="14">
        <v>2</v>
      </c>
      <c r="L787" s="14" t="s">
        <v>76</v>
      </c>
      <c r="M787" s="14" t="s">
        <v>75</v>
      </c>
      <c r="N787" s="14" t="s">
        <v>76</v>
      </c>
      <c r="O787" s="14" t="s">
        <v>75</v>
      </c>
      <c r="P787" s="14">
        <v>643</v>
      </c>
      <c r="Q787" s="15">
        <v>12048.34</v>
      </c>
      <c r="R787" s="15">
        <v>6960.71</v>
      </c>
      <c r="S787" s="14" t="s">
        <v>23</v>
      </c>
      <c r="T787" s="15">
        <v>4281322</v>
      </c>
      <c r="U787" s="16">
        <f t="shared" si="132"/>
        <v>0.1045415883393951</v>
      </c>
      <c r="V787" s="14">
        <v>2</v>
      </c>
      <c r="W787" s="17">
        <v>96.8</v>
      </c>
      <c r="X787" s="14">
        <v>2.9</v>
      </c>
      <c r="Y787" s="18">
        <f t="shared" si="133"/>
        <v>37.9</v>
      </c>
      <c r="Z787" s="18" t="str">
        <f t="shared" si="134"/>
        <v>Medium</v>
      </c>
      <c r="AA787" s="19" t="str">
        <f t="shared" si="135"/>
        <v>Review</v>
      </c>
      <c r="AB787" s="14" t="s">
        <v>85</v>
      </c>
      <c r="AC787" s="14">
        <v>2</v>
      </c>
      <c r="AD787" s="14" t="s">
        <v>93</v>
      </c>
      <c r="AE787" s="17">
        <v>6.3</v>
      </c>
      <c r="AF787" s="15">
        <v>0</v>
      </c>
      <c r="AG787" s="20">
        <f t="shared" si="136"/>
        <v>798998</v>
      </c>
      <c r="AH787" s="14">
        <v>0</v>
      </c>
      <c r="AI787" s="14" t="s">
        <v>75</v>
      </c>
      <c r="AJ787" s="14">
        <v>240</v>
      </c>
      <c r="AK787" s="21">
        <f t="shared" si="137"/>
        <v>0.1</v>
      </c>
      <c r="AL787" s="20">
        <f t="shared" si="138"/>
        <v>41315.683995315419</v>
      </c>
      <c r="AM787" s="22">
        <f t="shared" si="139"/>
        <v>5.3583638507230305</v>
      </c>
      <c r="AN787" s="20">
        <f t="shared" si="140"/>
        <v>48276.393995315419</v>
      </c>
      <c r="AO787" s="16">
        <f t="shared" si="141"/>
        <v>0.72505404011497532</v>
      </c>
      <c r="AP787" s="15">
        <v>8935628</v>
      </c>
      <c r="AQ787" s="18">
        <f t="shared" si="142"/>
        <v>0.47912939079379757</v>
      </c>
      <c r="AR787" s="23">
        <v>45896</v>
      </c>
      <c r="AS787" s="14" t="s">
        <v>79</v>
      </c>
    </row>
    <row r="788" spans="1:45" x14ac:dyDescent="0.25">
      <c r="A788" s="14" t="s">
        <v>2526</v>
      </c>
      <c r="B788" s="14" t="s">
        <v>2527</v>
      </c>
      <c r="C788" s="14">
        <v>9484092859</v>
      </c>
      <c r="D788" s="15" t="s">
        <v>2549</v>
      </c>
      <c r="E788" s="14">
        <v>50</v>
      </c>
      <c r="F788" s="14" t="s">
        <v>89</v>
      </c>
      <c r="G788" s="14" t="s">
        <v>314</v>
      </c>
      <c r="H788" s="14" t="s">
        <v>144</v>
      </c>
      <c r="I788" s="14" t="s">
        <v>92</v>
      </c>
      <c r="J788" s="15">
        <v>1805285</v>
      </c>
      <c r="K788" s="14">
        <v>1</v>
      </c>
      <c r="L788" s="14" t="s">
        <v>76</v>
      </c>
      <c r="M788" s="14" t="s">
        <v>75</v>
      </c>
      <c r="N788" s="14" t="s">
        <v>75</v>
      </c>
      <c r="O788" s="14" t="s">
        <v>75</v>
      </c>
      <c r="P788" s="14">
        <v>526</v>
      </c>
      <c r="Q788" s="15">
        <v>356364</v>
      </c>
      <c r="R788" s="15">
        <v>81751.22</v>
      </c>
      <c r="S788" s="14" t="s">
        <v>22</v>
      </c>
      <c r="T788" s="15">
        <v>388803</v>
      </c>
      <c r="U788" s="16">
        <f t="shared" si="132"/>
        <v>0.54341261352085679</v>
      </c>
      <c r="V788" s="14">
        <v>1</v>
      </c>
      <c r="W788" s="17">
        <v>64.7</v>
      </c>
      <c r="X788" s="14">
        <v>11</v>
      </c>
      <c r="Y788" s="18">
        <f t="shared" si="133"/>
        <v>51.7</v>
      </c>
      <c r="Z788" s="18" t="str">
        <f t="shared" si="134"/>
        <v>Medium</v>
      </c>
      <c r="AA788" s="19" t="str">
        <f t="shared" si="135"/>
        <v>Not Eligible</v>
      </c>
      <c r="AB788" s="14" t="s">
        <v>85</v>
      </c>
      <c r="AC788" s="14">
        <v>1</v>
      </c>
      <c r="AD788" s="14" t="s">
        <v>93</v>
      </c>
      <c r="AE788" s="17">
        <v>11.8</v>
      </c>
      <c r="AF788" s="15">
        <v>0</v>
      </c>
      <c r="AG788" s="20">
        <f t="shared" si="136"/>
        <v>1805285</v>
      </c>
      <c r="AH788" s="14">
        <v>1</v>
      </c>
      <c r="AI788" s="14" t="s">
        <v>75</v>
      </c>
      <c r="AJ788" s="14">
        <v>36</v>
      </c>
      <c r="AK788" s="21">
        <f t="shared" si="137"/>
        <v>0.105</v>
      </c>
      <c r="AL788" s="20">
        <f t="shared" si="138"/>
        <v>12637.04754195279</v>
      </c>
      <c r="AM788" s="22">
        <f t="shared" si="139"/>
        <v>0.21536931841786755</v>
      </c>
      <c r="AN788" s="20">
        <f t="shared" si="140"/>
        <v>94388.267541952795</v>
      </c>
      <c r="AO788" s="16">
        <f t="shared" si="141"/>
        <v>0.62741296277509295</v>
      </c>
      <c r="AP788" s="15">
        <v>637300</v>
      </c>
      <c r="AQ788" s="18">
        <f t="shared" si="142"/>
        <v>0.6100784559861917</v>
      </c>
      <c r="AR788" s="23">
        <v>45989</v>
      </c>
      <c r="AS788" s="14" t="s">
        <v>79</v>
      </c>
    </row>
    <row r="789" spans="1:45" x14ac:dyDescent="0.25">
      <c r="A789" s="14" t="s">
        <v>2530</v>
      </c>
      <c r="B789" s="14" t="s">
        <v>1315</v>
      </c>
      <c r="C789" s="14">
        <v>9455402113</v>
      </c>
      <c r="D789" s="15" t="s">
        <v>2553</v>
      </c>
      <c r="E789" s="14">
        <v>46</v>
      </c>
      <c r="F789" s="14" t="s">
        <v>71</v>
      </c>
      <c r="G789" s="14" t="s">
        <v>106</v>
      </c>
      <c r="H789" s="14" t="s">
        <v>99</v>
      </c>
      <c r="I789" s="14" t="s">
        <v>74</v>
      </c>
      <c r="J789" s="15">
        <v>1839134</v>
      </c>
      <c r="K789" s="14">
        <v>3</v>
      </c>
      <c r="L789" s="14" t="s">
        <v>76</v>
      </c>
      <c r="M789" s="14" t="s">
        <v>75</v>
      </c>
      <c r="N789" s="14" t="s">
        <v>76</v>
      </c>
      <c r="O789" s="14" t="s">
        <v>76</v>
      </c>
      <c r="P789" s="14">
        <v>343</v>
      </c>
      <c r="Q789" s="15">
        <v>179462</v>
      </c>
      <c r="R789" s="15">
        <v>1728.16</v>
      </c>
      <c r="S789" s="14" t="s">
        <v>22</v>
      </c>
      <c r="T789" s="15">
        <v>1625378</v>
      </c>
      <c r="U789" s="16">
        <f t="shared" si="132"/>
        <v>1.1275915729903314E-2</v>
      </c>
      <c r="V789" s="14">
        <v>3</v>
      </c>
      <c r="W789" s="17">
        <v>5.5</v>
      </c>
      <c r="X789" s="14">
        <v>12.3</v>
      </c>
      <c r="Y789" s="18">
        <f t="shared" si="133"/>
        <v>50</v>
      </c>
      <c r="Z789" s="18" t="str">
        <f t="shared" si="134"/>
        <v>Medium</v>
      </c>
      <c r="AA789" s="19" t="str">
        <f t="shared" si="135"/>
        <v>Not Eligible</v>
      </c>
      <c r="AB789" s="14" t="s">
        <v>85</v>
      </c>
      <c r="AC789" s="14">
        <v>4</v>
      </c>
      <c r="AD789" s="14" t="s">
        <v>78</v>
      </c>
      <c r="AE789" s="17">
        <v>4.7</v>
      </c>
      <c r="AF789" s="15">
        <v>675325</v>
      </c>
      <c r="AG789" s="20">
        <f t="shared" si="136"/>
        <v>2514459</v>
      </c>
      <c r="AH789" s="14">
        <v>0</v>
      </c>
      <c r="AI789" s="14" t="s">
        <v>75</v>
      </c>
      <c r="AJ789" s="14">
        <v>24</v>
      </c>
      <c r="AK789" s="21">
        <f t="shared" si="137"/>
        <v>0.105</v>
      </c>
      <c r="AL789" s="20">
        <f t="shared" si="138"/>
        <v>75378.597807718601</v>
      </c>
      <c r="AM789" s="22">
        <f t="shared" si="139"/>
        <v>0.88377355864227403</v>
      </c>
      <c r="AN789" s="20">
        <f t="shared" si="140"/>
        <v>77106.757807718604</v>
      </c>
      <c r="AO789" s="16">
        <f t="shared" si="141"/>
        <v>0.50310694799434041</v>
      </c>
      <c r="AP789" s="15">
        <v>560298</v>
      </c>
      <c r="AQ789" s="18">
        <f t="shared" si="142"/>
        <v>2.9009170120186045</v>
      </c>
      <c r="AR789" s="23">
        <v>46221</v>
      </c>
      <c r="AS789" s="14" t="s">
        <v>94</v>
      </c>
    </row>
    <row r="790" spans="1:45" x14ac:dyDescent="0.25">
      <c r="A790" s="14" t="s">
        <v>2532</v>
      </c>
      <c r="B790" s="14" t="s">
        <v>2533</v>
      </c>
      <c r="C790" s="14">
        <v>9970192762</v>
      </c>
      <c r="D790" s="15" t="s">
        <v>2556</v>
      </c>
      <c r="E790" s="14">
        <v>64</v>
      </c>
      <c r="F790" s="14" t="s">
        <v>89</v>
      </c>
      <c r="G790" s="14" t="s">
        <v>139</v>
      </c>
      <c r="H790" s="14" t="s">
        <v>107</v>
      </c>
      <c r="I790" s="14" t="s">
        <v>92</v>
      </c>
      <c r="J790" s="15">
        <v>868645</v>
      </c>
      <c r="K790" s="14">
        <v>2</v>
      </c>
      <c r="L790" s="14" t="s">
        <v>76</v>
      </c>
      <c r="M790" s="14" t="s">
        <v>76</v>
      </c>
      <c r="N790" s="14" t="s">
        <v>75</v>
      </c>
      <c r="O790" s="14" t="s">
        <v>75</v>
      </c>
      <c r="P790" s="14">
        <v>413</v>
      </c>
      <c r="Q790" s="15">
        <v>102234</v>
      </c>
      <c r="R790" s="15">
        <v>1174.74</v>
      </c>
      <c r="S790" s="14" t="s">
        <v>21</v>
      </c>
      <c r="T790" s="15">
        <v>3978756</v>
      </c>
      <c r="U790" s="16">
        <f t="shared" si="132"/>
        <v>1.6228585901029765E-2</v>
      </c>
      <c r="V790" s="14">
        <v>0</v>
      </c>
      <c r="W790" s="17">
        <v>57.5</v>
      </c>
      <c r="X790" s="14">
        <v>2.9</v>
      </c>
      <c r="Y790" s="18">
        <f t="shared" si="133"/>
        <v>38.700000000000003</v>
      </c>
      <c r="Z790" s="18" t="str">
        <f t="shared" si="134"/>
        <v>Medium</v>
      </c>
      <c r="AA790" s="19" t="str">
        <f t="shared" si="135"/>
        <v>Not Eligible</v>
      </c>
      <c r="AB790" s="14" t="s">
        <v>85</v>
      </c>
      <c r="AC790" s="14">
        <v>1</v>
      </c>
      <c r="AD790" s="14" t="s">
        <v>93</v>
      </c>
      <c r="AE790" s="17">
        <v>14.3</v>
      </c>
      <c r="AF790" s="15">
        <v>0</v>
      </c>
      <c r="AG790" s="20">
        <f t="shared" si="136"/>
        <v>868645</v>
      </c>
      <c r="AH790" s="14">
        <v>0</v>
      </c>
      <c r="AI790" s="14" t="s">
        <v>75</v>
      </c>
      <c r="AJ790" s="14">
        <v>60</v>
      </c>
      <c r="AK790" s="21">
        <f t="shared" si="137"/>
        <v>0.15500000000000003</v>
      </c>
      <c r="AL790" s="20">
        <f t="shared" si="138"/>
        <v>95701.778327534877</v>
      </c>
      <c r="AM790" s="22">
        <f t="shared" si="139"/>
        <v>4.5804166258943528</v>
      </c>
      <c r="AN790" s="20">
        <f t="shared" si="140"/>
        <v>96876.518327534883</v>
      </c>
      <c r="AO790" s="16">
        <f t="shared" si="141"/>
        <v>1.3383122218287316</v>
      </c>
      <c r="AP790" s="15">
        <v>0</v>
      </c>
      <c r="AQ790" s="18" t="str">
        <f t="shared" si="142"/>
        <v>N/A</v>
      </c>
      <c r="AR790" s="23">
        <v>46197</v>
      </c>
      <c r="AS790" s="14" t="s">
        <v>79</v>
      </c>
    </row>
    <row r="791" spans="1:45" x14ac:dyDescent="0.25">
      <c r="A791" s="14" t="s">
        <v>2535</v>
      </c>
      <c r="B791" s="14" t="s">
        <v>2536</v>
      </c>
      <c r="C791" s="14">
        <v>9525432708</v>
      </c>
      <c r="D791" s="15" t="s">
        <v>2559</v>
      </c>
      <c r="E791" s="14">
        <v>56</v>
      </c>
      <c r="F791" s="14" t="s">
        <v>89</v>
      </c>
      <c r="G791" s="14" t="s">
        <v>417</v>
      </c>
      <c r="H791" s="14" t="s">
        <v>73</v>
      </c>
      <c r="I791" s="14" t="s">
        <v>74</v>
      </c>
      <c r="J791" s="15">
        <v>1257027</v>
      </c>
      <c r="K791" s="14">
        <v>1</v>
      </c>
      <c r="L791" s="14" t="s">
        <v>76</v>
      </c>
      <c r="M791" s="14" t="s">
        <v>75</v>
      </c>
      <c r="N791" s="14" t="s">
        <v>75</v>
      </c>
      <c r="O791" s="14" t="s">
        <v>75</v>
      </c>
      <c r="P791" s="14">
        <v>655</v>
      </c>
      <c r="Q791" s="15">
        <v>962</v>
      </c>
      <c r="R791" s="15">
        <v>15721.02</v>
      </c>
      <c r="S791" s="14" t="s">
        <v>21</v>
      </c>
      <c r="T791" s="15">
        <v>239145</v>
      </c>
      <c r="U791" s="16">
        <f t="shared" si="132"/>
        <v>0.15007811288063025</v>
      </c>
      <c r="V791" s="14">
        <v>6</v>
      </c>
      <c r="W791" s="17">
        <v>94.6</v>
      </c>
      <c r="X791" s="14">
        <v>13.9</v>
      </c>
      <c r="Y791" s="18">
        <f t="shared" si="133"/>
        <v>50.3</v>
      </c>
      <c r="Z791" s="18" t="str">
        <f t="shared" si="134"/>
        <v>Medium</v>
      </c>
      <c r="AA791" s="19" t="str">
        <f t="shared" si="135"/>
        <v>Not Eligible</v>
      </c>
      <c r="AB791" s="14" t="s">
        <v>85</v>
      </c>
      <c r="AC791" s="14">
        <v>2</v>
      </c>
      <c r="AD791" s="14" t="s">
        <v>93</v>
      </c>
      <c r="AE791" s="17">
        <v>27.7</v>
      </c>
      <c r="AF791" s="15">
        <v>847111</v>
      </c>
      <c r="AG791" s="20">
        <f t="shared" si="136"/>
        <v>2104138</v>
      </c>
      <c r="AH791" s="14">
        <v>0</v>
      </c>
      <c r="AI791" s="14" t="s">
        <v>75</v>
      </c>
      <c r="AJ791" s="14">
        <v>36</v>
      </c>
      <c r="AK791" s="21">
        <f t="shared" si="137"/>
        <v>0.15500000000000003</v>
      </c>
      <c r="AL791" s="20">
        <f t="shared" si="138"/>
        <v>8348.7148129572688</v>
      </c>
      <c r="AM791" s="22">
        <f t="shared" si="139"/>
        <v>0.19024651021815761</v>
      </c>
      <c r="AN791" s="20">
        <f t="shared" si="140"/>
        <v>24069.734812957271</v>
      </c>
      <c r="AO791" s="16">
        <f t="shared" si="141"/>
        <v>0.22977773568546045</v>
      </c>
      <c r="AP791" s="15">
        <v>0</v>
      </c>
      <c r="AQ791" s="18" t="str">
        <f t="shared" si="142"/>
        <v>N/A</v>
      </c>
      <c r="AR791" s="23">
        <v>46145</v>
      </c>
      <c r="AS791" s="14" t="s">
        <v>79</v>
      </c>
    </row>
    <row r="792" spans="1:45" x14ac:dyDescent="0.25">
      <c r="A792" s="14" t="s">
        <v>2538</v>
      </c>
      <c r="B792" s="14" t="s">
        <v>2539</v>
      </c>
      <c r="C792" s="14">
        <v>9795818062</v>
      </c>
      <c r="D792" s="15" t="s">
        <v>2562</v>
      </c>
      <c r="E792" s="14">
        <v>36</v>
      </c>
      <c r="F792" s="14" t="s">
        <v>71</v>
      </c>
      <c r="G792" s="14" t="s">
        <v>72</v>
      </c>
      <c r="H792" s="14" t="s">
        <v>144</v>
      </c>
      <c r="I792" s="14" t="s">
        <v>92</v>
      </c>
      <c r="J792" s="15">
        <v>372115</v>
      </c>
      <c r="K792" s="14">
        <v>1</v>
      </c>
      <c r="L792" s="14" t="s">
        <v>75</v>
      </c>
      <c r="M792" s="14" t="s">
        <v>76</v>
      </c>
      <c r="N792" s="14" t="s">
        <v>75</v>
      </c>
      <c r="O792" s="14" t="s">
        <v>75</v>
      </c>
      <c r="P792" s="14">
        <v>637</v>
      </c>
      <c r="Q792" s="15">
        <v>767286</v>
      </c>
      <c r="R792" s="15">
        <v>3385.1</v>
      </c>
      <c r="S792" s="14" t="s">
        <v>22</v>
      </c>
      <c r="T792" s="15">
        <v>305153</v>
      </c>
      <c r="U792" s="16">
        <f t="shared" si="132"/>
        <v>0.1091630275586848</v>
      </c>
      <c r="V792" s="14">
        <v>3</v>
      </c>
      <c r="W792" s="17">
        <v>53.5</v>
      </c>
      <c r="X792" s="14">
        <v>13.6</v>
      </c>
      <c r="Y792" s="18">
        <f t="shared" si="133"/>
        <v>38.200000000000003</v>
      </c>
      <c r="Z792" s="18" t="str">
        <f t="shared" si="134"/>
        <v>Medium</v>
      </c>
      <c r="AA792" s="19" t="str">
        <f t="shared" si="135"/>
        <v>Review</v>
      </c>
      <c r="AB792" s="14" t="s">
        <v>77</v>
      </c>
      <c r="AC792" s="14">
        <v>1</v>
      </c>
      <c r="AD792" s="14" t="s">
        <v>93</v>
      </c>
      <c r="AE792" s="17">
        <v>6.3</v>
      </c>
      <c r="AF792" s="15">
        <v>0</v>
      </c>
      <c r="AG792" s="20">
        <f t="shared" si="136"/>
        <v>372115</v>
      </c>
      <c r="AH792" s="14">
        <v>1</v>
      </c>
      <c r="AI792" s="14" t="s">
        <v>75</v>
      </c>
      <c r="AJ792" s="14">
        <v>72</v>
      </c>
      <c r="AK792" s="21">
        <f t="shared" si="137"/>
        <v>0.105</v>
      </c>
      <c r="AL792" s="20">
        <f t="shared" si="138"/>
        <v>5730.4590230416352</v>
      </c>
      <c r="AM792" s="22">
        <f t="shared" si="139"/>
        <v>0.8200502532819155</v>
      </c>
      <c r="AN792" s="20">
        <f t="shared" si="140"/>
        <v>9115.5590230416346</v>
      </c>
      <c r="AO792" s="16">
        <f t="shared" si="141"/>
        <v>0.29395941651505481</v>
      </c>
      <c r="AP792" s="15">
        <v>597111</v>
      </c>
      <c r="AQ792" s="18">
        <f t="shared" si="142"/>
        <v>0.51104903443413374</v>
      </c>
      <c r="AR792" s="23">
        <v>45938</v>
      </c>
      <c r="AS792" s="14" t="s">
        <v>79</v>
      </c>
    </row>
    <row r="793" spans="1:45" x14ac:dyDescent="0.25">
      <c r="A793" s="14" t="s">
        <v>2541</v>
      </c>
      <c r="B793" s="14" t="s">
        <v>300</v>
      </c>
      <c r="C793" s="14">
        <v>9939494253</v>
      </c>
      <c r="D793" s="15" t="s">
        <v>2565</v>
      </c>
      <c r="E793" s="14">
        <v>45</v>
      </c>
      <c r="F793" s="14" t="s">
        <v>71</v>
      </c>
      <c r="G793" s="14" t="s">
        <v>106</v>
      </c>
      <c r="H793" s="14" t="s">
        <v>107</v>
      </c>
      <c r="I793" s="14" t="s">
        <v>92</v>
      </c>
      <c r="J793" s="15">
        <v>404595</v>
      </c>
      <c r="K793" s="14">
        <v>1</v>
      </c>
      <c r="L793" s="14" t="s">
        <v>75</v>
      </c>
      <c r="M793" s="14" t="s">
        <v>76</v>
      </c>
      <c r="N793" s="14" t="s">
        <v>75</v>
      </c>
      <c r="O793" s="14" t="s">
        <v>75</v>
      </c>
      <c r="P793" s="14">
        <v>449</v>
      </c>
      <c r="Q793" s="15"/>
      <c r="R793" s="15">
        <v>437.62</v>
      </c>
      <c r="S793" s="14" t="s">
        <v>23</v>
      </c>
      <c r="T793" s="15"/>
      <c r="U793" s="16">
        <f t="shared" si="132"/>
        <v>1.2979498016535055E-2</v>
      </c>
      <c r="V793" s="14">
        <v>5</v>
      </c>
      <c r="W793" s="17">
        <v>90.9</v>
      </c>
      <c r="X793" s="14">
        <v>12.4</v>
      </c>
      <c r="Y793" s="18">
        <f t="shared" si="133"/>
        <v>59.5</v>
      </c>
      <c r="Z793" s="18" t="str">
        <f t="shared" si="134"/>
        <v>Medium</v>
      </c>
      <c r="AA793" s="19" t="str">
        <f t="shared" si="135"/>
        <v>Not Eligible</v>
      </c>
      <c r="AB793" s="14" t="s">
        <v>85</v>
      </c>
      <c r="AC793" s="14">
        <v>2</v>
      </c>
      <c r="AD793" s="14" t="s">
        <v>78</v>
      </c>
      <c r="AE793" s="17">
        <v>8.1999999999999993</v>
      </c>
      <c r="AF793" s="15">
        <v>408360</v>
      </c>
      <c r="AG793" s="20">
        <f t="shared" si="136"/>
        <v>812955</v>
      </c>
      <c r="AH793" s="14">
        <v>0</v>
      </c>
      <c r="AI793" s="14" t="s">
        <v>75</v>
      </c>
      <c r="AJ793" s="14">
        <v>360</v>
      </c>
      <c r="AK793" s="21">
        <f t="shared" si="137"/>
        <v>0.1</v>
      </c>
      <c r="AL793" s="20">
        <f t="shared" si="138"/>
        <v>0</v>
      </c>
      <c r="AM793" s="22">
        <f t="shared" si="139"/>
        <v>0</v>
      </c>
      <c r="AN793" s="20">
        <f t="shared" si="140"/>
        <v>437.62</v>
      </c>
      <c r="AO793" s="16">
        <f t="shared" si="141"/>
        <v>1.2979498016535055E-2</v>
      </c>
      <c r="AP793" s="15">
        <v>4417939</v>
      </c>
      <c r="AQ793" s="18">
        <f t="shared" si="142"/>
        <v>0</v>
      </c>
      <c r="AR793" s="23">
        <v>45905</v>
      </c>
      <c r="AS793" s="14" t="s">
        <v>79</v>
      </c>
    </row>
    <row r="794" spans="1:45" x14ac:dyDescent="0.25">
      <c r="A794" s="14" t="s">
        <v>2543</v>
      </c>
      <c r="B794" s="14" t="s">
        <v>2544</v>
      </c>
      <c r="C794" s="14">
        <v>9717936964</v>
      </c>
      <c r="D794" s="15" t="s">
        <v>2569</v>
      </c>
      <c r="E794" s="14">
        <v>47</v>
      </c>
      <c r="F794" s="14" t="s">
        <v>89</v>
      </c>
      <c r="G794" s="14" t="s">
        <v>90</v>
      </c>
      <c r="H794" s="14" t="s">
        <v>84</v>
      </c>
      <c r="I794" s="14" t="s">
        <v>74</v>
      </c>
      <c r="J794" s="15">
        <v>1806955</v>
      </c>
      <c r="K794" s="14">
        <v>0</v>
      </c>
      <c r="L794" s="14" t="s">
        <v>75</v>
      </c>
      <c r="M794" s="14" t="s">
        <v>75</v>
      </c>
      <c r="N794" s="14" t="s">
        <v>75</v>
      </c>
      <c r="O794" s="14" t="s">
        <v>75</v>
      </c>
      <c r="P794" s="14">
        <v>686</v>
      </c>
      <c r="Q794" s="15">
        <v>78265</v>
      </c>
      <c r="R794" s="15">
        <v>803.22</v>
      </c>
      <c r="S794" s="14" t="s">
        <v>23</v>
      </c>
      <c r="T794" s="15">
        <v>224887</v>
      </c>
      <c r="U794" s="16">
        <f t="shared" si="132"/>
        <v>5.3341892852893404E-3</v>
      </c>
      <c r="V794" s="14">
        <v>0</v>
      </c>
      <c r="W794" s="17">
        <v>27.9</v>
      </c>
      <c r="X794" s="14">
        <v>6.9</v>
      </c>
      <c r="Y794" s="18">
        <f t="shared" si="133"/>
        <v>17.2</v>
      </c>
      <c r="Z794" s="18" t="str">
        <f t="shared" si="134"/>
        <v>Low</v>
      </c>
      <c r="AA794" s="19" t="str">
        <f t="shared" si="135"/>
        <v>Eligible</v>
      </c>
      <c r="AB794" s="14" t="s">
        <v>85</v>
      </c>
      <c r="AC794" s="14">
        <v>1</v>
      </c>
      <c r="AD794" s="14" t="s">
        <v>78</v>
      </c>
      <c r="AE794" s="17">
        <v>10.6</v>
      </c>
      <c r="AF794" s="15">
        <v>460781</v>
      </c>
      <c r="AG794" s="20">
        <f t="shared" si="136"/>
        <v>2267736</v>
      </c>
      <c r="AH794" s="14">
        <v>2</v>
      </c>
      <c r="AI794" s="14" t="s">
        <v>75</v>
      </c>
      <c r="AJ794" s="14">
        <v>360</v>
      </c>
      <c r="AK794" s="21">
        <f t="shared" si="137"/>
        <v>8.5000000000000006E-2</v>
      </c>
      <c r="AL794" s="20">
        <f t="shared" si="138"/>
        <v>1729.1864658283005</v>
      </c>
      <c r="AM794" s="22">
        <f t="shared" si="139"/>
        <v>0.12445633676544242</v>
      </c>
      <c r="AN794" s="20">
        <f t="shared" si="140"/>
        <v>2532.4064658283005</v>
      </c>
      <c r="AO794" s="16">
        <f t="shared" si="141"/>
        <v>1.6817727940064697E-2</v>
      </c>
      <c r="AP794" s="15">
        <v>4997493</v>
      </c>
      <c r="AQ794" s="18">
        <f t="shared" si="142"/>
        <v>4.4999962981438893E-2</v>
      </c>
      <c r="AR794" s="23">
        <v>46195</v>
      </c>
      <c r="AS794" s="14" t="s">
        <v>79</v>
      </c>
    </row>
    <row r="795" spans="1:45" x14ac:dyDescent="0.25">
      <c r="A795" s="14" t="s">
        <v>2547</v>
      </c>
      <c r="B795" s="14" t="s">
        <v>2548</v>
      </c>
      <c r="C795" s="14">
        <v>9506465823</v>
      </c>
      <c r="D795" s="15" t="s">
        <v>2571</v>
      </c>
      <c r="E795" s="14">
        <v>53</v>
      </c>
      <c r="F795" s="14" t="s">
        <v>89</v>
      </c>
      <c r="G795" s="14" t="s">
        <v>388</v>
      </c>
      <c r="H795" s="14" t="s">
        <v>107</v>
      </c>
      <c r="I795" s="14" t="s">
        <v>92</v>
      </c>
      <c r="J795" s="15">
        <v>1971297</v>
      </c>
      <c r="K795" s="14">
        <v>1</v>
      </c>
      <c r="L795" s="14" t="s">
        <v>75</v>
      </c>
      <c r="M795" s="14" t="s">
        <v>76</v>
      </c>
      <c r="N795" s="14" t="s">
        <v>75</v>
      </c>
      <c r="O795" s="14" t="s">
        <v>75</v>
      </c>
      <c r="P795" s="14">
        <v>575</v>
      </c>
      <c r="Q795" s="15"/>
      <c r="R795" s="15">
        <v>8287.5300000000007</v>
      </c>
      <c r="S795" s="14" t="s">
        <v>21</v>
      </c>
      <c r="T795" s="15">
        <v>525587</v>
      </c>
      <c r="U795" s="16">
        <f t="shared" si="132"/>
        <v>5.0449201718462525E-2</v>
      </c>
      <c r="V795" s="14">
        <v>3</v>
      </c>
      <c r="W795" s="17">
        <v>82.1</v>
      </c>
      <c r="X795" s="14">
        <v>8.1</v>
      </c>
      <c r="Y795" s="18">
        <f t="shared" si="133"/>
        <v>43.4</v>
      </c>
      <c r="Z795" s="18" t="str">
        <f t="shared" si="134"/>
        <v>Medium</v>
      </c>
      <c r="AA795" s="19" t="str">
        <f t="shared" si="135"/>
        <v>Review</v>
      </c>
      <c r="AB795" s="14" t="s">
        <v>77</v>
      </c>
      <c r="AC795" s="14">
        <v>0</v>
      </c>
      <c r="AD795" s="14" t="s">
        <v>78</v>
      </c>
      <c r="AE795" s="17">
        <v>7.7</v>
      </c>
      <c r="AF795" s="15">
        <v>534213</v>
      </c>
      <c r="AG795" s="20">
        <f t="shared" si="136"/>
        <v>2505510</v>
      </c>
      <c r="AH795" s="14">
        <v>1</v>
      </c>
      <c r="AI795" s="14" t="s">
        <v>75</v>
      </c>
      <c r="AJ795" s="14">
        <v>48</v>
      </c>
      <c r="AK795" s="21">
        <f t="shared" si="137"/>
        <v>0.15500000000000003</v>
      </c>
      <c r="AL795" s="20">
        <f t="shared" si="138"/>
        <v>14761.036732073848</v>
      </c>
      <c r="AM795" s="22">
        <f t="shared" si="139"/>
        <v>0.26661989542925291</v>
      </c>
      <c r="AN795" s="20">
        <f t="shared" si="140"/>
        <v>23048.56673207385</v>
      </c>
      <c r="AO795" s="16">
        <f t="shared" si="141"/>
        <v>0.14030498741939254</v>
      </c>
      <c r="AP795" s="15">
        <v>0</v>
      </c>
      <c r="AQ795" s="18" t="str">
        <f t="shared" si="142"/>
        <v>N/A</v>
      </c>
      <c r="AR795" s="23">
        <v>46258</v>
      </c>
      <c r="AS795" s="14" t="s">
        <v>79</v>
      </c>
    </row>
    <row r="796" spans="1:45" x14ac:dyDescent="0.25">
      <c r="A796" s="14" t="s">
        <v>2550</v>
      </c>
      <c r="B796" s="14" t="s">
        <v>2551</v>
      </c>
      <c r="C796" s="14">
        <v>9508127996</v>
      </c>
      <c r="D796" s="15" t="s">
        <v>2573</v>
      </c>
      <c r="E796" s="14">
        <v>46</v>
      </c>
      <c r="F796" s="14" t="s">
        <v>71</v>
      </c>
      <c r="G796" s="14" t="s">
        <v>226</v>
      </c>
      <c r="H796" s="14" t="s">
        <v>144</v>
      </c>
      <c r="I796" s="14" t="s">
        <v>92</v>
      </c>
      <c r="J796" s="15">
        <v>1717828</v>
      </c>
      <c r="K796" s="14">
        <v>2</v>
      </c>
      <c r="L796" s="14" t="s">
        <v>76</v>
      </c>
      <c r="M796" s="14" t="s">
        <v>76</v>
      </c>
      <c r="N796" s="14" t="s">
        <v>75</v>
      </c>
      <c r="O796" s="14" t="s">
        <v>75</v>
      </c>
      <c r="P796" s="14">
        <v>693</v>
      </c>
      <c r="Q796" s="15">
        <v>283901</v>
      </c>
      <c r="R796" s="15">
        <v>4173.54</v>
      </c>
      <c r="S796" s="14" t="s">
        <v>23</v>
      </c>
      <c r="T796" s="15">
        <v>741050</v>
      </c>
      <c r="U796" s="16">
        <f t="shared" si="132"/>
        <v>2.9154537008361719E-2</v>
      </c>
      <c r="V796" s="14">
        <v>0</v>
      </c>
      <c r="W796" s="17">
        <v>20.6</v>
      </c>
      <c r="X796" s="14">
        <v>6.9</v>
      </c>
      <c r="Y796" s="18">
        <f t="shared" si="133"/>
        <v>16.7</v>
      </c>
      <c r="Z796" s="18" t="str">
        <f t="shared" si="134"/>
        <v>Low</v>
      </c>
      <c r="AA796" s="19" t="str">
        <f t="shared" si="135"/>
        <v>Eligible</v>
      </c>
      <c r="AB796" s="14" t="s">
        <v>85</v>
      </c>
      <c r="AC796" s="14">
        <v>2</v>
      </c>
      <c r="AD796" s="14" t="s">
        <v>78</v>
      </c>
      <c r="AE796" s="17">
        <v>3.9</v>
      </c>
      <c r="AF796" s="15">
        <v>0</v>
      </c>
      <c r="AG796" s="20">
        <f t="shared" si="136"/>
        <v>1717828</v>
      </c>
      <c r="AH796" s="14">
        <v>1</v>
      </c>
      <c r="AI796" s="14" t="s">
        <v>75</v>
      </c>
      <c r="AJ796" s="14">
        <v>180</v>
      </c>
      <c r="AK796" s="21">
        <f t="shared" si="137"/>
        <v>8.5000000000000006E-2</v>
      </c>
      <c r="AL796" s="20">
        <f t="shared" si="138"/>
        <v>7297.412494007609</v>
      </c>
      <c r="AM796" s="22">
        <f t="shared" si="139"/>
        <v>0.43138777572609133</v>
      </c>
      <c r="AN796" s="20">
        <f t="shared" si="140"/>
        <v>11470.952494007608</v>
      </c>
      <c r="AO796" s="16">
        <f t="shared" si="141"/>
        <v>8.0131089915923659E-2</v>
      </c>
      <c r="AP796" s="15">
        <v>2247458</v>
      </c>
      <c r="AQ796" s="18">
        <f t="shared" si="142"/>
        <v>0.32972807500740836</v>
      </c>
      <c r="AR796" s="23">
        <v>45937</v>
      </c>
      <c r="AS796" s="14" t="s">
        <v>79</v>
      </c>
    </row>
    <row r="797" spans="1:45" x14ac:dyDescent="0.25">
      <c r="A797" s="14" t="s">
        <v>2554</v>
      </c>
      <c r="B797" s="14" t="s">
        <v>1142</v>
      </c>
      <c r="C797" s="14">
        <v>9964879866</v>
      </c>
      <c r="D797" s="15" t="s">
        <v>2577</v>
      </c>
      <c r="E797" s="14">
        <v>45</v>
      </c>
      <c r="F797" s="14" t="s">
        <v>71</v>
      </c>
      <c r="G797" s="14" t="s">
        <v>90</v>
      </c>
      <c r="H797" s="14" t="s">
        <v>84</v>
      </c>
      <c r="I797" s="14" t="s">
        <v>74</v>
      </c>
      <c r="J797" s="15">
        <v>384958</v>
      </c>
      <c r="K797" s="14">
        <v>1</v>
      </c>
      <c r="L797" s="14" t="s">
        <v>75</v>
      </c>
      <c r="M797" s="14" t="s">
        <v>76</v>
      </c>
      <c r="N797" s="14" t="s">
        <v>75</v>
      </c>
      <c r="O797" s="14" t="s">
        <v>75</v>
      </c>
      <c r="P797" s="14">
        <v>392</v>
      </c>
      <c r="Q797" s="15">
        <v>38476</v>
      </c>
      <c r="R797" s="15">
        <v>5679.69</v>
      </c>
      <c r="S797" s="14" t="s">
        <v>23</v>
      </c>
      <c r="T797" s="15">
        <v>6647208</v>
      </c>
      <c r="U797" s="16">
        <f t="shared" si="132"/>
        <v>0.17704861309545455</v>
      </c>
      <c r="V797" s="14">
        <v>6</v>
      </c>
      <c r="W797" s="17">
        <v>62</v>
      </c>
      <c r="X797" s="14">
        <v>12.5</v>
      </c>
      <c r="Y797" s="18">
        <f t="shared" si="133"/>
        <v>65.400000000000006</v>
      </c>
      <c r="Z797" s="18" t="str">
        <f t="shared" si="134"/>
        <v>High</v>
      </c>
      <c r="AA797" s="19" t="str">
        <f t="shared" si="135"/>
        <v>Not Eligible</v>
      </c>
      <c r="AB797" s="14" t="s">
        <v>85</v>
      </c>
      <c r="AC797" s="14">
        <v>0</v>
      </c>
      <c r="AD797" s="14" t="s">
        <v>93</v>
      </c>
      <c r="AE797" s="17">
        <v>22.3</v>
      </c>
      <c r="AF797" s="15">
        <v>239418</v>
      </c>
      <c r="AG797" s="20">
        <f t="shared" si="136"/>
        <v>624376</v>
      </c>
      <c r="AH797" s="14">
        <v>1</v>
      </c>
      <c r="AI797" s="14" t="s">
        <v>75</v>
      </c>
      <c r="AJ797" s="14">
        <v>300</v>
      </c>
      <c r="AK797" s="21">
        <f t="shared" si="137"/>
        <v>0.115</v>
      </c>
      <c r="AL797" s="20">
        <f t="shared" si="138"/>
        <v>67566.806357543537</v>
      </c>
      <c r="AM797" s="22">
        <f t="shared" si="139"/>
        <v>17.267359036570223</v>
      </c>
      <c r="AN797" s="20">
        <f t="shared" si="140"/>
        <v>73246.496357543539</v>
      </c>
      <c r="AO797" s="16">
        <f t="shared" si="141"/>
        <v>2.2832567612324524</v>
      </c>
      <c r="AP797" s="15">
        <v>4955988</v>
      </c>
      <c r="AQ797" s="18">
        <f t="shared" si="142"/>
        <v>1.341247799631476</v>
      </c>
      <c r="AR797" s="23">
        <v>46002</v>
      </c>
      <c r="AS797" s="14" t="s">
        <v>79</v>
      </c>
    </row>
    <row r="798" spans="1:45" x14ac:dyDescent="0.25">
      <c r="A798" s="14" t="s">
        <v>2557</v>
      </c>
      <c r="B798" s="14" t="s">
        <v>2558</v>
      </c>
      <c r="C798" s="14">
        <v>9543751428</v>
      </c>
      <c r="D798" s="15" t="s">
        <v>2580</v>
      </c>
      <c r="E798" s="14">
        <v>43</v>
      </c>
      <c r="F798" s="14" t="s">
        <v>71</v>
      </c>
      <c r="G798" s="14" t="s">
        <v>388</v>
      </c>
      <c r="H798" s="14" t="s">
        <v>73</v>
      </c>
      <c r="I798" s="14" t="s">
        <v>74</v>
      </c>
      <c r="J798" s="15">
        <v>1267324</v>
      </c>
      <c r="K798" s="14">
        <v>0</v>
      </c>
      <c r="L798" s="14" t="s">
        <v>75</v>
      </c>
      <c r="M798" s="14" t="s">
        <v>75</v>
      </c>
      <c r="N798" s="14" t="s">
        <v>75</v>
      </c>
      <c r="O798" s="14" t="s">
        <v>75</v>
      </c>
      <c r="P798" s="14">
        <v>666</v>
      </c>
      <c r="Q798" s="15">
        <v>765739</v>
      </c>
      <c r="R798" s="15">
        <v>45.8</v>
      </c>
      <c r="S798" s="14" t="s">
        <v>20</v>
      </c>
      <c r="T798" s="15">
        <v>3004271</v>
      </c>
      <c r="U798" s="16">
        <f t="shared" si="132"/>
        <v>4.3366968510025845E-4</v>
      </c>
      <c r="V798" s="14">
        <v>0</v>
      </c>
      <c r="W798" s="17">
        <v>60.6</v>
      </c>
      <c r="X798" s="14">
        <v>1.8</v>
      </c>
      <c r="Y798" s="18">
        <f t="shared" si="133"/>
        <v>21.7</v>
      </c>
      <c r="Z798" s="18" t="str">
        <f t="shared" si="134"/>
        <v>Low</v>
      </c>
      <c r="AA798" s="19" t="str">
        <f t="shared" si="135"/>
        <v>Eligible</v>
      </c>
      <c r="AB798" s="14" t="s">
        <v>85</v>
      </c>
      <c r="AC798" s="14">
        <v>0</v>
      </c>
      <c r="AD798" s="14" t="s">
        <v>78</v>
      </c>
      <c r="AE798" s="17">
        <v>5.2</v>
      </c>
      <c r="AF798" s="15">
        <v>0</v>
      </c>
      <c r="AG798" s="20">
        <f t="shared" si="136"/>
        <v>1267324</v>
      </c>
      <c r="AH798" s="14">
        <v>0</v>
      </c>
      <c r="AI798" s="14" t="s">
        <v>75</v>
      </c>
      <c r="AJ798" s="14">
        <v>12</v>
      </c>
      <c r="AK798" s="21">
        <f t="shared" si="137"/>
        <v>0.36</v>
      </c>
      <c r="AL798" s="20">
        <f t="shared" si="138"/>
        <v>301815.32998594409</v>
      </c>
      <c r="AM798" s="22">
        <f t="shared" si="139"/>
        <v>2.3705626974633165</v>
      </c>
      <c r="AN798" s="20">
        <f t="shared" si="140"/>
        <v>301861.12998594408</v>
      </c>
      <c r="AO798" s="16">
        <f t="shared" si="141"/>
        <v>2.8582537376640298</v>
      </c>
      <c r="AP798" s="15">
        <v>0</v>
      </c>
      <c r="AQ798" s="18" t="str">
        <f t="shared" si="142"/>
        <v>N/A</v>
      </c>
      <c r="AR798" s="23">
        <v>46225</v>
      </c>
      <c r="AS798" s="14" t="s">
        <v>79</v>
      </c>
    </row>
    <row r="799" spans="1:45" x14ac:dyDescent="0.25">
      <c r="A799" s="14" t="s">
        <v>2560</v>
      </c>
      <c r="B799" s="14" t="s">
        <v>2561</v>
      </c>
      <c r="C799" s="14">
        <v>9160237222</v>
      </c>
      <c r="D799" s="15" t="s">
        <v>2584</v>
      </c>
      <c r="E799" s="14">
        <v>27</v>
      </c>
      <c r="F799" s="14" t="s">
        <v>89</v>
      </c>
      <c r="G799" s="14" t="s">
        <v>72</v>
      </c>
      <c r="H799" s="14" t="s">
        <v>132</v>
      </c>
      <c r="I799" s="14" t="s">
        <v>92</v>
      </c>
      <c r="J799" s="15">
        <v>1728210</v>
      </c>
      <c r="K799" s="14">
        <v>1</v>
      </c>
      <c r="L799" s="14" t="s">
        <v>76</v>
      </c>
      <c r="M799" s="14" t="s">
        <v>75</v>
      </c>
      <c r="N799" s="14" t="s">
        <v>75</v>
      </c>
      <c r="O799" s="14" t="s">
        <v>75</v>
      </c>
      <c r="P799" s="14">
        <v>826</v>
      </c>
      <c r="Q799" s="15">
        <v>739352</v>
      </c>
      <c r="R799" s="15">
        <v>22567.23</v>
      </c>
      <c r="S799" s="14" t="s">
        <v>22</v>
      </c>
      <c r="T799" s="15">
        <v>939928</v>
      </c>
      <c r="U799" s="16">
        <f t="shared" si="132"/>
        <v>0.15669783186071137</v>
      </c>
      <c r="V799" s="14">
        <v>2</v>
      </c>
      <c r="W799" s="17">
        <v>60</v>
      </c>
      <c r="X799" s="14">
        <v>9.4</v>
      </c>
      <c r="Y799" s="18">
        <f t="shared" si="133"/>
        <v>23.6</v>
      </c>
      <c r="Z799" s="18" t="str">
        <f t="shared" si="134"/>
        <v>Low</v>
      </c>
      <c r="AA799" s="19" t="str">
        <f t="shared" si="135"/>
        <v>Eligible</v>
      </c>
      <c r="AB799" s="14" t="s">
        <v>77</v>
      </c>
      <c r="AC799" s="14">
        <v>0</v>
      </c>
      <c r="AD799" s="14" t="s">
        <v>78</v>
      </c>
      <c r="AE799" s="17">
        <v>4.7</v>
      </c>
      <c r="AF799" s="15">
        <v>0</v>
      </c>
      <c r="AG799" s="20">
        <f t="shared" si="136"/>
        <v>1728210</v>
      </c>
      <c r="AH799" s="14">
        <v>3</v>
      </c>
      <c r="AI799" s="14" t="s">
        <v>75</v>
      </c>
      <c r="AJ799" s="14">
        <v>36</v>
      </c>
      <c r="AK799" s="21">
        <f t="shared" si="137"/>
        <v>0.09</v>
      </c>
      <c r="AL799" s="20">
        <f t="shared" si="138"/>
        <v>29889.459119592728</v>
      </c>
      <c r="AM799" s="22">
        <f t="shared" si="139"/>
        <v>0.54387371905034687</v>
      </c>
      <c r="AN799" s="20">
        <f t="shared" si="140"/>
        <v>52456.689119592731</v>
      </c>
      <c r="AO799" s="16">
        <f t="shared" si="141"/>
        <v>0.36423829825953608</v>
      </c>
      <c r="AP799" s="15">
        <v>325467</v>
      </c>
      <c r="AQ799" s="18">
        <f t="shared" si="142"/>
        <v>2.887936411371967</v>
      </c>
      <c r="AR799" s="23">
        <v>46092</v>
      </c>
      <c r="AS799" s="14" t="s">
        <v>79</v>
      </c>
    </row>
    <row r="800" spans="1:45" x14ac:dyDescent="0.25">
      <c r="A800" s="14" t="s">
        <v>2563</v>
      </c>
      <c r="B800" s="14" t="s">
        <v>2564</v>
      </c>
      <c r="C800" s="14">
        <v>9388215682</v>
      </c>
      <c r="D800" s="15" t="s">
        <v>2588</v>
      </c>
      <c r="E800" s="14">
        <v>39</v>
      </c>
      <c r="F800" s="14" t="s">
        <v>89</v>
      </c>
      <c r="G800" s="14" t="s">
        <v>153</v>
      </c>
      <c r="H800" s="14" t="s">
        <v>84</v>
      </c>
      <c r="I800" s="14" t="s">
        <v>74</v>
      </c>
      <c r="J800" s="15">
        <v>2150074</v>
      </c>
      <c r="K800" s="14">
        <v>0</v>
      </c>
      <c r="L800" s="14" t="s">
        <v>75</v>
      </c>
      <c r="M800" s="14" t="s">
        <v>75</v>
      </c>
      <c r="N800" s="14" t="s">
        <v>75</v>
      </c>
      <c r="O800" s="14" t="s">
        <v>75</v>
      </c>
      <c r="P800" s="14">
        <v>421</v>
      </c>
      <c r="Q800" s="15">
        <v>34502</v>
      </c>
      <c r="R800" s="15">
        <v>2203.61</v>
      </c>
      <c r="S800" s="14" t="s">
        <v>22</v>
      </c>
      <c r="T800" s="15">
        <v>5683946</v>
      </c>
      <c r="U800" s="16">
        <f t="shared" si="132"/>
        <v>1.2298795297278141E-2</v>
      </c>
      <c r="V800" s="14">
        <v>2</v>
      </c>
      <c r="W800" s="17">
        <v>71.400000000000006</v>
      </c>
      <c r="X800" s="14">
        <v>1.7</v>
      </c>
      <c r="Y800" s="18">
        <f t="shared" si="133"/>
        <v>47.4</v>
      </c>
      <c r="Z800" s="18" t="str">
        <f t="shared" si="134"/>
        <v>Medium</v>
      </c>
      <c r="AA800" s="19" t="str">
        <f t="shared" si="135"/>
        <v>Not Eligible</v>
      </c>
      <c r="AB800" s="14" t="s">
        <v>85</v>
      </c>
      <c r="AC800" s="14">
        <v>1</v>
      </c>
      <c r="AD800" s="14" t="s">
        <v>93</v>
      </c>
      <c r="AE800" s="17">
        <v>17.5</v>
      </c>
      <c r="AF800" s="15">
        <v>0</v>
      </c>
      <c r="AG800" s="20">
        <f t="shared" si="136"/>
        <v>2150074</v>
      </c>
      <c r="AH800" s="14">
        <v>0</v>
      </c>
      <c r="AI800" s="14" t="s">
        <v>75</v>
      </c>
      <c r="AJ800" s="14">
        <v>84</v>
      </c>
      <c r="AK800" s="21">
        <f t="shared" si="137"/>
        <v>0.105</v>
      </c>
      <c r="AL800" s="20">
        <f t="shared" si="138"/>
        <v>95835.155700966701</v>
      </c>
      <c r="AM800" s="22">
        <f t="shared" si="139"/>
        <v>2.643604824764171</v>
      </c>
      <c r="AN800" s="20">
        <f t="shared" si="140"/>
        <v>98038.765700966702</v>
      </c>
      <c r="AO800" s="16">
        <f t="shared" si="141"/>
        <v>0.54717427791396966</v>
      </c>
      <c r="AP800" s="15">
        <v>813111</v>
      </c>
      <c r="AQ800" s="18">
        <f t="shared" si="142"/>
        <v>6.9903690885992198</v>
      </c>
      <c r="AR800" s="23">
        <v>46109</v>
      </c>
      <c r="AS800" s="14" t="s">
        <v>79</v>
      </c>
    </row>
    <row r="801" spans="1:45" x14ac:dyDescent="0.25">
      <c r="A801" s="14" t="s">
        <v>2566</v>
      </c>
      <c r="B801" s="14" t="s">
        <v>2567</v>
      </c>
      <c r="C801" s="14">
        <v>9400574412</v>
      </c>
      <c r="D801" s="15" t="s">
        <v>2592</v>
      </c>
      <c r="E801" s="14">
        <v>26</v>
      </c>
      <c r="F801" s="14" t="s">
        <v>89</v>
      </c>
      <c r="G801" s="14" t="s">
        <v>115</v>
      </c>
      <c r="H801" s="14" t="s">
        <v>144</v>
      </c>
      <c r="I801" s="14" t="s">
        <v>92</v>
      </c>
      <c r="J801" s="15">
        <v>530452</v>
      </c>
      <c r="K801" s="14">
        <v>3</v>
      </c>
      <c r="L801" s="14" t="s">
        <v>76</v>
      </c>
      <c r="M801" s="14" t="s">
        <v>76</v>
      </c>
      <c r="N801" s="14" t="s">
        <v>75</v>
      </c>
      <c r="O801" s="14" t="s">
        <v>76</v>
      </c>
      <c r="P801" s="14">
        <v>435</v>
      </c>
      <c r="Q801" s="15"/>
      <c r="R801" s="15">
        <v>1423</v>
      </c>
      <c r="S801" s="14" t="s">
        <v>20</v>
      </c>
      <c r="T801" s="15">
        <v>76770</v>
      </c>
      <c r="U801" s="16">
        <f t="shared" si="132"/>
        <v>3.2191414114754964E-2</v>
      </c>
      <c r="V801" s="14">
        <v>1</v>
      </c>
      <c r="W801" s="17">
        <v>57</v>
      </c>
      <c r="X801" s="14">
        <v>13.9</v>
      </c>
      <c r="Y801" s="18">
        <f t="shared" si="133"/>
        <v>41.7</v>
      </c>
      <c r="Z801" s="18" t="str">
        <f t="shared" si="134"/>
        <v>Medium</v>
      </c>
      <c r="AA801" s="19" t="str">
        <f t="shared" si="135"/>
        <v>Not Eligible</v>
      </c>
      <c r="AB801" s="14" t="s">
        <v>85</v>
      </c>
      <c r="AC801" s="14">
        <v>2</v>
      </c>
      <c r="AD801" s="14" t="s">
        <v>93</v>
      </c>
      <c r="AE801" s="17">
        <v>2.2999999999999998</v>
      </c>
      <c r="AF801" s="15">
        <v>251612</v>
      </c>
      <c r="AG801" s="20">
        <f t="shared" si="136"/>
        <v>782064</v>
      </c>
      <c r="AH801" s="14">
        <v>0</v>
      </c>
      <c r="AI801" s="14" t="s">
        <v>75</v>
      </c>
      <c r="AJ801" s="14">
        <v>24</v>
      </c>
      <c r="AK801" s="21">
        <f t="shared" si="137"/>
        <v>0.375</v>
      </c>
      <c r="AL801" s="20">
        <f t="shared" si="138"/>
        <v>4594.3267188545678</v>
      </c>
      <c r="AM801" s="22">
        <f t="shared" si="139"/>
        <v>0.14472563021724869</v>
      </c>
      <c r="AN801" s="20">
        <f t="shared" si="140"/>
        <v>6017.3267188545678</v>
      </c>
      <c r="AO801" s="16">
        <f t="shared" si="141"/>
        <v>0.13612526793424251</v>
      </c>
      <c r="AP801" s="15">
        <v>0</v>
      </c>
      <c r="AQ801" s="18" t="str">
        <f t="shared" si="142"/>
        <v>N/A</v>
      </c>
      <c r="AR801" s="23">
        <v>46194</v>
      </c>
      <c r="AS801" s="14" t="s">
        <v>79</v>
      </c>
    </row>
    <row r="802" spans="1:45" x14ac:dyDescent="0.25">
      <c r="A802" s="14" t="s">
        <v>2570</v>
      </c>
      <c r="B802" s="14" t="s">
        <v>1365</v>
      </c>
      <c r="C802" s="14">
        <v>9402629335</v>
      </c>
      <c r="D802" s="15" t="s">
        <v>2595</v>
      </c>
      <c r="E802" s="14">
        <v>39</v>
      </c>
      <c r="F802" s="14" t="s">
        <v>89</v>
      </c>
      <c r="G802" s="14" t="s">
        <v>174</v>
      </c>
      <c r="H802" s="14" t="s">
        <v>91</v>
      </c>
      <c r="I802" s="14" t="s">
        <v>92</v>
      </c>
      <c r="J802" s="15">
        <v>2388680</v>
      </c>
      <c r="K802" s="14">
        <v>3</v>
      </c>
      <c r="L802" s="14" t="s">
        <v>76</v>
      </c>
      <c r="M802" s="14" t="s">
        <v>76</v>
      </c>
      <c r="N802" s="14" t="s">
        <v>76</v>
      </c>
      <c r="O802" s="14" t="s">
        <v>75</v>
      </c>
      <c r="P802" s="14">
        <v>322</v>
      </c>
      <c r="Q802" s="15">
        <v>100029</v>
      </c>
      <c r="R802" s="15">
        <v>972.7</v>
      </c>
      <c r="S802" s="14" t="s">
        <v>21</v>
      </c>
      <c r="T802" s="15">
        <v>163885</v>
      </c>
      <c r="U802" s="16">
        <f t="shared" si="132"/>
        <v>4.8865482191000897E-3</v>
      </c>
      <c r="V802" s="14">
        <v>3</v>
      </c>
      <c r="W802" s="17">
        <v>78.400000000000006</v>
      </c>
      <c r="X802" s="14">
        <v>3.8</v>
      </c>
      <c r="Y802" s="18">
        <f t="shared" si="133"/>
        <v>58.5</v>
      </c>
      <c r="Z802" s="18" t="str">
        <f t="shared" si="134"/>
        <v>Medium</v>
      </c>
      <c r="AA802" s="19" t="str">
        <f t="shared" si="135"/>
        <v>Not Eligible</v>
      </c>
      <c r="AB802" s="14" t="s">
        <v>77</v>
      </c>
      <c r="AC802" s="14">
        <v>2</v>
      </c>
      <c r="AD802" s="14" t="s">
        <v>93</v>
      </c>
      <c r="AE802" s="17">
        <v>15.8</v>
      </c>
      <c r="AF802" s="15">
        <v>0</v>
      </c>
      <c r="AG802" s="20">
        <f t="shared" si="136"/>
        <v>2388680</v>
      </c>
      <c r="AH802" s="14">
        <v>0</v>
      </c>
      <c r="AI802" s="14" t="s">
        <v>75</v>
      </c>
      <c r="AJ802" s="14">
        <v>48</v>
      </c>
      <c r="AK802" s="21">
        <f t="shared" si="137"/>
        <v>0.15500000000000003</v>
      </c>
      <c r="AL802" s="20">
        <f t="shared" si="138"/>
        <v>4602.6871000156443</v>
      </c>
      <c r="AM802" s="22">
        <f t="shared" si="139"/>
        <v>6.8609022556390981E-2</v>
      </c>
      <c r="AN802" s="20">
        <f t="shared" si="140"/>
        <v>5575.3871000156441</v>
      </c>
      <c r="AO802" s="16">
        <f t="shared" si="141"/>
        <v>2.8009044828184494E-2</v>
      </c>
      <c r="AP802" s="15">
        <v>0</v>
      </c>
      <c r="AQ802" s="18" t="str">
        <f t="shared" si="142"/>
        <v>N/A</v>
      </c>
      <c r="AR802" s="23">
        <v>46071</v>
      </c>
      <c r="AS802" s="14" t="s">
        <v>79</v>
      </c>
    </row>
    <row r="803" spans="1:45" x14ac:dyDescent="0.25">
      <c r="A803" s="14" t="s">
        <v>2572</v>
      </c>
      <c r="B803" s="14" t="s">
        <v>1821</v>
      </c>
      <c r="C803" s="14">
        <v>9584046001</v>
      </c>
      <c r="D803" s="15" t="s">
        <v>2599</v>
      </c>
      <c r="E803" s="14">
        <v>34</v>
      </c>
      <c r="F803" s="14" t="s">
        <v>71</v>
      </c>
      <c r="G803" s="14" t="s">
        <v>115</v>
      </c>
      <c r="H803" s="14" t="s">
        <v>144</v>
      </c>
      <c r="I803" s="14" t="s">
        <v>92</v>
      </c>
      <c r="J803" s="15">
        <v>1381521</v>
      </c>
      <c r="K803" s="14">
        <v>2</v>
      </c>
      <c r="L803" s="14" t="s">
        <v>76</v>
      </c>
      <c r="M803" s="14" t="s">
        <v>75</v>
      </c>
      <c r="N803" s="14" t="s">
        <v>76</v>
      </c>
      <c r="O803" s="14" t="s">
        <v>75</v>
      </c>
      <c r="P803" s="14">
        <v>722</v>
      </c>
      <c r="Q803" s="15"/>
      <c r="R803" s="15">
        <v>17743.830000000002</v>
      </c>
      <c r="S803" s="14" t="s">
        <v>22</v>
      </c>
      <c r="T803" s="15">
        <v>7386510</v>
      </c>
      <c r="U803" s="16">
        <f t="shared" si="132"/>
        <v>0.15412430212787212</v>
      </c>
      <c r="V803" s="14">
        <v>5</v>
      </c>
      <c r="W803" s="17">
        <v>18.2</v>
      </c>
      <c r="X803" s="14">
        <v>1.6</v>
      </c>
      <c r="Y803" s="18">
        <f t="shared" si="133"/>
        <v>38.299999999999997</v>
      </c>
      <c r="Z803" s="18" t="str">
        <f t="shared" si="134"/>
        <v>Medium</v>
      </c>
      <c r="AA803" s="19" t="str">
        <f t="shared" si="135"/>
        <v>Not Eligible</v>
      </c>
      <c r="AB803" s="14" t="s">
        <v>77</v>
      </c>
      <c r="AC803" s="14">
        <v>2</v>
      </c>
      <c r="AD803" s="14" t="s">
        <v>78</v>
      </c>
      <c r="AE803" s="17">
        <v>5.2</v>
      </c>
      <c r="AF803" s="15">
        <v>0</v>
      </c>
      <c r="AG803" s="20">
        <f t="shared" si="136"/>
        <v>1381521</v>
      </c>
      <c r="AH803" s="14">
        <v>1</v>
      </c>
      <c r="AI803" s="14" t="s">
        <v>75</v>
      </c>
      <c r="AJ803" s="14">
        <v>36</v>
      </c>
      <c r="AK803" s="21">
        <f t="shared" si="137"/>
        <v>0.105</v>
      </c>
      <c r="AL803" s="20">
        <f t="shared" si="138"/>
        <v>240079.62397180503</v>
      </c>
      <c r="AM803" s="22">
        <f t="shared" si="139"/>
        <v>5.3466505395140578</v>
      </c>
      <c r="AN803" s="20">
        <f t="shared" si="140"/>
        <v>257823.45397180505</v>
      </c>
      <c r="AO803" s="16">
        <f t="shared" si="141"/>
        <v>2.2394747873261864</v>
      </c>
      <c r="AP803" s="15">
        <v>841993</v>
      </c>
      <c r="AQ803" s="18">
        <f t="shared" si="142"/>
        <v>8.7726501289203114</v>
      </c>
      <c r="AR803" s="23">
        <v>46007</v>
      </c>
      <c r="AS803" s="14" t="s">
        <v>79</v>
      </c>
    </row>
    <row r="804" spans="1:45" x14ac:dyDescent="0.25">
      <c r="A804" s="14" t="s">
        <v>2574</v>
      </c>
      <c r="B804" s="14" t="s">
        <v>2575</v>
      </c>
      <c r="C804" s="14"/>
      <c r="D804" s="15" t="s">
        <v>2602</v>
      </c>
      <c r="E804" s="14">
        <v>32</v>
      </c>
      <c r="F804" s="14" t="s">
        <v>89</v>
      </c>
      <c r="G804" s="14" t="s">
        <v>226</v>
      </c>
      <c r="H804" s="14" t="s">
        <v>103</v>
      </c>
      <c r="I804" s="14" t="s">
        <v>74</v>
      </c>
      <c r="J804" s="15">
        <v>1225294</v>
      </c>
      <c r="K804" s="14">
        <v>0</v>
      </c>
      <c r="L804" s="14" t="s">
        <v>75</v>
      </c>
      <c r="M804" s="14" t="s">
        <v>75</v>
      </c>
      <c r="N804" s="14" t="s">
        <v>75</v>
      </c>
      <c r="O804" s="14" t="s">
        <v>75</v>
      </c>
      <c r="P804" s="14">
        <v>701</v>
      </c>
      <c r="Q804" s="15">
        <v>11359</v>
      </c>
      <c r="R804" s="15">
        <v>641.27</v>
      </c>
      <c r="S804" s="14" t="s">
        <v>23</v>
      </c>
      <c r="T804" s="15">
        <v>4244325</v>
      </c>
      <c r="U804" s="16">
        <f t="shared" si="132"/>
        <v>6.2803212943179348E-3</v>
      </c>
      <c r="V804" s="14">
        <v>1</v>
      </c>
      <c r="W804" s="17">
        <v>44</v>
      </c>
      <c r="X804" s="14">
        <v>8</v>
      </c>
      <c r="Y804" s="18">
        <f t="shared" si="133"/>
        <v>21.9</v>
      </c>
      <c r="Z804" s="18" t="str">
        <f t="shared" si="134"/>
        <v>Low</v>
      </c>
      <c r="AA804" s="19" t="str">
        <f t="shared" si="135"/>
        <v>Eligible</v>
      </c>
      <c r="AB804" s="14" t="s">
        <v>85</v>
      </c>
      <c r="AC804" s="14">
        <v>2</v>
      </c>
      <c r="AD804" s="14" t="s">
        <v>78</v>
      </c>
      <c r="AE804" s="17">
        <v>3.3</v>
      </c>
      <c r="AF804" s="15">
        <v>0</v>
      </c>
      <c r="AG804" s="20">
        <f t="shared" si="136"/>
        <v>1225294</v>
      </c>
      <c r="AH804" s="14">
        <v>0</v>
      </c>
      <c r="AI804" s="14" t="s">
        <v>75</v>
      </c>
      <c r="AJ804" s="14">
        <v>120</v>
      </c>
      <c r="AK804" s="21">
        <f t="shared" si="137"/>
        <v>8.5000000000000006E-2</v>
      </c>
      <c r="AL804" s="20">
        <f t="shared" si="138"/>
        <v>52623.555893230943</v>
      </c>
      <c r="AM804" s="22">
        <f t="shared" si="139"/>
        <v>3.4639237603383353</v>
      </c>
      <c r="AN804" s="20">
        <f t="shared" si="140"/>
        <v>53264.82589323094</v>
      </c>
      <c r="AO804" s="16">
        <f t="shared" si="141"/>
        <v>0.52165268965552047</v>
      </c>
      <c r="AP804" s="15">
        <v>7680317</v>
      </c>
      <c r="AQ804" s="18">
        <f t="shared" si="142"/>
        <v>0.55262367425719539</v>
      </c>
      <c r="AR804" s="23">
        <v>46103</v>
      </c>
      <c r="AS804" s="14" t="s">
        <v>79</v>
      </c>
    </row>
    <row r="805" spans="1:45" x14ac:dyDescent="0.25">
      <c r="A805" s="14" t="s">
        <v>2578</v>
      </c>
      <c r="B805" s="14" t="s">
        <v>2579</v>
      </c>
      <c r="C805" s="14"/>
      <c r="D805" s="15" t="s">
        <v>2605</v>
      </c>
      <c r="E805" s="14">
        <v>57</v>
      </c>
      <c r="F805" s="14" t="s">
        <v>89</v>
      </c>
      <c r="G805" s="14" t="s">
        <v>226</v>
      </c>
      <c r="H805" s="14" t="s">
        <v>99</v>
      </c>
      <c r="I805" s="14" t="s">
        <v>74</v>
      </c>
      <c r="J805" s="15">
        <v>1700070</v>
      </c>
      <c r="K805" s="14">
        <v>1</v>
      </c>
      <c r="L805" s="14" t="s">
        <v>75</v>
      </c>
      <c r="M805" s="14" t="s">
        <v>76</v>
      </c>
      <c r="N805" s="14" t="s">
        <v>75</v>
      </c>
      <c r="O805" s="14" t="s">
        <v>75</v>
      </c>
      <c r="P805" s="14">
        <v>429</v>
      </c>
      <c r="Q805" s="15">
        <v>115924</v>
      </c>
      <c r="R805" s="15">
        <v>20151.03</v>
      </c>
      <c r="S805" s="14" t="s">
        <v>23</v>
      </c>
      <c r="T805" s="15">
        <v>99495</v>
      </c>
      <c r="U805" s="16">
        <f t="shared" si="132"/>
        <v>0.14223670790026291</v>
      </c>
      <c r="V805" s="14">
        <v>1</v>
      </c>
      <c r="W805" s="17">
        <v>27</v>
      </c>
      <c r="X805" s="14">
        <v>4.9000000000000004</v>
      </c>
      <c r="Y805" s="18">
        <f t="shared" si="133"/>
        <v>42.4</v>
      </c>
      <c r="Z805" s="18" t="str">
        <f t="shared" si="134"/>
        <v>Medium</v>
      </c>
      <c r="AA805" s="19" t="str">
        <f t="shared" si="135"/>
        <v>Not Eligible</v>
      </c>
      <c r="AB805" s="14" t="s">
        <v>85</v>
      </c>
      <c r="AC805" s="14">
        <v>1</v>
      </c>
      <c r="AD805" s="14" t="s">
        <v>93</v>
      </c>
      <c r="AE805" s="17">
        <v>7.9</v>
      </c>
      <c r="AF805" s="15">
        <v>0</v>
      </c>
      <c r="AG805" s="20">
        <f t="shared" si="136"/>
        <v>1700070</v>
      </c>
      <c r="AH805" s="14">
        <v>2</v>
      </c>
      <c r="AI805" s="14" t="s">
        <v>75</v>
      </c>
      <c r="AJ805" s="14">
        <v>360</v>
      </c>
      <c r="AK805" s="21">
        <f t="shared" si="137"/>
        <v>0.1</v>
      </c>
      <c r="AL805" s="20">
        <f t="shared" si="138"/>
        <v>873.13983365985041</v>
      </c>
      <c r="AM805" s="22">
        <f t="shared" si="139"/>
        <v>5.8524060773968128E-2</v>
      </c>
      <c r="AN805" s="20">
        <f t="shared" si="140"/>
        <v>21024.169833659849</v>
      </c>
      <c r="AO805" s="16">
        <f t="shared" si="141"/>
        <v>0.14839979412842894</v>
      </c>
      <c r="AP805" s="15">
        <v>3537715</v>
      </c>
      <c r="AQ805" s="18">
        <f t="shared" si="142"/>
        <v>2.8124085744611987E-2</v>
      </c>
      <c r="AR805" s="23">
        <v>46118</v>
      </c>
      <c r="AS805" s="14" t="s">
        <v>79</v>
      </c>
    </row>
    <row r="806" spans="1:45" x14ac:dyDescent="0.25">
      <c r="A806" s="14" t="s">
        <v>2581</v>
      </c>
      <c r="B806" s="14" t="s">
        <v>1074</v>
      </c>
      <c r="C806" s="14"/>
      <c r="D806" s="15" t="s">
        <v>2608</v>
      </c>
      <c r="E806" s="14">
        <v>33</v>
      </c>
      <c r="F806" s="14" t="s">
        <v>89</v>
      </c>
      <c r="G806" s="14" t="s">
        <v>115</v>
      </c>
      <c r="H806" s="14" t="s">
        <v>107</v>
      </c>
      <c r="I806" s="14" t="s">
        <v>92</v>
      </c>
      <c r="J806" s="15">
        <v>326224</v>
      </c>
      <c r="K806" s="14">
        <v>1</v>
      </c>
      <c r="L806" s="14" t="s">
        <v>76</v>
      </c>
      <c r="M806" s="14" t="s">
        <v>75</v>
      </c>
      <c r="N806" s="14" t="s">
        <v>75</v>
      </c>
      <c r="O806" s="14" t="s">
        <v>75</v>
      </c>
      <c r="P806" s="14">
        <v>440</v>
      </c>
      <c r="Q806" s="15">
        <v>239758.59</v>
      </c>
      <c r="R806" s="15">
        <v>1624.94</v>
      </c>
      <c r="S806" s="14" t="s">
        <v>22</v>
      </c>
      <c r="T806" s="15">
        <v>2549093</v>
      </c>
      <c r="U806" s="16">
        <f t="shared" si="132"/>
        <v>5.9772671538574719E-2</v>
      </c>
      <c r="V806" s="14">
        <v>1</v>
      </c>
      <c r="W806" s="17">
        <v>24.3</v>
      </c>
      <c r="X806" s="14">
        <v>9.8000000000000007</v>
      </c>
      <c r="Y806" s="18">
        <f t="shared" si="133"/>
        <v>38.9</v>
      </c>
      <c r="Z806" s="18" t="str">
        <f t="shared" si="134"/>
        <v>Medium</v>
      </c>
      <c r="AA806" s="19" t="str">
        <f t="shared" si="135"/>
        <v>Not Eligible</v>
      </c>
      <c r="AB806" s="14" t="s">
        <v>85</v>
      </c>
      <c r="AC806" s="14">
        <v>0</v>
      </c>
      <c r="AD806" s="14" t="s">
        <v>93</v>
      </c>
      <c r="AE806" s="17">
        <v>8.3000000000000007</v>
      </c>
      <c r="AF806" s="15">
        <v>0</v>
      </c>
      <c r="AG806" s="20">
        <f t="shared" si="136"/>
        <v>326224</v>
      </c>
      <c r="AH806" s="14">
        <v>3</v>
      </c>
      <c r="AI806" s="14" t="s">
        <v>75</v>
      </c>
      <c r="AJ806" s="14">
        <v>36</v>
      </c>
      <c r="AK806" s="21">
        <f t="shared" si="137"/>
        <v>0.105</v>
      </c>
      <c r="AL806" s="20">
        <f t="shared" si="138"/>
        <v>82851.751220692924</v>
      </c>
      <c r="AM806" s="22">
        <f t="shared" si="139"/>
        <v>7.8139345970866643</v>
      </c>
      <c r="AN806" s="20">
        <f t="shared" si="140"/>
        <v>84476.691220692926</v>
      </c>
      <c r="AO806" s="16">
        <f t="shared" si="141"/>
        <v>3.1074362850321102</v>
      </c>
      <c r="AP806" s="15">
        <v>445161</v>
      </c>
      <c r="AQ806" s="18">
        <f t="shared" si="142"/>
        <v>5.7262271402930622</v>
      </c>
      <c r="AR806" s="23">
        <v>46225</v>
      </c>
      <c r="AS806" s="14" t="s">
        <v>79</v>
      </c>
    </row>
    <row r="807" spans="1:45" x14ac:dyDescent="0.25">
      <c r="A807" s="14" t="s">
        <v>2583</v>
      </c>
      <c r="B807" s="14" t="s">
        <v>2354</v>
      </c>
      <c r="C807" s="14">
        <v>9844418816</v>
      </c>
      <c r="D807" s="15" t="s">
        <v>2610</v>
      </c>
      <c r="E807" s="14">
        <v>65</v>
      </c>
      <c r="F807" s="14" t="s">
        <v>89</v>
      </c>
      <c r="G807" s="14" t="s">
        <v>226</v>
      </c>
      <c r="H807" s="14" t="s">
        <v>73</v>
      </c>
      <c r="I807" s="14" t="s">
        <v>74</v>
      </c>
      <c r="J807" s="15">
        <v>1955523</v>
      </c>
      <c r="K807" s="14">
        <v>1</v>
      </c>
      <c r="L807" s="14" t="s">
        <v>76</v>
      </c>
      <c r="M807" s="14" t="s">
        <v>75</v>
      </c>
      <c r="N807" s="14" t="s">
        <v>75</v>
      </c>
      <c r="O807" s="14" t="s">
        <v>75</v>
      </c>
      <c r="P807" s="14">
        <v>716</v>
      </c>
      <c r="Q807" s="15">
        <v>239766</v>
      </c>
      <c r="R807" s="15">
        <v>13691.71</v>
      </c>
      <c r="S807" s="14" t="s">
        <v>21</v>
      </c>
      <c r="T807" s="15"/>
      <c r="U807" s="16">
        <f t="shared" si="132"/>
        <v>8.4018710084207651E-2</v>
      </c>
      <c r="V807" s="14">
        <v>4</v>
      </c>
      <c r="W807" s="17">
        <v>98.1</v>
      </c>
      <c r="X807" s="14">
        <v>7.9</v>
      </c>
      <c r="Y807" s="18">
        <f t="shared" si="133"/>
        <v>40.6</v>
      </c>
      <c r="Z807" s="18" t="str">
        <f t="shared" si="134"/>
        <v>Medium</v>
      </c>
      <c r="AA807" s="19" t="str">
        <f t="shared" si="135"/>
        <v>Review</v>
      </c>
      <c r="AB807" s="14" t="s">
        <v>85</v>
      </c>
      <c r="AC807" s="14">
        <v>0</v>
      </c>
      <c r="AD807" s="14" t="s">
        <v>194</v>
      </c>
      <c r="AE807" s="17">
        <v>26.5</v>
      </c>
      <c r="AF807" s="15">
        <v>0</v>
      </c>
      <c r="AG807" s="20">
        <f t="shared" si="136"/>
        <v>1955523</v>
      </c>
      <c r="AH807" s="14">
        <v>0</v>
      </c>
      <c r="AI807" s="14" t="s">
        <v>76</v>
      </c>
      <c r="AJ807" s="14">
        <v>12</v>
      </c>
      <c r="AK807" s="21">
        <f t="shared" si="137"/>
        <v>0.15500000000000003</v>
      </c>
      <c r="AL807" s="20">
        <f t="shared" si="138"/>
        <v>0</v>
      </c>
      <c r="AM807" s="22">
        <f t="shared" si="139"/>
        <v>0</v>
      </c>
      <c r="AN807" s="20">
        <f t="shared" si="140"/>
        <v>13691.71</v>
      </c>
      <c r="AO807" s="16">
        <f t="shared" si="141"/>
        <v>8.4018710084207651E-2</v>
      </c>
      <c r="AP807" s="15">
        <v>0</v>
      </c>
      <c r="AQ807" s="18" t="str">
        <f t="shared" si="142"/>
        <v>N/A</v>
      </c>
      <c r="AR807" s="23">
        <v>46241</v>
      </c>
      <c r="AS807" s="14" t="s">
        <v>79</v>
      </c>
    </row>
    <row r="808" spans="1:45" x14ac:dyDescent="0.25">
      <c r="A808" s="14" t="s">
        <v>2585</v>
      </c>
      <c r="B808" s="14" t="s">
        <v>2586</v>
      </c>
      <c r="C808" s="14"/>
      <c r="D808" s="15" t="s">
        <v>2612</v>
      </c>
      <c r="E808" s="14">
        <v>37</v>
      </c>
      <c r="F808" s="14" t="s">
        <v>71</v>
      </c>
      <c r="G808" s="14" t="s">
        <v>388</v>
      </c>
      <c r="H808" s="14" t="s">
        <v>91</v>
      </c>
      <c r="I808" s="14" t="s">
        <v>92</v>
      </c>
      <c r="J808" s="15">
        <v>2073601</v>
      </c>
      <c r="K808" s="14">
        <v>0</v>
      </c>
      <c r="L808" s="14" t="s">
        <v>75</v>
      </c>
      <c r="M808" s="14" t="s">
        <v>75</v>
      </c>
      <c r="N808" s="14" t="s">
        <v>75</v>
      </c>
      <c r="O808" s="14" t="s">
        <v>75</v>
      </c>
      <c r="P808" s="14">
        <v>821</v>
      </c>
      <c r="Q808" s="15">
        <v>74426.97</v>
      </c>
      <c r="R808" s="15">
        <v>616.1</v>
      </c>
      <c r="S808" s="14" t="s">
        <v>23</v>
      </c>
      <c r="T808" s="15"/>
      <c r="U808" s="16">
        <f t="shared" si="132"/>
        <v>3.5653917990973194E-3</v>
      </c>
      <c r="V808" s="14">
        <v>2</v>
      </c>
      <c r="W808" s="17">
        <v>65.599999999999994</v>
      </c>
      <c r="X808" s="14">
        <v>10.5</v>
      </c>
      <c r="Y808" s="18">
        <f t="shared" si="133"/>
        <v>19.899999999999999</v>
      </c>
      <c r="Z808" s="18" t="str">
        <f t="shared" si="134"/>
        <v>Low</v>
      </c>
      <c r="AA808" s="19" t="str">
        <f t="shared" si="135"/>
        <v>Eligible</v>
      </c>
      <c r="AB808" s="14" t="s">
        <v>85</v>
      </c>
      <c r="AC808" s="14">
        <v>3</v>
      </c>
      <c r="AD808" s="14" t="s">
        <v>93</v>
      </c>
      <c r="AE808" s="17">
        <v>4.3</v>
      </c>
      <c r="AF808" s="15">
        <v>0</v>
      </c>
      <c r="AG808" s="20">
        <f t="shared" si="136"/>
        <v>2073601</v>
      </c>
      <c r="AH808" s="14">
        <v>2</v>
      </c>
      <c r="AI808" s="14" t="s">
        <v>75</v>
      </c>
      <c r="AJ808" s="14">
        <v>360</v>
      </c>
      <c r="AK808" s="21">
        <f t="shared" si="137"/>
        <v>8.5000000000000006E-2</v>
      </c>
      <c r="AL808" s="20">
        <f t="shared" si="138"/>
        <v>0</v>
      </c>
      <c r="AM808" s="22">
        <f t="shared" si="139"/>
        <v>0</v>
      </c>
      <c r="AN808" s="20">
        <f t="shared" si="140"/>
        <v>616.1</v>
      </c>
      <c r="AO808" s="16">
        <f t="shared" si="141"/>
        <v>3.5653917990973194E-3</v>
      </c>
      <c r="AP808" s="15">
        <v>6725644</v>
      </c>
      <c r="AQ808" s="18">
        <f t="shared" si="142"/>
        <v>0</v>
      </c>
      <c r="AR808" s="23">
        <v>46182</v>
      </c>
      <c r="AS808" s="14" t="s">
        <v>94</v>
      </c>
    </row>
    <row r="809" spans="1:45" x14ac:dyDescent="0.25">
      <c r="A809" s="14" t="s">
        <v>2589</v>
      </c>
      <c r="B809" s="14" t="s">
        <v>2590</v>
      </c>
      <c r="C809" s="14"/>
      <c r="D809" s="15" t="s">
        <v>2614</v>
      </c>
      <c r="E809" s="14">
        <v>28</v>
      </c>
      <c r="F809" s="14" t="s">
        <v>71</v>
      </c>
      <c r="G809" s="14" t="s">
        <v>72</v>
      </c>
      <c r="H809" s="14" t="s">
        <v>84</v>
      </c>
      <c r="I809" s="14" t="s">
        <v>74</v>
      </c>
      <c r="J809" s="15">
        <v>1850177</v>
      </c>
      <c r="K809" s="14">
        <v>1</v>
      </c>
      <c r="L809" s="14" t="s">
        <v>75</v>
      </c>
      <c r="M809" s="14" t="s">
        <v>76</v>
      </c>
      <c r="N809" s="14" t="s">
        <v>75</v>
      </c>
      <c r="O809" s="14" t="s">
        <v>75</v>
      </c>
      <c r="P809" s="14">
        <v>351</v>
      </c>
      <c r="Q809" s="15">
        <v>63266.23</v>
      </c>
      <c r="R809" s="15">
        <v>76307.789999999994</v>
      </c>
      <c r="S809" s="14" t="s">
        <v>20</v>
      </c>
      <c r="T809" s="15"/>
      <c r="U809" s="16">
        <f t="shared" si="132"/>
        <v>0.49492209664264553</v>
      </c>
      <c r="V809" s="14">
        <v>4</v>
      </c>
      <c r="W809" s="17">
        <v>32.700000000000003</v>
      </c>
      <c r="X809" s="14">
        <v>1.8</v>
      </c>
      <c r="Y809" s="18">
        <f t="shared" si="133"/>
        <v>70.7</v>
      </c>
      <c r="Z809" s="18" t="str">
        <f t="shared" si="134"/>
        <v>High</v>
      </c>
      <c r="AA809" s="19" t="str">
        <f t="shared" si="135"/>
        <v>Not Eligible</v>
      </c>
      <c r="AB809" s="14" t="s">
        <v>85</v>
      </c>
      <c r="AC809" s="14">
        <v>3</v>
      </c>
      <c r="AD809" s="14" t="s">
        <v>93</v>
      </c>
      <c r="AE809" s="17">
        <v>6.3</v>
      </c>
      <c r="AF809" s="15">
        <v>0</v>
      </c>
      <c r="AG809" s="20">
        <f t="shared" si="136"/>
        <v>1850177</v>
      </c>
      <c r="AH809" s="14">
        <v>0</v>
      </c>
      <c r="AI809" s="14" t="s">
        <v>75</v>
      </c>
      <c r="AJ809" s="14">
        <v>12</v>
      </c>
      <c r="AK809" s="21">
        <f t="shared" si="137"/>
        <v>0.39</v>
      </c>
      <c r="AL809" s="20">
        <f t="shared" si="138"/>
        <v>0</v>
      </c>
      <c r="AM809" s="22">
        <f t="shared" si="139"/>
        <v>0</v>
      </c>
      <c r="AN809" s="20">
        <f t="shared" si="140"/>
        <v>76307.789999999994</v>
      </c>
      <c r="AO809" s="16">
        <f t="shared" si="141"/>
        <v>0.49492209664264553</v>
      </c>
      <c r="AP809" s="15">
        <v>0</v>
      </c>
      <c r="AQ809" s="18" t="str">
        <f t="shared" si="142"/>
        <v>N/A</v>
      </c>
      <c r="AR809" s="23">
        <v>46041</v>
      </c>
      <c r="AS809" s="14" t="s">
        <v>79</v>
      </c>
    </row>
    <row r="810" spans="1:45" x14ac:dyDescent="0.25">
      <c r="A810" s="14" t="s">
        <v>2593</v>
      </c>
      <c r="B810" s="14" t="s">
        <v>1205</v>
      </c>
      <c r="C810" s="14">
        <v>9474359078</v>
      </c>
      <c r="D810" s="15"/>
      <c r="E810" s="14">
        <v>36</v>
      </c>
      <c r="F810" s="14" t="s">
        <v>71</v>
      </c>
      <c r="G810" s="14" t="s">
        <v>106</v>
      </c>
      <c r="H810" s="14" t="s">
        <v>99</v>
      </c>
      <c r="I810" s="14" t="s">
        <v>74</v>
      </c>
      <c r="J810" s="15">
        <v>1914647</v>
      </c>
      <c r="K810" s="14">
        <v>0</v>
      </c>
      <c r="L810" s="14" t="s">
        <v>75</v>
      </c>
      <c r="M810" s="14" t="s">
        <v>75</v>
      </c>
      <c r="N810" s="14" t="s">
        <v>75</v>
      </c>
      <c r="O810" s="14" t="s">
        <v>75</v>
      </c>
      <c r="P810" s="14">
        <v>495</v>
      </c>
      <c r="Q810" s="15">
        <v>663943.56000000006</v>
      </c>
      <c r="R810" s="15">
        <v>1887.34</v>
      </c>
      <c r="S810" s="14" t="s">
        <v>20</v>
      </c>
      <c r="T810" s="15">
        <v>1331791</v>
      </c>
      <c r="U810" s="16">
        <f t="shared" si="132"/>
        <v>1.1828854091641958E-2</v>
      </c>
      <c r="V810" s="14">
        <v>1</v>
      </c>
      <c r="W810" s="17">
        <v>25.6</v>
      </c>
      <c r="X810" s="14">
        <v>4.8</v>
      </c>
      <c r="Y810" s="18">
        <f t="shared" si="133"/>
        <v>33.9</v>
      </c>
      <c r="Z810" s="18" t="str">
        <f t="shared" si="134"/>
        <v>Medium</v>
      </c>
      <c r="AA810" s="19" t="str">
        <f t="shared" si="135"/>
        <v>Not Eligible</v>
      </c>
      <c r="AB810" s="14" t="s">
        <v>85</v>
      </c>
      <c r="AC810" s="14">
        <v>2</v>
      </c>
      <c r="AD810" s="14" t="s">
        <v>78</v>
      </c>
      <c r="AE810" s="17">
        <v>9.5</v>
      </c>
      <c r="AF810" s="15">
        <v>841631</v>
      </c>
      <c r="AG810" s="20">
        <f t="shared" si="136"/>
        <v>2756278</v>
      </c>
      <c r="AH810" s="14">
        <v>0</v>
      </c>
      <c r="AI810" s="14" t="s">
        <v>75</v>
      </c>
      <c r="AJ810" s="14">
        <v>24</v>
      </c>
      <c r="AK810" s="21">
        <f t="shared" si="137"/>
        <v>0.375</v>
      </c>
      <c r="AL810" s="20">
        <f t="shared" si="138"/>
        <v>79701.484632409061</v>
      </c>
      <c r="AM810" s="22">
        <f t="shared" si="139"/>
        <v>0.69558043858737406</v>
      </c>
      <c r="AN810" s="20">
        <f t="shared" si="140"/>
        <v>81588.824632409058</v>
      </c>
      <c r="AO810" s="16">
        <f t="shared" si="141"/>
        <v>0.51135582464491303</v>
      </c>
      <c r="AP810" s="15">
        <v>0</v>
      </c>
      <c r="AQ810" s="18" t="str">
        <f t="shared" si="142"/>
        <v>N/A</v>
      </c>
      <c r="AR810" s="23">
        <v>46124</v>
      </c>
      <c r="AS810" s="14" t="s">
        <v>79</v>
      </c>
    </row>
    <row r="811" spans="1:45" x14ac:dyDescent="0.25">
      <c r="A811" s="14" t="s">
        <v>2596</v>
      </c>
      <c r="B811" s="14" t="s">
        <v>2597</v>
      </c>
      <c r="C811" s="14"/>
      <c r="D811" s="15"/>
      <c r="E811" s="14">
        <v>23</v>
      </c>
      <c r="F811" s="14" t="s">
        <v>71</v>
      </c>
      <c r="G811" s="14" t="s">
        <v>90</v>
      </c>
      <c r="H811" s="14" t="s">
        <v>132</v>
      </c>
      <c r="I811" s="14" t="s">
        <v>92</v>
      </c>
      <c r="J811" s="15">
        <v>2240241</v>
      </c>
      <c r="K811" s="14">
        <v>0</v>
      </c>
      <c r="L811" s="14" t="s">
        <v>75</v>
      </c>
      <c r="M811" s="14" t="s">
        <v>75</v>
      </c>
      <c r="N811" s="14" t="s">
        <v>75</v>
      </c>
      <c r="O811" s="14" t="s">
        <v>75</v>
      </c>
      <c r="P811" s="14">
        <v>872</v>
      </c>
      <c r="Q811" s="15"/>
      <c r="R811" s="15">
        <v>5787.33</v>
      </c>
      <c r="S811" s="14" t="s">
        <v>23</v>
      </c>
      <c r="T811" s="15">
        <v>805608</v>
      </c>
      <c r="U811" s="16">
        <f t="shared" si="132"/>
        <v>3.1000218280086825E-2</v>
      </c>
      <c r="V811" s="14">
        <v>0</v>
      </c>
      <c r="W811" s="17">
        <v>13.9</v>
      </c>
      <c r="X811" s="14">
        <v>5.6</v>
      </c>
      <c r="Y811" s="18">
        <f t="shared" si="133"/>
        <v>4.2</v>
      </c>
      <c r="Z811" s="18" t="str">
        <f t="shared" si="134"/>
        <v>Low</v>
      </c>
      <c r="AA811" s="19" t="str">
        <f t="shared" si="135"/>
        <v>Eligible</v>
      </c>
      <c r="AB811" s="14" t="s">
        <v>77</v>
      </c>
      <c r="AC811" s="14">
        <v>1</v>
      </c>
      <c r="AD811" s="14" t="s">
        <v>93</v>
      </c>
      <c r="AE811" s="17">
        <v>2</v>
      </c>
      <c r="AF811" s="15">
        <v>576563</v>
      </c>
      <c r="AG811" s="20">
        <f t="shared" si="136"/>
        <v>2816804</v>
      </c>
      <c r="AH811" s="14">
        <v>0</v>
      </c>
      <c r="AI811" s="14" t="s">
        <v>75</v>
      </c>
      <c r="AJ811" s="14">
        <v>300</v>
      </c>
      <c r="AK811" s="21">
        <f t="shared" si="137"/>
        <v>8.5000000000000006E-2</v>
      </c>
      <c r="AL811" s="20">
        <f t="shared" si="138"/>
        <v>6486.9738025376055</v>
      </c>
      <c r="AM811" s="22">
        <f t="shared" si="139"/>
        <v>0.35960773863169188</v>
      </c>
      <c r="AN811" s="20">
        <f t="shared" si="140"/>
        <v>12274.303802537604</v>
      </c>
      <c r="AO811" s="16">
        <f t="shared" si="141"/>
        <v>6.574812514834398E-2</v>
      </c>
      <c r="AP811" s="15">
        <v>9152344</v>
      </c>
      <c r="AQ811" s="18">
        <f t="shared" si="142"/>
        <v>8.8022041129572931E-2</v>
      </c>
      <c r="AR811" s="23">
        <v>46259</v>
      </c>
      <c r="AS811" s="14" t="s">
        <v>79</v>
      </c>
    </row>
    <row r="812" spans="1:45" x14ac:dyDescent="0.25">
      <c r="A812" s="14" t="s">
        <v>2600</v>
      </c>
      <c r="B812" s="14" t="s">
        <v>2601</v>
      </c>
      <c r="C812" s="14">
        <v>9700735292</v>
      </c>
      <c r="D812" s="15" t="s">
        <v>2620</v>
      </c>
      <c r="E812" s="14">
        <v>51</v>
      </c>
      <c r="F812" s="14" t="s">
        <v>71</v>
      </c>
      <c r="G812" s="14" t="s">
        <v>226</v>
      </c>
      <c r="H812" s="14" t="s">
        <v>166</v>
      </c>
      <c r="I812" s="14" t="s">
        <v>74</v>
      </c>
      <c r="J812" s="15">
        <v>1696029</v>
      </c>
      <c r="K812" s="14">
        <v>0</v>
      </c>
      <c r="L812" s="14" t="s">
        <v>75</v>
      </c>
      <c r="M812" s="14" t="s">
        <v>75</v>
      </c>
      <c r="N812" s="14" t="s">
        <v>75</v>
      </c>
      <c r="O812" s="14" t="s">
        <v>75</v>
      </c>
      <c r="P812" s="14">
        <v>852</v>
      </c>
      <c r="Q812" s="15">
        <v>462799</v>
      </c>
      <c r="R812" s="15">
        <v>334.09</v>
      </c>
      <c r="S812" s="14" t="s">
        <v>23</v>
      </c>
      <c r="T812" s="15">
        <v>6998352</v>
      </c>
      <c r="U812" s="16">
        <f t="shared" si="132"/>
        <v>2.3638039208055996E-3</v>
      </c>
      <c r="V812" s="14">
        <v>0</v>
      </c>
      <c r="W812" s="17">
        <v>19.2</v>
      </c>
      <c r="X812" s="14">
        <v>5.7</v>
      </c>
      <c r="Y812" s="18">
        <f t="shared" si="133"/>
        <v>5.2</v>
      </c>
      <c r="Z812" s="18" t="str">
        <f t="shared" si="134"/>
        <v>Low</v>
      </c>
      <c r="AA812" s="19" t="str">
        <f t="shared" si="135"/>
        <v>Eligible</v>
      </c>
      <c r="AB812" s="14" t="s">
        <v>85</v>
      </c>
      <c r="AC812" s="14">
        <v>0</v>
      </c>
      <c r="AD812" s="14" t="s">
        <v>78</v>
      </c>
      <c r="AE812" s="17">
        <v>19.8</v>
      </c>
      <c r="AF812" s="15">
        <v>0</v>
      </c>
      <c r="AG812" s="20">
        <f t="shared" si="136"/>
        <v>1696029</v>
      </c>
      <c r="AH812" s="14">
        <v>0</v>
      </c>
      <c r="AI812" s="14" t="s">
        <v>75</v>
      </c>
      <c r="AJ812" s="14">
        <v>300</v>
      </c>
      <c r="AK812" s="21">
        <f t="shared" si="137"/>
        <v>8.5000000000000006E-2</v>
      </c>
      <c r="AL812" s="20">
        <f t="shared" si="138"/>
        <v>56352.625700013734</v>
      </c>
      <c r="AM812" s="22">
        <f t="shared" si="139"/>
        <v>4.1263162363379395</v>
      </c>
      <c r="AN812" s="20">
        <f t="shared" si="140"/>
        <v>56686.71570001373</v>
      </c>
      <c r="AO812" s="16">
        <f t="shared" si="141"/>
        <v>0.40107839453226607</v>
      </c>
      <c r="AP812" s="15">
        <v>5305597</v>
      </c>
      <c r="AQ812" s="18">
        <f t="shared" si="142"/>
        <v>1.3190508061581006</v>
      </c>
      <c r="AR812" s="23">
        <v>45967</v>
      </c>
      <c r="AS812" s="14" t="s">
        <v>79</v>
      </c>
    </row>
    <row r="813" spans="1:45" x14ac:dyDescent="0.25">
      <c r="A813" s="14" t="s">
        <v>2603</v>
      </c>
      <c r="B813" s="14" t="s">
        <v>2604</v>
      </c>
      <c r="C813" s="14">
        <v>9103813398</v>
      </c>
      <c r="D813" s="15" t="s">
        <v>2622</v>
      </c>
      <c r="E813" s="14">
        <v>56</v>
      </c>
      <c r="F813" s="14" t="s">
        <v>71</v>
      </c>
      <c r="G813" s="14" t="s">
        <v>120</v>
      </c>
      <c r="H813" s="14" t="s">
        <v>103</v>
      </c>
      <c r="I813" s="14" t="s">
        <v>74</v>
      </c>
      <c r="J813" s="15">
        <v>1422750</v>
      </c>
      <c r="K813" s="14">
        <v>0</v>
      </c>
      <c r="L813" s="14" t="s">
        <v>75</v>
      </c>
      <c r="M813" s="14" t="s">
        <v>75</v>
      </c>
      <c r="N813" s="14" t="s">
        <v>75</v>
      </c>
      <c r="O813" s="14" t="s">
        <v>75</v>
      </c>
      <c r="P813" s="14">
        <v>304</v>
      </c>
      <c r="Q813" s="15">
        <v>475261.65</v>
      </c>
      <c r="R813" s="15">
        <v>4830.16</v>
      </c>
      <c r="S813" s="14" t="s">
        <v>20</v>
      </c>
      <c r="T813" s="15"/>
      <c r="U813" s="16">
        <f t="shared" si="132"/>
        <v>4.0739356879283074E-2</v>
      </c>
      <c r="V813" s="14">
        <v>3</v>
      </c>
      <c r="W813" s="17">
        <v>37.4</v>
      </c>
      <c r="X813" s="14">
        <v>2.5</v>
      </c>
      <c r="Y813" s="18">
        <f t="shared" si="133"/>
        <v>56.7</v>
      </c>
      <c r="Z813" s="18" t="str">
        <f t="shared" si="134"/>
        <v>Medium</v>
      </c>
      <c r="AA813" s="19" t="str">
        <f t="shared" si="135"/>
        <v>Not Eligible</v>
      </c>
      <c r="AB813" s="14" t="s">
        <v>77</v>
      </c>
      <c r="AC813" s="14">
        <v>0</v>
      </c>
      <c r="AD813" s="14" t="s">
        <v>93</v>
      </c>
      <c r="AE813" s="17">
        <v>13.1</v>
      </c>
      <c r="AF813" s="15">
        <v>0</v>
      </c>
      <c r="AG813" s="20">
        <f t="shared" si="136"/>
        <v>1422750</v>
      </c>
      <c r="AH813" s="14">
        <v>1</v>
      </c>
      <c r="AI813" s="14" t="s">
        <v>75</v>
      </c>
      <c r="AJ813" s="14">
        <v>12</v>
      </c>
      <c r="AK813" s="21">
        <f t="shared" si="137"/>
        <v>0.375</v>
      </c>
      <c r="AL813" s="20">
        <f t="shared" si="138"/>
        <v>0</v>
      </c>
      <c r="AM813" s="22">
        <f t="shared" si="139"/>
        <v>0</v>
      </c>
      <c r="AN813" s="20">
        <f t="shared" si="140"/>
        <v>4830.16</v>
      </c>
      <c r="AO813" s="16">
        <f t="shared" si="141"/>
        <v>4.0739356879283074E-2</v>
      </c>
      <c r="AP813" s="15">
        <v>0</v>
      </c>
      <c r="AQ813" s="18" t="str">
        <f t="shared" si="142"/>
        <v>N/A</v>
      </c>
      <c r="AR813" s="23">
        <v>46221</v>
      </c>
      <c r="AS813" s="14" t="s">
        <v>79</v>
      </c>
    </row>
    <row r="814" spans="1:45" x14ac:dyDescent="0.25">
      <c r="A814" s="14" t="s">
        <v>2606</v>
      </c>
      <c r="B814" s="14" t="s">
        <v>2607</v>
      </c>
      <c r="C814" s="14">
        <v>9560731187</v>
      </c>
      <c r="D814" s="15" t="s">
        <v>2625</v>
      </c>
      <c r="E814" s="14">
        <v>29</v>
      </c>
      <c r="F814" s="14" t="s">
        <v>89</v>
      </c>
      <c r="G814" s="14" t="s">
        <v>143</v>
      </c>
      <c r="H814" s="14" t="s">
        <v>99</v>
      </c>
      <c r="I814" s="14" t="s">
        <v>74</v>
      </c>
      <c r="J814" s="15">
        <v>746673</v>
      </c>
      <c r="K814" s="14">
        <v>1</v>
      </c>
      <c r="L814" s="14" t="s">
        <v>75</v>
      </c>
      <c r="M814" s="14" t="s">
        <v>76</v>
      </c>
      <c r="N814" s="14" t="s">
        <v>75</v>
      </c>
      <c r="O814" s="14" t="s">
        <v>75</v>
      </c>
      <c r="P814" s="14">
        <v>307</v>
      </c>
      <c r="Q814" s="15">
        <v>8070.14</v>
      </c>
      <c r="R814" s="15">
        <v>4994.97</v>
      </c>
      <c r="S814" s="14" t="s">
        <v>23</v>
      </c>
      <c r="T814" s="15">
        <v>757100</v>
      </c>
      <c r="U814" s="16">
        <f t="shared" si="132"/>
        <v>8.0275622662129203E-2</v>
      </c>
      <c r="V814" s="14">
        <v>4</v>
      </c>
      <c r="W814" s="17">
        <v>85</v>
      </c>
      <c r="X814" s="14">
        <v>9.6999999999999993</v>
      </c>
      <c r="Y814" s="18">
        <f t="shared" si="133"/>
        <v>66.400000000000006</v>
      </c>
      <c r="Z814" s="18" t="str">
        <f t="shared" si="134"/>
        <v>High</v>
      </c>
      <c r="AA814" s="19" t="str">
        <f t="shared" si="135"/>
        <v>Not Eligible</v>
      </c>
      <c r="AB814" s="14" t="s">
        <v>77</v>
      </c>
      <c r="AC814" s="14">
        <v>0</v>
      </c>
      <c r="AD814" s="14" t="s">
        <v>93</v>
      </c>
      <c r="AE814" s="17">
        <v>6.8</v>
      </c>
      <c r="AF814" s="15">
        <v>0</v>
      </c>
      <c r="AG814" s="20">
        <f t="shared" si="136"/>
        <v>746673</v>
      </c>
      <c r="AH814" s="14">
        <v>1</v>
      </c>
      <c r="AI814" s="14" t="s">
        <v>75</v>
      </c>
      <c r="AJ814" s="14">
        <v>120</v>
      </c>
      <c r="AK814" s="21">
        <f t="shared" si="137"/>
        <v>0.115</v>
      </c>
      <c r="AL814" s="20">
        <f t="shared" si="138"/>
        <v>10644.4810636486</v>
      </c>
      <c r="AM814" s="22">
        <f t="shared" si="139"/>
        <v>1.0139646136930089</v>
      </c>
      <c r="AN814" s="20">
        <f t="shared" si="140"/>
        <v>15639.451063648601</v>
      </c>
      <c r="AO814" s="16">
        <f t="shared" si="141"/>
        <v>0.25134618871150183</v>
      </c>
      <c r="AP814" s="15">
        <v>3008485</v>
      </c>
      <c r="AQ814" s="18">
        <f t="shared" si="142"/>
        <v>0.25165490271681595</v>
      </c>
      <c r="AR814" s="23">
        <v>46151</v>
      </c>
      <c r="AS814" s="14" t="s">
        <v>79</v>
      </c>
    </row>
    <row r="815" spans="1:45" x14ac:dyDescent="0.25">
      <c r="A815" s="14" t="s">
        <v>2609</v>
      </c>
      <c r="B815" s="14" t="s">
        <v>659</v>
      </c>
      <c r="C815" s="14">
        <v>9609351789</v>
      </c>
      <c r="D815" s="15" t="s">
        <v>2629</v>
      </c>
      <c r="E815" s="14">
        <v>62</v>
      </c>
      <c r="F815" s="14" t="s">
        <v>89</v>
      </c>
      <c r="G815" s="14" t="s">
        <v>388</v>
      </c>
      <c r="H815" s="14" t="s">
        <v>166</v>
      </c>
      <c r="I815" s="14" t="s">
        <v>74</v>
      </c>
      <c r="J815" s="15">
        <v>557859</v>
      </c>
      <c r="K815" s="14">
        <v>3</v>
      </c>
      <c r="L815" s="14" t="s">
        <v>76</v>
      </c>
      <c r="M815" s="14" t="s">
        <v>75</v>
      </c>
      <c r="N815" s="14" t="s">
        <v>76</v>
      </c>
      <c r="O815" s="14" t="s">
        <v>76</v>
      </c>
      <c r="P815" s="14">
        <v>444</v>
      </c>
      <c r="Q815" s="15">
        <v>1219896.58</v>
      </c>
      <c r="R815" s="15">
        <v>8267.7900000000009</v>
      </c>
      <c r="S815" s="14" t="s">
        <v>21</v>
      </c>
      <c r="T815" s="15">
        <v>479042</v>
      </c>
      <c r="U815" s="16">
        <f t="shared" si="132"/>
        <v>0.17784687528569049</v>
      </c>
      <c r="V815" s="14">
        <v>0</v>
      </c>
      <c r="W815" s="17">
        <v>32.6</v>
      </c>
      <c r="X815" s="14">
        <v>3.4</v>
      </c>
      <c r="Y815" s="18">
        <f t="shared" si="133"/>
        <v>39</v>
      </c>
      <c r="Z815" s="18" t="str">
        <f t="shared" si="134"/>
        <v>Medium</v>
      </c>
      <c r="AA815" s="19" t="str">
        <f t="shared" si="135"/>
        <v>Not Eligible</v>
      </c>
      <c r="AB815" s="14" t="s">
        <v>77</v>
      </c>
      <c r="AC815" s="14">
        <v>0</v>
      </c>
      <c r="AD815" s="14" t="s">
        <v>93</v>
      </c>
      <c r="AE815" s="17">
        <v>14.7</v>
      </c>
      <c r="AF815" s="15">
        <v>0</v>
      </c>
      <c r="AG815" s="20">
        <f t="shared" si="136"/>
        <v>557859</v>
      </c>
      <c r="AH815" s="14">
        <v>1</v>
      </c>
      <c r="AI815" s="14" t="s">
        <v>76</v>
      </c>
      <c r="AJ815" s="14">
        <v>12</v>
      </c>
      <c r="AK815" s="21">
        <f t="shared" si="137"/>
        <v>0.15500000000000003</v>
      </c>
      <c r="AL815" s="20">
        <f t="shared" si="138"/>
        <v>43350.626213349118</v>
      </c>
      <c r="AM815" s="22">
        <f t="shared" si="139"/>
        <v>0.85871519505824945</v>
      </c>
      <c r="AN815" s="20">
        <f t="shared" si="140"/>
        <v>51618.416213349119</v>
      </c>
      <c r="AO815" s="16">
        <f t="shared" si="141"/>
        <v>1.1103540402865051</v>
      </c>
      <c r="AP815" s="15">
        <v>0</v>
      </c>
      <c r="AQ815" s="18" t="str">
        <f t="shared" si="142"/>
        <v>N/A</v>
      </c>
      <c r="AR815" s="23">
        <v>46211</v>
      </c>
      <c r="AS815" s="14" t="s">
        <v>79</v>
      </c>
    </row>
    <row r="816" spans="1:45" x14ac:dyDescent="0.25">
      <c r="A816" s="14" t="s">
        <v>2611</v>
      </c>
      <c r="B816" s="14" t="s">
        <v>1556</v>
      </c>
      <c r="C816" s="14">
        <v>9564130702</v>
      </c>
      <c r="D816" s="15"/>
      <c r="E816" s="14">
        <v>64</v>
      </c>
      <c r="F816" s="14" t="s">
        <v>89</v>
      </c>
      <c r="G816" s="14" t="s">
        <v>139</v>
      </c>
      <c r="H816" s="14" t="s">
        <v>99</v>
      </c>
      <c r="I816" s="14" t="s">
        <v>74</v>
      </c>
      <c r="J816" s="15">
        <v>1829933</v>
      </c>
      <c r="K816" s="14">
        <v>0</v>
      </c>
      <c r="L816" s="14" t="s">
        <v>75</v>
      </c>
      <c r="M816" s="14" t="s">
        <v>75</v>
      </c>
      <c r="N816" s="14" t="s">
        <v>75</v>
      </c>
      <c r="O816" s="14" t="s">
        <v>75</v>
      </c>
      <c r="P816" s="14">
        <v>766</v>
      </c>
      <c r="Q816" s="15"/>
      <c r="R816" s="15">
        <v>5316.21</v>
      </c>
      <c r="S816" s="14" t="s">
        <v>23</v>
      </c>
      <c r="T816" s="15">
        <v>263164</v>
      </c>
      <c r="U816" s="16">
        <f t="shared" si="132"/>
        <v>3.4861669798839631E-2</v>
      </c>
      <c r="V816" s="14">
        <v>4</v>
      </c>
      <c r="W816" s="17">
        <v>23.5</v>
      </c>
      <c r="X816" s="14">
        <v>11.7</v>
      </c>
      <c r="Y816" s="18">
        <f t="shared" si="133"/>
        <v>28.3</v>
      </c>
      <c r="Z816" s="18" t="str">
        <f t="shared" si="134"/>
        <v>Low</v>
      </c>
      <c r="AA816" s="19" t="str">
        <f t="shared" si="135"/>
        <v>Review</v>
      </c>
      <c r="AB816" s="14" t="s">
        <v>85</v>
      </c>
      <c r="AC816" s="14">
        <v>2</v>
      </c>
      <c r="AD816" s="14" t="s">
        <v>78</v>
      </c>
      <c r="AE816" s="17">
        <v>5.0999999999999996</v>
      </c>
      <c r="AF816" s="15">
        <v>0</v>
      </c>
      <c r="AG816" s="20">
        <f t="shared" si="136"/>
        <v>1829933</v>
      </c>
      <c r="AH816" s="14">
        <v>0</v>
      </c>
      <c r="AI816" s="14" t="s">
        <v>75</v>
      </c>
      <c r="AJ816" s="14">
        <v>300</v>
      </c>
      <c r="AK816" s="21">
        <f t="shared" si="137"/>
        <v>8.5000000000000006E-2</v>
      </c>
      <c r="AL816" s="20">
        <f t="shared" si="138"/>
        <v>2119.0678019222833</v>
      </c>
      <c r="AM816" s="22">
        <f t="shared" si="139"/>
        <v>0.14381072968245284</v>
      </c>
      <c r="AN816" s="20">
        <f t="shared" si="140"/>
        <v>7435.2778019222833</v>
      </c>
      <c r="AO816" s="16">
        <f t="shared" si="141"/>
        <v>4.8757705130771128E-2</v>
      </c>
      <c r="AP816" s="15">
        <v>7785569</v>
      </c>
      <c r="AQ816" s="18">
        <f t="shared" si="142"/>
        <v>3.3801511488755674E-2</v>
      </c>
      <c r="AR816" s="23">
        <v>46081</v>
      </c>
      <c r="AS816" s="14" t="s">
        <v>79</v>
      </c>
    </row>
    <row r="817" spans="1:45" x14ac:dyDescent="0.25">
      <c r="A817" s="14" t="s">
        <v>2613</v>
      </c>
      <c r="B817" s="14" t="s">
        <v>540</v>
      </c>
      <c r="C817" s="14">
        <v>9301821554</v>
      </c>
      <c r="D817" s="15" t="s">
        <v>2635</v>
      </c>
      <c r="E817" s="14">
        <v>29</v>
      </c>
      <c r="F817" s="14" t="s">
        <v>71</v>
      </c>
      <c r="G817" s="14" t="s">
        <v>120</v>
      </c>
      <c r="H817" s="14" t="s">
        <v>84</v>
      </c>
      <c r="I817" s="14" t="s">
        <v>74</v>
      </c>
      <c r="J817" s="15">
        <v>1322895</v>
      </c>
      <c r="K817" s="14">
        <v>0</v>
      </c>
      <c r="L817" s="14" t="s">
        <v>75</v>
      </c>
      <c r="M817" s="14" t="s">
        <v>75</v>
      </c>
      <c r="N817" s="14" t="s">
        <v>75</v>
      </c>
      <c r="O817" s="14" t="s">
        <v>75</v>
      </c>
      <c r="P817" s="14">
        <v>591</v>
      </c>
      <c r="Q817" s="15">
        <v>53858</v>
      </c>
      <c r="R817" s="15">
        <v>2343.19</v>
      </c>
      <c r="S817" s="14" t="s">
        <v>23</v>
      </c>
      <c r="T817" s="15">
        <v>1312601</v>
      </c>
      <c r="U817" s="16">
        <f t="shared" si="132"/>
        <v>2.1255110949848628E-2</v>
      </c>
      <c r="V817" s="14">
        <v>2</v>
      </c>
      <c r="W817" s="17">
        <v>36.799999999999997</v>
      </c>
      <c r="X817" s="14">
        <v>11.9</v>
      </c>
      <c r="Y817" s="18">
        <f t="shared" si="133"/>
        <v>32.9</v>
      </c>
      <c r="Z817" s="18" t="str">
        <f t="shared" si="134"/>
        <v>Medium</v>
      </c>
      <c r="AA817" s="19" t="str">
        <f t="shared" si="135"/>
        <v>Review</v>
      </c>
      <c r="AB817" s="14" t="s">
        <v>85</v>
      </c>
      <c r="AC817" s="14">
        <v>0</v>
      </c>
      <c r="AD817" s="14" t="s">
        <v>194</v>
      </c>
      <c r="AE817" s="17">
        <v>0.6</v>
      </c>
      <c r="AF817" s="15">
        <v>0</v>
      </c>
      <c r="AG817" s="20">
        <f t="shared" si="136"/>
        <v>1322895</v>
      </c>
      <c r="AH817" s="14">
        <v>0</v>
      </c>
      <c r="AI817" s="14" t="s">
        <v>75</v>
      </c>
      <c r="AJ817" s="14">
        <v>180</v>
      </c>
      <c r="AK817" s="21">
        <f t="shared" si="137"/>
        <v>0.1</v>
      </c>
      <c r="AL817" s="20">
        <f t="shared" si="138"/>
        <v>14105.27752108791</v>
      </c>
      <c r="AM817" s="22">
        <f t="shared" si="139"/>
        <v>0.99221858121770812</v>
      </c>
      <c r="AN817" s="20">
        <f t="shared" si="140"/>
        <v>16448.46752108791</v>
      </c>
      <c r="AO817" s="16">
        <f t="shared" si="141"/>
        <v>0.14920429078124486</v>
      </c>
      <c r="AP817" s="15">
        <v>2409157</v>
      </c>
      <c r="AQ817" s="18">
        <f t="shared" si="142"/>
        <v>0.54483829820970575</v>
      </c>
      <c r="AR817" s="23">
        <v>45910</v>
      </c>
      <c r="AS817" s="14" t="s">
        <v>79</v>
      </c>
    </row>
    <row r="818" spans="1:45" x14ac:dyDescent="0.25">
      <c r="A818" s="14" t="s">
        <v>2615</v>
      </c>
      <c r="B818" s="14" t="s">
        <v>2616</v>
      </c>
      <c r="C818" s="14"/>
      <c r="D818" s="15" t="s">
        <v>2638</v>
      </c>
      <c r="E818" s="14">
        <v>34</v>
      </c>
      <c r="F818" s="14" t="s">
        <v>89</v>
      </c>
      <c r="G818" s="14" t="s">
        <v>417</v>
      </c>
      <c r="H818" s="14" t="s">
        <v>103</v>
      </c>
      <c r="I818" s="14" t="s">
        <v>74</v>
      </c>
      <c r="J818" s="15">
        <v>2211404</v>
      </c>
      <c r="K818" s="14">
        <v>1</v>
      </c>
      <c r="L818" s="14" t="s">
        <v>75</v>
      </c>
      <c r="M818" s="14" t="s">
        <v>75</v>
      </c>
      <c r="N818" s="14" t="s">
        <v>76</v>
      </c>
      <c r="O818" s="14" t="s">
        <v>75</v>
      </c>
      <c r="P818" s="14">
        <v>819</v>
      </c>
      <c r="Q818" s="15">
        <v>360351</v>
      </c>
      <c r="R818" s="15">
        <v>26557.74</v>
      </c>
      <c r="S818" s="14" t="s">
        <v>22</v>
      </c>
      <c r="T818" s="15"/>
      <c r="U818" s="16">
        <f t="shared" si="132"/>
        <v>0.1441133687015127</v>
      </c>
      <c r="V818" s="14">
        <v>4</v>
      </c>
      <c r="W818" s="17">
        <v>62</v>
      </c>
      <c r="X818" s="14">
        <v>1.8</v>
      </c>
      <c r="Y818" s="18">
        <f t="shared" si="133"/>
        <v>31.9</v>
      </c>
      <c r="Z818" s="18" t="str">
        <f t="shared" si="134"/>
        <v>Medium</v>
      </c>
      <c r="AA818" s="19" t="str">
        <f t="shared" si="135"/>
        <v>Review</v>
      </c>
      <c r="AB818" s="14" t="s">
        <v>85</v>
      </c>
      <c r="AC818" s="14">
        <v>1</v>
      </c>
      <c r="AD818" s="14" t="s">
        <v>78</v>
      </c>
      <c r="AE818" s="17">
        <v>3.5</v>
      </c>
      <c r="AF818" s="15">
        <v>822185</v>
      </c>
      <c r="AG818" s="20">
        <f t="shared" si="136"/>
        <v>3033589</v>
      </c>
      <c r="AH818" s="14">
        <v>0</v>
      </c>
      <c r="AI818" s="14" t="s">
        <v>75</v>
      </c>
      <c r="AJ818" s="14">
        <v>84</v>
      </c>
      <c r="AK818" s="21">
        <f t="shared" si="137"/>
        <v>0.105</v>
      </c>
      <c r="AL818" s="20">
        <f t="shared" si="138"/>
        <v>0</v>
      </c>
      <c r="AM818" s="22">
        <f t="shared" si="139"/>
        <v>0</v>
      </c>
      <c r="AN818" s="20">
        <f t="shared" si="140"/>
        <v>26557.74</v>
      </c>
      <c r="AO818" s="16">
        <f t="shared" si="141"/>
        <v>0.1441133687015127</v>
      </c>
      <c r="AP818" s="15">
        <v>1501551</v>
      </c>
      <c r="AQ818" s="18">
        <f t="shared" si="142"/>
        <v>0</v>
      </c>
      <c r="AR818" s="23">
        <v>46040</v>
      </c>
      <c r="AS818" s="14" t="s">
        <v>79</v>
      </c>
    </row>
    <row r="819" spans="1:45" x14ac:dyDescent="0.25">
      <c r="A819" s="14" t="s">
        <v>2617</v>
      </c>
      <c r="B819" s="14" t="s">
        <v>2140</v>
      </c>
      <c r="C819" s="14"/>
      <c r="D819" s="15" t="s">
        <v>2640</v>
      </c>
      <c r="E819" s="14">
        <v>26</v>
      </c>
      <c r="F819" s="14" t="s">
        <v>89</v>
      </c>
      <c r="G819" s="14" t="s">
        <v>72</v>
      </c>
      <c r="H819" s="14" t="s">
        <v>99</v>
      </c>
      <c r="I819" s="14" t="s">
        <v>74</v>
      </c>
      <c r="J819" s="15">
        <v>2075375</v>
      </c>
      <c r="K819" s="14">
        <v>2</v>
      </c>
      <c r="L819" s="14" t="s">
        <v>76</v>
      </c>
      <c r="M819" s="14" t="s">
        <v>75</v>
      </c>
      <c r="N819" s="14" t="s">
        <v>76</v>
      </c>
      <c r="O819" s="14" t="s">
        <v>75</v>
      </c>
      <c r="P819" s="14">
        <v>641</v>
      </c>
      <c r="Q819" s="15">
        <v>9215</v>
      </c>
      <c r="R819" s="15">
        <v>6705.65</v>
      </c>
      <c r="S819" s="14" t="s">
        <v>21</v>
      </c>
      <c r="T819" s="15">
        <v>27151</v>
      </c>
      <c r="U819" s="16">
        <f t="shared" si="132"/>
        <v>3.8772655544178761E-2</v>
      </c>
      <c r="V819" s="14">
        <v>1</v>
      </c>
      <c r="W819" s="17">
        <v>17.2</v>
      </c>
      <c r="X819" s="14">
        <v>0.2</v>
      </c>
      <c r="Y819" s="18">
        <f t="shared" si="133"/>
        <v>24.1</v>
      </c>
      <c r="Z819" s="18" t="str">
        <f t="shared" si="134"/>
        <v>Low</v>
      </c>
      <c r="AA819" s="19" t="str">
        <f t="shared" si="135"/>
        <v>Review</v>
      </c>
      <c r="AB819" s="14" t="s">
        <v>77</v>
      </c>
      <c r="AC819" s="14">
        <v>2</v>
      </c>
      <c r="AD819" s="14" t="s">
        <v>93</v>
      </c>
      <c r="AE819" s="17">
        <v>3.4</v>
      </c>
      <c r="AF819" s="15">
        <v>443342</v>
      </c>
      <c r="AG819" s="20">
        <f t="shared" si="136"/>
        <v>2518717</v>
      </c>
      <c r="AH819" s="14">
        <v>0</v>
      </c>
      <c r="AI819" s="14" t="s">
        <v>75</v>
      </c>
      <c r="AJ819" s="14">
        <v>48</v>
      </c>
      <c r="AK819" s="21">
        <f t="shared" si="137"/>
        <v>0.14000000000000001</v>
      </c>
      <c r="AL819" s="20">
        <f t="shared" si="138"/>
        <v>741.94116331701866</v>
      </c>
      <c r="AM819" s="22">
        <f t="shared" si="139"/>
        <v>1.3082454978016021E-2</v>
      </c>
      <c r="AN819" s="20">
        <f t="shared" si="140"/>
        <v>7447.5911633170181</v>
      </c>
      <c r="AO819" s="16">
        <f t="shared" si="141"/>
        <v>4.3062624325629933E-2</v>
      </c>
      <c r="AP819" s="15">
        <v>0</v>
      </c>
      <c r="AQ819" s="18" t="str">
        <f t="shared" si="142"/>
        <v>N/A</v>
      </c>
      <c r="AR819" s="23">
        <v>45903</v>
      </c>
      <c r="AS819" s="14" t="s">
        <v>79</v>
      </c>
    </row>
    <row r="820" spans="1:45" x14ac:dyDescent="0.25">
      <c r="A820" s="14" t="s">
        <v>2618</v>
      </c>
      <c r="B820" s="14" t="s">
        <v>1827</v>
      </c>
      <c r="C820" s="14">
        <v>9781886552</v>
      </c>
      <c r="D820" s="15" t="s">
        <v>2642</v>
      </c>
      <c r="E820" s="14">
        <v>38</v>
      </c>
      <c r="F820" s="14" t="s">
        <v>71</v>
      </c>
      <c r="G820" s="14" t="s">
        <v>72</v>
      </c>
      <c r="H820" s="14" t="s">
        <v>107</v>
      </c>
      <c r="I820" s="14" t="s">
        <v>92</v>
      </c>
      <c r="J820" s="15">
        <v>780422</v>
      </c>
      <c r="K820" s="14">
        <v>1</v>
      </c>
      <c r="L820" s="14" t="s">
        <v>76</v>
      </c>
      <c r="M820" s="14" t="s">
        <v>75</v>
      </c>
      <c r="N820" s="14" t="s">
        <v>75</v>
      </c>
      <c r="O820" s="14" t="s">
        <v>75</v>
      </c>
      <c r="P820" s="14">
        <v>502</v>
      </c>
      <c r="Q820" s="15">
        <v>595075.57999999996</v>
      </c>
      <c r="R820" s="15">
        <v>14462.47</v>
      </c>
      <c r="S820" s="14" t="s">
        <v>23</v>
      </c>
      <c r="T820" s="15"/>
      <c r="U820" s="16">
        <f t="shared" si="132"/>
        <v>0.22237922559845824</v>
      </c>
      <c r="V820" s="14">
        <v>4</v>
      </c>
      <c r="W820" s="17">
        <v>41.2</v>
      </c>
      <c r="X820" s="14">
        <v>10.7</v>
      </c>
      <c r="Y820" s="18">
        <f t="shared" si="133"/>
        <v>53.3</v>
      </c>
      <c r="Z820" s="18" t="str">
        <f t="shared" si="134"/>
        <v>Medium</v>
      </c>
      <c r="AA820" s="19" t="str">
        <f t="shared" si="135"/>
        <v>Not Eligible</v>
      </c>
      <c r="AB820" s="14" t="s">
        <v>77</v>
      </c>
      <c r="AC820" s="14">
        <v>0</v>
      </c>
      <c r="AD820" s="14" t="s">
        <v>78</v>
      </c>
      <c r="AE820" s="17">
        <v>15.4</v>
      </c>
      <c r="AF820" s="15">
        <v>178287</v>
      </c>
      <c r="AG820" s="20">
        <f t="shared" si="136"/>
        <v>958709</v>
      </c>
      <c r="AH820" s="14">
        <v>0</v>
      </c>
      <c r="AI820" s="14" t="s">
        <v>75</v>
      </c>
      <c r="AJ820" s="14">
        <v>360</v>
      </c>
      <c r="AK820" s="21">
        <f t="shared" si="137"/>
        <v>0.1</v>
      </c>
      <c r="AL820" s="20">
        <f t="shared" si="138"/>
        <v>0</v>
      </c>
      <c r="AM820" s="22">
        <f t="shared" si="139"/>
        <v>0</v>
      </c>
      <c r="AN820" s="20">
        <f t="shared" si="140"/>
        <v>14462.47</v>
      </c>
      <c r="AO820" s="16">
        <f t="shared" si="141"/>
        <v>0.22237922559845824</v>
      </c>
      <c r="AP820" s="15">
        <v>8458901</v>
      </c>
      <c r="AQ820" s="18">
        <f t="shared" si="142"/>
        <v>0</v>
      </c>
      <c r="AR820" s="23">
        <v>46178</v>
      </c>
      <c r="AS820" s="14" t="s">
        <v>79</v>
      </c>
    </row>
    <row r="821" spans="1:45" x14ac:dyDescent="0.25">
      <c r="A821" s="14" t="s">
        <v>2621</v>
      </c>
      <c r="B821" s="14" t="s">
        <v>2551</v>
      </c>
      <c r="C821" s="14"/>
      <c r="D821" s="15" t="s">
        <v>2644</v>
      </c>
      <c r="E821" s="14">
        <v>55</v>
      </c>
      <c r="F821" s="14" t="s">
        <v>71</v>
      </c>
      <c r="G821" s="14" t="s">
        <v>98</v>
      </c>
      <c r="H821" s="14" t="s">
        <v>144</v>
      </c>
      <c r="I821" s="14" t="s">
        <v>92</v>
      </c>
      <c r="J821" s="15">
        <v>1267378</v>
      </c>
      <c r="K821" s="14">
        <v>2</v>
      </c>
      <c r="L821" s="14" t="s">
        <v>76</v>
      </c>
      <c r="M821" s="14" t="s">
        <v>75</v>
      </c>
      <c r="N821" s="14" t="s">
        <v>76</v>
      </c>
      <c r="O821" s="14" t="s">
        <v>75</v>
      </c>
      <c r="P821" s="14">
        <v>484</v>
      </c>
      <c r="Q821" s="15">
        <v>107602.77</v>
      </c>
      <c r="R821" s="15">
        <v>31684.11</v>
      </c>
      <c r="S821" s="14" t="s">
        <v>21</v>
      </c>
      <c r="T821" s="15">
        <v>505267</v>
      </c>
      <c r="U821" s="16">
        <f t="shared" si="132"/>
        <v>0.29999678075522851</v>
      </c>
      <c r="V821" s="14">
        <v>5</v>
      </c>
      <c r="W821" s="17">
        <v>72.099999999999994</v>
      </c>
      <c r="X821" s="14">
        <v>9.6</v>
      </c>
      <c r="Y821" s="18">
        <f t="shared" si="133"/>
        <v>63.9</v>
      </c>
      <c r="Z821" s="18" t="str">
        <f t="shared" si="134"/>
        <v>High</v>
      </c>
      <c r="AA821" s="19" t="str">
        <f t="shared" si="135"/>
        <v>Not Eligible</v>
      </c>
      <c r="AB821" s="14" t="s">
        <v>85</v>
      </c>
      <c r="AC821" s="14">
        <v>0</v>
      </c>
      <c r="AD821" s="14" t="s">
        <v>93</v>
      </c>
      <c r="AE821" s="17">
        <v>12</v>
      </c>
      <c r="AF821" s="15">
        <v>0</v>
      </c>
      <c r="AG821" s="20">
        <f t="shared" si="136"/>
        <v>1267378</v>
      </c>
      <c r="AH821" s="14">
        <v>1</v>
      </c>
      <c r="AI821" s="14" t="s">
        <v>75</v>
      </c>
      <c r="AJ821" s="14">
        <v>12</v>
      </c>
      <c r="AK821" s="21">
        <f t="shared" si="137"/>
        <v>0.17</v>
      </c>
      <c r="AL821" s="20">
        <f t="shared" si="138"/>
        <v>46082.751468385148</v>
      </c>
      <c r="AM821" s="22">
        <f t="shared" si="139"/>
        <v>0.39867111469506333</v>
      </c>
      <c r="AN821" s="20">
        <f t="shared" si="140"/>
        <v>77766.861468385148</v>
      </c>
      <c r="AO821" s="16">
        <f t="shared" si="141"/>
        <v>0.73632518287410842</v>
      </c>
      <c r="AP821" s="15">
        <v>0</v>
      </c>
      <c r="AQ821" s="18" t="str">
        <f t="shared" si="142"/>
        <v>N/A</v>
      </c>
      <c r="AR821" s="23">
        <v>45966</v>
      </c>
      <c r="AS821" s="14" t="s">
        <v>94</v>
      </c>
    </row>
    <row r="822" spans="1:45" x14ac:dyDescent="0.25">
      <c r="A822" s="14" t="s">
        <v>2623</v>
      </c>
      <c r="B822" s="14" t="s">
        <v>2624</v>
      </c>
      <c r="C822" s="14">
        <v>9798409334</v>
      </c>
      <c r="D822" s="15" t="s">
        <v>2647</v>
      </c>
      <c r="E822" s="14">
        <v>43</v>
      </c>
      <c r="F822" s="14" t="s">
        <v>89</v>
      </c>
      <c r="G822" s="14" t="s">
        <v>417</v>
      </c>
      <c r="H822" s="14" t="s">
        <v>84</v>
      </c>
      <c r="I822" s="14" t="s">
        <v>74</v>
      </c>
      <c r="J822" s="15">
        <v>2220985</v>
      </c>
      <c r="K822" s="14">
        <v>0</v>
      </c>
      <c r="L822" s="14" t="s">
        <v>75</v>
      </c>
      <c r="M822" s="14" t="s">
        <v>75</v>
      </c>
      <c r="N822" s="14" t="s">
        <v>75</v>
      </c>
      <c r="O822" s="14" t="s">
        <v>75</v>
      </c>
      <c r="P822" s="14">
        <v>390</v>
      </c>
      <c r="Q822" s="15">
        <v>4190</v>
      </c>
      <c r="R822" s="15">
        <v>237.36</v>
      </c>
      <c r="S822" s="14" t="s">
        <v>21</v>
      </c>
      <c r="T822" s="15"/>
      <c r="U822" s="16">
        <f t="shared" si="132"/>
        <v>1.2824580084962304E-3</v>
      </c>
      <c r="V822" s="14">
        <v>3</v>
      </c>
      <c r="W822" s="17">
        <v>28.2</v>
      </c>
      <c r="X822" s="14">
        <v>13</v>
      </c>
      <c r="Y822" s="18">
        <f t="shared" si="133"/>
        <v>48.9</v>
      </c>
      <c r="Z822" s="18" t="str">
        <f t="shared" si="134"/>
        <v>Medium</v>
      </c>
      <c r="AA822" s="19" t="str">
        <f t="shared" si="135"/>
        <v>Not Eligible</v>
      </c>
      <c r="AB822" s="14" t="s">
        <v>85</v>
      </c>
      <c r="AC822" s="14">
        <v>3</v>
      </c>
      <c r="AD822" s="14" t="s">
        <v>93</v>
      </c>
      <c r="AE822" s="17">
        <v>13.7</v>
      </c>
      <c r="AF822" s="15">
        <v>254631</v>
      </c>
      <c r="AG822" s="20">
        <f t="shared" si="136"/>
        <v>2475616</v>
      </c>
      <c r="AH822" s="14">
        <v>1</v>
      </c>
      <c r="AI822" s="14" t="s">
        <v>76</v>
      </c>
      <c r="AJ822" s="14">
        <v>36</v>
      </c>
      <c r="AK822" s="21">
        <f t="shared" si="137"/>
        <v>0.15500000000000003</v>
      </c>
      <c r="AL822" s="20">
        <f t="shared" si="138"/>
        <v>0</v>
      </c>
      <c r="AM822" s="22">
        <f t="shared" si="139"/>
        <v>0</v>
      </c>
      <c r="AN822" s="20">
        <f t="shared" si="140"/>
        <v>237.36</v>
      </c>
      <c r="AO822" s="16">
        <f t="shared" si="141"/>
        <v>1.2824580084962304E-3</v>
      </c>
      <c r="AP822" s="15">
        <v>0</v>
      </c>
      <c r="AQ822" s="18" t="str">
        <f t="shared" si="142"/>
        <v>N/A</v>
      </c>
      <c r="AR822" s="23">
        <v>45966</v>
      </c>
      <c r="AS822" s="14" t="s">
        <v>79</v>
      </c>
    </row>
    <row r="823" spans="1:45" x14ac:dyDescent="0.25">
      <c r="A823" s="14" t="s">
        <v>2626</v>
      </c>
      <c r="B823" s="14" t="s">
        <v>2627</v>
      </c>
      <c r="C823" s="14">
        <v>9848336824</v>
      </c>
      <c r="D823" s="15"/>
      <c r="E823" s="14">
        <v>62</v>
      </c>
      <c r="F823" s="14" t="s">
        <v>71</v>
      </c>
      <c r="G823" s="14" t="s">
        <v>139</v>
      </c>
      <c r="H823" s="14" t="s">
        <v>99</v>
      </c>
      <c r="I823" s="14" t="s">
        <v>74</v>
      </c>
      <c r="J823" s="15">
        <v>2337684</v>
      </c>
      <c r="K823" s="14">
        <v>2</v>
      </c>
      <c r="L823" s="14" t="s">
        <v>76</v>
      </c>
      <c r="M823" s="14" t="s">
        <v>75</v>
      </c>
      <c r="N823" s="14" t="s">
        <v>76</v>
      </c>
      <c r="O823" s="14" t="s">
        <v>75</v>
      </c>
      <c r="P823" s="14">
        <v>707</v>
      </c>
      <c r="Q823" s="15">
        <v>34585</v>
      </c>
      <c r="R823" s="15">
        <v>60994.83</v>
      </c>
      <c r="S823" s="14" t="s">
        <v>21</v>
      </c>
      <c r="T823" s="15">
        <v>241097</v>
      </c>
      <c r="U823" s="16">
        <f t="shared" si="132"/>
        <v>0.31310389257059551</v>
      </c>
      <c r="V823" s="14">
        <v>5</v>
      </c>
      <c r="W823" s="17">
        <v>46.1</v>
      </c>
      <c r="X823" s="14">
        <v>8</v>
      </c>
      <c r="Y823" s="18">
        <f t="shared" si="133"/>
        <v>46.9</v>
      </c>
      <c r="Z823" s="18" t="str">
        <f t="shared" si="134"/>
        <v>Medium</v>
      </c>
      <c r="AA823" s="19" t="str">
        <f t="shared" si="135"/>
        <v>Not Eligible</v>
      </c>
      <c r="AB823" s="14" t="s">
        <v>77</v>
      </c>
      <c r="AC823" s="14">
        <v>1</v>
      </c>
      <c r="AD823" s="14" t="s">
        <v>78</v>
      </c>
      <c r="AE823" s="17">
        <v>19.7</v>
      </c>
      <c r="AF823" s="15">
        <v>0</v>
      </c>
      <c r="AG823" s="20">
        <f t="shared" si="136"/>
        <v>2337684</v>
      </c>
      <c r="AH823" s="14">
        <v>1</v>
      </c>
      <c r="AI823" s="14" t="s">
        <v>75</v>
      </c>
      <c r="AJ823" s="14">
        <v>48</v>
      </c>
      <c r="AK823" s="21">
        <f t="shared" si="137"/>
        <v>0.15500000000000003</v>
      </c>
      <c r="AL823" s="20">
        <f t="shared" si="138"/>
        <v>6771.1752250204217</v>
      </c>
      <c r="AM823" s="22">
        <f t="shared" si="139"/>
        <v>0.10313498317137816</v>
      </c>
      <c r="AN823" s="20">
        <f t="shared" si="140"/>
        <v>67766.005225020417</v>
      </c>
      <c r="AO823" s="16">
        <f t="shared" si="141"/>
        <v>0.34786226996473651</v>
      </c>
      <c r="AP823" s="15">
        <v>0</v>
      </c>
      <c r="AQ823" s="18" t="str">
        <f t="shared" si="142"/>
        <v>N/A</v>
      </c>
      <c r="AR823" s="23">
        <v>45983</v>
      </c>
      <c r="AS823" s="14" t="s">
        <v>79</v>
      </c>
    </row>
    <row r="824" spans="1:45" x14ac:dyDescent="0.25">
      <c r="A824" s="14" t="s">
        <v>2630</v>
      </c>
      <c r="B824" s="14" t="s">
        <v>2631</v>
      </c>
      <c r="C824" s="14"/>
      <c r="D824" s="15" t="s">
        <v>2652</v>
      </c>
      <c r="E824" s="14">
        <v>53</v>
      </c>
      <c r="F824" s="14" t="s">
        <v>71</v>
      </c>
      <c r="G824" s="14" t="s">
        <v>388</v>
      </c>
      <c r="H824" s="14" t="s">
        <v>107</v>
      </c>
      <c r="I824" s="14" t="s">
        <v>92</v>
      </c>
      <c r="J824" s="15">
        <v>1965482</v>
      </c>
      <c r="K824" s="14">
        <v>2</v>
      </c>
      <c r="L824" s="14" t="s">
        <v>76</v>
      </c>
      <c r="M824" s="14" t="s">
        <v>75</v>
      </c>
      <c r="N824" s="14" t="s">
        <v>75</v>
      </c>
      <c r="O824" s="14" t="s">
        <v>76</v>
      </c>
      <c r="P824" s="14">
        <v>863</v>
      </c>
      <c r="Q824" s="15">
        <v>158224.6</v>
      </c>
      <c r="R824" s="15">
        <v>21622.9</v>
      </c>
      <c r="S824" s="14" t="s">
        <v>20</v>
      </c>
      <c r="T824" s="15"/>
      <c r="U824" s="16">
        <f t="shared" si="132"/>
        <v>0.13201586175808275</v>
      </c>
      <c r="V824" s="14">
        <v>0</v>
      </c>
      <c r="W824" s="17">
        <v>60.5</v>
      </c>
      <c r="X824" s="14">
        <v>12.2</v>
      </c>
      <c r="Y824" s="18">
        <f t="shared" si="133"/>
        <v>12.5</v>
      </c>
      <c r="Z824" s="18" t="str">
        <f t="shared" si="134"/>
        <v>Low</v>
      </c>
      <c r="AA824" s="19" t="str">
        <f t="shared" si="135"/>
        <v>Eligible</v>
      </c>
      <c r="AB824" s="14" t="s">
        <v>85</v>
      </c>
      <c r="AC824" s="14">
        <v>0</v>
      </c>
      <c r="AD824" s="14" t="s">
        <v>78</v>
      </c>
      <c r="AE824" s="17">
        <v>18.8</v>
      </c>
      <c r="AF824" s="15">
        <v>0</v>
      </c>
      <c r="AG824" s="20">
        <f t="shared" si="136"/>
        <v>1965482</v>
      </c>
      <c r="AH824" s="14">
        <v>0</v>
      </c>
      <c r="AI824" s="14" t="s">
        <v>75</v>
      </c>
      <c r="AJ824" s="14">
        <v>36</v>
      </c>
      <c r="AK824" s="21">
        <f t="shared" si="137"/>
        <v>0.36</v>
      </c>
      <c r="AL824" s="20">
        <f t="shared" si="138"/>
        <v>0</v>
      </c>
      <c r="AM824" s="22">
        <f t="shared" si="139"/>
        <v>0</v>
      </c>
      <c r="AN824" s="20">
        <f t="shared" si="140"/>
        <v>21622.9</v>
      </c>
      <c r="AO824" s="16">
        <f t="shared" si="141"/>
        <v>0.13201586175808275</v>
      </c>
      <c r="AP824" s="15">
        <v>0</v>
      </c>
      <c r="AQ824" s="18" t="str">
        <f t="shared" si="142"/>
        <v>N/A</v>
      </c>
      <c r="AR824" s="23">
        <v>46089</v>
      </c>
      <c r="AS824" s="14" t="s">
        <v>79</v>
      </c>
    </row>
    <row r="825" spans="1:45" x14ac:dyDescent="0.25">
      <c r="A825" s="14" t="s">
        <v>2633</v>
      </c>
      <c r="B825" s="14" t="s">
        <v>2634</v>
      </c>
      <c r="C825" s="14">
        <v>9339921653</v>
      </c>
      <c r="D825" s="15" t="s">
        <v>2656</v>
      </c>
      <c r="E825" s="14">
        <v>44</v>
      </c>
      <c r="F825" s="14" t="s">
        <v>71</v>
      </c>
      <c r="G825" s="14" t="s">
        <v>226</v>
      </c>
      <c r="H825" s="14" t="s">
        <v>166</v>
      </c>
      <c r="I825" s="14" t="s">
        <v>74</v>
      </c>
      <c r="J825" s="15">
        <v>603834</v>
      </c>
      <c r="K825" s="14">
        <v>0</v>
      </c>
      <c r="L825" s="14" t="s">
        <v>75</v>
      </c>
      <c r="M825" s="14" t="s">
        <v>75</v>
      </c>
      <c r="N825" s="14" t="s">
        <v>75</v>
      </c>
      <c r="O825" s="14" t="s">
        <v>75</v>
      </c>
      <c r="P825" s="14">
        <v>411</v>
      </c>
      <c r="Q825" s="15">
        <v>608702.56999999995</v>
      </c>
      <c r="R825" s="15">
        <v>1496.07</v>
      </c>
      <c r="S825" s="14" t="s">
        <v>22</v>
      </c>
      <c r="T825" s="15">
        <v>61100</v>
      </c>
      <c r="U825" s="16">
        <f t="shared" si="132"/>
        <v>2.9731416250161468E-2</v>
      </c>
      <c r="V825" s="14">
        <v>1</v>
      </c>
      <c r="W825" s="17">
        <v>22.9</v>
      </c>
      <c r="X825" s="14">
        <v>1.2</v>
      </c>
      <c r="Y825" s="18">
        <f t="shared" si="133"/>
        <v>39.799999999999997</v>
      </c>
      <c r="Z825" s="18" t="str">
        <f t="shared" si="134"/>
        <v>Medium</v>
      </c>
      <c r="AA825" s="19" t="str">
        <f t="shared" si="135"/>
        <v>Not Eligible</v>
      </c>
      <c r="AB825" s="14" t="s">
        <v>77</v>
      </c>
      <c r="AC825" s="14">
        <v>2</v>
      </c>
      <c r="AD825" s="14" t="s">
        <v>194</v>
      </c>
      <c r="AE825" s="17">
        <v>8.3000000000000007</v>
      </c>
      <c r="AF825" s="15">
        <v>0</v>
      </c>
      <c r="AG825" s="20">
        <f t="shared" si="136"/>
        <v>603834</v>
      </c>
      <c r="AH825" s="14">
        <v>2</v>
      </c>
      <c r="AI825" s="14" t="s">
        <v>75</v>
      </c>
      <c r="AJ825" s="14">
        <v>60</v>
      </c>
      <c r="AK825" s="21">
        <f t="shared" si="137"/>
        <v>0.105</v>
      </c>
      <c r="AL825" s="20">
        <f t="shared" si="138"/>
        <v>1313.2773131029769</v>
      </c>
      <c r="AM825" s="22">
        <f t="shared" si="139"/>
        <v>0.10118675000082804</v>
      </c>
      <c r="AN825" s="20">
        <f t="shared" si="140"/>
        <v>2809.3473131029768</v>
      </c>
      <c r="AO825" s="16">
        <f t="shared" si="141"/>
        <v>5.5830191339400766E-2</v>
      </c>
      <c r="AP825" s="15">
        <v>1399306</v>
      </c>
      <c r="AQ825" s="18">
        <f t="shared" si="142"/>
        <v>4.3664502260406232E-2</v>
      </c>
      <c r="AR825" s="23">
        <v>45953</v>
      </c>
      <c r="AS825" s="14" t="s">
        <v>79</v>
      </c>
    </row>
    <row r="826" spans="1:45" x14ac:dyDescent="0.25">
      <c r="A826" s="14" t="s">
        <v>2636</v>
      </c>
      <c r="B826" s="14" t="s">
        <v>2637</v>
      </c>
      <c r="C826" s="14">
        <v>9589226316</v>
      </c>
      <c r="D826" s="15" t="s">
        <v>2659</v>
      </c>
      <c r="E826" s="14">
        <v>62</v>
      </c>
      <c r="F826" s="14" t="s">
        <v>89</v>
      </c>
      <c r="G826" s="14" t="s">
        <v>90</v>
      </c>
      <c r="H826" s="14" t="s">
        <v>166</v>
      </c>
      <c r="I826" s="14" t="s">
        <v>74</v>
      </c>
      <c r="J826" s="15">
        <v>1070223</v>
      </c>
      <c r="K826" s="14">
        <v>1</v>
      </c>
      <c r="L826" s="14" t="s">
        <v>76</v>
      </c>
      <c r="M826" s="14" t="s">
        <v>75</v>
      </c>
      <c r="N826" s="14" t="s">
        <v>75</v>
      </c>
      <c r="O826" s="14" t="s">
        <v>75</v>
      </c>
      <c r="P826" s="14">
        <v>757</v>
      </c>
      <c r="Q826" s="15">
        <v>63922</v>
      </c>
      <c r="R826" s="15">
        <v>8380.27</v>
      </c>
      <c r="S826" s="14" t="s">
        <v>22</v>
      </c>
      <c r="T826" s="15">
        <v>848019</v>
      </c>
      <c r="U826" s="16">
        <f t="shared" si="132"/>
        <v>9.3964753140233392E-2</v>
      </c>
      <c r="V826" s="14">
        <v>10</v>
      </c>
      <c r="W826" s="17">
        <v>64.5</v>
      </c>
      <c r="X826" s="14">
        <v>9.6999999999999993</v>
      </c>
      <c r="Y826" s="18">
        <f t="shared" si="133"/>
        <v>38.799999999999997</v>
      </c>
      <c r="Z826" s="18" t="str">
        <f t="shared" si="134"/>
        <v>Medium</v>
      </c>
      <c r="AA826" s="19" t="str">
        <f t="shared" si="135"/>
        <v>Not Eligible</v>
      </c>
      <c r="AB826" s="14" t="s">
        <v>77</v>
      </c>
      <c r="AC826" s="14">
        <v>2</v>
      </c>
      <c r="AD826" s="14" t="s">
        <v>78</v>
      </c>
      <c r="AE826" s="17">
        <v>3.3</v>
      </c>
      <c r="AF826" s="15">
        <v>0</v>
      </c>
      <c r="AG826" s="20">
        <f t="shared" si="136"/>
        <v>1070223</v>
      </c>
      <c r="AH826" s="14">
        <v>0</v>
      </c>
      <c r="AI826" s="14" t="s">
        <v>75</v>
      </c>
      <c r="AJ826" s="14">
        <v>84</v>
      </c>
      <c r="AK826" s="21">
        <f t="shared" si="137"/>
        <v>0.105</v>
      </c>
      <c r="AL826" s="20">
        <f t="shared" si="138"/>
        <v>14298.17118290323</v>
      </c>
      <c r="AM826" s="22">
        <f t="shared" si="139"/>
        <v>0.79237598145433241</v>
      </c>
      <c r="AN826" s="20">
        <f t="shared" si="140"/>
        <v>22678.441182903232</v>
      </c>
      <c r="AO826" s="16">
        <f t="shared" si="141"/>
        <v>0.2542846623505931</v>
      </c>
      <c r="AP826" s="15">
        <v>1463586</v>
      </c>
      <c r="AQ826" s="18">
        <f t="shared" si="142"/>
        <v>0.57941180087811717</v>
      </c>
      <c r="AR826" s="23">
        <v>46215</v>
      </c>
      <c r="AS826" s="14" t="s">
        <v>79</v>
      </c>
    </row>
    <row r="827" spans="1:45" x14ac:dyDescent="0.25">
      <c r="A827" s="14" t="s">
        <v>2639</v>
      </c>
      <c r="B827" s="14" t="s">
        <v>2544</v>
      </c>
      <c r="C827" s="14">
        <v>9351300022</v>
      </c>
      <c r="D827" s="15" t="s">
        <v>2661</v>
      </c>
      <c r="E827" s="14">
        <v>46</v>
      </c>
      <c r="F827" s="14" t="s">
        <v>89</v>
      </c>
      <c r="G827" s="14" t="s">
        <v>72</v>
      </c>
      <c r="H827" s="14" t="s">
        <v>132</v>
      </c>
      <c r="I827" s="14" t="s">
        <v>92</v>
      </c>
      <c r="J827" s="15">
        <v>979690</v>
      </c>
      <c r="K827" s="14">
        <v>2</v>
      </c>
      <c r="L827" s="14" t="s">
        <v>76</v>
      </c>
      <c r="M827" s="14" t="s">
        <v>76</v>
      </c>
      <c r="N827" s="14" t="s">
        <v>75</v>
      </c>
      <c r="O827" s="14" t="s">
        <v>75</v>
      </c>
      <c r="P827" s="14">
        <v>874</v>
      </c>
      <c r="Q827" s="15">
        <v>33319</v>
      </c>
      <c r="R827" s="15">
        <v>418.88</v>
      </c>
      <c r="S827" s="14" t="s">
        <v>20</v>
      </c>
      <c r="T827" s="15"/>
      <c r="U827" s="16">
        <f t="shared" si="132"/>
        <v>5.1307658545049961E-3</v>
      </c>
      <c r="V827" s="14">
        <v>3</v>
      </c>
      <c r="W827" s="17">
        <v>52.4</v>
      </c>
      <c r="X827" s="14">
        <v>3.1</v>
      </c>
      <c r="Y827" s="18">
        <f t="shared" si="133"/>
        <v>19.100000000000001</v>
      </c>
      <c r="Z827" s="18" t="str">
        <f t="shared" si="134"/>
        <v>Low</v>
      </c>
      <c r="AA827" s="19" t="str">
        <f t="shared" si="135"/>
        <v>Review</v>
      </c>
      <c r="AB827" s="14" t="s">
        <v>77</v>
      </c>
      <c r="AC827" s="14">
        <v>3</v>
      </c>
      <c r="AD827" s="14" t="s">
        <v>93</v>
      </c>
      <c r="AE827" s="17">
        <v>22.6</v>
      </c>
      <c r="AF827" s="15">
        <v>0</v>
      </c>
      <c r="AG827" s="20">
        <f t="shared" si="136"/>
        <v>979690</v>
      </c>
      <c r="AH827" s="14">
        <v>0</v>
      </c>
      <c r="AI827" s="14" t="s">
        <v>75</v>
      </c>
      <c r="AJ827" s="14">
        <v>36</v>
      </c>
      <c r="AK827" s="21">
        <f t="shared" si="137"/>
        <v>0.36</v>
      </c>
      <c r="AL827" s="20">
        <f t="shared" si="138"/>
        <v>0</v>
      </c>
      <c r="AM827" s="22">
        <f t="shared" si="139"/>
        <v>0</v>
      </c>
      <c r="AN827" s="20">
        <f t="shared" si="140"/>
        <v>418.88</v>
      </c>
      <c r="AO827" s="16">
        <f t="shared" si="141"/>
        <v>5.1307658545049961E-3</v>
      </c>
      <c r="AP827" s="15">
        <v>0</v>
      </c>
      <c r="AQ827" s="18" t="str">
        <f t="shared" si="142"/>
        <v>N/A</v>
      </c>
      <c r="AR827" s="23">
        <v>46081</v>
      </c>
      <c r="AS827" s="14" t="s">
        <v>79</v>
      </c>
    </row>
    <row r="828" spans="1:45" x14ac:dyDescent="0.25">
      <c r="A828" s="14" t="s">
        <v>2641</v>
      </c>
      <c r="B828" s="14" t="s">
        <v>2184</v>
      </c>
      <c r="C828" s="14"/>
      <c r="D828" s="15" t="s">
        <v>2663</v>
      </c>
      <c r="E828" s="14">
        <v>65</v>
      </c>
      <c r="F828" s="14" t="s">
        <v>89</v>
      </c>
      <c r="G828" s="14" t="s">
        <v>115</v>
      </c>
      <c r="H828" s="14" t="s">
        <v>73</v>
      </c>
      <c r="I828" s="14" t="s">
        <v>74</v>
      </c>
      <c r="J828" s="15">
        <v>1462197</v>
      </c>
      <c r="K828" s="14">
        <v>1</v>
      </c>
      <c r="L828" s="14" t="s">
        <v>76</v>
      </c>
      <c r="M828" s="14" t="s">
        <v>75</v>
      </c>
      <c r="N828" s="14" t="s">
        <v>75</v>
      </c>
      <c r="O828" s="14" t="s">
        <v>75</v>
      </c>
      <c r="P828" s="14">
        <v>717</v>
      </c>
      <c r="Q828" s="15">
        <v>301667</v>
      </c>
      <c r="R828" s="15">
        <v>13838.97</v>
      </c>
      <c r="S828" s="14" t="s">
        <v>22</v>
      </c>
      <c r="T828" s="15"/>
      <c r="U828" s="16">
        <f t="shared" si="132"/>
        <v>0.1135740532910408</v>
      </c>
      <c r="V828" s="14">
        <v>2</v>
      </c>
      <c r="W828" s="17">
        <v>56.6</v>
      </c>
      <c r="X828" s="14">
        <v>7.5</v>
      </c>
      <c r="Y828" s="18">
        <f t="shared" si="133"/>
        <v>29.3</v>
      </c>
      <c r="Z828" s="18" t="str">
        <f t="shared" si="134"/>
        <v>Low</v>
      </c>
      <c r="AA828" s="19" t="str">
        <f t="shared" si="135"/>
        <v>Eligible</v>
      </c>
      <c r="AB828" s="14" t="s">
        <v>85</v>
      </c>
      <c r="AC828" s="14">
        <v>2</v>
      </c>
      <c r="AD828" s="14" t="s">
        <v>78</v>
      </c>
      <c r="AE828" s="17">
        <v>11.4</v>
      </c>
      <c r="AF828" s="15">
        <v>693415</v>
      </c>
      <c r="AG828" s="20">
        <f t="shared" si="136"/>
        <v>2155612</v>
      </c>
      <c r="AH828" s="14">
        <v>0</v>
      </c>
      <c r="AI828" s="14" t="s">
        <v>75</v>
      </c>
      <c r="AJ828" s="14">
        <v>72</v>
      </c>
      <c r="AK828" s="21">
        <f t="shared" si="137"/>
        <v>0.09</v>
      </c>
      <c r="AL828" s="20">
        <f t="shared" si="138"/>
        <v>0</v>
      </c>
      <c r="AM828" s="22">
        <f t="shared" si="139"/>
        <v>0</v>
      </c>
      <c r="AN828" s="20">
        <f t="shared" si="140"/>
        <v>13838.97</v>
      </c>
      <c r="AO828" s="16">
        <f t="shared" si="141"/>
        <v>0.1135740532910408</v>
      </c>
      <c r="AP828" s="15">
        <v>503277</v>
      </c>
      <c r="AQ828" s="18">
        <f t="shared" si="142"/>
        <v>0</v>
      </c>
      <c r="AR828" s="23">
        <v>46234</v>
      </c>
      <c r="AS828" s="14" t="s">
        <v>79</v>
      </c>
    </row>
    <row r="829" spans="1:45" x14ac:dyDescent="0.25">
      <c r="A829" s="14" t="s">
        <v>2643</v>
      </c>
      <c r="B829" s="14" t="s">
        <v>522</v>
      </c>
      <c r="C829" s="14">
        <v>9859401717</v>
      </c>
      <c r="D829" s="15" t="s">
        <v>2666</v>
      </c>
      <c r="E829" s="14">
        <v>53</v>
      </c>
      <c r="F829" s="14" t="s">
        <v>71</v>
      </c>
      <c r="G829" s="14" t="s">
        <v>143</v>
      </c>
      <c r="H829" s="14" t="s">
        <v>144</v>
      </c>
      <c r="I829" s="14" t="s">
        <v>92</v>
      </c>
      <c r="J829" s="15">
        <v>1258989</v>
      </c>
      <c r="K829" s="14">
        <v>0</v>
      </c>
      <c r="L829" s="14" t="s">
        <v>75</v>
      </c>
      <c r="M829" s="14" t="s">
        <v>75</v>
      </c>
      <c r="N829" s="14" t="s">
        <v>75</v>
      </c>
      <c r="O829" s="14" t="s">
        <v>75</v>
      </c>
      <c r="P829" s="14">
        <v>463</v>
      </c>
      <c r="Q829" s="15">
        <v>31672.799999999999</v>
      </c>
      <c r="R829" s="15">
        <v>2502.39</v>
      </c>
      <c r="S829" s="14" t="s">
        <v>21</v>
      </c>
      <c r="T829" s="15">
        <v>188135</v>
      </c>
      <c r="U829" s="16">
        <f t="shared" si="132"/>
        <v>2.3851423642303467E-2</v>
      </c>
      <c r="V829" s="14">
        <v>8</v>
      </c>
      <c r="W829" s="17">
        <v>83.8</v>
      </c>
      <c r="X829" s="14">
        <v>7.9</v>
      </c>
      <c r="Y829" s="18">
        <f t="shared" si="133"/>
        <v>58.2</v>
      </c>
      <c r="Z829" s="18" t="str">
        <f t="shared" si="134"/>
        <v>Medium</v>
      </c>
      <c r="AA829" s="19" t="str">
        <f t="shared" si="135"/>
        <v>Not Eligible</v>
      </c>
      <c r="AB829" s="14" t="s">
        <v>85</v>
      </c>
      <c r="AC829" s="14">
        <v>0</v>
      </c>
      <c r="AD829" s="14" t="s">
        <v>93</v>
      </c>
      <c r="AE829" s="17">
        <v>14</v>
      </c>
      <c r="AF829" s="15">
        <v>0</v>
      </c>
      <c r="AG829" s="20">
        <f t="shared" si="136"/>
        <v>1258989</v>
      </c>
      <c r="AH829" s="14">
        <v>0</v>
      </c>
      <c r="AI829" s="14" t="s">
        <v>76</v>
      </c>
      <c r="AJ829" s="14">
        <v>60</v>
      </c>
      <c r="AK829" s="21">
        <f t="shared" si="137"/>
        <v>0.15500000000000003</v>
      </c>
      <c r="AL829" s="20">
        <f t="shared" si="138"/>
        <v>4525.2471037808737</v>
      </c>
      <c r="AM829" s="22">
        <f t="shared" si="139"/>
        <v>0.14943339457294702</v>
      </c>
      <c r="AN829" s="20">
        <f t="shared" si="140"/>
        <v>7027.6371037808731</v>
      </c>
      <c r="AO829" s="16">
        <f t="shared" si="141"/>
        <v>6.6983623562533498E-2</v>
      </c>
      <c r="AP829" s="15">
        <v>0</v>
      </c>
      <c r="AQ829" s="18" t="str">
        <f t="shared" si="142"/>
        <v>N/A</v>
      </c>
      <c r="AR829" s="23">
        <v>46043</v>
      </c>
      <c r="AS829" s="14" t="s">
        <v>79</v>
      </c>
    </row>
    <row r="830" spans="1:45" x14ac:dyDescent="0.25">
      <c r="A830" s="14" t="s">
        <v>2645</v>
      </c>
      <c r="B830" s="14" t="s">
        <v>2646</v>
      </c>
      <c r="C830" s="14">
        <v>9558875079</v>
      </c>
      <c r="D830" s="15"/>
      <c r="E830" s="14">
        <v>56</v>
      </c>
      <c r="F830" s="14" t="s">
        <v>71</v>
      </c>
      <c r="G830" s="14" t="s">
        <v>215</v>
      </c>
      <c r="H830" s="14" t="s">
        <v>84</v>
      </c>
      <c r="I830" s="14" t="s">
        <v>74</v>
      </c>
      <c r="J830" s="15">
        <v>1322802</v>
      </c>
      <c r="K830" s="14">
        <v>0</v>
      </c>
      <c r="L830" s="14" t="s">
        <v>75</v>
      </c>
      <c r="M830" s="14" t="s">
        <v>75</v>
      </c>
      <c r="N830" s="14" t="s">
        <v>75</v>
      </c>
      <c r="O830" s="14" t="s">
        <v>75</v>
      </c>
      <c r="P830" s="14">
        <v>848</v>
      </c>
      <c r="Q830" s="15">
        <v>428384</v>
      </c>
      <c r="R830" s="15">
        <v>322.29000000000002</v>
      </c>
      <c r="S830" s="14" t="s">
        <v>22</v>
      </c>
      <c r="T830" s="15">
        <v>1228311</v>
      </c>
      <c r="U830" s="16">
        <f t="shared" si="132"/>
        <v>2.9237028670957561E-3</v>
      </c>
      <c r="V830" s="14">
        <v>3</v>
      </c>
      <c r="W830" s="17">
        <v>39.299999999999997</v>
      </c>
      <c r="X830" s="14">
        <v>10.9</v>
      </c>
      <c r="Y830" s="18">
        <f t="shared" si="133"/>
        <v>19.5</v>
      </c>
      <c r="Z830" s="18" t="str">
        <f t="shared" si="134"/>
        <v>Low</v>
      </c>
      <c r="AA830" s="19" t="str">
        <f t="shared" si="135"/>
        <v>Review</v>
      </c>
      <c r="AB830" s="14" t="s">
        <v>85</v>
      </c>
      <c r="AC830" s="14">
        <v>2</v>
      </c>
      <c r="AD830" s="14" t="s">
        <v>78</v>
      </c>
      <c r="AE830" s="17">
        <v>5.2</v>
      </c>
      <c r="AF830" s="15">
        <v>0</v>
      </c>
      <c r="AG830" s="20">
        <f t="shared" si="136"/>
        <v>1322802</v>
      </c>
      <c r="AH830" s="14">
        <v>0</v>
      </c>
      <c r="AI830" s="14" t="s">
        <v>75</v>
      </c>
      <c r="AJ830" s="14">
        <v>36</v>
      </c>
      <c r="AK830" s="21">
        <f t="shared" si="137"/>
        <v>0.09</v>
      </c>
      <c r="AL830" s="20">
        <f t="shared" si="138"/>
        <v>39059.961423264402</v>
      </c>
      <c r="AM830" s="22">
        <f t="shared" si="139"/>
        <v>0.92856754072037995</v>
      </c>
      <c r="AN830" s="20">
        <f t="shared" si="140"/>
        <v>39382.251423264403</v>
      </c>
      <c r="AO830" s="16">
        <f t="shared" si="141"/>
        <v>0.35726209748637577</v>
      </c>
      <c r="AP830" s="15">
        <v>1195631</v>
      </c>
      <c r="AQ830" s="18">
        <f t="shared" si="142"/>
        <v>1.027332847676248</v>
      </c>
      <c r="AR830" s="23">
        <v>46203</v>
      </c>
      <c r="AS830" s="14" t="s">
        <v>79</v>
      </c>
    </row>
    <row r="831" spans="1:45" x14ac:dyDescent="0.25">
      <c r="A831" s="14" t="s">
        <v>2648</v>
      </c>
      <c r="B831" s="14" t="s">
        <v>2649</v>
      </c>
      <c r="C831" s="14">
        <v>9310986781</v>
      </c>
      <c r="D831" s="15" t="s">
        <v>2671</v>
      </c>
      <c r="E831" s="14">
        <v>35</v>
      </c>
      <c r="F831" s="14" t="s">
        <v>89</v>
      </c>
      <c r="G831" s="14" t="s">
        <v>72</v>
      </c>
      <c r="H831" s="14" t="s">
        <v>103</v>
      </c>
      <c r="I831" s="14" t="s">
        <v>74</v>
      </c>
      <c r="J831" s="15">
        <v>1430956</v>
      </c>
      <c r="K831" s="14">
        <v>0</v>
      </c>
      <c r="L831" s="14" t="s">
        <v>75</v>
      </c>
      <c r="M831" s="14" t="s">
        <v>75</v>
      </c>
      <c r="N831" s="14" t="s">
        <v>75</v>
      </c>
      <c r="O831" s="14" t="s">
        <v>75</v>
      </c>
      <c r="P831" s="14">
        <v>304</v>
      </c>
      <c r="Q831" s="15">
        <v>351352.42</v>
      </c>
      <c r="R831" s="15">
        <v>2660.36</v>
      </c>
      <c r="S831" s="14" t="s">
        <v>20</v>
      </c>
      <c r="T831" s="15">
        <v>485071</v>
      </c>
      <c r="U831" s="16">
        <f t="shared" si="132"/>
        <v>2.2309784507699746E-2</v>
      </c>
      <c r="V831" s="14">
        <v>0</v>
      </c>
      <c r="W831" s="17">
        <v>58.1</v>
      </c>
      <c r="X831" s="14">
        <v>5.4</v>
      </c>
      <c r="Y831" s="18">
        <f t="shared" si="133"/>
        <v>46.2</v>
      </c>
      <c r="Z831" s="18" t="str">
        <f t="shared" si="134"/>
        <v>Medium</v>
      </c>
      <c r="AA831" s="19" t="str">
        <f t="shared" si="135"/>
        <v>Not Eligible</v>
      </c>
      <c r="AB831" s="14" t="s">
        <v>85</v>
      </c>
      <c r="AC831" s="14">
        <v>2</v>
      </c>
      <c r="AD831" s="14" t="s">
        <v>93</v>
      </c>
      <c r="AE831" s="17">
        <v>9</v>
      </c>
      <c r="AF831" s="15">
        <v>407623</v>
      </c>
      <c r="AG831" s="20">
        <f t="shared" si="136"/>
        <v>1838579</v>
      </c>
      <c r="AH831" s="14">
        <v>1</v>
      </c>
      <c r="AI831" s="14" t="s">
        <v>76</v>
      </c>
      <c r="AJ831" s="14">
        <v>12</v>
      </c>
      <c r="AK831" s="21">
        <f t="shared" si="137"/>
        <v>0.375</v>
      </c>
      <c r="AL831" s="20">
        <f t="shared" si="138"/>
        <v>49095.576002621274</v>
      </c>
      <c r="AM831" s="22">
        <f t="shared" si="139"/>
        <v>0.3389838681273219</v>
      </c>
      <c r="AN831" s="20">
        <f t="shared" si="140"/>
        <v>51755.936002621274</v>
      </c>
      <c r="AO831" s="16">
        <f t="shared" si="141"/>
        <v>0.43402538724562828</v>
      </c>
      <c r="AP831" s="15">
        <v>0</v>
      </c>
      <c r="AQ831" s="18" t="str">
        <f t="shared" si="142"/>
        <v>N/A</v>
      </c>
      <c r="AR831" s="23">
        <v>46054</v>
      </c>
      <c r="AS831" s="14" t="s">
        <v>79</v>
      </c>
    </row>
    <row r="832" spans="1:45" x14ac:dyDescent="0.25">
      <c r="A832" s="14" t="s">
        <v>2650</v>
      </c>
      <c r="B832" s="14" t="s">
        <v>2651</v>
      </c>
      <c r="C832" s="14">
        <v>9946837680</v>
      </c>
      <c r="D832" s="15" t="s">
        <v>2674</v>
      </c>
      <c r="E832" s="14">
        <v>59</v>
      </c>
      <c r="F832" s="14" t="s">
        <v>89</v>
      </c>
      <c r="G832" s="14" t="s">
        <v>131</v>
      </c>
      <c r="H832" s="14" t="s">
        <v>91</v>
      </c>
      <c r="I832" s="14" t="s">
        <v>92</v>
      </c>
      <c r="J832" s="15">
        <v>2361378</v>
      </c>
      <c r="K832" s="14">
        <v>1</v>
      </c>
      <c r="L832" s="14" t="s">
        <v>75</v>
      </c>
      <c r="M832" s="14" t="s">
        <v>75</v>
      </c>
      <c r="N832" s="14" t="s">
        <v>75</v>
      </c>
      <c r="O832" s="14" t="s">
        <v>76</v>
      </c>
      <c r="P832" s="14">
        <v>402</v>
      </c>
      <c r="Q832" s="15"/>
      <c r="R832" s="15">
        <v>5860.17</v>
      </c>
      <c r="S832" s="14" t="s">
        <v>22</v>
      </c>
      <c r="T832" s="15">
        <v>920427</v>
      </c>
      <c r="U832" s="16">
        <f t="shared" si="132"/>
        <v>2.9780086034510361E-2</v>
      </c>
      <c r="V832" s="14">
        <v>0</v>
      </c>
      <c r="W832" s="17">
        <v>87.5</v>
      </c>
      <c r="X832" s="14">
        <v>6.1</v>
      </c>
      <c r="Y832" s="18">
        <f t="shared" si="133"/>
        <v>42.8</v>
      </c>
      <c r="Z832" s="18" t="str">
        <f t="shared" si="134"/>
        <v>Medium</v>
      </c>
      <c r="AA832" s="19" t="str">
        <f t="shared" si="135"/>
        <v>Not Eligible</v>
      </c>
      <c r="AB832" s="14" t="s">
        <v>85</v>
      </c>
      <c r="AC832" s="14">
        <v>1</v>
      </c>
      <c r="AD832" s="14" t="s">
        <v>78</v>
      </c>
      <c r="AE832" s="17">
        <v>16.7</v>
      </c>
      <c r="AF832" s="15">
        <v>0</v>
      </c>
      <c r="AG832" s="20">
        <f t="shared" si="136"/>
        <v>2361378</v>
      </c>
      <c r="AH832" s="14">
        <v>0</v>
      </c>
      <c r="AI832" s="14" t="s">
        <v>75</v>
      </c>
      <c r="AJ832" s="14">
        <v>84</v>
      </c>
      <c r="AK832" s="21">
        <f t="shared" si="137"/>
        <v>0.105</v>
      </c>
      <c r="AL832" s="20">
        <f t="shared" si="138"/>
        <v>15519.018804255651</v>
      </c>
      <c r="AM832" s="22">
        <f t="shared" si="139"/>
        <v>0.38978384655061576</v>
      </c>
      <c r="AN832" s="20">
        <f t="shared" si="140"/>
        <v>21379.188804255653</v>
      </c>
      <c r="AO832" s="16">
        <f t="shared" si="141"/>
        <v>0.10864430245859318</v>
      </c>
      <c r="AP832" s="15">
        <v>404130</v>
      </c>
      <c r="AQ832" s="18">
        <f t="shared" si="142"/>
        <v>2.2775517778932524</v>
      </c>
      <c r="AR832" s="23">
        <v>46249</v>
      </c>
      <c r="AS832" s="14" t="s">
        <v>79</v>
      </c>
    </row>
    <row r="833" spans="1:45" x14ac:dyDescent="0.25">
      <c r="A833" s="14" t="s">
        <v>2653</v>
      </c>
      <c r="B833" s="14" t="s">
        <v>2654</v>
      </c>
      <c r="C833" s="14">
        <v>9687234675</v>
      </c>
      <c r="D833" s="15" t="s">
        <v>2677</v>
      </c>
      <c r="E833" s="14">
        <v>56</v>
      </c>
      <c r="F833" s="14" t="s">
        <v>89</v>
      </c>
      <c r="G833" s="14" t="s">
        <v>106</v>
      </c>
      <c r="H833" s="14" t="s">
        <v>84</v>
      </c>
      <c r="I833" s="14" t="s">
        <v>74</v>
      </c>
      <c r="J833" s="15">
        <v>1735381</v>
      </c>
      <c r="K833" s="14">
        <v>1</v>
      </c>
      <c r="L833" s="14" t="s">
        <v>75</v>
      </c>
      <c r="M833" s="14" t="s">
        <v>76</v>
      </c>
      <c r="N833" s="14" t="s">
        <v>75</v>
      </c>
      <c r="O833" s="14" t="s">
        <v>75</v>
      </c>
      <c r="P833" s="14">
        <v>382</v>
      </c>
      <c r="Q833" s="15">
        <v>489004.35</v>
      </c>
      <c r="R833" s="15">
        <v>19021.96</v>
      </c>
      <c r="S833" s="14" t="s">
        <v>20</v>
      </c>
      <c r="T833" s="15"/>
      <c r="U833" s="16">
        <f t="shared" si="132"/>
        <v>0.13153510381870032</v>
      </c>
      <c r="V833" s="14">
        <v>1</v>
      </c>
      <c r="W833" s="17">
        <v>90.7</v>
      </c>
      <c r="X833" s="14">
        <v>4.7</v>
      </c>
      <c r="Y833" s="18">
        <f t="shared" si="133"/>
        <v>51.5</v>
      </c>
      <c r="Z833" s="18" t="str">
        <f t="shared" si="134"/>
        <v>Medium</v>
      </c>
      <c r="AA833" s="19" t="str">
        <f t="shared" si="135"/>
        <v>Not Eligible</v>
      </c>
      <c r="AB833" s="14" t="s">
        <v>77</v>
      </c>
      <c r="AC833" s="14">
        <v>1</v>
      </c>
      <c r="AD833" s="14" t="s">
        <v>93</v>
      </c>
      <c r="AE833" s="17">
        <v>20.8</v>
      </c>
      <c r="AF833" s="15">
        <v>0</v>
      </c>
      <c r="AG833" s="20">
        <f t="shared" si="136"/>
        <v>1735381</v>
      </c>
      <c r="AH833" s="14">
        <v>2</v>
      </c>
      <c r="AI833" s="14" t="s">
        <v>75</v>
      </c>
      <c r="AJ833" s="14">
        <v>36</v>
      </c>
      <c r="AK833" s="21">
        <f t="shared" si="137"/>
        <v>0.375</v>
      </c>
      <c r="AL833" s="20">
        <f t="shared" si="138"/>
        <v>0</v>
      </c>
      <c r="AM833" s="22">
        <f t="shared" si="139"/>
        <v>0</v>
      </c>
      <c r="AN833" s="20">
        <f t="shared" si="140"/>
        <v>19021.96</v>
      </c>
      <c r="AO833" s="16">
        <f t="shared" si="141"/>
        <v>0.13153510381870032</v>
      </c>
      <c r="AP833" s="15">
        <v>0</v>
      </c>
      <c r="AQ833" s="18" t="str">
        <f t="shared" si="142"/>
        <v>N/A</v>
      </c>
      <c r="AR833" s="23">
        <v>45990</v>
      </c>
      <c r="AS833" s="14" t="s">
        <v>79</v>
      </c>
    </row>
    <row r="834" spans="1:45" x14ac:dyDescent="0.25">
      <c r="A834" s="14" t="s">
        <v>2657</v>
      </c>
      <c r="B834" s="14" t="s">
        <v>2658</v>
      </c>
      <c r="C834" s="14">
        <v>9560002463</v>
      </c>
      <c r="D834" s="15"/>
      <c r="E834" s="14">
        <v>49</v>
      </c>
      <c r="F834" s="14" t="s">
        <v>89</v>
      </c>
      <c r="G834" s="14" t="s">
        <v>153</v>
      </c>
      <c r="H834" s="14" t="s">
        <v>73</v>
      </c>
      <c r="I834" s="14" t="s">
        <v>74</v>
      </c>
      <c r="J834" s="15">
        <v>888868</v>
      </c>
      <c r="K834" s="14">
        <v>0</v>
      </c>
      <c r="L834" s="14" t="s">
        <v>75</v>
      </c>
      <c r="M834" s="14" t="s">
        <v>75</v>
      </c>
      <c r="N834" s="14" t="s">
        <v>75</v>
      </c>
      <c r="O834" s="14" t="s">
        <v>75</v>
      </c>
      <c r="P834" s="14">
        <v>733</v>
      </c>
      <c r="Q834" s="15">
        <v>461822</v>
      </c>
      <c r="R834" s="15">
        <v>1065.3699999999999</v>
      </c>
      <c r="S834" s="14" t="s">
        <v>21</v>
      </c>
      <c r="T834" s="15">
        <v>247384</v>
      </c>
      <c r="U834" s="16">
        <f t="shared" ref="U834:U897" si="143">IFERROR((R834*12)/J834,0)</f>
        <v>1.4382832996575418E-2</v>
      </c>
      <c r="V834" s="14">
        <v>0</v>
      </c>
      <c r="W834" s="17">
        <v>88.9</v>
      </c>
      <c r="X834" s="14">
        <v>2.8</v>
      </c>
      <c r="Y834" s="18">
        <f t="shared" ref="Y834:Y897" si="144">ROUND(0.4*((900-P834)/600*100)+0.3*MIN(U834*100,100)+0.2*MIN(V834*20,100)+0.1*W834,1)</f>
        <v>20.5</v>
      </c>
      <c r="Z834" s="18" t="str">
        <f t="shared" ref="Z834:Z897" si="145">IF(Y834&lt;=30,"Low",IF(Y834&lt;=60,"Medium","High"))</f>
        <v>Low</v>
      </c>
      <c r="AA834" s="19" t="str">
        <f t="shared" ref="AA834:AA897" si="146">IF(AND(P834&gt;=650,U834&lt;=0.4,V834&lt;=2,Y834&lt;=50),"Eligible",IF(AND(P834&gt;=550,V834&lt;=4,Y834&lt;=75),"Review","Not Eligible"))</f>
        <v>Eligible</v>
      </c>
      <c r="AB834" s="14" t="s">
        <v>85</v>
      </c>
      <c r="AC834" s="14">
        <v>2</v>
      </c>
      <c r="AD834" s="14" t="s">
        <v>93</v>
      </c>
      <c r="AE834" s="17">
        <v>14.5</v>
      </c>
      <c r="AF834" s="15">
        <v>0</v>
      </c>
      <c r="AG834" s="20">
        <f t="shared" ref="AG834:AG897" si="147">J834+AF834</f>
        <v>888868</v>
      </c>
      <c r="AH834" s="14">
        <v>0</v>
      </c>
      <c r="AI834" s="14" t="s">
        <v>75</v>
      </c>
      <c r="AJ834" s="14">
        <v>60</v>
      </c>
      <c r="AK834" s="21">
        <f t="shared" ref="AK834:AK897" si="148">(IF(S834="Credit Card",0.36,IF(S834="Personal Loan",0.14,IF(S834="Car Loan",0.09,0.085))))+IF(Z834="Low",0,IF(Z834="Medium",0.015,0.03))</f>
        <v>0.14000000000000001</v>
      </c>
      <c r="AL834" s="20">
        <f t="shared" ref="AL834:AL897" si="149">-PMT(AK834/12,AJ834,T834)</f>
        <v>5756.1929681249258</v>
      </c>
      <c r="AM834" s="22">
        <f t="shared" ref="AM834:AM897" si="150">IFERROR(T834/J834,0)</f>
        <v>0.27831354036819866</v>
      </c>
      <c r="AN834" s="20">
        <f t="shared" ref="AN834:AN897" si="151">R834+AL834</f>
        <v>6821.5629681249256</v>
      </c>
      <c r="AO834" s="16">
        <f t="shared" ref="AO834:AO897" si="152">IFERROR((AN834*12)/J834,0)</f>
        <v>9.2093264261396635E-2</v>
      </c>
      <c r="AP834" s="15">
        <v>0</v>
      </c>
      <c r="AQ834" s="18" t="str">
        <f t="shared" ref="AQ834:AQ897" si="153">IF(AP834&gt;0,T834/AP834,"N/A")</f>
        <v>N/A</v>
      </c>
      <c r="AR834" s="23">
        <v>46213</v>
      </c>
      <c r="AS834" s="14" t="s">
        <v>94</v>
      </c>
    </row>
    <row r="835" spans="1:45" x14ac:dyDescent="0.25">
      <c r="A835" s="14" t="s">
        <v>2660</v>
      </c>
      <c r="B835" s="14" t="s">
        <v>547</v>
      </c>
      <c r="C835" s="14"/>
      <c r="D835" s="15" t="s">
        <v>2683</v>
      </c>
      <c r="E835" s="14">
        <v>48</v>
      </c>
      <c r="F835" s="14" t="s">
        <v>71</v>
      </c>
      <c r="G835" s="14" t="s">
        <v>127</v>
      </c>
      <c r="H835" s="14" t="s">
        <v>91</v>
      </c>
      <c r="I835" s="14" t="s">
        <v>92</v>
      </c>
      <c r="J835" s="15">
        <v>1709399</v>
      </c>
      <c r="K835" s="14">
        <v>1</v>
      </c>
      <c r="L835" s="14" t="s">
        <v>75</v>
      </c>
      <c r="M835" s="14" t="s">
        <v>75</v>
      </c>
      <c r="N835" s="14" t="s">
        <v>75</v>
      </c>
      <c r="O835" s="14" t="s">
        <v>76</v>
      </c>
      <c r="P835" s="14">
        <v>643</v>
      </c>
      <c r="Q835" s="15">
        <v>621033</v>
      </c>
      <c r="R835" s="15">
        <v>1009.67</v>
      </c>
      <c r="S835" s="14" t="s">
        <v>21</v>
      </c>
      <c r="T835" s="15">
        <v>143903</v>
      </c>
      <c r="U835" s="16">
        <f t="shared" si="143"/>
        <v>7.0878946343129945E-3</v>
      </c>
      <c r="V835" s="14">
        <v>0</v>
      </c>
      <c r="W835" s="17">
        <v>69.3</v>
      </c>
      <c r="X835" s="14">
        <v>10.9</v>
      </c>
      <c r="Y835" s="18">
        <f t="shared" si="144"/>
        <v>24.3</v>
      </c>
      <c r="Z835" s="18" t="str">
        <f t="shared" si="145"/>
        <v>Low</v>
      </c>
      <c r="AA835" s="19" t="str">
        <f t="shared" si="146"/>
        <v>Review</v>
      </c>
      <c r="AB835" s="14" t="s">
        <v>85</v>
      </c>
      <c r="AC835" s="14">
        <v>2</v>
      </c>
      <c r="AD835" s="14" t="s">
        <v>78</v>
      </c>
      <c r="AE835" s="17">
        <v>4.9000000000000004</v>
      </c>
      <c r="AF835" s="15">
        <v>0</v>
      </c>
      <c r="AG835" s="20">
        <f t="shared" si="147"/>
        <v>1709399</v>
      </c>
      <c r="AH835" s="14">
        <v>0</v>
      </c>
      <c r="AI835" s="14" t="s">
        <v>75</v>
      </c>
      <c r="AJ835" s="14">
        <v>60</v>
      </c>
      <c r="AK835" s="21">
        <f t="shared" si="148"/>
        <v>0.14000000000000001</v>
      </c>
      <c r="AL835" s="20">
        <f t="shared" si="149"/>
        <v>3348.3711019794378</v>
      </c>
      <c r="AM835" s="22">
        <f t="shared" si="150"/>
        <v>8.4183388430670664E-2</v>
      </c>
      <c r="AN835" s="20">
        <f t="shared" si="151"/>
        <v>4358.0411019794374</v>
      </c>
      <c r="AO835" s="16">
        <f t="shared" si="152"/>
        <v>3.0593497026588437E-2</v>
      </c>
      <c r="AP835" s="15">
        <v>0</v>
      </c>
      <c r="AQ835" s="18" t="str">
        <f t="shared" si="153"/>
        <v>N/A</v>
      </c>
      <c r="AR835" s="23">
        <v>46179</v>
      </c>
      <c r="AS835" s="14" t="s">
        <v>79</v>
      </c>
    </row>
    <row r="836" spans="1:45" x14ac:dyDescent="0.25">
      <c r="A836" s="14" t="s">
        <v>2662</v>
      </c>
      <c r="B836" s="14" t="s">
        <v>1709</v>
      </c>
      <c r="C836" s="14">
        <v>9509828757</v>
      </c>
      <c r="D836" s="15" t="s">
        <v>2685</v>
      </c>
      <c r="E836" s="14">
        <v>63</v>
      </c>
      <c r="F836" s="14" t="s">
        <v>89</v>
      </c>
      <c r="G836" s="14" t="s">
        <v>72</v>
      </c>
      <c r="H836" s="14" t="s">
        <v>166</v>
      </c>
      <c r="I836" s="14" t="s">
        <v>74</v>
      </c>
      <c r="J836" s="15">
        <v>909221</v>
      </c>
      <c r="K836" s="14">
        <v>1</v>
      </c>
      <c r="L836" s="14" t="s">
        <v>76</v>
      </c>
      <c r="M836" s="14" t="s">
        <v>75</v>
      </c>
      <c r="N836" s="14" t="s">
        <v>75</v>
      </c>
      <c r="O836" s="14" t="s">
        <v>75</v>
      </c>
      <c r="P836" s="14">
        <v>448</v>
      </c>
      <c r="Q836" s="15"/>
      <c r="R836" s="15">
        <v>5201.16</v>
      </c>
      <c r="S836" s="14" t="s">
        <v>21</v>
      </c>
      <c r="T836" s="15">
        <v>106965</v>
      </c>
      <c r="U836" s="16">
        <f t="shared" si="143"/>
        <v>6.8645488830548343E-2</v>
      </c>
      <c r="V836" s="14">
        <v>0</v>
      </c>
      <c r="W836" s="17">
        <v>17.600000000000001</v>
      </c>
      <c r="X836" s="14">
        <v>5.6</v>
      </c>
      <c r="Y836" s="18">
        <f t="shared" si="144"/>
        <v>34</v>
      </c>
      <c r="Z836" s="18" t="str">
        <f t="shared" si="145"/>
        <v>Medium</v>
      </c>
      <c r="AA836" s="19" t="str">
        <f t="shared" si="146"/>
        <v>Not Eligible</v>
      </c>
      <c r="AB836" s="14" t="s">
        <v>85</v>
      </c>
      <c r="AC836" s="14">
        <v>1</v>
      </c>
      <c r="AD836" s="14" t="s">
        <v>78</v>
      </c>
      <c r="AE836" s="17">
        <v>18.399999999999999</v>
      </c>
      <c r="AF836" s="15">
        <v>398427</v>
      </c>
      <c r="AG836" s="20">
        <f t="shared" si="147"/>
        <v>1307648</v>
      </c>
      <c r="AH836" s="14">
        <v>1</v>
      </c>
      <c r="AI836" s="14" t="s">
        <v>75</v>
      </c>
      <c r="AJ836" s="14">
        <v>36</v>
      </c>
      <c r="AK836" s="21">
        <f t="shared" si="148"/>
        <v>0.15500000000000003</v>
      </c>
      <c r="AL836" s="20">
        <f t="shared" si="149"/>
        <v>3734.2209954963487</v>
      </c>
      <c r="AM836" s="22">
        <f t="shared" si="150"/>
        <v>0.11764466504843157</v>
      </c>
      <c r="AN836" s="20">
        <f t="shared" si="151"/>
        <v>8935.380995496349</v>
      </c>
      <c r="AO836" s="16">
        <f t="shared" si="152"/>
        <v>0.11793015333560947</v>
      </c>
      <c r="AP836" s="15">
        <v>0</v>
      </c>
      <c r="AQ836" s="18" t="str">
        <f t="shared" si="153"/>
        <v>N/A</v>
      </c>
      <c r="AR836" s="23">
        <v>45994</v>
      </c>
      <c r="AS836" s="14" t="s">
        <v>79</v>
      </c>
    </row>
    <row r="837" spans="1:45" x14ac:dyDescent="0.25">
      <c r="A837" s="14" t="s">
        <v>2664</v>
      </c>
      <c r="B837" s="14" t="s">
        <v>2665</v>
      </c>
      <c r="C837" s="14">
        <v>9830119469</v>
      </c>
      <c r="D837" s="15" t="s">
        <v>2688</v>
      </c>
      <c r="E837" s="14">
        <v>36</v>
      </c>
      <c r="F837" s="14" t="s">
        <v>89</v>
      </c>
      <c r="G837" s="14" t="s">
        <v>106</v>
      </c>
      <c r="H837" s="14" t="s">
        <v>91</v>
      </c>
      <c r="I837" s="14" t="s">
        <v>92</v>
      </c>
      <c r="J837" s="15">
        <v>654655</v>
      </c>
      <c r="K837" s="14">
        <v>0</v>
      </c>
      <c r="L837" s="14" t="s">
        <v>75</v>
      </c>
      <c r="M837" s="14" t="s">
        <v>75</v>
      </c>
      <c r="N837" s="14" t="s">
        <v>75</v>
      </c>
      <c r="O837" s="14" t="s">
        <v>75</v>
      </c>
      <c r="P837" s="14">
        <v>899</v>
      </c>
      <c r="Q837" s="15">
        <v>371503</v>
      </c>
      <c r="R837" s="15">
        <v>1666.99</v>
      </c>
      <c r="S837" s="14" t="s">
        <v>20</v>
      </c>
      <c r="T837" s="15">
        <v>3238194</v>
      </c>
      <c r="U837" s="16">
        <f t="shared" si="143"/>
        <v>3.0556369385401471E-2</v>
      </c>
      <c r="V837" s="14">
        <v>0</v>
      </c>
      <c r="W837" s="17">
        <v>19</v>
      </c>
      <c r="X837" s="14">
        <v>8.9</v>
      </c>
      <c r="Y837" s="18">
        <f t="shared" si="144"/>
        <v>2.9</v>
      </c>
      <c r="Z837" s="18" t="str">
        <f t="shared" si="145"/>
        <v>Low</v>
      </c>
      <c r="AA837" s="19" t="str">
        <f t="shared" si="146"/>
        <v>Eligible</v>
      </c>
      <c r="AB837" s="14" t="s">
        <v>77</v>
      </c>
      <c r="AC837" s="14">
        <v>3</v>
      </c>
      <c r="AD837" s="14" t="s">
        <v>93</v>
      </c>
      <c r="AE837" s="17">
        <v>6</v>
      </c>
      <c r="AF837" s="15">
        <v>0</v>
      </c>
      <c r="AG837" s="20">
        <f t="shared" si="147"/>
        <v>654655</v>
      </c>
      <c r="AH837" s="14">
        <v>0</v>
      </c>
      <c r="AI837" s="14" t="s">
        <v>75</v>
      </c>
      <c r="AJ837" s="14">
        <v>36</v>
      </c>
      <c r="AK837" s="21">
        <f t="shared" si="148"/>
        <v>0.36</v>
      </c>
      <c r="AL837" s="20">
        <f t="shared" si="149"/>
        <v>148321.57150437232</v>
      </c>
      <c r="AM837" s="22">
        <f t="shared" si="150"/>
        <v>4.9464129961582817</v>
      </c>
      <c r="AN837" s="20">
        <f t="shared" si="151"/>
        <v>149988.56150437231</v>
      </c>
      <c r="AO837" s="16">
        <f t="shared" si="152"/>
        <v>2.7493301632958853</v>
      </c>
      <c r="AP837" s="15">
        <v>0</v>
      </c>
      <c r="AQ837" s="18" t="str">
        <f t="shared" si="153"/>
        <v>N/A</v>
      </c>
      <c r="AR837" s="23">
        <v>46004</v>
      </c>
      <c r="AS837" s="14" t="s">
        <v>79</v>
      </c>
    </row>
    <row r="838" spans="1:45" x14ac:dyDescent="0.25">
      <c r="A838" s="14" t="s">
        <v>2667</v>
      </c>
      <c r="B838" s="14" t="s">
        <v>1208</v>
      </c>
      <c r="C838" s="14">
        <v>9130394212</v>
      </c>
      <c r="D838" s="15" t="s">
        <v>2690</v>
      </c>
      <c r="E838" s="14">
        <v>26</v>
      </c>
      <c r="F838" s="14" t="s">
        <v>71</v>
      </c>
      <c r="G838" s="14" t="s">
        <v>314</v>
      </c>
      <c r="H838" s="14" t="s">
        <v>107</v>
      </c>
      <c r="I838" s="14" t="s">
        <v>92</v>
      </c>
      <c r="J838" s="15">
        <v>1258767</v>
      </c>
      <c r="K838" s="14">
        <v>2</v>
      </c>
      <c r="L838" s="14" t="s">
        <v>75</v>
      </c>
      <c r="M838" s="14" t="s">
        <v>76</v>
      </c>
      <c r="N838" s="14" t="s">
        <v>76</v>
      </c>
      <c r="O838" s="14" t="s">
        <v>75</v>
      </c>
      <c r="P838" s="14">
        <v>706</v>
      </c>
      <c r="Q838" s="15"/>
      <c r="R838" s="15">
        <v>26773.98</v>
      </c>
      <c r="S838" s="14" t="s">
        <v>22</v>
      </c>
      <c r="T838" s="15"/>
      <c r="U838" s="16">
        <f t="shared" si="143"/>
        <v>0.25524005634084784</v>
      </c>
      <c r="V838" s="14">
        <v>0</v>
      </c>
      <c r="W838" s="17">
        <v>48.7</v>
      </c>
      <c r="X838" s="14">
        <v>11.7</v>
      </c>
      <c r="Y838" s="18">
        <f t="shared" si="144"/>
        <v>25.5</v>
      </c>
      <c r="Z838" s="18" t="str">
        <f t="shared" si="145"/>
        <v>Low</v>
      </c>
      <c r="AA838" s="19" t="str">
        <f t="shared" si="146"/>
        <v>Eligible</v>
      </c>
      <c r="AB838" s="14" t="s">
        <v>85</v>
      </c>
      <c r="AC838" s="14">
        <v>0</v>
      </c>
      <c r="AD838" s="14" t="s">
        <v>78</v>
      </c>
      <c r="AE838" s="17">
        <v>2.7</v>
      </c>
      <c r="AF838" s="15">
        <v>0</v>
      </c>
      <c r="AG838" s="20">
        <f t="shared" si="147"/>
        <v>1258767</v>
      </c>
      <c r="AH838" s="14">
        <v>0</v>
      </c>
      <c r="AI838" s="14" t="s">
        <v>75</v>
      </c>
      <c r="AJ838" s="14">
        <v>48</v>
      </c>
      <c r="AK838" s="21">
        <f t="shared" si="148"/>
        <v>0.09</v>
      </c>
      <c r="AL838" s="20">
        <f t="shared" si="149"/>
        <v>0</v>
      </c>
      <c r="AM838" s="22">
        <f t="shared" si="150"/>
        <v>0</v>
      </c>
      <c r="AN838" s="20">
        <f t="shared" si="151"/>
        <v>26773.98</v>
      </c>
      <c r="AO838" s="16">
        <f t="shared" si="152"/>
        <v>0.25524005634084784</v>
      </c>
      <c r="AP838" s="15">
        <v>1498648</v>
      </c>
      <c r="AQ838" s="18">
        <f t="shared" si="153"/>
        <v>0</v>
      </c>
      <c r="AR838" s="23">
        <v>46211</v>
      </c>
      <c r="AS838" s="14" t="s">
        <v>79</v>
      </c>
    </row>
    <row r="839" spans="1:45" x14ac:dyDescent="0.25">
      <c r="A839" s="14" t="s">
        <v>2668</v>
      </c>
      <c r="B839" s="14" t="s">
        <v>2669</v>
      </c>
      <c r="C839" s="14"/>
      <c r="D839" s="15" t="s">
        <v>2692</v>
      </c>
      <c r="E839" s="14">
        <v>38</v>
      </c>
      <c r="F839" s="14" t="s">
        <v>89</v>
      </c>
      <c r="G839" s="14" t="s">
        <v>90</v>
      </c>
      <c r="H839" s="14" t="s">
        <v>166</v>
      </c>
      <c r="I839" s="14" t="s">
        <v>74</v>
      </c>
      <c r="J839" s="15">
        <v>1044831</v>
      </c>
      <c r="K839" s="14">
        <v>1</v>
      </c>
      <c r="L839" s="14" t="s">
        <v>76</v>
      </c>
      <c r="M839" s="14" t="s">
        <v>75</v>
      </c>
      <c r="N839" s="14" t="s">
        <v>75</v>
      </c>
      <c r="O839" s="14" t="s">
        <v>75</v>
      </c>
      <c r="P839" s="14">
        <v>549</v>
      </c>
      <c r="Q839" s="15"/>
      <c r="R839" s="15">
        <v>7475.58</v>
      </c>
      <c r="S839" s="14" t="s">
        <v>20</v>
      </c>
      <c r="T839" s="15">
        <v>1239942</v>
      </c>
      <c r="U839" s="16">
        <f t="shared" si="143"/>
        <v>8.5857866008952635E-2</v>
      </c>
      <c r="V839" s="14">
        <v>0</v>
      </c>
      <c r="W839" s="17">
        <v>94.3</v>
      </c>
      <c r="X839" s="14">
        <v>9.6</v>
      </c>
      <c r="Y839" s="18">
        <f t="shared" si="144"/>
        <v>35.4</v>
      </c>
      <c r="Z839" s="18" t="str">
        <f t="shared" si="145"/>
        <v>Medium</v>
      </c>
      <c r="AA839" s="19" t="str">
        <f t="shared" si="146"/>
        <v>Not Eligible</v>
      </c>
      <c r="AB839" s="14" t="s">
        <v>77</v>
      </c>
      <c r="AC839" s="14">
        <v>0</v>
      </c>
      <c r="AD839" s="14" t="s">
        <v>78</v>
      </c>
      <c r="AE839" s="17">
        <v>7</v>
      </c>
      <c r="AF839" s="15">
        <v>0</v>
      </c>
      <c r="AG839" s="20">
        <f t="shared" si="147"/>
        <v>1044831</v>
      </c>
      <c r="AH839" s="14">
        <v>0</v>
      </c>
      <c r="AI839" s="14" t="s">
        <v>75</v>
      </c>
      <c r="AJ839" s="14">
        <v>12</v>
      </c>
      <c r="AK839" s="21">
        <f t="shared" si="148"/>
        <v>0.375</v>
      </c>
      <c r="AL839" s="20">
        <f t="shared" si="149"/>
        <v>125498.46661590206</v>
      </c>
      <c r="AM839" s="22">
        <f t="shared" si="150"/>
        <v>1.1867392908518219</v>
      </c>
      <c r="AN839" s="20">
        <f t="shared" si="151"/>
        <v>132974.04661590204</v>
      </c>
      <c r="AO839" s="16">
        <f t="shared" si="152"/>
        <v>1.5272216840721844</v>
      </c>
      <c r="AP839" s="15">
        <v>0</v>
      </c>
      <c r="AQ839" s="18" t="str">
        <f t="shared" si="153"/>
        <v>N/A</v>
      </c>
      <c r="AR839" s="23">
        <v>46034</v>
      </c>
      <c r="AS839" s="14" t="s">
        <v>79</v>
      </c>
    </row>
    <row r="840" spans="1:45" x14ac:dyDescent="0.25">
      <c r="A840" s="14" t="s">
        <v>2672</v>
      </c>
      <c r="B840" s="14" t="s">
        <v>2673</v>
      </c>
      <c r="C840" s="14">
        <v>9399745070</v>
      </c>
      <c r="D840" s="15" t="s">
        <v>2695</v>
      </c>
      <c r="E840" s="14">
        <v>47</v>
      </c>
      <c r="F840" s="14" t="s">
        <v>89</v>
      </c>
      <c r="G840" s="14" t="s">
        <v>106</v>
      </c>
      <c r="H840" s="14" t="s">
        <v>84</v>
      </c>
      <c r="I840" s="14" t="s">
        <v>74</v>
      </c>
      <c r="J840" s="15">
        <v>588599</v>
      </c>
      <c r="K840" s="14">
        <v>2</v>
      </c>
      <c r="L840" s="14" t="s">
        <v>76</v>
      </c>
      <c r="M840" s="14" t="s">
        <v>75</v>
      </c>
      <c r="N840" s="14" t="s">
        <v>76</v>
      </c>
      <c r="O840" s="14" t="s">
        <v>75</v>
      </c>
      <c r="P840" s="14">
        <v>817</v>
      </c>
      <c r="Q840" s="15">
        <v>181234</v>
      </c>
      <c r="R840" s="15">
        <v>2124.66</v>
      </c>
      <c r="S840" s="14" t="s">
        <v>21</v>
      </c>
      <c r="T840" s="15">
        <v>712534</v>
      </c>
      <c r="U840" s="16">
        <f t="shared" si="143"/>
        <v>4.3316281543121886E-2</v>
      </c>
      <c r="V840" s="14">
        <v>1</v>
      </c>
      <c r="W840" s="17">
        <v>17.600000000000001</v>
      </c>
      <c r="X840" s="14">
        <v>2.8</v>
      </c>
      <c r="Y840" s="18">
        <f t="shared" si="144"/>
        <v>12.6</v>
      </c>
      <c r="Z840" s="18" t="str">
        <f t="shared" si="145"/>
        <v>Low</v>
      </c>
      <c r="AA840" s="19" t="str">
        <f t="shared" si="146"/>
        <v>Eligible</v>
      </c>
      <c r="AB840" s="14" t="s">
        <v>85</v>
      </c>
      <c r="AC840" s="14">
        <v>2</v>
      </c>
      <c r="AD840" s="14" t="s">
        <v>78</v>
      </c>
      <c r="AE840" s="17">
        <v>6.6</v>
      </c>
      <c r="AF840" s="15">
        <v>0</v>
      </c>
      <c r="AG840" s="20">
        <f t="shared" si="147"/>
        <v>588599</v>
      </c>
      <c r="AH840" s="14">
        <v>0</v>
      </c>
      <c r="AI840" s="14" t="s">
        <v>75</v>
      </c>
      <c r="AJ840" s="14">
        <v>24</v>
      </c>
      <c r="AK840" s="21">
        <f t="shared" si="148"/>
        <v>0.14000000000000001</v>
      </c>
      <c r="AL840" s="20">
        <f t="shared" si="149"/>
        <v>34210.811766757659</v>
      </c>
      <c r="AM840" s="22">
        <f t="shared" si="150"/>
        <v>1.2105593111778987</v>
      </c>
      <c r="AN840" s="20">
        <f t="shared" si="151"/>
        <v>36335.471766757662</v>
      </c>
      <c r="AO840" s="16">
        <f t="shared" si="152"/>
        <v>0.74078559630765928</v>
      </c>
      <c r="AP840" s="15">
        <v>0</v>
      </c>
      <c r="AQ840" s="18" t="str">
        <f t="shared" si="153"/>
        <v>N/A</v>
      </c>
      <c r="AR840" s="23">
        <v>45896</v>
      </c>
      <c r="AS840" s="14" t="s">
        <v>79</v>
      </c>
    </row>
    <row r="841" spans="1:45" x14ac:dyDescent="0.25">
      <c r="A841" s="14" t="s">
        <v>2675</v>
      </c>
      <c r="B841" s="14" t="s">
        <v>2676</v>
      </c>
      <c r="C841" s="14">
        <v>9908843777</v>
      </c>
      <c r="D841" s="15" t="s">
        <v>2698</v>
      </c>
      <c r="E841" s="14">
        <v>36</v>
      </c>
      <c r="F841" s="14" t="s">
        <v>71</v>
      </c>
      <c r="G841" s="14" t="s">
        <v>90</v>
      </c>
      <c r="H841" s="14" t="s">
        <v>144</v>
      </c>
      <c r="I841" s="14" t="s">
        <v>92</v>
      </c>
      <c r="J841" s="15">
        <v>1126222</v>
      </c>
      <c r="K841" s="14">
        <v>1</v>
      </c>
      <c r="L841" s="14" t="s">
        <v>75</v>
      </c>
      <c r="M841" s="14" t="s">
        <v>76</v>
      </c>
      <c r="N841" s="14" t="s">
        <v>75</v>
      </c>
      <c r="O841" s="14" t="s">
        <v>75</v>
      </c>
      <c r="P841" s="14">
        <v>424</v>
      </c>
      <c r="Q841" s="15"/>
      <c r="R841" s="15">
        <v>9403.93</v>
      </c>
      <c r="S841" s="14" t="s">
        <v>23</v>
      </c>
      <c r="T841" s="15"/>
      <c r="U841" s="16">
        <f t="shared" si="143"/>
        <v>0.10019974747429904</v>
      </c>
      <c r="V841" s="14">
        <v>0</v>
      </c>
      <c r="W841" s="17">
        <v>5.9</v>
      </c>
      <c r="X841" s="14">
        <v>8.1999999999999993</v>
      </c>
      <c r="Y841" s="18">
        <f t="shared" si="144"/>
        <v>35.299999999999997</v>
      </c>
      <c r="Z841" s="18" t="str">
        <f t="shared" si="145"/>
        <v>Medium</v>
      </c>
      <c r="AA841" s="19" t="str">
        <f t="shared" si="146"/>
        <v>Not Eligible</v>
      </c>
      <c r="AB841" s="14" t="s">
        <v>77</v>
      </c>
      <c r="AC841" s="14">
        <v>2</v>
      </c>
      <c r="AD841" s="14" t="s">
        <v>93</v>
      </c>
      <c r="AE841" s="17">
        <v>10.6</v>
      </c>
      <c r="AF841" s="15">
        <v>0</v>
      </c>
      <c r="AG841" s="20">
        <f t="shared" si="147"/>
        <v>1126222</v>
      </c>
      <c r="AH841" s="14">
        <v>1</v>
      </c>
      <c r="AI841" s="14" t="s">
        <v>75</v>
      </c>
      <c r="AJ841" s="14">
        <v>300</v>
      </c>
      <c r="AK841" s="21">
        <f t="shared" si="148"/>
        <v>0.1</v>
      </c>
      <c r="AL841" s="20">
        <f t="shared" si="149"/>
        <v>0</v>
      </c>
      <c r="AM841" s="22">
        <f t="shared" si="150"/>
        <v>0</v>
      </c>
      <c r="AN841" s="20">
        <f t="shared" si="151"/>
        <v>9403.93</v>
      </c>
      <c r="AO841" s="16">
        <f t="shared" si="152"/>
        <v>0.10019974747429904</v>
      </c>
      <c r="AP841" s="15">
        <v>4499226</v>
      </c>
      <c r="AQ841" s="18">
        <f t="shared" si="153"/>
        <v>0</v>
      </c>
      <c r="AR841" s="23">
        <v>46198</v>
      </c>
      <c r="AS841" s="14" t="s">
        <v>79</v>
      </c>
    </row>
    <row r="842" spans="1:45" x14ac:dyDescent="0.25">
      <c r="A842" s="14" t="s">
        <v>2678</v>
      </c>
      <c r="B842" s="14" t="s">
        <v>2679</v>
      </c>
      <c r="C842" s="14"/>
      <c r="D842" s="15" t="s">
        <v>2700</v>
      </c>
      <c r="E842" s="14">
        <v>23</v>
      </c>
      <c r="F842" s="14" t="s">
        <v>71</v>
      </c>
      <c r="G842" s="14" t="s">
        <v>127</v>
      </c>
      <c r="H842" s="14" t="s">
        <v>103</v>
      </c>
      <c r="I842" s="14" t="s">
        <v>74</v>
      </c>
      <c r="J842" s="15">
        <v>842749</v>
      </c>
      <c r="K842" s="14">
        <v>3</v>
      </c>
      <c r="L842" s="14" t="s">
        <v>76</v>
      </c>
      <c r="M842" s="14" t="s">
        <v>75</v>
      </c>
      <c r="N842" s="14" t="s">
        <v>76</v>
      </c>
      <c r="O842" s="14" t="s">
        <v>76</v>
      </c>
      <c r="P842" s="14">
        <v>785</v>
      </c>
      <c r="Q842" s="15">
        <v>244861.37</v>
      </c>
      <c r="R842" s="15">
        <v>11263.95</v>
      </c>
      <c r="S842" s="14" t="s">
        <v>20</v>
      </c>
      <c r="T842" s="15"/>
      <c r="U842" s="16">
        <f t="shared" si="143"/>
        <v>0.16038868037814347</v>
      </c>
      <c r="V842" s="14">
        <v>0</v>
      </c>
      <c r="W842" s="17">
        <v>58.3</v>
      </c>
      <c r="X842" s="14">
        <v>13.1</v>
      </c>
      <c r="Y842" s="18">
        <f t="shared" si="144"/>
        <v>18.3</v>
      </c>
      <c r="Z842" s="18" t="str">
        <f t="shared" si="145"/>
        <v>Low</v>
      </c>
      <c r="AA842" s="19" t="str">
        <f t="shared" si="146"/>
        <v>Eligible</v>
      </c>
      <c r="AB842" s="14" t="s">
        <v>85</v>
      </c>
      <c r="AC842" s="14">
        <v>2</v>
      </c>
      <c r="AD842" s="14" t="s">
        <v>93</v>
      </c>
      <c r="AE842" s="17">
        <v>1.3</v>
      </c>
      <c r="AF842" s="15">
        <v>312519</v>
      </c>
      <c r="AG842" s="20">
        <f t="shared" si="147"/>
        <v>1155268</v>
      </c>
      <c r="AH842" s="14">
        <v>0</v>
      </c>
      <c r="AI842" s="14" t="s">
        <v>75</v>
      </c>
      <c r="AJ842" s="14">
        <v>12</v>
      </c>
      <c r="AK842" s="21">
        <f t="shared" si="148"/>
        <v>0.36</v>
      </c>
      <c r="AL842" s="20">
        <f t="shared" si="149"/>
        <v>0</v>
      </c>
      <c r="AM842" s="22">
        <f t="shared" si="150"/>
        <v>0</v>
      </c>
      <c r="AN842" s="20">
        <f t="shared" si="151"/>
        <v>11263.95</v>
      </c>
      <c r="AO842" s="16">
        <f t="shared" si="152"/>
        <v>0.16038868037814347</v>
      </c>
      <c r="AP842" s="15">
        <v>0</v>
      </c>
      <c r="AQ842" s="18" t="str">
        <f t="shared" si="153"/>
        <v>N/A</v>
      </c>
      <c r="AR842" s="23">
        <v>46194</v>
      </c>
      <c r="AS842" s="14" t="s">
        <v>79</v>
      </c>
    </row>
    <row r="843" spans="1:45" x14ac:dyDescent="0.25">
      <c r="A843" s="14" t="s">
        <v>2681</v>
      </c>
      <c r="B843" s="14" t="s">
        <v>2682</v>
      </c>
      <c r="C843" s="14">
        <v>9617360044</v>
      </c>
      <c r="D843" s="15" t="s">
        <v>2704</v>
      </c>
      <c r="E843" s="14">
        <v>44</v>
      </c>
      <c r="F843" s="14" t="s">
        <v>89</v>
      </c>
      <c r="G843" s="14" t="s">
        <v>106</v>
      </c>
      <c r="H843" s="14" t="s">
        <v>99</v>
      </c>
      <c r="I843" s="14" t="s">
        <v>74</v>
      </c>
      <c r="J843" s="15">
        <v>2282273</v>
      </c>
      <c r="K843" s="14">
        <v>1</v>
      </c>
      <c r="L843" s="14" t="s">
        <v>76</v>
      </c>
      <c r="M843" s="14" t="s">
        <v>75</v>
      </c>
      <c r="N843" s="14" t="s">
        <v>75</v>
      </c>
      <c r="O843" s="14" t="s">
        <v>75</v>
      </c>
      <c r="P843" s="14">
        <v>490</v>
      </c>
      <c r="Q843" s="15">
        <v>335815</v>
      </c>
      <c r="R843" s="15">
        <v>14442.63</v>
      </c>
      <c r="S843" s="14" t="s">
        <v>20</v>
      </c>
      <c r="T843" s="15"/>
      <c r="U843" s="16">
        <f t="shared" si="143"/>
        <v>7.5938137111555018E-2</v>
      </c>
      <c r="V843" s="14">
        <v>0</v>
      </c>
      <c r="W843" s="17">
        <v>74.8</v>
      </c>
      <c r="X843" s="14">
        <v>12.2</v>
      </c>
      <c r="Y843" s="18">
        <f t="shared" si="144"/>
        <v>37.1</v>
      </c>
      <c r="Z843" s="18" t="str">
        <f t="shared" si="145"/>
        <v>Medium</v>
      </c>
      <c r="AA843" s="19" t="str">
        <f t="shared" si="146"/>
        <v>Not Eligible</v>
      </c>
      <c r="AB843" s="14" t="s">
        <v>77</v>
      </c>
      <c r="AC843" s="14">
        <v>2</v>
      </c>
      <c r="AD843" s="14" t="s">
        <v>93</v>
      </c>
      <c r="AE843" s="17">
        <v>17.3</v>
      </c>
      <c r="AF843" s="15">
        <v>0</v>
      </c>
      <c r="AG843" s="20">
        <f t="shared" si="147"/>
        <v>2282273</v>
      </c>
      <c r="AH843" s="14">
        <v>0</v>
      </c>
      <c r="AI843" s="14" t="s">
        <v>75</v>
      </c>
      <c r="AJ843" s="14">
        <v>12</v>
      </c>
      <c r="AK843" s="21">
        <f t="shared" si="148"/>
        <v>0.375</v>
      </c>
      <c r="AL843" s="20">
        <f t="shared" si="149"/>
        <v>0</v>
      </c>
      <c r="AM843" s="22">
        <f t="shared" si="150"/>
        <v>0</v>
      </c>
      <c r="AN843" s="20">
        <f t="shared" si="151"/>
        <v>14442.63</v>
      </c>
      <c r="AO843" s="16">
        <f t="shared" si="152"/>
        <v>7.5938137111555018E-2</v>
      </c>
      <c r="AP843" s="15">
        <v>0</v>
      </c>
      <c r="AQ843" s="18" t="str">
        <f t="shared" si="153"/>
        <v>N/A</v>
      </c>
      <c r="AR843" s="23">
        <v>45963</v>
      </c>
      <c r="AS843" s="14" t="s">
        <v>79</v>
      </c>
    </row>
    <row r="844" spans="1:45" x14ac:dyDescent="0.25">
      <c r="A844" s="14" t="s">
        <v>2684</v>
      </c>
      <c r="B844" s="14" t="s">
        <v>693</v>
      </c>
      <c r="C844" s="14">
        <v>9323240792</v>
      </c>
      <c r="D844" s="15"/>
      <c r="E844" s="14">
        <v>55</v>
      </c>
      <c r="F844" s="14" t="s">
        <v>71</v>
      </c>
      <c r="G844" s="14" t="s">
        <v>127</v>
      </c>
      <c r="H844" s="14" t="s">
        <v>103</v>
      </c>
      <c r="I844" s="14" t="s">
        <v>74</v>
      </c>
      <c r="J844" s="15">
        <v>1824446</v>
      </c>
      <c r="K844" s="14">
        <v>2</v>
      </c>
      <c r="L844" s="14" t="s">
        <v>76</v>
      </c>
      <c r="M844" s="14" t="s">
        <v>75</v>
      </c>
      <c r="N844" s="14" t="s">
        <v>76</v>
      </c>
      <c r="O844" s="14" t="s">
        <v>75</v>
      </c>
      <c r="P844" s="14">
        <v>837</v>
      </c>
      <c r="Q844" s="15">
        <v>579932</v>
      </c>
      <c r="R844" s="15">
        <v>17435.400000000001</v>
      </c>
      <c r="S844" s="14" t="s">
        <v>20</v>
      </c>
      <c r="T844" s="15">
        <v>396765</v>
      </c>
      <c r="U844" s="16">
        <f t="shared" si="143"/>
        <v>0.11467853803291521</v>
      </c>
      <c r="V844" s="14">
        <v>2</v>
      </c>
      <c r="W844" s="17">
        <v>25.7</v>
      </c>
      <c r="X844" s="14">
        <v>9.9</v>
      </c>
      <c r="Y844" s="18">
        <f t="shared" si="144"/>
        <v>18.2</v>
      </c>
      <c r="Z844" s="18" t="str">
        <f t="shared" si="145"/>
        <v>Low</v>
      </c>
      <c r="AA844" s="19" t="str">
        <f t="shared" si="146"/>
        <v>Eligible</v>
      </c>
      <c r="AB844" s="14" t="s">
        <v>77</v>
      </c>
      <c r="AC844" s="14">
        <v>4</v>
      </c>
      <c r="AD844" s="14" t="s">
        <v>93</v>
      </c>
      <c r="AE844" s="17">
        <v>28.9</v>
      </c>
      <c r="AF844" s="15">
        <v>740594</v>
      </c>
      <c r="AG844" s="20">
        <f t="shared" si="147"/>
        <v>2565040</v>
      </c>
      <c r="AH844" s="14">
        <v>2</v>
      </c>
      <c r="AI844" s="14" t="s">
        <v>75</v>
      </c>
      <c r="AJ844" s="14">
        <v>36</v>
      </c>
      <c r="AK844" s="21">
        <f t="shared" si="148"/>
        <v>0.36</v>
      </c>
      <c r="AL844" s="20">
        <f t="shared" si="149"/>
        <v>18173.342399477078</v>
      </c>
      <c r="AM844" s="22">
        <f t="shared" si="150"/>
        <v>0.21747149545670302</v>
      </c>
      <c r="AN844" s="20">
        <f t="shared" si="151"/>
        <v>35608.74239947708</v>
      </c>
      <c r="AO844" s="16">
        <f t="shared" si="152"/>
        <v>0.2342107734587513</v>
      </c>
      <c r="AP844" s="15">
        <v>0</v>
      </c>
      <c r="AQ844" s="18" t="str">
        <f t="shared" si="153"/>
        <v>N/A</v>
      </c>
      <c r="AR844" s="23">
        <v>45999</v>
      </c>
      <c r="AS844" s="14" t="s">
        <v>79</v>
      </c>
    </row>
    <row r="845" spans="1:45" x14ac:dyDescent="0.25">
      <c r="A845" s="14" t="s">
        <v>2686</v>
      </c>
      <c r="B845" s="14" t="s">
        <v>2687</v>
      </c>
      <c r="C845" s="14"/>
      <c r="D845" s="15" t="s">
        <v>2709</v>
      </c>
      <c r="E845" s="14">
        <v>50</v>
      </c>
      <c r="F845" s="14" t="s">
        <v>89</v>
      </c>
      <c r="G845" s="14" t="s">
        <v>139</v>
      </c>
      <c r="H845" s="14" t="s">
        <v>84</v>
      </c>
      <c r="I845" s="14" t="s">
        <v>74</v>
      </c>
      <c r="J845" s="15">
        <v>1030294</v>
      </c>
      <c r="K845" s="14">
        <v>2</v>
      </c>
      <c r="L845" s="14" t="s">
        <v>75</v>
      </c>
      <c r="M845" s="14" t="s">
        <v>76</v>
      </c>
      <c r="N845" s="14" t="s">
        <v>76</v>
      </c>
      <c r="O845" s="14" t="s">
        <v>75</v>
      </c>
      <c r="P845" s="14">
        <v>415</v>
      </c>
      <c r="Q845" s="15"/>
      <c r="R845" s="15">
        <v>8076.15</v>
      </c>
      <c r="S845" s="14" t="s">
        <v>23</v>
      </c>
      <c r="T845" s="15">
        <v>270724</v>
      </c>
      <c r="U845" s="16">
        <f t="shared" si="143"/>
        <v>9.4064218562856808E-2</v>
      </c>
      <c r="V845" s="14">
        <v>4</v>
      </c>
      <c r="W845" s="17">
        <v>44.5</v>
      </c>
      <c r="X845" s="14">
        <v>7.3</v>
      </c>
      <c r="Y845" s="18">
        <f t="shared" si="144"/>
        <v>55.6</v>
      </c>
      <c r="Z845" s="18" t="str">
        <f t="shared" si="145"/>
        <v>Medium</v>
      </c>
      <c r="AA845" s="19" t="str">
        <f t="shared" si="146"/>
        <v>Not Eligible</v>
      </c>
      <c r="AB845" s="14" t="s">
        <v>77</v>
      </c>
      <c r="AC845" s="14">
        <v>1</v>
      </c>
      <c r="AD845" s="14" t="s">
        <v>78</v>
      </c>
      <c r="AE845" s="17">
        <v>28.3</v>
      </c>
      <c r="AF845" s="15">
        <v>0</v>
      </c>
      <c r="AG845" s="20">
        <f t="shared" si="147"/>
        <v>1030294</v>
      </c>
      <c r="AH845" s="14">
        <v>0</v>
      </c>
      <c r="AI845" s="14" t="s">
        <v>75</v>
      </c>
      <c r="AJ845" s="14">
        <v>120</v>
      </c>
      <c r="AK845" s="21">
        <f t="shared" si="148"/>
        <v>0.1</v>
      </c>
      <c r="AL845" s="20">
        <f t="shared" si="149"/>
        <v>3577.6376091578045</v>
      </c>
      <c r="AM845" s="22">
        <f t="shared" si="150"/>
        <v>0.26276383245947271</v>
      </c>
      <c r="AN845" s="20">
        <f t="shared" si="151"/>
        <v>11653.787609157804</v>
      </c>
      <c r="AO845" s="16">
        <f t="shared" si="152"/>
        <v>0.1357335394653309</v>
      </c>
      <c r="AP845" s="15">
        <v>3899150</v>
      </c>
      <c r="AQ845" s="18">
        <f t="shared" si="153"/>
        <v>6.943154277214264E-2</v>
      </c>
      <c r="AR845" s="23">
        <v>46177</v>
      </c>
      <c r="AS845" s="14" t="s">
        <v>79</v>
      </c>
    </row>
    <row r="846" spans="1:45" x14ac:dyDescent="0.25">
      <c r="A846" s="14" t="s">
        <v>2689</v>
      </c>
      <c r="B846" s="14" t="s">
        <v>2044</v>
      </c>
      <c r="C846" s="14"/>
      <c r="D846" s="15" t="s">
        <v>2711</v>
      </c>
      <c r="E846" s="14">
        <v>35</v>
      </c>
      <c r="F846" s="14" t="s">
        <v>89</v>
      </c>
      <c r="G846" s="14" t="s">
        <v>131</v>
      </c>
      <c r="H846" s="14" t="s">
        <v>99</v>
      </c>
      <c r="I846" s="14" t="s">
        <v>74</v>
      </c>
      <c r="J846" s="15">
        <v>1252162</v>
      </c>
      <c r="K846" s="14">
        <v>1</v>
      </c>
      <c r="L846" s="14" t="s">
        <v>75</v>
      </c>
      <c r="M846" s="14" t="s">
        <v>76</v>
      </c>
      <c r="N846" s="14" t="s">
        <v>75</v>
      </c>
      <c r="O846" s="14" t="s">
        <v>75</v>
      </c>
      <c r="P846" s="14">
        <v>448</v>
      </c>
      <c r="Q846" s="15">
        <v>499983.74</v>
      </c>
      <c r="R846" s="15">
        <v>10273.85</v>
      </c>
      <c r="S846" s="14" t="s">
        <v>20</v>
      </c>
      <c r="T846" s="15">
        <v>862991</v>
      </c>
      <c r="U846" s="16">
        <f t="shared" si="143"/>
        <v>9.8458665891474118E-2</v>
      </c>
      <c r="V846" s="14">
        <v>1</v>
      </c>
      <c r="W846" s="17">
        <v>50.8</v>
      </c>
      <c r="X846" s="14">
        <v>1.1000000000000001</v>
      </c>
      <c r="Y846" s="18">
        <f t="shared" si="144"/>
        <v>42.2</v>
      </c>
      <c r="Z846" s="18" t="str">
        <f t="shared" si="145"/>
        <v>Medium</v>
      </c>
      <c r="AA846" s="19" t="str">
        <f t="shared" si="146"/>
        <v>Not Eligible</v>
      </c>
      <c r="AB846" s="14" t="s">
        <v>85</v>
      </c>
      <c r="AC846" s="14">
        <v>0</v>
      </c>
      <c r="AD846" s="14" t="s">
        <v>78</v>
      </c>
      <c r="AE846" s="17">
        <v>12.7</v>
      </c>
      <c r="AF846" s="15">
        <v>707120</v>
      </c>
      <c r="AG846" s="20">
        <f t="shared" si="147"/>
        <v>1959282</v>
      </c>
      <c r="AH846" s="14">
        <v>1</v>
      </c>
      <c r="AI846" s="14" t="s">
        <v>75</v>
      </c>
      <c r="AJ846" s="14">
        <v>12</v>
      </c>
      <c r="AK846" s="21">
        <f t="shared" si="148"/>
        <v>0.375</v>
      </c>
      <c r="AL846" s="20">
        <f t="shared" si="149"/>
        <v>87346.059092541371</v>
      </c>
      <c r="AM846" s="22">
        <f t="shared" si="150"/>
        <v>0.68920075836832617</v>
      </c>
      <c r="AN846" s="20">
        <f t="shared" si="151"/>
        <v>97619.909092541377</v>
      </c>
      <c r="AO846" s="16">
        <f t="shared" si="152"/>
        <v>0.93553302936081473</v>
      </c>
      <c r="AP846" s="15">
        <v>0</v>
      </c>
      <c r="AQ846" s="18" t="str">
        <f t="shared" si="153"/>
        <v>N/A</v>
      </c>
      <c r="AR846" s="23">
        <v>46173</v>
      </c>
      <c r="AS846" s="14" t="s">
        <v>79</v>
      </c>
    </row>
    <row r="847" spans="1:45" x14ac:dyDescent="0.25">
      <c r="A847" s="14" t="s">
        <v>2691</v>
      </c>
      <c r="B847" s="14" t="s">
        <v>96</v>
      </c>
      <c r="C847" s="14">
        <v>9853285439</v>
      </c>
      <c r="D847" s="15"/>
      <c r="E847" s="14">
        <v>28</v>
      </c>
      <c r="F847" s="14" t="s">
        <v>71</v>
      </c>
      <c r="G847" s="14" t="s">
        <v>127</v>
      </c>
      <c r="H847" s="14" t="s">
        <v>73</v>
      </c>
      <c r="I847" s="14" t="s">
        <v>74</v>
      </c>
      <c r="J847" s="15">
        <v>779042</v>
      </c>
      <c r="K847" s="14">
        <v>1</v>
      </c>
      <c r="L847" s="14" t="s">
        <v>76</v>
      </c>
      <c r="M847" s="14" t="s">
        <v>75</v>
      </c>
      <c r="N847" s="14" t="s">
        <v>75</v>
      </c>
      <c r="O847" s="14" t="s">
        <v>75</v>
      </c>
      <c r="P847" s="14">
        <v>354</v>
      </c>
      <c r="Q847" s="15">
        <v>607963.81000000006</v>
      </c>
      <c r="R847" s="15">
        <v>9437.34</v>
      </c>
      <c r="S847" s="14" t="s">
        <v>22</v>
      </c>
      <c r="T847" s="15">
        <v>490419</v>
      </c>
      <c r="U847" s="16">
        <f t="shared" si="143"/>
        <v>0.14536838835390134</v>
      </c>
      <c r="V847" s="14">
        <v>1</v>
      </c>
      <c r="W847" s="17">
        <v>74.3</v>
      </c>
      <c r="X847" s="14">
        <v>12.6</v>
      </c>
      <c r="Y847" s="18">
        <f t="shared" si="144"/>
        <v>52.2</v>
      </c>
      <c r="Z847" s="18" t="str">
        <f t="shared" si="145"/>
        <v>Medium</v>
      </c>
      <c r="AA847" s="19" t="str">
        <f t="shared" si="146"/>
        <v>Not Eligible</v>
      </c>
      <c r="AB847" s="14" t="s">
        <v>85</v>
      </c>
      <c r="AC847" s="14">
        <v>1</v>
      </c>
      <c r="AD847" s="14" t="s">
        <v>93</v>
      </c>
      <c r="AE847" s="17">
        <v>6.3</v>
      </c>
      <c r="AF847" s="15">
        <v>0</v>
      </c>
      <c r="AG847" s="20">
        <f t="shared" si="147"/>
        <v>779042</v>
      </c>
      <c r="AH847" s="14">
        <v>0</v>
      </c>
      <c r="AI847" s="14" t="s">
        <v>75</v>
      </c>
      <c r="AJ847" s="14">
        <v>48</v>
      </c>
      <c r="AK847" s="21">
        <f t="shared" si="148"/>
        <v>0.105</v>
      </c>
      <c r="AL847" s="20">
        <f t="shared" si="149"/>
        <v>12556.383894549022</v>
      </c>
      <c r="AM847" s="22">
        <f t="shared" si="150"/>
        <v>0.62951548183538242</v>
      </c>
      <c r="AN847" s="20">
        <f t="shared" si="151"/>
        <v>21993.723894549024</v>
      </c>
      <c r="AO847" s="16">
        <f t="shared" si="152"/>
        <v>0.33878107564751103</v>
      </c>
      <c r="AP847" s="15">
        <v>1341922</v>
      </c>
      <c r="AQ847" s="18">
        <f t="shared" si="153"/>
        <v>0.36546013851773801</v>
      </c>
      <c r="AR847" s="23">
        <v>45964</v>
      </c>
      <c r="AS847" s="14" t="s">
        <v>79</v>
      </c>
    </row>
    <row r="848" spans="1:45" x14ac:dyDescent="0.25">
      <c r="A848" s="14" t="s">
        <v>2693</v>
      </c>
      <c r="B848" s="14" t="s">
        <v>872</v>
      </c>
      <c r="C848" s="14">
        <v>9982410838</v>
      </c>
      <c r="D848" s="15" t="s">
        <v>2717</v>
      </c>
      <c r="E848" s="14">
        <v>42</v>
      </c>
      <c r="F848" s="14" t="s">
        <v>89</v>
      </c>
      <c r="G848" s="14" t="s">
        <v>106</v>
      </c>
      <c r="H848" s="14" t="s">
        <v>144</v>
      </c>
      <c r="I848" s="14" t="s">
        <v>92</v>
      </c>
      <c r="J848" s="15">
        <v>698126</v>
      </c>
      <c r="K848" s="14">
        <v>1</v>
      </c>
      <c r="L848" s="14" t="s">
        <v>75</v>
      </c>
      <c r="M848" s="14" t="s">
        <v>75</v>
      </c>
      <c r="N848" s="14" t="s">
        <v>76</v>
      </c>
      <c r="O848" s="14" t="s">
        <v>75</v>
      </c>
      <c r="P848" s="14">
        <v>309</v>
      </c>
      <c r="Q848" s="15">
        <v>624097</v>
      </c>
      <c r="R848" s="15">
        <v>4214.75</v>
      </c>
      <c r="S848" s="14" t="s">
        <v>21</v>
      </c>
      <c r="T848" s="15">
        <v>553615</v>
      </c>
      <c r="U848" s="16">
        <f t="shared" si="143"/>
        <v>7.2446807596336482E-2</v>
      </c>
      <c r="V848" s="14">
        <v>3</v>
      </c>
      <c r="W848" s="17">
        <v>86.1</v>
      </c>
      <c r="X848" s="14">
        <v>13</v>
      </c>
      <c r="Y848" s="18">
        <f t="shared" si="144"/>
        <v>62.2</v>
      </c>
      <c r="Z848" s="18" t="str">
        <f t="shared" si="145"/>
        <v>High</v>
      </c>
      <c r="AA848" s="19" t="str">
        <f t="shared" si="146"/>
        <v>Not Eligible</v>
      </c>
      <c r="AB848" s="14" t="s">
        <v>85</v>
      </c>
      <c r="AC848" s="14">
        <v>3</v>
      </c>
      <c r="AD848" s="14" t="s">
        <v>78</v>
      </c>
      <c r="AE848" s="17">
        <v>8.6999999999999993</v>
      </c>
      <c r="AF848" s="15">
        <v>0</v>
      </c>
      <c r="AG848" s="20">
        <f t="shared" si="147"/>
        <v>698126</v>
      </c>
      <c r="AH848" s="14">
        <v>0</v>
      </c>
      <c r="AI848" s="14" t="s">
        <v>75</v>
      </c>
      <c r="AJ848" s="14">
        <v>36</v>
      </c>
      <c r="AK848" s="21">
        <f t="shared" si="148"/>
        <v>0.17</v>
      </c>
      <c r="AL848" s="20">
        <f t="shared" si="149"/>
        <v>19737.884749718753</v>
      </c>
      <c r="AM848" s="22">
        <f t="shared" si="150"/>
        <v>0.79300154986349169</v>
      </c>
      <c r="AN848" s="20">
        <f t="shared" si="151"/>
        <v>23952.634749718753</v>
      </c>
      <c r="AO848" s="16">
        <f t="shared" si="152"/>
        <v>0.41171882582316804</v>
      </c>
      <c r="AP848" s="15">
        <v>0</v>
      </c>
      <c r="AQ848" s="18" t="str">
        <f t="shared" si="153"/>
        <v>N/A</v>
      </c>
      <c r="AR848" s="23">
        <v>46075</v>
      </c>
      <c r="AS848" s="14" t="s">
        <v>79</v>
      </c>
    </row>
    <row r="849" spans="1:45" x14ac:dyDescent="0.25">
      <c r="A849" s="14" t="s">
        <v>2696</v>
      </c>
      <c r="B849" s="14" t="s">
        <v>2697</v>
      </c>
      <c r="C849" s="14">
        <v>9910132520</v>
      </c>
      <c r="D849" s="15" t="s">
        <v>2721</v>
      </c>
      <c r="E849" s="14">
        <v>47</v>
      </c>
      <c r="F849" s="14" t="s">
        <v>89</v>
      </c>
      <c r="G849" s="14" t="s">
        <v>174</v>
      </c>
      <c r="H849" s="14" t="s">
        <v>91</v>
      </c>
      <c r="I849" s="14" t="s">
        <v>92</v>
      </c>
      <c r="J849" s="15">
        <v>2346835</v>
      </c>
      <c r="K849" s="14">
        <v>1</v>
      </c>
      <c r="L849" s="14" t="s">
        <v>75</v>
      </c>
      <c r="M849" s="14" t="s">
        <v>75</v>
      </c>
      <c r="N849" s="14" t="s">
        <v>76</v>
      </c>
      <c r="O849" s="14" t="s">
        <v>75</v>
      </c>
      <c r="P849" s="14">
        <v>516</v>
      </c>
      <c r="Q849" s="15">
        <v>336098</v>
      </c>
      <c r="R849" s="15">
        <v>13214.92</v>
      </c>
      <c r="S849" s="14" t="s">
        <v>20</v>
      </c>
      <c r="T849" s="15"/>
      <c r="U849" s="16">
        <f t="shared" si="143"/>
        <v>6.757144835491205E-2</v>
      </c>
      <c r="V849" s="14">
        <v>1</v>
      </c>
      <c r="W849" s="17">
        <v>95</v>
      </c>
      <c r="X849" s="14">
        <v>10.5</v>
      </c>
      <c r="Y849" s="18">
        <f t="shared" si="144"/>
        <v>41.1</v>
      </c>
      <c r="Z849" s="18" t="str">
        <f t="shared" si="145"/>
        <v>Medium</v>
      </c>
      <c r="AA849" s="19" t="str">
        <f t="shared" si="146"/>
        <v>Not Eligible</v>
      </c>
      <c r="AB849" s="14" t="s">
        <v>85</v>
      </c>
      <c r="AC849" s="14">
        <v>0</v>
      </c>
      <c r="AD849" s="14" t="s">
        <v>93</v>
      </c>
      <c r="AE849" s="17">
        <v>13.1</v>
      </c>
      <c r="AF849" s="15">
        <v>0</v>
      </c>
      <c r="AG849" s="20">
        <f t="shared" si="147"/>
        <v>2346835</v>
      </c>
      <c r="AH849" s="14">
        <v>0</v>
      </c>
      <c r="AI849" s="14" t="s">
        <v>75</v>
      </c>
      <c r="AJ849" s="14">
        <v>18</v>
      </c>
      <c r="AK849" s="21">
        <f t="shared" si="148"/>
        <v>0.375</v>
      </c>
      <c r="AL849" s="20">
        <f t="shared" si="149"/>
        <v>0</v>
      </c>
      <c r="AM849" s="22">
        <f t="shared" si="150"/>
        <v>0</v>
      </c>
      <c r="AN849" s="20">
        <f t="shared" si="151"/>
        <v>13214.92</v>
      </c>
      <c r="AO849" s="16">
        <f t="shared" si="152"/>
        <v>6.757144835491205E-2</v>
      </c>
      <c r="AP849" s="15">
        <v>0</v>
      </c>
      <c r="AQ849" s="18" t="str">
        <f t="shared" si="153"/>
        <v>N/A</v>
      </c>
      <c r="AR849" s="23">
        <v>45953</v>
      </c>
      <c r="AS849" s="14" t="s">
        <v>79</v>
      </c>
    </row>
    <row r="850" spans="1:45" x14ac:dyDescent="0.25">
      <c r="A850" s="14" t="s">
        <v>2699</v>
      </c>
      <c r="B850" s="14" t="s">
        <v>146</v>
      </c>
      <c r="C850" s="14">
        <v>9885608295</v>
      </c>
      <c r="D850" s="15"/>
      <c r="E850" s="14">
        <v>36</v>
      </c>
      <c r="F850" s="14" t="s">
        <v>71</v>
      </c>
      <c r="G850" s="14" t="s">
        <v>115</v>
      </c>
      <c r="H850" s="14" t="s">
        <v>144</v>
      </c>
      <c r="I850" s="14" t="s">
        <v>92</v>
      </c>
      <c r="J850" s="15">
        <v>1681699</v>
      </c>
      <c r="K850" s="14">
        <v>2</v>
      </c>
      <c r="L850" s="14" t="s">
        <v>76</v>
      </c>
      <c r="M850" s="14" t="s">
        <v>76</v>
      </c>
      <c r="N850" s="14" t="s">
        <v>75</v>
      </c>
      <c r="O850" s="14" t="s">
        <v>75</v>
      </c>
      <c r="P850" s="14">
        <v>357</v>
      </c>
      <c r="Q850" s="15"/>
      <c r="R850" s="15">
        <v>4452.0200000000004</v>
      </c>
      <c r="S850" s="14" t="s">
        <v>21</v>
      </c>
      <c r="T850" s="15">
        <v>255807</v>
      </c>
      <c r="U850" s="16">
        <f t="shared" si="143"/>
        <v>3.1768015560454041E-2</v>
      </c>
      <c r="V850" s="14">
        <v>0</v>
      </c>
      <c r="W850" s="17">
        <v>33.1</v>
      </c>
      <c r="X850" s="14">
        <v>7.8</v>
      </c>
      <c r="Y850" s="18">
        <f t="shared" si="144"/>
        <v>40.5</v>
      </c>
      <c r="Z850" s="18" t="str">
        <f t="shared" si="145"/>
        <v>Medium</v>
      </c>
      <c r="AA850" s="19" t="str">
        <f t="shared" si="146"/>
        <v>Not Eligible</v>
      </c>
      <c r="AB850" s="14" t="s">
        <v>85</v>
      </c>
      <c r="AC850" s="14">
        <v>0</v>
      </c>
      <c r="AD850" s="14" t="s">
        <v>93</v>
      </c>
      <c r="AE850" s="17">
        <v>13.6</v>
      </c>
      <c r="AF850" s="15">
        <v>0</v>
      </c>
      <c r="AG850" s="20">
        <f t="shared" si="147"/>
        <v>1681699</v>
      </c>
      <c r="AH850" s="14">
        <v>0</v>
      </c>
      <c r="AI850" s="14" t="s">
        <v>75</v>
      </c>
      <c r="AJ850" s="14">
        <v>60</v>
      </c>
      <c r="AK850" s="21">
        <f t="shared" si="148"/>
        <v>0.15500000000000003</v>
      </c>
      <c r="AL850" s="20">
        <f t="shared" si="149"/>
        <v>6152.9746505268768</v>
      </c>
      <c r="AM850" s="22">
        <f t="shared" si="150"/>
        <v>0.15211223887271147</v>
      </c>
      <c r="AN850" s="20">
        <f t="shared" si="151"/>
        <v>10604.994650526878</v>
      </c>
      <c r="AO850" s="16">
        <f t="shared" si="152"/>
        <v>7.5673432526464329E-2</v>
      </c>
      <c r="AP850" s="15">
        <v>0</v>
      </c>
      <c r="AQ850" s="18" t="str">
        <f t="shared" si="153"/>
        <v>N/A</v>
      </c>
      <c r="AR850" s="23">
        <v>46175</v>
      </c>
      <c r="AS850" s="14" t="s">
        <v>79</v>
      </c>
    </row>
    <row r="851" spans="1:45" x14ac:dyDescent="0.25">
      <c r="A851" s="14" t="s">
        <v>2701</v>
      </c>
      <c r="B851" s="14" t="s">
        <v>2702</v>
      </c>
      <c r="C851" s="14"/>
      <c r="D851" s="15" t="s">
        <v>2725</v>
      </c>
      <c r="E851" s="14">
        <v>34</v>
      </c>
      <c r="F851" s="14" t="s">
        <v>71</v>
      </c>
      <c r="G851" s="14" t="s">
        <v>72</v>
      </c>
      <c r="H851" s="14" t="s">
        <v>103</v>
      </c>
      <c r="I851" s="14" t="s">
        <v>74</v>
      </c>
      <c r="J851" s="15">
        <v>1734559</v>
      </c>
      <c r="K851" s="14">
        <v>2</v>
      </c>
      <c r="L851" s="14" t="s">
        <v>76</v>
      </c>
      <c r="M851" s="14" t="s">
        <v>75</v>
      </c>
      <c r="N851" s="14" t="s">
        <v>76</v>
      </c>
      <c r="O851" s="14" t="s">
        <v>75</v>
      </c>
      <c r="P851" s="14">
        <v>488</v>
      </c>
      <c r="Q851" s="15">
        <v>44905.34</v>
      </c>
      <c r="R851" s="15">
        <v>20988.46</v>
      </c>
      <c r="S851" s="14" t="s">
        <v>22</v>
      </c>
      <c r="T851" s="15">
        <v>440776</v>
      </c>
      <c r="U851" s="16">
        <f t="shared" si="143"/>
        <v>0.14520204847456902</v>
      </c>
      <c r="V851" s="14">
        <v>4</v>
      </c>
      <c r="W851" s="17">
        <v>90.3</v>
      </c>
      <c r="X851" s="14">
        <v>13.6</v>
      </c>
      <c r="Y851" s="18">
        <f t="shared" si="144"/>
        <v>56.9</v>
      </c>
      <c r="Z851" s="18" t="str">
        <f t="shared" si="145"/>
        <v>Medium</v>
      </c>
      <c r="AA851" s="19" t="str">
        <f t="shared" si="146"/>
        <v>Not Eligible</v>
      </c>
      <c r="AB851" s="14" t="s">
        <v>85</v>
      </c>
      <c r="AC851" s="14">
        <v>2</v>
      </c>
      <c r="AD851" s="14" t="s">
        <v>78</v>
      </c>
      <c r="AE851" s="17">
        <v>2.7</v>
      </c>
      <c r="AF851" s="15">
        <v>0</v>
      </c>
      <c r="AG851" s="20">
        <f t="shared" si="147"/>
        <v>1734559</v>
      </c>
      <c r="AH851" s="14">
        <v>0</v>
      </c>
      <c r="AI851" s="14" t="s">
        <v>75</v>
      </c>
      <c r="AJ851" s="14">
        <v>36</v>
      </c>
      <c r="AK851" s="21">
        <f t="shared" si="148"/>
        <v>0.105</v>
      </c>
      <c r="AL851" s="20">
        <f t="shared" si="149"/>
        <v>14326.297038221885</v>
      </c>
      <c r="AM851" s="22">
        <f t="shared" si="150"/>
        <v>0.25411415812318866</v>
      </c>
      <c r="AN851" s="20">
        <f t="shared" si="151"/>
        <v>35314.757038221884</v>
      </c>
      <c r="AO851" s="16">
        <f t="shared" si="152"/>
        <v>0.24431402129224927</v>
      </c>
      <c r="AP851" s="15">
        <v>1554337</v>
      </c>
      <c r="AQ851" s="18">
        <f t="shared" si="153"/>
        <v>0.28357814296384892</v>
      </c>
      <c r="AR851" s="23">
        <v>46028</v>
      </c>
      <c r="AS851" s="14" t="s">
        <v>79</v>
      </c>
    </row>
    <row r="852" spans="1:45" x14ac:dyDescent="0.25">
      <c r="A852" s="14" t="s">
        <v>2705</v>
      </c>
      <c r="B852" s="14" t="s">
        <v>2706</v>
      </c>
      <c r="C852" s="14"/>
      <c r="D852" s="15" t="s">
        <v>2728</v>
      </c>
      <c r="E852" s="14">
        <v>37</v>
      </c>
      <c r="F852" s="14" t="s">
        <v>89</v>
      </c>
      <c r="G852" s="14" t="s">
        <v>131</v>
      </c>
      <c r="H852" s="14" t="s">
        <v>73</v>
      </c>
      <c r="I852" s="14" t="s">
        <v>74</v>
      </c>
      <c r="J852" s="15">
        <v>1616807</v>
      </c>
      <c r="K852" s="14">
        <v>2</v>
      </c>
      <c r="L852" s="14" t="s">
        <v>76</v>
      </c>
      <c r="M852" s="14" t="s">
        <v>75</v>
      </c>
      <c r="N852" s="14" t="s">
        <v>75</v>
      </c>
      <c r="O852" s="14" t="s">
        <v>76</v>
      </c>
      <c r="P852" s="14">
        <v>781</v>
      </c>
      <c r="Q852" s="15">
        <v>1160038</v>
      </c>
      <c r="R852" s="15">
        <v>12887.37</v>
      </c>
      <c r="S852" s="14" t="s">
        <v>22</v>
      </c>
      <c r="T852" s="15"/>
      <c r="U852" s="16">
        <f t="shared" si="143"/>
        <v>9.5650526005886916E-2</v>
      </c>
      <c r="V852" s="14">
        <v>2</v>
      </c>
      <c r="W852" s="17">
        <v>45.7</v>
      </c>
      <c r="X852" s="14">
        <v>10</v>
      </c>
      <c r="Y852" s="18">
        <f t="shared" si="144"/>
        <v>23.4</v>
      </c>
      <c r="Z852" s="18" t="str">
        <f t="shared" si="145"/>
        <v>Low</v>
      </c>
      <c r="AA852" s="19" t="str">
        <f t="shared" si="146"/>
        <v>Eligible</v>
      </c>
      <c r="AB852" s="14" t="s">
        <v>85</v>
      </c>
      <c r="AC852" s="14">
        <v>2</v>
      </c>
      <c r="AD852" s="14" t="s">
        <v>93</v>
      </c>
      <c r="AE852" s="17">
        <v>2.4</v>
      </c>
      <c r="AF852" s="15">
        <v>697035</v>
      </c>
      <c r="AG852" s="20">
        <f t="shared" si="147"/>
        <v>2313842</v>
      </c>
      <c r="AH852" s="14">
        <v>1</v>
      </c>
      <c r="AI852" s="14" t="s">
        <v>75</v>
      </c>
      <c r="AJ852" s="14">
        <v>72</v>
      </c>
      <c r="AK852" s="21">
        <f t="shared" si="148"/>
        <v>0.09</v>
      </c>
      <c r="AL852" s="20">
        <f t="shared" si="149"/>
        <v>0</v>
      </c>
      <c r="AM852" s="22">
        <f t="shared" si="150"/>
        <v>0</v>
      </c>
      <c r="AN852" s="20">
        <f t="shared" si="151"/>
        <v>12887.37</v>
      </c>
      <c r="AO852" s="16">
        <f t="shared" si="152"/>
        <v>9.5650526005886916E-2</v>
      </c>
      <c r="AP852" s="15">
        <v>485342</v>
      </c>
      <c r="AQ852" s="18">
        <f t="shared" si="153"/>
        <v>0</v>
      </c>
      <c r="AR852" s="23">
        <v>46254</v>
      </c>
      <c r="AS852" s="14" t="s">
        <v>79</v>
      </c>
    </row>
    <row r="853" spans="1:45" x14ac:dyDescent="0.25">
      <c r="A853" s="14" t="s">
        <v>2707</v>
      </c>
      <c r="B853" s="14" t="s">
        <v>2708</v>
      </c>
      <c r="C853" s="14">
        <v>9484932777</v>
      </c>
      <c r="D853" s="15" t="s">
        <v>2731</v>
      </c>
      <c r="E853" s="14">
        <v>42</v>
      </c>
      <c r="F853" s="14" t="s">
        <v>71</v>
      </c>
      <c r="G853" s="14" t="s">
        <v>174</v>
      </c>
      <c r="H853" s="14" t="s">
        <v>99</v>
      </c>
      <c r="I853" s="14" t="s">
        <v>74</v>
      </c>
      <c r="J853" s="15">
        <v>2431638</v>
      </c>
      <c r="K853" s="14">
        <v>2</v>
      </c>
      <c r="L853" s="14" t="s">
        <v>76</v>
      </c>
      <c r="M853" s="14" t="s">
        <v>75</v>
      </c>
      <c r="N853" s="14" t="s">
        <v>76</v>
      </c>
      <c r="O853" s="14" t="s">
        <v>75</v>
      </c>
      <c r="P853" s="14">
        <v>496</v>
      </c>
      <c r="Q853" s="15">
        <v>378449</v>
      </c>
      <c r="R853" s="15">
        <v>34078.39</v>
      </c>
      <c r="S853" s="14" t="s">
        <v>20</v>
      </c>
      <c r="T853" s="15">
        <v>264339</v>
      </c>
      <c r="U853" s="16">
        <f t="shared" si="143"/>
        <v>0.16817498328287353</v>
      </c>
      <c r="V853" s="14">
        <v>2</v>
      </c>
      <c r="W853" s="17">
        <v>16.5</v>
      </c>
      <c r="X853" s="14">
        <v>9.9</v>
      </c>
      <c r="Y853" s="18">
        <f t="shared" si="144"/>
        <v>41.6</v>
      </c>
      <c r="Z853" s="18" t="str">
        <f t="shared" si="145"/>
        <v>Medium</v>
      </c>
      <c r="AA853" s="19" t="str">
        <f t="shared" si="146"/>
        <v>Not Eligible</v>
      </c>
      <c r="AB853" s="14" t="s">
        <v>77</v>
      </c>
      <c r="AC853" s="14">
        <v>4</v>
      </c>
      <c r="AD853" s="14" t="s">
        <v>93</v>
      </c>
      <c r="AE853" s="17">
        <v>4</v>
      </c>
      <c r="AF853" s="15">
        <v>278738</v>
      </c>
      <c r="AG853" s="20">
        <f t="shared" si="147"/>
        <v>2710376</v>
      </c>
      <c r="AH853" s="14">
        <v>0</v>
      </c>
      <c r="AI853" s="14" t="s">
        <v>75</v>
      </c>
      <c r="AJ853" s="14">
        <v>24</v>
      </c>
      <c r="AK853" s="21">
        <f t="shared" si="148"/>
        <v>0.375</v>
      </c>
      <c r="AL853" s="20">
        <f t="shared" si="149"/>
        <v>15819.457216820339</v>
      </c>
      <c r="AM853" s="22">
        <f t="shared" si="150"/>
        <v>0.10870820409945889</v>
      </c>
      <c r="AN853" s="20">
        <f t="shared" si="151"/>
        <v>49897.847216820337</v>
      </c>
      <c r="AO853" s="16">
        <f t="shared" si="152"/>
        <v>0.24624313594451314</v>
      </c>
      <c r="AP853" s="15">
        <v>0</v>
      </c>
      <c r="AQ853" s="18" t="str">
        <f t="shared" si="153"/>
        <v>N/A</v>
      </c>
      <c r="AR853" s="23">
        <v>45943</v>
      </c>
      <c r="AS853" s="14" t="s">
        <v>79</v>
      </c>
    </row>
    <row r="854" spans="1:45" x14ac:dyDescent="0.25">
      <c r="A854" s="14" t="s">
        <v>2710</v>
      </c>
      <c r="B854" s="14" t="s">
        <v>453</v>
      </c>
      <c r="C854" s="14">
        <v>9859575160</v>
      </c>
      <c r="D854" s="15" t="s">
        <v>2734</v>
      </c>
      <c r="E854" s="14">
        <v>24</v>
      </c>
      <c r="F854" s="14" t="s">
        <v>89</v>
      </c>
      <c r="G854" s="14" t="s">
        <v>131</v>
      </c>
      <c r="H854" s="14" t="s">
        <v>132</v>
      </c>
      <c r="I854" s="14" t="s">
        <v>92</v>
      </c>
      <c r="J854" s="15">
        <v>1284354</v>
      </c>
      <c r="K854" s="14">
        <v>2</v>
      </c>
      <c r="L854" s="14" t="s">
        <v>76</v>
      </c>
      <c r="M854" s="14" t="s">
        <v>75</v>
      </c>
      <c r="N854" s="14" t="s">
        <v>76</v>
      </c>
      <c r="O854" s="14" t="s">
        <v>75</v>
      </c>
      <c r="P854" s="14">
        <v>402</v>
      </c>
      <c r="Q854" s="15">
        <v>226677</v>
      </c>
      <c r="R854" s="15">
        <v>16128.51</v>
      </c>
      <c r="S854" s="14" t="s">
        <v>22</v>
      </c>
      <c r="T854" s="15"/>
      <c r="U854" s="16">
        <f t="shared" si="143"/>
        <v>0.15069219233949518</v>
      </c>
      <c r="V854" s="14">
        <v>0</v>
      </c>
      <c r="W854" s="17">
        <v>77.3</v>
      </c>
      <c r="X854" s="14">
        <v>8.4</v>
      </c>
      <c r="Y854" s="18">
        <f t="shared" si="144"/>
        <v>45.5</v>
      </c>
      <c r="Z854" s="18" t="str">
        <f t="shared" si="145"/>
        <v>Medium</v>
      </c>
      <c r="AA854" s="19" t="str">
        <f t="shared" si="146"/>
        <v>Not Eligible</v>
      </c>
      <c r="AB854" s="14" t="s">
        <v>77</v>
      </c>
      <c r="AC854" s="14">
        <v>0</v>
      </c>
      <c r="AD854" s="14" t="s">
        <v>194</v>
      </c>
      <c r="AE854" s="17">
        <v>0.4</v>
      </c>
      <c r="AF854" s="15">
        <v>0</v>
      </c>
      <c r="AG854" s="20">
        <f t="shared" si="147"/>
        <v>1284354</v>
      </c>
      <c r="AH854" s="14">
        <v>0</v>
      </c>
      <c r="AI854" s="14" t="s">
        <v>75</v>
      </c>
      <c r="AJ854" s="14">
        <v>48</v>
      </c>
      <c r="AK854" s="21">
        <f t="shared" si="148"/>
        <v>0.105</v>
      </c>
      <c r="AL854" s="20">
        <f t="shared" si="149"/>
        <v>0</v>
      </c>
      <c r="AM854" s="22">
        <f t="shared" si="150"/>
        <v>0</v>
      </c>
      <c r="AN854" s="20">
        <f t="shared" si="151"/>
        <v>16128.51</v>
      </c>
      <c r="AO854" s="16">
        <f t="shared" si="152"/>
        <v>0.15069219233949518</v>
      </c>
      <c r="AP854" s="15">
        <v>907404</v>
      </c>
      <c r="AQ854" s="18">
        <f t="shared" si="153"/>
        <v>0</v>
      </c>
      <c r="AR854" s="23">
        <v>46202</v>
      </c>
      <c r="AS854" s="14" t="s">
        <v>79</v>
      </c>
    </row>
    <row r="855" spans="1:45" x14ac:dyDescent="0.25">
      <c r="A855" s="14" t="s">
        <v>2712</v>
      </c>
      <c r="B855" s="14" t="s">
        <v>2713</v>
      </c>
      <c r="C855" s="14">
        <v>9992195121</v>
      </c>
      <c r="D855" s="15"/>
      <c r="E855" s="14">
        <v>28</v>
      </c>
      <c r="F855" s="14" t="s">
        <v>89</v>
      </c>
      <c r="G855" s="14" t="s">
        <v>120</v>
      </c>
      <c r="H855" s="14" t="s">
        <v>103</v>
      </c>
      <c r="I855" s="14" t="s">
        <v>74</v>
      </c>
      <c r="J855" s="15">
        <v>2047046</v>
      </c>
      <c r="K855" s="14">
        <v>1</v>
      </c>
      <c r="L855" s="14" t="s">
        <v>75</v>
      </c>
      <c r="M855" s="14" t="s">
        <v>76</v>
      </c>
      <c r="N855" s="14" t="s">
        <v>75</v>
      </c>
      <c r="O855" s="14" t="s">
        <v>75</v>
      </c>
      <c r="P855" s="14">
        <v>616</v>
      </c>
      <c r="Q855" s="15">
        <v>101075.66</v>
      </c>
      <c r="R855" s="15">
        <v>25331.83</v>
      </c>
      <c r="S855" s="14" t="s">
        <v>20</v>
      </c>
      <c r="T855" s="15">
        <v>1374054</v>
      </c>
      <c r="U855" s="16">
        <f t="shared" si="143"/>
        <v>0.14849786472800319</v>
      </c>
      <c r="V855" s="14">
        <v>0</v>
      </c>
      <c r="W855" s="17">
        <v>8.6999999999999993</v>
      </c>
      <c r="X855" s="14">
        <v>4.8</v>
      </c>
      <c r="Y855" s="18">
        <f t="shared" si="144"/>
        <v>24.3</v>
      </c>
      <c r="Z855" s="18" t="str">
        <f t="shared" si="145"/>
        <v>Low</v>
      </c>
      <c r="AA855" s="19" t="str">
        <f t="shared" si="146"/>
        <v>Review</v>
      </c>
      <c r="AB855" s="14" t="s">
        <v>77</v>
      </c>
      <c r="AC855" s="14">
        <v>1</v>
      </c>
      <c r="AD855" s="14" t="s">
        <v>78</v>
      </c>
      <c r="AE855" s="17">
        <v>0.9</v>
      </c>
      <c r="AF855" s="15">
        <v>0</v>
      </c>
      <c r="AG855" s="20">
        <f t="shared" si="147"/>
        <v>2047046</v>
      </c>
      <c r="AH855" s="14">
        <v>0</v>
      </c>
      <c r="AI855" s="14" t="s">
        <v>76</v>
      </c>
      <c r="AJ855" s="14">
        <v>18</v>
      </c>
      <c r="AK855" s="21">
        <f t="shared" si="148"/>
        <v>0.36</v>
      </c>
      <c r="AL855" s="20">
        <f t="shared" si="149"/>
        <v>99905.674431090447</v>
      </c>
      <c r="AM855" s="22">
        <f t="shared" si="150"/>
        <v>0.67123748074054024</v>
      </c>
      <c r="AN855" s="20">
        <f t="shared" si="151"/>
        <v>125237.50443109045</v>
      </c>
      <c r="AO855" s="16">
        <f t="shared" si="152"/>
        <v>0.73415548706432854</v>
      </c>
      <c r="AP855" s="15">
        <v>0</v>
      </c>
      <c r="AQ855" s="18" t="str">
        <f t="shared" si="153"/>
        <v>N/A</v>
      </c>
      <c r="AR855" s="23">
        <v>46092</v>
      </c>
      <c r="AS855" s="14" t="s">
        <v>79</v>
      </c>
    </row>
    <row r="856" spans="1:45" x14ac:dyDescent="0.25">
      <c r="A856" s="14" t="s">
        <v>2715</v>
      </c>
      <c r="B856" s="14" t="s">
        <v>2716</v>
      </c>
      <c r="C856" s="14">
        <v>9640859955</v>
      </c>
      <c r="D856" s="15" t="s">
        <v>2738</v>
      </c>
      <c r="E856" s="14">
        <v>22</v>
      </c>
      <c r="F856" s="14" t="s">
        <v>71</v>
      </c>
      <c r="G856" s="14" t="s">
        <v>226</v>
      </c>
      <c r="H856" s="14" t="s">
        <v>99</v>
      </c>
      <c r="I856" s="14" t="s">
        <v>74</v>
      </c>
      <c r="J856" s="15">
        <v>1640184</v>
      </c>
      <c r="K856" s="14">
        <v>1</v>
      </c>
      <c r="L856" s="14" t="s">
        <v>75</v>
      </c>
      <c r="M856" s="14" t="s">
        <v>76</v>
      </c>
      <c r="N856" s="14" t="s">
        <v>75</v>
      </c>
      <c r="O856" s="14" t="s">
        <v>75</v>
      </c>
      <c r="P856" s="14">
        <v>336</v>
      </c>
      <c r="Q856" s="15">
        <v>219895.89</v>
      </c>
      <c r="R856" s="15">
        <v>27134.63</v>
      </c>
      <c r="S856" s="14" t="s">
        <v>21</v>
      </c>
      <c r="T856" s="15">
        <v>3308851</v>
      </c>
      <c r="U856" s="16">
        <f t="shared" si="143"/>
        <v>0.19852379976880644</v>
      </c>
      <c r="V856" s="14">
        <v>0</v>
      </c>
      <c r="W856" s="17">
        <v>41.3</v>
      </c>
      <c r="X856" s="14">
        <v>8.8000000000000007</v>
      </c>
      <c r="Y856" s="18">
        <f t="shared" si="144"/>
        <v>47.7</v>
      </c>
      <c r="Z856" s="18" t="str">
        <f t="shared" si="145"/>
        <v>Medium</v>
      </c>
      <c r="AA856" s="19" t="str">
        <f t="shared" si="146"/>
        <v>Not Eligible</v>
      </c>
      <c r="AB856" s="14" t="s">
        <v>77</v>
      </c>
      <c r="AC856" s="14">
        <v>1</v>
      </c>
      <c r="AD856" s="14" t="s">
        <v>78</v>
      </c>
      <c r="AE856" s="17">
        <v>0.4</v>
      </c>
      <c r="AF856" s="15">
        <v>323785</v>
      </c>
      <c r="AG856" s="20">
        <f t="shared" si="147"/>
        <v>1963969</v>
      </c>
      <c r="AH856" s="14">
        <v>0</v>
      </c>
      <c r="AI856" s="14" t="s">
        <v>75</v>
      </c>
      <c r="AJ856" s="14">
        <v>12</v>
      </c>
      <c r="AK856" s="21">
        <f t="shared" si="148"/>
        <v>0.15500000000000003</v>
      </c>
      <c r="AL856" s="20">
        <f t="shared" si="149"/>
        <v>299432.54014609667</v>
      </c>
      <c r="AM856" s="22">
        <f t="shared" si="150"/>
        <v>2.0173657345761207</v>
      </c>
      <c r="AN856" s="20">
        <f t="shared" si="151"/>
        <v>326567.17014609667</v>
      </c>
      <c r="AO856" s="16">
        <f t="shared" si="152"/>
        <v>2.3892478171675617</v>
      </c>
      <c r="AP856" s="15">
        <v>0</v>
      </c>
      <c r="AQ856" s="18" t="str">
        <f t="shared" si="153"/>
        <v>N/A</v>
      </c>
      <c r="AR856" s="23">
        <v>45928</v>
      </c>
      <c r="AS856" s="14" t="s">
        <v>79</v>
      </c>
    </row>
    <row r="857" spans="1:45" x14ac:dyDescent="0.25">
      <c r="A857" s="14" t="s">
        <v>2718</v>
      </c>
      <c r="B857" s="14" t="s">
        <v>2719</v>
      </c>
      <c r="C857" s="14"/>
      <c r="D857" s="15" t="s">
        <v>2740</v>
      </c>
      <c r="E857" s="14">
        <v>64</v>
      </c>
      <c r="F857" s="14" t="s">
        <v>71</v>
      </c>
      <c r="G857" s="14" t="s">
        <v>131</v>
      </c>
      <c r="H857" s="14" t="s">
        <v>84</v>
      </c>
      <c r="I857" s="14" t="s">
        <v>74</v>
      </c>
      <c r="J857" s="15">
        <v>831907</v>
      </c>
      <c r="K857" s="14">
        <v>3</v>
      </c>
      <c r="L857" s="14" t="s">
        <v>76</v>
      </c>
      <c r="M857" s="14" t="s">
        <v>75</v>
      </c>
      <c r="N857" s="14" t="s">
        <v>76</v>
      </c>
      <c r="O857" s="14" t="s">
        <v>76</v>
      </c>
      <c r="P857" s="14">
        <v>734</v>
      </c>
      <c r="Q857" s="15">
        <v>14194.79</v>
      </c>
      <c r="R857" s="15">
        <v>7638.58</v>
      </c>
      <c r="S857" s="14" t="s">
        <v>21</v>
      </c>
      <c r="T857" s="15"/>
      <c r="U857" s="16">
        <f t="shared" si="143"/>
        <v>0.11018414317946597</v>
      </c>
      <c r="V857" s="14">
        <v>0</v>
      </c>
      <c r="W857" s="17">
        <v>24.1</v>
      </c>
      <c r="X857" s="14">
        <v>4.5999999999999996</v>
      </c>
      <c r="Y857" s="18">
        <f t="shared" si="144"/>
        <v>16.8</v>
      </c>
      <c r="Z857" s="18" t="str">
        <f t="shared" si="145"/>
        <v>Low</v>
      </c>
      <c r="AA857" s="19" t="str">
        <f t="shared" si="146"/>
        <v>Eligible</v>
      </c>
      <c r="AB857" s="14" t="s">
        <v>85</v>
      </c>
      <c r="AC857" s="14">
        <v>2</v>
      </c>
      <c r="AD857" s="14" t="s">
        <v>194</v>
      </c>
      <c r="AE857" s="17">
        <v>7.9</v>
      </c>
      <c r="AF857" s="15">
        <v>0</v>
      </c>
      <c r="AG857" s="20">
        <f t="shared" si="147"/>
        <v>831907</v>
      </c>
      <c r="AH857" s="14">
        <v>0</v>
      </c>
      <c r="AI857" s="14" t="s">
        <v>76</v>
      </c>
      <c r="AJ857" s="14">
        <v>60</v>
      </c>
      <c r="AK857" s="21">
        <f t="shared" si="148"/>
        <v>0.14000000000000001</v>
      </c>
      <c r="AL857" s="20">
        <f t="shared" si="149"/>
        <v>0</v>
      </c>
      <c r="AM857" s="22">
        <f t="shared" si="150"/>
        <v>0</v>
      </c>
      <c r="AN857" s="20">
        <f t="shared" si="151"/>
        <v>7638.58</v>
      </c>
      <c r="AO857" s="16">
        <f t="shared" si="152"/>
        <v>0.11018414317946597</v>
      </c>
      <c r="AP857" s="15">
        <v>0</v>
      </c>
      <c r="AQ857" s="18" t="str">
        <f t="shared" si="153"/>
        <v>N/A</v>
      </c>
      <c r="AR857" s="23">
        <v>46090</v>
      </c>
      <c r="AS857" s="14" t="s">
        <v>79</v>
      </c>
    </row>
    <row r="858" spans="1:45" x14ac:dyDescent="0.25">
      <c r="A858" s="14" t="s">
        <v>2722</v>
      </c>
      <c r="B858" s="14" t="s">
        <v>2682</v>
      </c>
      <c r="C858" s="14">
        <v>9798000086</v>
      </c>
      <c r="D858" s="15" t="s">
        <v>2743</v>
      </c>
      <c r="E858" s="14">
        <v>48</v>
      </c>
      <c r="F858" s="14" t="s">
        <v>89</v>
      </c>
      <c r="G858" s="14" t="s">
        <v>143</v>
      </c>
      <c r="H858" s="14" t="s">
        <v>132</v>
      </c>
      <c r="I858" s="14" t="s">
        <v>92</v>
      </c>
      <c r="J858" s="15">
        <v>1492351</v>
      </c>
      <c r="K858" s="14">
        <v>1</v>
      </c>
      <c r="L858" s="14" t="s">
        <v>76</v>
      </c>
      <c r="M858" s="14" t="s">
        <v>75</v>
      </c>
      <c r="N858" s="14" t="s">
        <v>75</v>
      </c>
      <c r="O858" s="14" t="s">
        <v>75</v>
      </c>
      <c r="P858" s="14">
        <v>436</v>
      </c>
      <c r="Q858" s="15">
        <v>633965</v>
      </c>
      <c r="R858" s="15">
        <v>15045.21</v>
      </c>
      <c r="S858" s="14" t="s">
        <v>20</v>
      </c>
      <c r="T858" s="15"/>
      <c r="U858" s="16">
        <f t="shared" si="143"/>
        <v>0.12097859015740935</v>
      </c>
      <c r="V858" s="14">
        <v>0</v>
      </c>
      <c r="W858" s="17">
        <v>37.299999999999997</v>
      </c>
      <c r="X858" s="14">
        <v>12.5</v>
      </c>
      <c r="Y858" s="18">
        <f t="shared" si="144"/>
        <v>38.299999999999997</v>
      </c>
      <c r="Z858" s="18" t="str">
        <f t="shared" si="145"/>
        <v>Medium</v>
      </c>
      <c r="AA858" s="19" t="str">
        <f t="shared" si="146"/>
        <v>Not Eligible</v>
      </c>
      <c r="AB858" s="14" t="s">
        <v>85</v>
      </c>
      <c r="AC858" s="14">
        <v>1</v>
      </c>
      <c r="AD858" s="14" t="s">
        <v>194</v>
      </c>
      <c r="AE858" s="17">
        <v>23.1</v>
      </c>
      <c r="AF858" s="15">
        <v>0</v>
      </c>
      <c r="AG858" s="20">
        <f t="shared" si="147"/>
        <v>1492351</v>
      </c>
      <c r="AH858" s="14">
        <v>3</v>
      </c>
      <c r="AI858" s="14" t="s">
        <v>75</v>
      </c>
      <c r="AJ858" s="14">
        <v>24</v>
      </c>
      <c r="AK858" s="21">
        <f t="shared" si="148"/>
        <v>0.375</v>
      </c>
      <c r="AL858" s="20">
        <f t="shared" si="149"/>
        <v>0</v>
      </c>
      <c r="AM858" s="22">
        <f t="shared" si="150"/>
        <v>0</v>
      </c>
      <c r="AN858" s="20">
        <f t="shared" si="151"/>
        <v>15045.21</v>
      </c>
      <c r="AO858" s="16">
        <f t="shared" si="152"/>
        <v>0.12097859015740935</v>
      </c>
      <c r="AP858" s="15">
        <v>0</v>
      </c>
      <c r="AQ858" s="18" t="str">
        <f t="shared" si="153"/>
        <v>N/A</v>
      </c>
      <c r="AR858" s="23">
        <v>46206</v>
      </c>
      <c r="AS858" s="14" t="s">
        <v>79</v>
      </c>
    </row>
    <row r="859" spans="1:45" x14ac:dyDescent="0.25">
      <c r="A859" s="14" t="s">
        <v>2723</v>
      </c>
      <c r="B859" s="14" t="s">
        <v>2724</v>
      </c>
      <c r="C859" s="14"/>
      <c r="D859" s="15" t="s">
        <v>2745</v>
      </c>
      <c r="E859" s="14">
        <v>36</v>
      </c>
      <c r="F859" s="14" t="s">
        <v>89</v>
      </c>
      <c r="G859" s="14" t="s">
        <v>174</v>
      </c>
      <c r="H859" s="14" t="s">
        <v>84</v>
      </c>
      <c r="I859" s="14" t="s">
        <v>74</v>
      </c>
      <c r="J859" s="15">
        <v>1670527</v>
      </c>
      <c r="K859" s="14">
        <v>1</v>
      </c>
      <c r="L859" s="14" t="s">
        <v>76</v>
      </c>
      <c r="M859" s="14" t="s">
        <v>75</v>
      </c>
      <c r="N859" s="14" t="s">
        <v>75</v>
      </c>
      <c r="O859" s="14" t="s">
        <v>75</v>
      </c>
      <c r="P859" s="14">
        <v>636</v>
      </c>
      <c r="Q859" s="15">
        <v>21977.56</v>
      </c>
      <c r="R859" s="15">
        <v>1095.25</v>
      </c>
      <c r="S859" s="14" t="s">
        <v>20</v>
      </c>
      <c r="T859" s="15">
        <v>852372</v>
      </c>
      <c r="U859" s="16">
        <f t="shared" si="143"/>
        <v>7.8675771178795678E-3</v>
      </c>
      <c r="V859" s="14">
        <v>1</v>
      </c>
      <c r="W859" s="17">
        <v>24.1</v>
      </c>
      <c r="X859" s="14">
        <v>0.8</v>
      </c>
      <c r="Y859" s="18">
        <f t="shared" si="144"/>
        <v>24.2</v>
      </c>
      <c r="Z859" s="18" t="str">
        <f t="shared" si="145"/>
        <v>Low</v>
      </c>
      <c r="AA859" s="19" t="str">
        <f t="shared" si="146"/>
        <v>Review</v>
      </c>
      <c r="AB859" s="14" t="s">
        <v>85</v>
      </c>
      <c r="AC859" s="14">
        <v>2</v>
      </c>
      <c r="AD859" s="14" t="s">
        <v>78</v>
      </c>
      <c r="AE859" s="17">
        <v>8.4</v>
      </c>
      <c r="AF859" s="15">
        <v>0</v>
      </c>
      <c r="AG859" s="20">
        <f t="shared" si="147"/>
        <v>1670527</v>
      </c>
      <c r="AH859" s="14">
        <v>0</v>
      </c>
      <c r="AI859" s="14" t="s">
        <v>75</v>
      </c>
      <c r="AJ859" s="14">
        <v>24</v>
      </c>
      <c r="AK859" s="21">
        <f t="shared" si="148"/>
        <v>0.36</v>
      </c>
      <c r="AL859" s="20">
        <f t="shared" si="149"/>
        <v>50330.364027255353</v>
      </c>
      <c r="AM859" s="22">
        <f t="shared" si="150"/>
        <v>0.5102413789181498</v>
      </c>
      <c r="AN859" s="20">
        <f t="shared" si="151"/>
        <v>51425.614027255353</v>
      </c>
      <c r="AO859" s="16">
        <f t="shared" si="152"/>
        <v>0.36940879634215085</v>
      </c>
      <c r="AP859" s="15">
        <v>0</v>
      </c>
      <c r="AQ859" s="18" t="str">
        <f t="shared" si="153"/>
        <v>N/A</v>
      </c>
      <c r="AR859" s="23">
        <v>46207</v>
      </c>
      <c r="AS859" s="14" t="s">
        <v>79</v>
      </c>
    </row>
    <row r="860" spans="1:45" x14ac:dyDescent="0.25">
      <c r="A860" s="14" t="s">
        <v>2726</v>
      </c>
      <c r="B860" s="14" t="s">
        <v>2727</v>
      </c>
      <c r="C860" s="14">
        <v>9918933929</v>
      </c>
      <c r="D860" s="15" t="s">
        <v>2749</v>
      </c>
      <c r="E860" s="14">
        <v>48</v>
      </c>
      <c r="F860" s="14" t="s">
        <v>89</v>
      </c>
      <c r="G860" s="14" t="s">
        <v>83</v>
      </c>
      <c r="H860" s="14" t="s">
        <v>84</v>
      </c>
      <c r="I860" s="14" t="s">
        <v>74</v>
      </c>
      <c r="J860" s="15">
        <v>2216734</v>
      </c>
      <c r="K860" s="14">
        <v>1</v>
      </c>
      <c r="L860" s="14" t="s">
        <v>76</v>
      </c>
      <c r="M860" s="14" t="s">
        <v>75</v>
      </c>
      <c r="N860" s="14" t="s">
        <v>75</v>
      </c>
      <c r="O860" s="14" t="s">
        <v>75</v>
      </c>
      <c r="P860" s="14">
        <v>322</v>
      </c>
      <c r="Q860" s="15"/>
      <c r="R860" s="15">
        <v>29744.57</v>
      </c>
      <c r="S860" s="14" t="s">
        <v>20</v>
      </c>
      <c r="T860" s="15"/>
      <c r="U860" s="16">
        <f t="shared" si="143"/>
        <v>0.16101834500666293</v>
      </c>
      <c r="V860" s="14">
        <v>3</v>
      </c>
      <c r="W860" s="17">
        <v>64</v>
      </c>
      <c r="X860" s="14">
        <v>13.6</v>
      </c>
      <c r="Y860" s="18">
        <f t="shared" si="144"/>
        <v>61.8</v>
      </c>
      <c r="Z860" s="18" t="str">
        <f t="shared" si="145"/>
        <v>High</v>
      </c>
      <c r="AA860" s="19" t="str">
        <f t="shared" si="146"/>
        <v>Not Eligible</v>
      </c>
      <c r="AB860" s="14" t="s">
        <v>85</v>
      </c>
      <c r="AC860" s="14">
        <v>4</v>
      </c>
      <c r="AD860" s="14" t="s">
        <v>78</v>
      </c>
      <c r="AE860" s="17">
        <v>14.3</v>
      </c>
      <c r="AF860" s="15">
        <v>0</v>
      </c>
      <c r="AG860" s="20">
        <f t="shared" si="147"/>
        <v>2216734</v>
      </c>
      <c r="AH860" s="14">
        <v>3</v>
      </c>
      <c r="AI860" s="14" t="s">
        <v>76</v>
      </c>
      <c r="AJ860" s="14">
        <v>36</v>
      </c>
      <c r="AK860" s="21">
        <f t="shared" si="148"/>
        <v>0.39</v>
      </c>
      <c r="AL860" s="20">
        <f t="shared" si="149"/>
        <v>0</v>
      </c>
      <c r="AM860" s="22">
        <f t="shared" si="150"/>
        <v>0</v>
      </c>
      <c r="AN860" s="20">
        <f t="shared" si="151"/>
        <v>29744.57</v>
      </c>
      <c r="AO860" s="16">
        <f t="shared" si="152"/>
        <v>0.16101834500666293</v>
      </c>
      <c r="AP860" s="15">
        <v>0</v>
      </c>
      <c r="AQ860" s="18" t="str">
        <f t="shared" si="153"/>
        <v>N/A</v>
      </c>
      <c r="AR860" s="23">
        <v>45947</v>
      </c>
      <c r="AS860" s="14" t="s">
        <v>79</v>
      </c>
    </row>
    <row r="861" spans="1:45" x14ac:dyDescent="0.25">
      <c r="A861" s="14" t="s">
        <v>2729</v>
      </c>
      <c r="B861" s="14" t="s">
        <v>2730</v>
      </c>
      <c r="C861" s="14">
        <v>9884010024</v>
      </c>
      <c r="D861" s="15"/>
      <c r="E861" s="14">
        <v>41</v>
      </c>
      <c r="F861" s="14" t="s">
        <v>71</v>
      </c>
      <c r="G861" s="14" t="s">
        <v>226</v>
      </c>
      <c r="H861" s="14" t="s">
        <v>73</v>
      </c>
      <c r="I861" s="14" t="s">
        <v>74</v>
      </c>
      <c r="J861" s="15">
        <v>2418891</v>
      </c>
      <c r="K861" s="14">
        <v>3</v>
      </c>
      <c r="L861" s="14" t="s">
        <v>76</v>
      </c>
      <c r="M861" s="14" t="s">
        <v>76</v>
      </c>
      <c r="N861" s="14" t="s">
        <v>76</v>
      </c>
      <c r="O861" s="14" t="s">
        <v>75</v>
      </c>
      <c r="P861" s="14">
        <v>599</v>
      </c>
      <c r="Q861" s="15">
        <v>497090.91</v>
      </c>
      <c r="R861" s="15">
        <v>6524.99</v>
      </c>
      <c r="S861" s="14" t="s">
        <v>21</v>
      </c>
      <c r="T861" s="15">
        <v>6093266</v>
      </c>
      <c r="U861" s="16">
        <f t="shared" si="143"/>
        <v>3.2370156406386234E-2</v>
      </c>
      <c r="V861" s="14">
        <v>0</v>
      </c>
      <c r="W861" s="17">
        <v>24.7</v>
      </c>
      <c r="X861" s="14">
        <v>14.5</v>
      </c>
      <c r="Y861" s="18">
        <f t="shared" si="144"/>
        <v>23.5</v>
      </c>
      <c r="Z861" s="18" t="str">
        <f t="shared" si="145"/>
        <v>Low</v>
      </c>
      <c r="AA861" s="19" t="str">
        <f t="shared" si="146"/>
        <v>Review</v>
      </c>
      <c r="AB861" s="14" t="s">
        <v>77</v>
      </c>
      <c r="AC861" s="14">
        <v>2</v>
      </c>
      <c r="AD861" s="14" t="s">
        <v>78</v>
      </c>
      <c r="AE861" s="17">
        <v>10.5</v>
      </c>
      <c r="AF861" s="15">
        <v>882304</v>
      </c>
      <c r="AG861" s="20">
        <f t="shared" si="147"/>
        <v>3301195</v>
      </c>
      <c r="AH861" s="14">
        <v>2</v>
      </c>
      <c r="AI861" s="14" t="s">
        <v>75</v>
      </c>
      <c r="AJ861" s="14">
        <v>12</v>
      </c>
      <c r="AK861" s="21">
        <f t="shared" si="148"/>
        <v>0.14000000000000001</v>
      </c>
      <c r="AL861" s="20">
        <f t="shared" si="149"/>
        <v>547096.79097962729</v>
      </c>
      <c r="AM861" s="22">
        <f t="shared" si="150"/>
        <v>2.5190328956534214</v>
      </c>
      <c r="AN861" s="20">
        <f t="shared" si="151"/>
        <v>553621.78097962728</v>
      </c>
      <c r="AO861" s="16">
        <f t="shared" si="152"/>
        <v>2.7464905908350263</v>
      </c>
      <c r="AP861" s="15">
        <v>0</v>
      </c>
      <c r="AQ861" s="18" t="str">
        <f t="shared" si="153"/>
        <v>N/A</v>
      </c>
      <c r="AR861" s="23">
        <v>46225</v>
      </c>
      <c r="AS861" s="14" t="s">
        <v>79</v>
      </c>
    </row>
    <row r="862" spans="1:45" x14ac:dyDescent="0.25">
      <c r="A862" s="14" t="s">
        <v>2732</v>
      </c>
      <c r="B862" s="14" t="s">
        <v>2533</v>
      </c>
      <c r="C862" s="14"/>
      <c r="D862" s="15" t="s">
        <v>2753</v>
      </c>
      <c r="E862" s="14">
        <v>52</v>
      </c>
      <c r="F862" s="14" t="s">
        <v>89</v>
      </c>
      <c r="G862" s="14" t="s">
        <v>143</v>
      </c>
      <c r="H862" s="14" t="s">
        <v>166</v>
      </c>
      <c r="I862" s="14" t="s">
        <v>74</v>
      </c>
      <c r="J862" s="15">
        <v>869227</v>
      </c>
      <c r="K862" s="14">
        <v>1</v>
      </c>
      <c r="L862" s="14" t="s">
        <v>75</v>
      </c>
      <c r="M862" s="14" t="s">
        <v>75</v>
      </c>
      <c r="N862" s="14" t="s">
        <v>75</v>
      </c>
      <c r="O862" s="14" t="s">
        <v>76</v>
      </c>
      <c r="P862" s="14">
        <v>874</v>
      </c>
      <c r="Q862" s="15"/>
      <c r="R862" s="15">
        <v>5397.07</v>
      </c>
      <c r="S862" s="14" t="s">
        <v>21</v>
      </c>
      <c r="T862" s="15">
        <v>152842</v>
      </c>
      <c r="U862" s="16">
        <f t="shared" si="143"/>
        <v>7.4508546099005202E-2</v>
      </c>
      <c r="V862" s="14">
        <v>0</v>
      </c>
      <c r="W862" s="17">
        <v>47.3</v>
      </c>
      <c r="X862" s="14">
        <v>4.5999999999999996</v>
      </c>
      <c r="Y862" s="18">
        <f t="shared" si="144"/>
        <v>8.6999999999999993</v>
      </c>
      <c r="Z862" s="18" t="str">
        <f t="shared" si="145"/>
        <v>Low</v>
      </c>
      <c r="AA862" s="19" t="str">
        <f t="shared" si="146"/>
        <v>Eligible</v>
      </c>
      <c r="AB862" s="14" t="s">
        <v>85</v>
      </c>
      <c r="AC862" s="14">
        <v>0</v>
      </c>
      <c r="AD862" s="14" t="s">
        <v>78</v>
      </c>
      <c r="AE862" s="17">
        <v>25.9</v>
      </c>
      <c r="AF862" s="15">
        <v>0</v>
      </c>
      <c r="AG862" s="20">
        <f t="shared" si="147"/>
        <v>869227</v>
      </c>
      <c r="AH862" s="14">
        <v>0</v>
      </c>
      <c r="AI862" s="14" t="s">
        <v>75</v>
      </c>
      <c r="AJ862" s="14">
        <v>48</v>
      </c>
      <c r="AK862" s="21">
        <f t="shared" si="148"/>
        <v>0.14000000000000001</v>
      </c>
      <c r="AL862" s="20">
        <f t="shared" si="149"/>
        <v>4176.6333204559605</v>
      </c>
      <c r="AM862" s="22">
        <f t="shared" si="150"/>
        <v>0.17583669168122942</v>
      </c>
      <c r="AN862" s="20">
        <f t="shared" si="151"/>
        <v>9573.7033204559593</v>
      </c>
      <c r="AO862" s="16">
        <f t="shared" si="152"/>
        <v>0.13216851276533231</v>
      </c>
      <c r="AP862" s="15">
        <v>0</v>
      </c>
      <c r="AQ862" s="18" t="str">
        <f t="shared" si="153"/>
        <v>N/A</v>
      </c>
      <c r="AR862" s="23">
        <v>46114</v>
      </c>
      <c r="AS862" s="14" t="s">
        <v>79</v>
      </c>
    </row>
    <row r="863" spans="1:45" x14ac:dyDescent="0.25">
      <c r="A863" s="14" t="s">
        <v>2735</v>
      </c>
      <c r="B863" s="14" t="s">
        <v>2453</v>
      </c>
      <c r="C863" s="14"/>
      <c r="D863" s="15"/>
      <c r="E863" s="14">
        <v>25</v>
      </c>
      <c r="F863" s="14" t="s">
        <v>89</v>
      </c>
      <c r="G863" s="14" t="s">
        <v>131</v>
      </c>
      <c r="H863" s="14" t="s">
        <v>144</v>
      </c>
      <c r="I863" s="14" t="s">
        <v>92</v>
      </c>
      <c r="J863" s="15">
        <v>1505955</v>
      </c>
      <c r="K863" s="14">
        <v>0</v>
      </c>
      <c r="L863" s="14" t="s">
        <v>75</v>
      </c>
      <c r="M863" s="14" t="s">
        <v>75</v>
      </c>
      <c r="N863" s="14" t="s">
        <v>75</v>
      </c>
      <c r="O863" s="14" t="s">
        <v>75</v>
      </c>
      <c r="P863" s="14">
        <v>353</v>
      </c>
      <c r="Q863" s="15">
        <v>171078.41</v>
      </c>
      <c r="R863" s="15">
        <v>4211.49</v>
      </c>
      <c r="S863" s="14" t="s">
        <v>22</v>
      </c>
      <c r="T863" s="15"/>
      <c r="U863" s="16">
        <f t="shared" si="143"/>
        <v>3.3558691992788631E-2</v>
      </c>
      <c r="V863" s="14">
        <v>0</v>
      </c>
      <c r="W863" s="17">
        <v>6.8</v>
      </c>
      <c r="X863" s="14">
        <v>12.6</v>
      </c>
      <c r="Y863" s="18">
        <f t="shared" si="144"/>
        <v>38.200000000000003</v>
      </c>
      <c r="Z863" s="18" t="str">
        <f t="shared" si="145"/>
        <v>Medium</v>
      </c>
      <c r="AA863" s="19" t="str">
        <f t="shared" si="146"/>
        <v>Not Eligible</v>
      </c>
      <c r="AB863" s="14" t="s">
        <v>85</v>
      </c>
      <c r="AC863" s="14">
        <v>0</v>
      </c>
      <c r="AD863" s="14" t="s">
        <v>93</v>
      </c>
      <c r="AE863" s="17">
        <v>1.9</v>
      </c>
      <c r="AF863" s="15">
        <v>0</v>
      </c>
      <c r="AG863" s="20">
        <f t="shared" si="147"/>
        <v>1505955</v>
      </c>
      <c r="AH863" s="14">
        <v>1</v>
      </c>
      <c r="AI863" s="14" t="s">
        <v>75</v>
      </c>
      <c r="AJ863" s="14">
        <v>72</v>
      </c>
      <c r="AK863" s="21">
        <f t="shared" si="148"/>
        <v>0.105</v>
      </c>
      <c r="AL863" s="20">
        <f t="shared" si="149"/>
        <v>0</v>
      </c>
      <c r="AM863" s="22">
        <f t="shared" si="150"/>
        <v>0</v>
      </c>
      <c r="AN863" s="20">
        <f t="shared" si="151"/>
        <v>4211.49</v>
      </c>
      <c r="AO863" s="16">
        <f t="shared" si="152"/>
        <v>3.3558691992788631E-2</v>
      </c>
      <c r="AP863" s="15">
        <v>1620978</v>
      </c>
      <c r="AQ863" s="18">
        <f t="shared" si="153"/>
        <v>0</v>
      </c>
      <c r="AR863" s="23">
        <v>45895</v>
      </c>
      <c r="AS863" s="14" t="s">
        <v>79</v>
      </c>
    </row>
    <row r="864" spans="1:45" x14ac:dyDescent="0.25">
      <c r="A864" s="14" t="s">
        <v>2736</v>
      </c>
      <c r="B864" s="14" t="s">
        <v>2737</v>
      </c>
      <c r="C864" s="14">
        <v>9824041303</v>
      </c>
      <c r="D864" s="15" t="s">
        <v>2758</v>
      </c>
      <c r="E864" s="14">
        <v>30</v>
      </c>
      <c r="F864" s="14" t="s">
        <v>89</v>
      </c>
      <c r="G864" s="14" t="s">
        <v>417</v>
      </c>
      <c r="H864" s="14" t="s">
        <v>103</v>
      </c>
      <c r="I864" s="14" t="s">
        <v>74</v>
      </c>
      <c r="J864" s="15">
        <v>2498573</v>
      </c>
      <c r="K864" s="14">
        <v>1</v>
      </c>
      <c r="L864" s="14" t="s">
        <v>76</v>
      </c>
      <c r="M864" s="14" t="s">
        <v>75</v>
      </c>
      <c r="N864" s="14" t="s">
        <v>75</v>
      </c>
      <c r="O864" s="14" t="s">
        <v>75</v>
      </c>
      <c r="P864" s="14">
        <v>724</v>
      </c>
      <c r="Q864" s="15">
        <v>234785</v>
      </c>
      <c r="R864" s="15">
        <v>9162.33</v>
      </c>
      <c r="S864" s="14" t="s">
        <v>23</v>
      </c>
      <c r="T864" s="15">
        <v>651875</v>
      </c>
      <c r="U864" s="16">
        <f t="shared" si="143"/>
        <v>4.4004301655384888E-2</v>
      </c>
      <c r="V864" s="14">
        <v>0</v>
      </c>
      <c r="W864" s="17">
        <v>69.599999999999994</v>
      </c>
      <c r="X864" s="14">
        <v>3.3</v>
      </c>
      <c r="Y864" s="18">
        <f t="shared" si="144"/>
        <v>20</v>
      </c>
      <c r="Z864" s="18" t="str">
        <f t="shared" si="145"/>
        <v>Low</v>
      </c>
      <c r="AA864" s="19" t="str">
        <f t="shared" si="146"/>
        <v>Eligible</v>
      </c>
      <c r="AB864" s="14" t="s">
        <v>85</v>
      </c>
      <c r="AC864" s="14">
        <v>1</v>
      </c>
      <c r="AD864" s="14" t="s">
        <v>93</v>
      </c>
      <c r="AE864" s="17">
        <v>3.6</v>
      </c>
      <c r="AF864" s="15">
        <v>0</v>
      </c>
      <c r="AG864" s="20">
        <f t="shared" si="147"/>
        <v>2498573</v>
      </c>
      <c r="AH864" s="14">
        <v>0</v>
      </c>
      <c r="AI864" s="14" t="s">
        <v>75</v>
      </c>
      <c r="AJ864" s="14">
        <v>120</v>
      </c>
      <c r="AK864" s="21">
        <f t="shared" si="148"/>
        <v>8.5000000000000006E-2</v>
      </c>
      <c r="AL864" s="20">
        <f t="shared" si="149"/>
        <v>8082.3170935071939</v>
      </c>
      <c r="AM864" s="22">
        <f t="shared" si="150"/>
        <v>0.26089892110416624</v>
      </c>
      <c r="AN864" s="20">
        <f t="shared" si="151"/>
        <v>17244.647093507192</v>
      </c>
      <c r="AO864" s="16">
        <f t="shared" si="152"/>
        <v>8.2821580607045017E-2</v>
      </c>
      <c r="AP864" s="15">
        <v>4362939</v>
      </c>
      <c r="AQ864" s="18">
        <f t="shared" si="153"/>
        <v>0.14941189872239791</v>
      </c>
      <c r="AR864" s="23">
        <v>45972</v>
      </c>
      <c r="AS864" s="14" t="s">
        <v>79</v>
      </c>
    </row>
    <row r="865" spans="1:45" x14ac:dyDescent="0.25">
      <c r="A865" s="14" t="s">
        <v>2739</v>
      </c>
      <c r="B865" s="14" t="s">
        <v>736</v>
      </c>
      <c r="C865" s="14">
        <v>9967208728</v>
      </c>
      <c r="D865" s="15"/>
      <c r="E865" s="14">
        <v>51</v>
      </c>
      <c r="F865" s="14" t="s">
        <v>71</v>
      </c>
      <c r="G865" s="14" t="s">
        <v>417</v>
      </c>
      <c r="H865" s="14" t="s">
        <v>91</v>
      </c>
      <c r="I865" s="14" t="s">
        <v>92</v>
      </c>
      <c r="J865" s="15">
        <v>820227</v>
      </c>
      <c r="K865" s="14">
        <v>0</v>
      </c>
      <c r="L865" s="14" t="s">
        <v>75</v>
      </c>
      <c r="M865" s="14" t="s">
        <v>75</v>
      </c>
      <c r="N865" s="14" t="s">
        <v>75</v>
      </c>
      <c r="O865" s="14" t="s">
        <v>75</v>
      </c>
      <c r="P865" s="14">
        <v>738</v>
      </c>
      <c r="Q865" s="15">
        <v>549852.42000000004</v>
      </c>
      <c r="R865" s="15">
        <v>373.55</v>
      </c>
      <c r="S865" s="14" t="s">
        <v>21</v>
      </c>
      <c r="T865" s="15">
        <v>307169</v>
      </c>
      <c r="U865" s="16">
        <f t="shared" si="143"/>
        <v>5.4650724738395592E-3</v>
      </c>
      <c r="V865" s="14">
        <v>0</v>
      </c>
      <c r="W865" s="17">
        <v>42.3</v>
      </c>
      <c r="X865" s="14">
        <v>8.1999999999999993</v>
      </c>
      <c r="Y865" s="18">
        <f t="shared" si="144"/>
        <v>15.2</v>
      </c>
      <c r="Z865" s="18" t="str">
        <f t="shared" si="145"/>
        <v>Low</v>
      </c>
      <c r="AA865" s="19" t="str">
        <f t="shared" si="146"/>
        <v>Eligible</v>
      </c>
      <c r="AB865" s="14" t="s">
        <v>77</v>
      </c>
      <c r="AC865" s="14">
        <v>2</v>
      </c>
      <c r="AD865" s="14" t="s">
        <v>194</v>
      </c>
      <c r="AE865" s="17">
        <v>16.8</v>
      </c>
      <c r="AF865" s="15">
        <v>0</v>
      </c>
      <c r="AG865" s="20">
        <f t="shared" si="147"/>
        <v>820227</v>
      </c>
      <c r="AH865" s="14">
        <v>0</v>
      </c>
      <c r="AI865" s="14" t="s">
        <v>75</v>
      </c>
      <c r="AJ865" s="14">
        <v>48</v>
      </c>
      <c r="AK865" s="21">
        <f t="shared" si="148"/>
        <v>0.14000000000000001</v>
      </c>
      <c r="AL865" s="20">
        <f t="shared" si="149"/>
        <v>8393.8464585070651</v>
      </c>
      <c r="AM865" s="22">
        <f t="shared" si="150"/>
        <v>0.37449267093133976</v>
      </c>
      <c r="AN865" s="20">
        <f t="shared" si="151"/>
        <v>8767.3964585070644</v>
      </c>
      <c r="AO865" s="16">
        <f t="shared" si="152"/>
        <v>0.12826785451111067</v>
      </c>
      <c r="AP865" s="15">
        <v>0</v>
      </c>
      <c r="AQ865" s="18" t="str">
        <f t="shared" si="153"/>
        <v>N/A</v>
      </c>
      <c r="AR865" s="23">
        <v>46086</v>
      </c>
      <c r="AS865" s="14" t="s">
        <v>79</v>
      </c>
    </row>
    <row r="866" spans="1:45" x14ac:dyDescent="0.25">
      <c r="A866" s="14" t="s">
        <v>2741</v>
      </c>
      <c r="B866" s="14" t="s">
        <v>2742</v>
      </c>
      <c r="C866" s="14">
        <v>9753120819</v>
      </c>
      <c r="D866" s="15" t="s">
        <v>2763</v>
      </c>
      <c r="E866" s="14">
        <v>53</v>
      </c>
      <c r="F866" s="14" t="s">
        <v>89</v>
      </c>
      <c r="G866" s="14" t="s">
        <v>72</v>
      </c>
      <c r="H866" s="14" t="s">
        <v>103</v>
      </c>
      <c r="I866" s="14" t="s">
        <v>74</v>
      </c>
      <c r="J866" s="15">
        <v>1098000</v>
      </c>
      <c r="K866" s="14">
        <v>1</v>
      </c>
      <c r="L866" s="14" t="s">
        <v>76</v>
      </c>
      <c r="M866" s="14" t="s">
        <v>75</v>
      </c>
      <c r="N866" s="14" t="s">
        <v>75</v>
      </c>
      <c r="O866" s="14" t="s">
        <v>75</v>
      </c>
      <c r="P866" s="14">
        <v>328</v>
      </c>
      <c r="Q866" s="15">
        <v>39508.06</v>
      </c>
      <c r="R866" s="15">
        <v>23480.19</v>
      </c>
      <c r="S866" s="14" t="s">
        <v>23</v>
      </c>
      <c r="T866" s="15"/>
      <c r="U866" s="16">
        <f t="shared" si="143"/>
        <v>0.25661409836065568</v>
      </c>
      <c r="V866" s="14">
        <v>1</v>
      </c>
      <c r="W866" s="17">
        <v>58</v>
      </c>
      <c r="X866" s="14">
        <v>4.4000000000000004</v>
      </c>
      <c r="Y866" s="18">
        <f t="shared" si="144"/>
        <v>55.6</v>
      </c>
      <c r="Z866" s="18" t="str">
        <f t="shared" si="145"/>
        <v>Medium</v>
      </c>
      <c r="AA866" s="19" t="str">
        <f t="shared" si="146"/>
        <v>Not Eligible</v>
      </c>
      <c r="AB866" s="14" t="s">
        <v>85</v>
      </c>
      <c r="AC866" s="14">
        <v>0</v>
      </c>
      <c r="AD866" s="14" t="s">
        <v>194</v>
      </c>
      <c r="AE866" s="17">
        <v>14.6</v>
      </c>
      <c r="AF866" s="15">
        <v>0</v>
      </c>
      <c r="AG866" s="20">
        <f t="shared" si="147"/>
        <v>1098000</v>
      </c>
      <c r="AH866" s="14">
        <v>0</v>
      </c>
      <c r="AI866" s="14" t="s">
        <v>75</v>
      </c>
      <c r="AJ866" s="14">
        <v>240</v>
      </c>
      <c r="AK866" s="21">
        <f t="shared" si="148"/>
        <v>0.1</v>
      </c>
      <c r="AL866" s="20">
        <f t="shared" si="149"/>
        <v>0</v>
      </c>
      <c r="AM866" s="22">
        <f t="shared" si="150"/>
        <v>0</v>
      </c>
      <c r="AN866" s="20">
        <f t="shared" si="151"/>
        <v>23480.19</v>
      </c>
      <c r="AO866" s="16">
        <f t="shared" si="152"/>
        <v>0.25661409836065568</v>
      </c>
      <c r="AP866" s="15">
        <v>5718423</v>
      </c>
      <c r="AQ866" s="18">
        <f t="shared" si="153"/>
        <v>0</v>
      </c>
      <c r="AR866" s="23">
        <v>45940</v>
      </c>
      <c r="AS866" s="14" t="s">
        <v>79</v>
      </c>
    </row>
    <row r="867" spans="1:45" x14ac:dyDescent="0.25">
      <c r="A867" s="14" t="s">
        <v>2744</v>
      </c>
      <c r="B867" s="14" t="s">
        <v>189</v>
      </c>
      <c r="C867" s="14">
        <v>9150951873</v>
      </c>
      <c r="D867" s="15" t="s">
        <v>2767</v>
      </c>
      <c r="E867" s="14">
        <v>24</v>
      </c>
      <c r="F867" s="14" t="s">
        <v>71</v>
      </c>
      <c r="G867" s="14" t="s">
        <v>90</v>
      </c>
      <c r="H867" s="14" t="s">
        <v>166</v>
      </c>
      <c r="I867" s="14" t="s">
        <v>74</v>
      </c>
      <c r="J867" s="15">
        <v>1465023</v>
      </c>
      <c r="K867" s="14">
        <v>0</v>
      </c>
      <c r="L867" s="14" t="s">
        <v>75</v>
      </c>
      <c r="M867" s="14" t="s">
        <v>75</v>
      </c>
      <c r="N867" s="14" t="s">
        <v>75</v>
      </c>
      <c r="O867" s="14" t="s">
        <v>75</v>
      </c>
      <c r="P867" s="14">
        <v>818</v>
      </c>
      <c r="Q867" s="15"/>
      <c r="R867" s="15">
        <v>372.5</v>
      </c>
      <c r="S867" s="14" t="s">
        <v>22</v>
      </c>
      <c r="T867" s="15">
        <v>430562</v>
      </c>
      <c r="U867" s="16">
        <f t="shared" si="143"/>
        <v>3.0511466372882884E-3</v>
      </c>
      <c r="V867" s="14">
        <v>0</v>
      </c>
      <c r="W867" s="17">
        <v>54.9</v>
      </c>
      <c r="X867" s="14">
        <v>14.4</v>
      </c>
      <c r="Y867" s="18">
        <f t="shared" si="144"/>
        <v>11</v>
      </c>
      <c r="Z867" s="18" t="str">
        <f t="shared" si="145"/>
        <v>Low</v>
      </c>
      <c r="AA867" s="19" t="str">
        <f t="shared" si="146"/>
        <v>Eligible</v>
      </c>
      <c r="AB867" s="14" t="s">
        <v>85</v>
      </c>
      <c r="AC867" s="14">
        <v>2</v>
      </c>
      <c r="AD867" s="14" t="s">
        <v>78</v>
      </c>
      <c r="AE867" s="17">
        <v>1.2</v>
      </c>
      <c r="AF867" s="15">
        <v>300214</v>
      </c>
      <c r="AG867" s="20">
        <f t="shared" si="147"/>
        <v>1765237</v>
      </c>
      <c r="AH867" s="14">
        <v>1</v>
      </c>
      <c r="AI867" s="14" t="s">
        <v>76</v>
      </c>
      <c r="AJ867" s="14">
        <v>60</v>
      </c>
      <c r="AK867" s="21">
        <f t="shared" si="148"/>
        <v>0.09</v>
      </c>
      <c r="AL867" s="20">
        <f t="shared" si="149"/>
        <v>8937.7589429694344</v>
      </c>
      <c r="AM867" s="22">
        <f t="shared" si="150"/>
        <v>0.29389436206803582</v>
      </c>
      <c r="AN867" s="20">
        <f t="shared" si="151"/>
        <v>9310.2589429694344</v>
      </c>
      <c r="AO867" s="16">
        <f t="shared" si="152"/>
        <v>7.626030943926014E-2</v>
      </c>
      <c r="AP867" s="15">
        <v>1062712</v>
      </c>
      <c r="AQ867" s="18">
        <f t="shared" si="153"/>
        <v>0.40515398339343117</v>
      </c>
      <c r="AR867" s="23">
        <v>46218</v>
      </c>
      <c r="AS867" s="14" t="s">
        <v>79</v>
      </c>
    </row>
    <row r="868" spans="1:45" x14ac:dyDescent="0.25">
      <c r="A868" s="14" t="s">
        <v>2746</v>
      </c>
      <c r="B868" s="14" t="s">
        <v>2747</v>
      </c>
      <c r="C868" s="14">
        <v>9846008575</v>
      </c>
      <c r="D868" s="15" t="s">
        <v>2769</v>
      </c>
      <c r="E868" s="14">
        <v>37</v>
      </c>
      <c r="F868" s="14" t="s">
        <v>89</v>
      </c>
      <c r="G868" s="14" t="s">
        <v>127</v>
      </c>
      <c r="H868" s="14" t="s">
        <v>73</v>
      </c>
      <c r="I868" s="14" t="s">
        <v>74</v>
      </c>
      <c r="J868" s="15">
        <v>594186</v>
      </c>
      <c r="K868" s="14">
        <v>2</v>
      </c>
      <c r="L868" s="14" t="s">
        <v>76</v>
      </c>
      <c r="M868" s="14" t="s">
        <v>76</v>
      </c>
      <c r="N868" s="14" t="s">
        <v>75</v>
      </c>
      <c r="O868" s="14" t="s">
        <v>75</v>
      </c>
      <c r="P868" s="14">
        <v>670</v>
      </c>
      <c r="Q868" s="15">
        <v>8753</v>
      </c>
      <c r="R868" s="15">
        <v>18370.86</v>
      </c>
      <c r="S868" s="14" t="s">
        <v>20</v>
      </c>
      <c r="T868" s="15">
        <v>888925</v>
      </c>
      <c r="U868" s="16">
        <f t="shared" si="143"/>
        <v>0.3710123092768931</v>
      </c>
      <c r="V868" s="14">
        <v>2</v>
      </c>
      <c r="W868" s="17">
        <v>61.8</v>
      </c>
      <c r="X868" s="14">
        <v>8.6</v>
      </c>
      <c r="Y868" s="18">
        <f t="shared" si="144"/>
        <v>40.6</v>
      </c>
      <c r="Z868" s="18" t="str">
        <f t="shared" si="145"/>
        <v>Medium</v>
      </c>
      <c r="AA868" s="19" t="str">
        <f t="shared" si="146"/>
        <v>Eligible</v>
      </c>
      <c r="AB868" s="14" t="s">
        <v>77</v>
      </c>
      <c r="AC868" s="14">
        <v>3</v>
      </c>
      <c r="AD868" s="14" t="s">
        <v>194</v>
      </c>
      <c r="AE868" s="17">
        <v>1.7</v>
      </c>
      <c r="AF868" s="15">
        <v>815049</v>
      </c>
      <c r="AG868" s="20">
        <f t="shared" si="147"/>
        <v>1409235</v>
      </c>
      <c r="AH868" s="14">
        <v>0</v>
      </c>
      <c r="AI868" s="14" t="s">
        <v>75</v>
      </c>
      <c r="AJ868" s="14">
        <v>36</v>
      </c>
      <c r="AK868" s="21">
        <f t="shared" si="148"/>
        <v>0.375</v>
      </c>
      <c r="AL868" s="20">
        <f t="shared" si="149"/>
        <v>41479.099976464087</v>
      </c>
      <c r="AM868" s="22">
        <f t="shared" si="150"/>
        <v>1.4960382775763819</v>
      </c>
      <c r="AN868" s="20">
        <f t="shared" si="151"/>
        <v>59849.959976464088</v>
      </c>
      <c r="AO868" s="16">
        <f t="shared" si="152"/>
        <v>1.2087116150794011</v>
      </c>
      <c r="AP868" s="15">
        <v>0</v>
      </c>
      <c r="AQ868" s="18" t="str">
        <f t="shared" si="153"/>
        <v>N/A</v>
      </c>
      <c r="AR868" s="23">
        <v>46036</v>
      </c>
      <c r="AS868" s="14" t="s">
        <v>79</v>
      </c>
    </row>
    <row r="869" spans="1:45" x14ac:dyDescent="0.25">
      <c r="A869" s="14" t="s">
        <v>2750</v>
      </c>
      <c r="B869" s="14" t="s">
        <v>2751</v>
      </c>
      <c r="C869" s="14">
        <v>9710401558</v>
      </c>
      <c r="D869" s="15" t="s">
        <v>2773</v>
      </c>
      <c r="E869" s="14">
        <v>49</v>
      </c>
      <c r="F869" s="14" t="s">
        <v>89</v>
      </c>
      <c r="G869" s="14" t="s">
        <v>120</v>
      </c>
      <c r="H869" s="14" t="s">
        <v>144</v>
      </c>
      <c r="I869" s="14" t="s">
        <v>92</v>
      </c>
      <c r="J869" s="15">
        <v>2012797</v>
      </c>
      <c r="K869" s="14">
        <v>1</v>
      </c>
      <c r="L869" s="14" t="s">
        <v>76</v>
      </c>
      <c r="M869" s="14" t="s">
        <v>75</v>
      </c>
      <c r="N869" s="14" t="s">
        <v>75</v>
      </c>
      <c r="O869" s="14" t="s">
        <v>75</v>
      </c>
      <c r="P869" s="14">
        <v>897</v>
      </c>
      <c r="Q869" s="15"/>
      <c r="R869" s="15">
        <v>9205.39</v>
      </c>
      <c r="S869" s="14" t="s">
        <v>23</v>
      </c>
      <c r="T869" s="15">
        <v>744208</v>
      </c>
      <c r="U869" s="16">
        <f t="shared" si="143"/>
        <v>5.48811827521603E-2</v>
      </c>
      <c r="V869" s="14">
        <v>4</v>
      </c>
      <c r="W869" s="17">
        <v>72.3</v>
      </c>
      <c r="X869" s="14">
        <v>0.4</v>
      </c>
      <c r="Y869" s="18">
        <f t="shared" si="144"/>
        <v>25.1</v>
      </c>
      <c r="Z869" s="18" t="str">
        <f t="shared" si="145"/>
        <v>Low</v>
      </c>
      <c r="AA869" s="19" t="str">
        <f t="shared" si="146"/>
        <v>Review</v>
      </c>
      <c r="AB869" s="14" t="s">
        <v>85</v>
      </c>
      <c r="AC869" s="14">
        <v>0</v>
      </c>
      <c r="AD869" s="14" t="s">
        <v>78</v>
      </c>
      <c r="AE869" s="17">
        <v>27.4</v>
      </c>
      <c r="AF869" s="15">
        <v>0</v>
      </c>
      <c r="AG869" s="20">
        <f t="shared" si="147"/>
        <v>2012797</v>
      </c>
      <c r="AH869" s="14">
        <v>0</v>
      </c>
      <c r="AI869" s="14" t="s">
        <v>75</v>
      </c>
      <c r="AJ869" s="14">
        <v>120</v>
      </c>
      <c r="AK869" s="21">
        <f t="shared" si="148"/>
        <v>8.5000000000000006E-2</v>
      </c>
      <c r="AL869" s="20">
        <f t="shared" si="149"/>
        <v>9227.1141545922183</v>
      </c>
      <c r="AM869" s="22">
        <f t="shared" si="150"/>
        <v>0.36973822993575606</v>
      </c>
      <c r="AN869" s="20">
        <f t="shared" si="151"/>
        <v>18432.504154592218</v>
      </c>
      <c r="AO869" s="16">
        <f t="shared" si="152"/>
        <v>0.10989188172235284</v>
      </c>
      <c r="AP869" s="15">
        <v>7428036</v>
      </c>
      <c r="AQ869" s="18">
        <f t="shared" si="153"/>
        <v>0.10018906747355559</v>
      </c>
      <c r="AR869" s="23">
        <v>45979</v>
      </c>
      <c r="AS869" s="14" t="s">
        <v>79</v>
      </c>
    </row>
    <row r="870" spans="1:45" x14ac:dyDescent="0.25">
      <c r="A870" s="14" t="s">
        <v>2752</v>
      </c>
      <c r="B870" s="14" t="s">
        <v>1253</v>
      </c>
      <c r="C870" s="14">
        <v>9387044869</v>
      </c>
      <c r="D870" s="15" t="s">
        <v>2776</v>
      </c>
      <c r="E870" s="14">
        <v>57</v>
      </c>
      <c r="F870" s="14" t="s">
        <v>71</v>
      </c>
      <c r="G870" s="14" t="s">
        <v>115</v>
      </c>
      <c r="H870" s="14" t="s">
        <v>99</v>
      </c>
      <c r="I870" s="14" t="s">
        <v>74</v>
      </c>
      <c r="J870" s="15">
        <v>1498617</v>
      </c>
      <c r="K870" s="14">
        <v>0</v>
      </c>
      <c r="L870" s="14" t="s">
        <v>75</v>
      </c>
      <c r="M870" s="14" t="s">
        <v>75</v>
      </c>
      <c r="N870" s="14" t="s">
        <v>75</v>
      </c>
      <c r="O870" s="14" t="s">
        <v>75</v>
      </c>
      <c r="P870" s="14">
        <v>847</v>
      </c>
      <c r="Q870" s="15"/>
      <c r="R870" s="15">
        <v>3013.87</v>
      </c>
      <c r="S870" s="14" t="s">
        <v>20</v>
      </c>
      <c r="T870" s="15">
        <v>193635</v>
      </c>
      <c r="U870" s="16">
        <f t="shared" si="143"/>
        <v>2.4133210820376387E-2</v>
      </c>
      <c r="V870" s="14">
        <v>0</v>
      </c>
      <c r="W870" s="17">
        <v>11.4</v>
      </c>
      <c r="X870" s="14">
        <v>13.2</v>
      </c>
      <c r="Y870" s="18">
        <f t="shared" si="144"/>
        <v>5.4</v>
      </c>
      <c r="Z870" s="18" t="str">
        <f t="shared" si="145"/>
        <v>Low</v>
      </c>
      <c r="AA870" s="19" t="str">
        <f t="shared" si="146"/>
        <v>Eligible</v>
      </c>
      <c r="AB870" s="14" t="s">
        <v>85</v>
      </c>
      <c r="AC870" s="14">
        <v>1</v>
      </c>
      <c r="AD870" s="14" t="s">
        <v>78</v>
      </c>
      <c r="AE870" s="17">
        <v>9.4</v>
      </c>
      <c r="AF870" s="15">
        <v>0</v>
      </c>
      <c r="AG870" s="20">
        <f t="shared" si="147"/>
        <v>1498617</v>
      </c>
      <c r="AH870" s="14">
        <v>0</v>
      </c>
      <c r="AI870" s="14" t="s">
        <v>75</v>
      </c>
      <c r="AJ870" s="14">
        <v>12</v>
      </c>
      <c r="AK870" s="21">
        <f t="shared" si="148"/>
        <v>0.36</v>
      </c>
      <c r="AL870" s="20">
        <f t="shared" si="149"/>
        <v>19452.975920557194</v>
      </c>
      <c r="AM870" s="22">
        <f t="shared" si="150"/>
        <v>0.12920913081861476</v>
      </c>
      <c r="AN870" s="20">
        <f t="shared" si="151"/>
        <v>22466.845920557193</v>
      </c>
      <c r="AO870" s="16">
        <f t="shared" si="152"/>
        <v>0.17990063575061963</v>
      </c>
      <c r="AP870" s="15">
        <v>0</v>
      </c>
      <c r="AQ870" s="18" t="str">
        <f t="shared" si="153"/>
        <v>N/A</v>
      </c>
      <c r="AR870" s="23">
        <v>46024</v>
      </c>
      <c r="AS870" s="14" t="s">
        <v>79</v>
      </c>
    </row>
    <row r="871" spans="1:45" x14ac:dyDescent="0.25">
      <c r="A871" s="14" t="s">
        <v>2754</v>
      </c>
      <c r="B871" s="14" t="s">
        <v>2755</v>
      </c>
      <c r="C871" s="14"/>
      <c r="D871" s="15" t="s">
        <v>2779</v>
      </c>
      <c r="E871" s="14">
        <v>50</v>
      </c>
      <c r="F871" s="14" t="s">
        <v>89</v>
      </c>
      <c r="G871" s="14" t="s">
        <v>143</v>
      </c>
      <c r="H871" s="14" t="s">
        <v>132</v>
      </c>
      <c r="I871" s="14" t="s">
        <v>92</v>
      </c>
      <c r="J871" s="15">
        <v>311168</v>
      </c>
      <c r="K871" s="14">
        <v>2</v>
      </c>
      <c r="L871" s="14" t="s">
        <v>76</v>
      </c>
      <c r="M871" s="14" t="s">
        <v>75</v>
      </c>
      <c r="N871" s="14" t="s">
        <v>75</v>
      </c>
      <c r="O871" s="14" t="s">
        <v>76</v>
      </c>
      <c r="P871" s="14">
        <v>470</v>
      </c>
      <c r="Q871" s="15"/>
      <c r="R871" s="15">
        <v>6579.94</v>
      </c>
      <c r="S871" s="14" t="s">
        <v>23</v>
      </c>
      <c r="T871" s="15"/>
      <c r="U871" s="16">
        <f t="shared" si="143"/>
        <v>0.25375128547922665</v>
      </c>
      <c r="V871" s="14">
        <v>0</v>
      </c>
      <c r="W871" s="17">
        <v>38.9</v>
      </c>
      <c r="X871" s="14">
        <v>1.4</v>
      </c>
      <c r="Y871" s="18">
        <f t="shared" si="144"/>
        <v>40.200000000000003</v>
      </c>
      <c r="Z871" s="18" t="str">
        <f t="shared" si="145"/>
        <v>Medium</v>
      </c>
      <c r="AA871" s="19" t="str">
        <f t="shared" si="146"/>
        <v>Not Eligible</v>
      </c>
      <c r="AB871" s="14" t="s">
        <v>77</v>
      </c>
      <c r="AC871" s="14">
        <v>2</v>
      </c>
      <c r="AD871" s="14" t="s">
        <v>93</v>
      </c>
      <c r="AE871" s="17">
        <v>12</v>
      </c>
      <c r="AF871" s="15">
        <v>800298</v>
      </c>
      <c r="AG871" s="20">
        <f t="shared" si="147"/>
        <v>1111466</v>
      </c>
      <c r="AH871" s="14">
        <v>0</v>
      </c>
      <c r="AI871" s="14" t="s">
        <v>75</v>
      </c>
      <c r="AJ871" s="14">
        <v>180</v>
      </c>
      <c r="AK871" s="21">
        <f t="shared" si="148"/>
        <v>0.1</v>
      </c>
      <c r="AL871" s="20">
        <f t="shared" si="149"/>
        <v>0</v>
      </c>
      <c r="AM871" s="22">
        <f t="shared" si="150"/>
        <v>0</v>
      </c>
      <c r="AN871" s="20">
        <f t="shared" si="151"/>
        <v>6579.94</v>
      </c>
      <c r="AO871" s="16">
        <f t="shared" si="152"/>
        <v>0.25375128547922665</v>
      </c>
      <c r="AP871" s="15">
        <v>8104412</v>
      </c>
      <c r="AQ871" s="18">
        <f t="shared" si="153"/>
        <v>0</v>
      </c>
      <c r="AR871" s="23">
        <v>45999</v>
      </c>
      <c r="AS871" s="14" t="s">
        <v>79</v>
      </c>
    </row>
    <row r="872" spans="1:45" x14ac:dyDescent="0.25">
      <c r="A872" s="14" t="s">
        <v>2756</v>
      </c>
      <c r="B872" s="14" t="s">
        <v>1837</v>
      </c>
      <c r="C872" s="14">
        <v>9964640420</v>
      </c>
      <c r="D872" s="15" t="s">
        <v>2782</v>
      </c>
      <c r="E872" s="14">
        <v>30</v>
      </c>
      <c r="F872" s="14" t="s">
        <v>89</v>
      </c>
      <c r="G872" s="14" t="s">
        <v>314</v>
      </c>
      <c r="H872" s="14" t="s">
        <v>103</v>
      </c>
      <c r="I872" s="14" t="s">
        <v>74</v>
      </c>
      <c r="J872" s="15">
        <v>1120386</v>
      </c>
      <c r="K872" s="14">
        <v>1</v>
      </c>
      <c r="L872" s="14" t="s">
        <v>76</v>
      </c>
      <c r="M872" s="14" t="s">
        <v>75</v>
      </c>
      <c r="N872" s="14" t="s">
        <v>75</v>
      </c>
      <c r="O872" s="14" t="s">
        <v>75</v>
      </c>
      <c r="P872" s="14">
        <v>380</v>
      </c>
      <c r="Q872" s="15">
        <v>108480.59</v>
      </c>
      <c r="R872" s="15">
        <v>4603.62</v>
      </c>
      <c r="S872" s="14" t="s">
        <v>22</v>
      </c>
      <c r="T872" s="15"/>
      <c r="U872" s="16">
        <f t="shared" si="143"/>
        <v>4.9307506520074332E-2</v>
      </c>
      <c r="V872" s="14">
        <v>2</v>
      </c>
      <c r="W872" s="17">
        <v>51.5</v>
      </c>
      <c r="X872" s="14">
        <v>9.1</v>
      </c>
      <c r="Y872" s="18">
        <f t="shared" si="144"/>
        <v>49.3</v>
      </c>
      <c r="Z872" s="18" t="str">
        <f t="shared" si="145"/>
        <v>Medium</v>
      </c>
      <c r="AA872" s="19" t="str">
        <f t="shared" si="146"/>
        <v>Not Eligible</v>
      </c>
      <c r="AB872" s="14" t="s">
        <v>85</v>
      </c>
      <c r="AC872" s="14">
        <v>2</v>
      </c>
      <c r="AD872" s="14" t="s">
        <v>93</v>
      </c>
      <c r="AE872" s="17">
        <v>7.3</v>
      </c>
      <c r="AF872" s="15">
        <v>0</v>
      </c>
      <c r="AG872" s="20">
        <f t="shared" si="147"/>
        <v>1120386</v>
      </c>
      <c r="AH872" s="14">
        <v>1</v>
      </c>
      <c r="AI872" s="14" t="s">
        <v>75</v>
      </c>
      <c r="AJ872" s="14">
        <v>24</v>
      </c>
      <c r="AK872" s="21">
        <f t="shared" si="148"/>
        <v>0.105</v>
      </c>
      <c r="AL872" s="20">
        <f t="shared" si="149"/>
        <v>0</v>
      </c>
      <c r="AM872" s="22">
        <f t="shared" si="150"/>
        <v>0</v>
      </c>
      <c r="AN872" s="20">
        <f t="shared" si="151"/>
        <v>4603.62</v>
      </c>
      <c r="AO872" s="16">
        <f t="shared" si="152"/>
        <v>4.9307506520074332E-2</v>
      </c>
      <c r="AP872" s="15">
        <v>803980</v>
      </c>
      <c r="AQ872" s="18">
        <f t="shared" si="153"/>
        <v>0</v>
      </c>
      <c r="AR872" s="23">
        <v>46178</v>
      </c>
      <c r="AS872" s="14" t="s">
        <v>94</v>
      </c>
    </row>
    <row r="873" spans="1:45" x14ac:dyDescent="0.25">
      <c r="A873" s="14" t="s">
        <v>2759</v>
      </c>
      <c r="B873" s="14" t="s">
        <v>1483</v>
      </c>
      <c r="C873" s="14">
        <v>9908781262</v>
      </c>
      <c r="D873" s="15"/>
      <c r="E873" s="14">
        <v>45</v>
      </c>
      <c r="F873" s="14" t="s">
        <v>89</v>
      </c>
      <c r="G873" s="14" t="s">
        <v>106</v>
      </c>
      <c r="H873" s="14" t="s">
        <v>132</v>
      </c>
      <c r="I873" s="14" t="s">
        <v>92</v>
      </c>
      <c r="J873" s="15">
        <v>1202329</v>
      </c>
      <c r="K873" s="14">
        <v>2</v>
      </c>
      <c r="L873" s="14" t="s">
        <v>76</v>
      </c>
      <c r="M873" s="14" t="s">
        <v>75</v>
      </c>
      <c r="N873" s="14" t="s">
        <v>76</v>
      </c>
      <c r="O873" s="14" t="s">
        <v>75</v>
      </c>
      <c r="P873" s="14">
        <v>845</v>
      </c>
      <c r="Q873" s="15">
        <v>130264</v>
      </c>
      <c r="R873" s="15">
        <v>11455.26</v>
      </c>
      <c r="S873" s="14" t="s">
        <v>20</v>
      </c>
      <c r="T873" s="15"/>
      <c r="U873" s="16">
        <f t="shared" si="143"/>
        <v>0.11433070316028308</v>
      </c>
      <c r="V873" s="14">
        <v>4</v>
      </c>
      <c r="W873" s="17">
        <v>77.7</v>
      </c>
      <c r="X873" s="14">
        <v>11</v>
      </c>
      <c r="Y873" s="18">
        <f t="shared" si="144"/>
        <v>30.9</v>
      </c>
      <c r="Z873" s="18" t="str">
        <f t="shared" si="145"/>
        <v>Medium</v>
      </c>
      <c r="AA873" s="19" t="str">
        <f t="shared" si="146"/>
        <v>Review</v>
      </c>
      <c r="AB873" s="14" t="s">
        <v>161</v>
      </c>
      <c r="AC873" s="14">
        <v>4</v>
      </c>
      <c r="AD873" s="14" t="s">
        <v>78</v>
      </c>
      <c r="AE873" s="17">
        <v>6.4</v>
      </c>
      <c r="AF873" s="15">
        <v>0</v>
      </c>
      <c r="AG873" s="20">
        <f t="shared" si="147"/>
        <v>1202329</v>
      </c>
      <c r="AH873" s="14">
        <v>0</v>
      </c>
      <c r="AI873" s="14" t="s">
        <v>75</v>
      </c>
      <c r="AJ873" s="14">
        <v>18</v>
      </c>
      <c r="AK873" s="21">
        <f t="shared" si="148"/>
        <v>0.375</v>
      </c>
      <c r="AL873" s="20">
        <f t="shared" si="149"/>
        <v>0</v>
      </c>
      <c r="AM873" s="22">
        <f t="shared" si="150"/>
        <v>0</v>
      </c>
      <c r="AN873" s="20">
        <f t="shared" si="151"/>
        <v>11455.26</v>
      </c>
      <c r="AO873" s="16">
        <f t="shared" si="152"/>
        <v>0.11433070316028308</v>
      </c>
      <c r="AP873" s="15">
        <v>0</v>
      </c>
      <c r="AQ873" s="18" t="str">
        <f t="shared" si="153"/>
        <v>N/A</v>
      </c>
      <c r="AR873" s="23">
        <v>46054</v>
      </c>
      <c r="AS873" s="14" t="s">
        <v>79</v>
      </c>
    </row>
    <row r="874" spans="1:45" x14ac:dyDescent="0.25">
      <c r="A874" s="14" t="s">
        <v>2761</v>
      </c>
      <c r="B874" s="14" t="s">
        <v>2762</v>
      </c>
      <c r="C874" s="14">
        <v>9199831937</v>
      </c>
      <c r="D874" s="15" t="s">
        <v>2787</v>
      </c>
      <c r="E874" s="14">
        <v>57</v>
      </c>
      <c r="F874" s="14" t="s">
        <v>89</v>
      </c>
      <c r="G874" s="14" t="s">
        <v>131</v>
      </c>
      <c r="H874" s="14" t="s">
        <v>166</v>
      </c>
      <c r="I874" s="14" t="s">
        <v>74</v>
      </c>
      <c r="J874" s="15">
        <v>726161</v>
      </c>
      <c r="K874" s="14">
        <v>2</v>
      </c>
      <c r="L874" s="14" t="s">
        <v>76</v>
      </c>
      <c r="M874" s="14" t="s">
        <v>75</v>
      </c>
      <c r="N874" s="14" t="s">
        <v>76</v>
      </c>
      <c r="O874" s="14" t="s">
        <v>75</v>
      </c>
      <c r="P874" s="14">
        <v>602</v>
      </c>
      <c r="Q874" s="15">
        <v>636574</v>
      </c>
      <c r="R874" s="15">
        <v>2324</v>
      </c>
      <c r="S874" s="14" t="s">
        <v>22</v>
      </c>
      <c r="T874" s="15">
        <v>6757891</v>
      </c>
      <c r="U874" s="16">
        <f t="shared" si="143"/>
        <v>3.8404706394312003E-2</v>
      </c>
      <c r="V874" s="14">
        <v>0</v>
      </c>
      <c r="W874" s="17">
        <v>28.7</v>
      </c>
      <c r="X874" s="14">
        <v>5.0999999999999996</v>
      </c>
      <c r="Y874" s="18">
        <f t="shared" si="144"/>
        <v>23.9</v>
      </c>
      <c r="Z874" s="18" t="str">
        <f t="shared" si="145"/>
        <v>Low</v>
      </c>
      <c r="AA874" s="19" t="str">
        <f t="shared" si="146"/>
        <v>Review</v>
      </c>
      <c r="AB874" s="14" t="s">
        <v>77</v>
      </c>
      <c r="AC874" s="14">
        <v>1</v>
      </c>
      <c r="AD874" s="14" t="s">
        <v>93</v>
      </c>
      <c r="AE874" s="17">
        <v>28.6</v>
      </c>
      <c r="AF874" s="15">
        <v>179244</v>
      </c>
      <c r="AG874" s="20">
        <f t="shared" si="147"/>
        <v>905405</v>
      </c>
      <c r="AH874" s="14">
        <v>0</v>
      </c>
      <c r="AI874" s="14" t="s">
        <v>75</v>
      </c>
      <c r="AJ874" s="14">
        <v>24</v>
      </c>
      <c r="AK874" s="21">
        <f t="shared" si="148"/>
        <v>0.09</v>
      </c>
      <c r="AL874" s="20">
        <f t="shared" si="149"/>
        <v>308732.50868574332</v>
      </c>
      <c r="AM874" s="22">
        <f t="shared" si="150"/>
        <v>9.3063260075933574</v>
      </c>
      <c r="AN874" s="20">
        <f t="shared" si="151"/>
        <v>311056.50868574332</v>
      </c>
      <c r="AO874" s="16">
        <f t="shared" si="152"/>
        <v>5.140289969068732</v>
      </c>
      <c r="AP874" s="15">
        <v>1302021</v>
      </c>
      <c r="AQ874" s="18">
        <f t="shared" si="153"/>
        <v>5.1903087584608851</v>
      </c>
      <c r="AR874" s="23">
        <v>46167</v>
      </c>
      <c r="AS874" s="14" t="s">
        <v>79</v>
      </c>
    </row>
    <row r="875" spans="1:45" x14ac:dyDescent="0.25">
      <c r="A875" s="14" t="s">
        <v>2764</v>
      </c>
      <c r="B875" s="14" t="s">
        <v>2765</v>
      </c>
      <c r="C875" s="14">
        <v>9676085398</v>
      </c>
      <c r="D875" s="15"/>
      <c r="E875" s="14">
        <v>44</v>
      </c>
      <c r="F875" s="14" t="s">
        <v>89</v>
      </c>
      <c r="G875" s="14" t="s">
        <v>226</v>
      </c>
      <c r="H875" s="14" t="s">
        <v>103</v>
      </c>
      <c r="I875" s="14" t="s">
        <v>74</v>
      </c>
      <c r="J875" s="15">
        <v>2215196</v>
      </c>
      <c r="K875" s="14">
        <v>1</v>
      </c>
      <c r="L875" s="14" t="s">
        <v>76</v>
      </c>
      <c r="M875" s="14" t="s">
        <v>75</v>
      </c>
      <c r="N875" s="14" t="s">
        <v>75</v>
      </c>
      <c r="O875" s="14" t="s">
        <v>75</v>
      </c>
      <c r="P875" s="14">
        <v>612</v>
      </c>
      <c r="Q875" s="15">
        <v>814781.48</v>
      </c>
      <c r="R875" s="15">
        <v>13957.29</v>
      </c>
      <c r="S875" s="14" t="s">
        <v>20</v>
      </c>
      <c r="T875" s="15">
        <v>5568126</v>
      </c>
      <c r="U875" s="16">
        <f t="shared" si="143"/>
        <v>7.5608424717271069E-2</v>
      </c>
      <c r="V875" s="14">
        <v>1</v>
      </c>
      <c r="W875" s="17">
        <v>97.5</v>
      </c>
      <c r="X875" s="14">
        <v>9</v>
      </c>
      <c r="Y875" s="18">
        <f t="shared" si="144"/>
        <v>35.200000000000003</v>
      </c>
      <c r="Z875" s="18" t="str">
        <f t="shared" si="145"/>
        <v>Medium</v>
      </c>
      <c r="AA875" s="19" t="str">
        <f t="shared" si="146"/>
        <v>Review</v>
      </c>
      <c r="AB875" s="14" t="s">
        <v>85</v>
      </c>
      <c r="AC875" s="14">
        <v>1</v>
      </c>
      <c r="AD875" s="14" t="s">
        <v>93</v>
      </c>
      <c r="AE875" s="17">
        <v>20.8</v>
      </c>
      <c r="AF875" s="15">
        <v>264526</v>
      </c>
      <c r="AG875" s="20">
        <f t="shared" si="147"/>
        <v>2479722</v>
      </c>
      <c r="AH875" s="14">
        <v>0</v>
      </c>
      <c r="AI875" s="14" t="s">
        <v>75</v>
      </c>
      <c r="AJ875" s="14">
        <v>12</v>
      </c>
      <c r="AK875" s="21">
        <f t="shared" si="148"/>
        <v>0.375</v>
      </c>
      <c r="AL875" s="20">
        <f t="shared" si="149"/>
        <v>563567.71117047104</v>
      </c>
      <c r="AM875" s="22">
        <f t="shared" si="150"/>
        <v>2.5136042138032031</v>
      </c>
      <c r="AN875" s="20">
        <f t="shared" si="151"/>
        <v>577525.00117047108</v>
      </c>
      <c r="AO875" s="16">
        <f t="shared" si="152"/>
        <v>3.1285267823008227</v>
      </c>
      <c r="AP875" s="15">
        <v>0</v>
      </c>
      <c r="AQ875" s="18" t="str">
        <f t="shared" si="153"/>
        <v>N/A</v>
      </c>
      <c r="AR875" s="23">
        <v>45906</v>
      </c>
      <c r="AS875" s="14" t="s">
        <v>79</v>
      </c>
    </row>
    <row r="876" spans="1:45" x14ac:dyDescent="0.25">
      <c r="A876" s="14" t="s">
        <v>2768</v>
      </c>
      <c r="B876" s="14" t="s">
        <v>307</v>
      </c>
      <c r="C876" s="14">
        <v>9483770585</v>
      </c>
      <c r="D876" s="15" t="s">
        <v>2791</v>
      </c>
      <c r="E876" s="14">
        <v>62</v>
      </c>
      <c r="F876" s="14" t="s">
        <v>89</v>
      </c>
      <c r="G876" s="14" t="s">
        <v>120</v>
      </c>
      <c r="H876" s="14" t="s">
        <v>166</v>
      </c>
      <c r="I876" s="14" t="s">
        <v>74</v>
      </c>
      <c r="J876" s="15">
        <v>546933</v>
      </c>
      <c r="K876" s="14">
        <v>0</v>
      </c>
      <c r="L876" s="14" t="s">
        <v>75</v>
      </c>
      <c r="M876" s="14" t="s">
        <v>75</v>
      </c>
      <c r="N876" s="14" t="s">
        <v>75</v>
      </c>
      <c r="O876" s="14" t="s">
        <v>75</v>
      </c>
      <c r="P876" s="14">
        <v>435</v>
      </c>
      <c r="Q876" s="15"/>
      <c r="R876" s="15">
        <v>312.61</v>
      </c>
      <c r="S876" s="14" t="s">
        <v>21</v>
      </c>
      <c r="T876" s="15">
        <v>482422</v>
      </c>
      <c r="U876" s="16">
        <f t="shared" si="143"/>
        <v>6.8588291436062557E-3</v>
      </c>
      <c r="V876" s="14">
        <v>2</v>
      </c>
      <c r="W876" s="17">
        <v>43.4</v>
      </c>
      <c r="X876" s="14">
        <v>2.2999999999999998</v>
      </c>
      <c r="Y876" s="18">
        <f t="shared" si="144"/>
        <v>43.5</v>
      </c>
      <c r="Z876" s="18" t="str">
        <f t="shared" si="145"/>
        <v>Medium</v>
      </c>
      <c r="AA876" s="19" t="str">
        <f t="shared" si="146"/>
        <v>Not Eligible</v>
      </c>
      <c r="AB876" s="14" t="s">
        <v>77</v>
      </c>
      <c r="AC876" s="14">
        <v>3</v>
      </c>
      <c r="AD876" s="14" t="s">
        <v>78</v>
      </c>
      <c r="AE876" s="17">
        <v>2.8</v>
      </c>
      <c r="AF876" s="15">
        <v>0</v>
      </c>
      <c r="AG876" s="20">
        <f t="shared" si="147"/>
        <v>546933</v>
      </c>
      <c r="AH876" s="14">
        <v>0</v>
      </c>
      <c r="AI876" s="14" t="s">
        <v>75</v>
      </c>
      <c r="AJ876" s="14">
        <v>24</v>
      </c>
      <c r="AK876" s="21">
        <f t="shared" si="148"/>
        <v>0.15500000000000003</v>
      </c>
      <c r="AL876" s="20">
        <f t="shared" si="149"/>
        <v>23505.791231590949</v>
      </c>
      <c r="AM876" s="22">
        <f t="shared" si="150"/>
        <v>0.88204953806042052</v>
      </c>
      <c r="AN876" s="20">
        <f t="shared" si="151"/>
        <v>23818.401231590949</v>
      </c>
      <c r="AO876" s="16">
        <f t="shared" si="152"/>
        <v>0.52258835136861626</v>
      </c>
      <c r="AP876" s="15">
        <v>0</v>
      </c>
      <c r="AQ876" s="18" t="str">
        <f t="shared" si="153"/>
        <v>N/A</v>
      </c>
      <c r="AR876" s="23">
        <v>46227</v>
      </c>
      <c r="AS876" s="14" t="s">
        <v>79</v>
      </c>
    </row>
    <row r="877" spans="1:45" x14ac:dyDescent="0.25">
      <c r="A877" s="14" t="s">
        <v>2770</v>
      </c>
      <c r="B877" s="14" t="s">
        <v>2771</v>
      </c>
      <c r="C877" s="14"/>
      <c r="D877" s="15" t="s">
        <v>2794</v>
      </c>
      <c r="E877" s="14">
        <v>30</v>
      </c>
      <c r="F877" s="14" t="s">
        <v>71</v>
      </c>
      <c r="G877" s="14" t="s">
        <v>314</v>
      </c>
      <c r="H877" s="14" t="s">
        <v>91</v>
      </c>
      <c r="I877" s="14" t="s">
        <v>92</v>
      </c>
      <c r="J877" s="15">
        <v>1436614</v>
      </c>
      <c r="K877" s="14">
        <v>1</v>
      </c>
      <c r="L877" s="14" t="s">
        <v>76</v>
      </c>
      <c r="M877" s="14" t="s">
        <v>75</v>
      </c>
      <c r="N877" s="14" t="s">
        <v>75</v>
      </c>
      <c r="O877" s="14" t="s">
        <v>75</v>
      </c>
      <c r="P877" s="14">
        <v>311</v>
      </c>
      <c r="Q877" s="15">
        <v>26513</v>
      </c>
      <c r="R877" s="15">
        <v>11446.37</v>
      </c>
      <c r="S877" s="14" t="s">
        <v>21</v>
      </c>
      <c r="T877" s="15">
        <v>3492989</v>
      </c>
      <c r="U877" s="16">
        <f t="shared" si="143"/>
        <v>9.5611235864330985E-2</v>
      </c>
      <c r="V877" s="14">
        <v>3</v>
      </c>
      <c r="W877" s="17">
        <v>65.2</v>
      </c>
      <c r="X877" s="14">
        <v>14.1</v>
      </c>
      <c r="Y877" s="18">
        <f t="shared" si="144"/>
        <v>60.7</v>
      </c>
      <c r="Z877" s="18" t="str">
        <f t="shared" si="145"/>
        <v>High</v>
      </c>
      <c r="AA877" s="19" t="str">
        <f t="shared" si="146"/>
        <v>Not Eligible</v>
      </c>
      <c r="AB877" s="14" t="s">
        <v>77</v>
      </c>
      <c r="AC877" s="14">
        <v>1</v>
      </c>
      <c r="AD877" s="14" t="s">
        <v>93</v>
      </c>
      <c r="AE877" s="17">
        <v>5.0999999999999996</v>
      </c>
      <c r="AF877" s="15">
        <v>0</v>
      </c>
      <c r="AG877" s="20">
        <f t="shared" si="147"/>
        <v>1436614</v>
      </c>
      <c r="AH877" s="14">
        <v>1</v>
      </c>
      <c r="AI877" s="14" t="s">
        <v>75</v>
      </c>
      <c r="AJ877" s="14">
        <v>12</v>
      </c>
      <c r="AK877" s="21">
        <f t="shared" si="148"/>
        <v>0.17</v>
      </c>
      <c r="AL877" s="20">
        <f t="shared" si="149"/>
        <v>318577.19575749687</v>
      </c>
      <c r="AM877" s="22">
        <f t="shared" si="150"/>
        <v>2.4314039818629083</v>
      </c>
      <c r="AN877" s="20">
        <f t="shared" si="151"/>
        <v>330023.56575749686</v>
      </c>
      <c r="AO877" s="16">
        <f t="shared" si="152"/>
        <v>2.7566784042825438</v>
      </c>
      <c r="AP877" s="15">
        <v>0</v>
      </c>
      <c r="AQ877" s="18" t="str">
        <f t="shared" si="153"/>
        <v>N/A</v>
      </c>
      <c r="AR877" s="23">
        <v>45918</v>
      </c>
      <c r="AS877" s="14" t="s">
        <v>94</v>
      </c>
    </row>
    <row r="878" spans="1:45" x14ac:dyDescent="0.25">
      <c r="A878" s="14" t="s">
        <v>2774</v>
      </c>
      <c r="B878" s="14" t="s">
        <v>1608</v>
      </c>
      <c r="C878" s="14">
        <v>9266680994</v>
      </c>
      <c r="D878" s="15" t="s">
        <v>2797</v>
      </c>
      <c r="E878" s="14">
        <v>60</v>
      </c>
      <c r="F878" s="14" t="s">
        <v>89</v>
      </c>
      <c r="G878" s="14" t="s">
        <v>72</v>
      </c>
      <c r="H878" s="14" t="s">
        <v>84</v>
      </c>
      <c r="I878" s="14" t="s">
        <v>74</v>
      </c>
      <c r="J878" s="15">
        <v>1102683</v>
      </c>
      <c r="K878" s="14">
        <v>1</v>
      </c>
      <c r="L878" s="14" t="s">
        <v>75</v>
      </c>
      <c r="M878" s="14" t="s">
        <v>75</v>
      </c>
      <c r="N878" s="14" t="s">
        <v>76</v>
      </c>
      <c r="O878" s="14" t="s">
        <v>75</v>
      </c>
      <c r="P878" s="14">
        <v>602</v>
      </c>
      <c r="Q878" s="15"/>
      <c r="R878" s="15">
        <v>3884.66</v>
      </c>
      <c r="S878" s="14" t="s">
        <v>20</v>
      </c>
      <c r="T878" s="15"/>
      <c r="U878" s="16">
        <f t="shared" si="143"/>
        <v>4.2274996531188019E-2</v>
      </c>
      <c r="V878" s="14">
        <v>2</v>
      </c>
      <c r="W878" s="17">
        <v>53.6</v>
      </c>
      <c r="X878" s="14">
        <v>13.9</v>
      </c>
      <c r="Y878" s="18">
        <f t="shared" si="144"/>
        <v>34.5</v>
      </c>
      <c r="Z878" s="18" t="str">
        <f t="shared" si="145"/>
        <v>Medium</v>
      </c>
      <c r="AA878" s="19" t="str">
        <f t="shared" si="146"/>
        <v>Review</v>
      </c>
      <c r="AB878" s="14" t="s">
        <v>77</v>
      </c>
      <c r="AC878" s="14">
        <v>2</v>
      </c>
      <c r="AD878" s="14" t="s">
        <v>78</v>
      </c>
      <c r="AE878" s="17">
        <v>19.100000000000001</v>
      </c>
      <c r="AF878" s="15">
        <v>0</v>
      </c>
      <c r="AG878" s="20">
        <f t="shared" si="147"/>
        <v>1102683</v>
      </c>
      <c r="AH878" s="14">
        <v>0</v>
      </c>
      <c r="AI878" s="14" t="s">
        <v>75</v>
      </c>
      <c r="AJ878" s="14">
        <v>24</v>
      </c>
      <c r="AK878" s="21">
        <f t="shared" si="148"/>
        <v>0.375</v>
      </c>
      <c r="AL878" s="20">
        <f t="shared" si="149"/>
        <v>0</v>
      </c>
      <c r="AM878" s="22">
        <f t="shared" si="150"/>
        <v>0</v>
      </c>
      <c r="AN878" s="20">
        <f t="shared" si="151"/>
        <v>3884.66</v>
      </c>
      <c r="AO878" s="16">
        <f t="shared" si="152"/>
        <v>4.2274996531188019E-2</v>
      </c>
      <c r="AP878" s="15">
        <v>0</v>
      </c>
      <c r="AQ878" s="18" t="str">
        <f t="shared" si="153"/>
        <v>N/A</v>
      </c>
      <c r="AR878" s="23">
        <v>46177</v>
      </c>
      <c r="AS878" s="14" t="s">
        <v>79</v>
      </c>
    </row>
    <row r="879" spans="1:45" x14ac:dyDescent="0.25">
      <c r="A879" s="14" t="s">
        <v>2777</v>
      </c>
      <c r="B879" s="14" t="s">
        <v>2778</v>
      </c>
      <c r="C879" s="14">
        <v>9665844292</v>
      </c>
      <c r="D879" s="15" t="s">
        <v>2800</v>
      </c>
      <c r="E879" s="14">
        <v>21</v>
      </c>
      <c r="F879" s="14" t="s">
        <v>89</v>
      </c>
      <c r="G879" s="14" t="s">
        <v>106</v>
      </c>
      <c r="H879" s="14" t="s">
        <v>84</v>
      </c>
      <c r="I879" s="14" t="s">
        <v>74</v>
      </c>
      <c r="J879" s="15">
        <v>2301127</v>
      </c>
      <c r="K879" s="14">
        <v>1</v>
      </c>
      <c r="L879" s="14" t="s">
        <v>76</v>
      </c>
      <c r="M879" s="14" t="s">
        <v>75</v>
      </c>
      <c r="N879" s="14" t="s">
        <v>75</v>
      </c>
      <c r="O879" s="14" t="s">
        <v>75</v>
      </c>
      <c r="P879" s="14">
        <v>649</v>
      </c>
      <c r="Q879" s="15">
        <v>34251</v>
      </c>
      <c r="R879" s="15">
        <v>1173.8</v>
      </c>
      <c r="S879" s="14" t="s">
        <v>20</v>
      </c>
      <c r="T879" s="15">
        <v>3742471</v>
      </c>
      <c r="U879" s="16">
        <f t="shared" si="143"/>
        <v>6.1211745375200927E-3</v>
      </c>
      <c r="V879" s="14">
        <v>4</v>
      </c>
      <c r="W879" s="17">
        <v>65.3</v>
      </c>
      <c r="X879" s="14">
        <v>14.6</v>
      </c>
      <c r="Y879" s="18">
        <f t="shared" si="144"/>
        <v>39.4</v>
      </c>
      <c r="Z879" s="18" t="str">
        <f t="shared" si="145"/>
        <v>Medium</v>
      </c>
      <c r="AA879" s="19" t="str">
        <f t="shared" si="146"/>
        <v>Review</v>
      </c>
      <c r="AB879" s="14" t="s">
        <v>85</v>
      </c>
      <c r="AC879" s="14">
        <v>1</v>
      </c>
      <c r="AD879" s="14" t="s">
        <v>78</v>
      </c>
      <c r="AE879" s="17">
        <v>0.3</v>
      </c>
      <c r="AF879" s="15">
        <v>0</v>
      </c>
      <c r="AG879" s="20">
        <f t="shared" si="147"/>
        <v>2301127</v>
      </c>
      <c r="AH879" s="14">
        <v>0</v>
      </c>
      <c r="AI879" s="14" t="s">
        <v>75</v>
      </c>
      <c r="AJ879" s="14">
        <v>36</v>
      </c>
      <c r="AK879" s="21">
        <f t="shared" si="148"/>
        <v>0.375</v>
      </c>
      <c r="AL879" s="20">
        <f t="shared" si="149"/>
        <v>174631.52545829795</v>
      </c>
      <c r="AM879" s="22">
        <f t="shared" si="150"/>
        <v>1.6263643857987846</v>
      </c>
      <c r="AN879" s="20">
        <f t="shared" si="151"/>
        <v>175805.32545829794</v>
      </c>
      <c r="AO879" s="16">
        <f t="shared" si="152"/>
        <v>0.91679594629048078</v>
      </c>
      <c r="AP879" s="15">
        <v>0</v>
      </c>
      <c r="AQ879" s="18" t="str">
        <f t="shared" si="153"/>
        <v>N/A</v>
      </c>
      <c r="AR879" s="23">
        <v>46063</v>
      </c>
      <c r="AS879" s="14" t="s">
        <v>79</v>
      </c>
    </row>
    <row r="880" spans="1:45" x14ac:dyDescent="0.25">
      <c r="A880" s="14" t="s">
        <v>2780</v>
      </c>
      <c r="B880" s="14" t="s">
        <v>2781</v>
      </c>
      <c r="C880" s="14">
        <v>9981554550</v>
      </c>
      <c r="D880" s="15" t="s">
        <v>2803</v>
      </c>
      <c r="E880" s="14">
        <v>53</v>
      </c>
      <c r="F880" s="14" t="s">
        <v>89</v>
      </c>
      <c r="G880" s="14" t="s">
        <v>314</v>
      </c>
      <c r="H880" s="14" t="s">
        <v>144</v>
      </c>
      <c r="I880" s="14" t="s">
        <v>92</v>
      </c>
      <c r="J880" s="15">
        <v>2440984</v>
      </c>
      <c r="K880" s="14">
        <v>1</v>
      </c>
      <c r="L880" s="14" t="s">
        <v>76</v>
      </c>
      <c r="M880" s="14" t="s">
        <v>75</v>
      </c>
      <c r="N880" s="14" t="s">
        <v>75</v>
      </c>
      <c r="O880" s="14" t="s">
        <v>75</v>
      </c>
      <c r="P880" s="14">
        <v>543</v>
      </c>
      <c r="Q880" s="15">
        <v>207503</v>
      </c>
      <c r="R880" s="15">
        <v>3013.35</v>
      </c>
      <c r="S880" s="14" t="s">
        <v>20</v>
      </c>
      <c r="T880" s="15">
        <v>634143</v>
      </c>
      <c r="U880" s="16">
        <f t="shared" si="143"/>
        <v>1.4813780016583475E-2</v>
      </c>
      <c r="V880" s="14">
        <v>1</v>
      </c>
      <c r="W880" s="17">
        <v>89.1</v>
      </c>
      <c r="X880" s="14">
        <v>2.2000000000000002</v>
      </c>
      <c r="Y880" s="18">
        <f t="shared" si="144"/>
        <v>37.200000000000003</v>
      </c>
      <c r="Z880" s="18" t="str">
        <f t="shared" si="145"/>
        <v>Medium</v>
      </c>
      <c r="AA880" s="19" t="str">
        <f t="shared" si="146"/>
        <v>Not Eligible</v>
      </c>
      <c r="AB880" s="14" t="s">
        <v>85</v>
      </c>
      <c r="AC880" s="14">
        <v>3</v>
      </c>
      <c r="AD880" s="14" t="s">
        <v>194</v>
      </c>
      <c r="AE880" s="17">
        <v>24</v>
      </c>
      <c r="AF880" s="15">
        <v>0</v>
      </c>
      <c r="AG880" s="20">
        <f t="shared" si="147"/>
        <v>2440984</v>
      </c>
      <c r="AH880" s="14">
        <v>1</v>
      </c>
      <c r="AI880" s="14" t="s">
        <v>75</v>
      </c>
      <c r="AJ880" s="14">
        <v>24</v>
      </c>
      <c r="AK880" s="21">
        <f t="shared" si="148"/>
        <v>0.375</v>
      </c>
      <c r="AL880" s="20">
        <f t="shared" si="149"/>
        <v>37950.503171480945</v>
      </c>
      <c r="AM880" s="22">
        <f t="shared" si="150"/>
        <v>0.25978990439920951</v>
      </c>
      <c r="AN880" s="20">
        <f t="shared" si="151"/>
        <v>40963.853171480943</v>
      </c>
      <c r="AO880" s="16">
        <f t="shared" si="152"/>
        <v>0.20138036056679248</v>
      </c>
      <c r="AP880" s="15">
        <v>0</v>
      </c>
      <c r="AQ880" s="18" t="str">
        <f t="shared" si="153"/>
        <v>N/A</v>
      </c>
      <c r="AR880" s="23">
        <v>46141</v>
      </c>
      <c r="AS880" s="14" t="s">
        <v>79</v>
      </c>
    </row>
    <row r="881" spans="1:45" x14ac:dyDescent="0.25">
      <c r="A881" s="14" t="s">
        <v>2783</v>
      </c>
      <c r="B881" s="14" t="s">
        <v>2784</v>
      </c>
      <c r="C881" s="14">
        <v>9386683631</v>
      </c>
      <c r="D881" s="15" t="s">
        <v>2806</v>
      </c>
      <c r="E881" s="14">
        <v>57</v>
      </c>
      <c r="F881" s="14" t="s">
        <v>71</v>
      </c>
      <c r="G881" s="14" t="s">
        <v>388</v>
      </c>
      <c r="H881" s="14" t="s">
        <v>144</v>
      </c>
      <c r="I881" s="14" t="s">
        <v>92</v>
      </c>
      <c r="J881" s="15">
        <v>369945</v>
      </c>
      <c r="K881" s="14">
        <v>2</v>
      </c>
      <c r="L881" s="14" t="s">
        <v>76</v>
      </c>
      <c r="M881" s="14" t="s">
        <v>76</v>
      </c>
      <c r="N881" s="14" t="s">
        <v>75</v>
      </c>
      <c r="O881" s="14" t="s">
        <v>75</v>
      </c>
      <c r="P881" s="14">
        <v>833</v>
      </c>
      <c r="Q881" s="15">
        <v>1303300.73</v>
      </c>
      <c r="R881" s="15">
        <v>2171.0700000000002</v>
      </c>
      <c r="S881" s="14" t="s">
        <v>22</v>
      </c>
      <c r="T881" s="15">
        <v>259119</v>
      </c>
      <c r="U881" s="16">
        <f t="shared" si="143"/>
        <v>7.0423549446539363E-2</v>
      </c>
      <c r="V881" s="14">
        <v>1</v>
      </c>
      <c r="W881" s="17">
        <v>95.3</v>
      </c>
      <c r="X881" s="14">
        <v>8.6</v>
      </c>
      <c r="Y881" s="18">
        <f t="shared" si="144"/>
        <v>20.100000000000001</v>
      </c>
      <c r="Z881" s="18" t="str">
        <f t="shared" si="145"/>
        <v>Low</v>
      </c>
      <c r="AA881" s="19" t="str">
        <f t="shared" si="146"/>
        <v>Eligible</v>
      </c>
      <c r="AB881" s="14" t="s">
        <v>85</v>
      </c>
      <c r="AC881" s="14">
        <v>2</v>
      </c>
      <c r="AD881" s="14" t="s">
        <v>93</v>
      </c>
      <c r="AE881" s="17">
        <v>8</v>
      </c>
      <c r="AF881" s="15">
        <v>0</v>
      </c>
      <c r="AG881" s="20">
        <f t="shared" si="147"/>
        <v>369945</v>
      </c>
      <c r="AH881" s="14">
        <v>1</v>
      </c>
      <c r="AI881" s="14" t="s">
        <v>76</v>
      </c>
      <c r="AJ881" s="14">
        <v>36</v>
      </c>
      <c r="AK881" s="21">
        <f t="shared" si="148"/>
        <v>0.09</v>
      </c>
      <c r="AL881" s="20">
        <f t="shared" si="149"/>
        <v>8239.9149271111692</v>
      </c>
      <c r="AM881" s="22">
        <f t="shared" si="150"/>
        <v>0.70042573896119698</v>
      </c>
      <c r="AN881" s="20">
        <f t="shared" si="151"/>
        <v>10410.984927111169</v>
      </c>
      <c r="AO881" s="16">
        <f t="shared" si="152"/>
        <v>0.33770376441182887</v>
      </c>
      <c r="AP881" s="15">
        <v>906640</v>
      </c>
      <c r="AQ881" s="18">
        <f t="shared" si="153"/>
        <v>0.28580142063001851</v>
      </c>
      <c r="AR881" s="23">
        <v>45960</v>
      </c>
      <c r="AS881" s="14" t="s">
        <v>79</v>
      </c>
    </row>
    <row r="882" spans="1:45" x14ac:dyDescent="0.25">
      <c r="A882" s="14" t="s">
        <v>2785</v>
      </c>
      <c r="B882" s="14" t="s">
        <v>2786</v>
      </c>
      <c r="C882" s="14"/>
      <c r="D882" s="15" t="s">
        <v>2809</v>
      </c>
      <c r="E882" s="14">
        <v>51</v>
      </c>
      <c r="F882" s="14" t="s">
        <v>71</v>
      </c>
      <c r="G882" s="14" t="s">
        <v>90</v>
      </c>
      <c r="H882" s="14" t="s">
        <v>103</v>
      </c>
      <c r="I882" s="14" t="s">
        <v>74</v>
      </c>
      <c r="J882" s="15">
        <v>1227204</v>
      </c>
      <c r="K882" s="14">
        <v>1</v>
      </c>
      <c r="L882" s="14" t="s">
        <v>76</v>
      </c>
      <c r="M882" s="14" t="s">
        <v>75</v>
      </c>
      <c r="N882" s="14" t="s">
        <v>75</v>
      </c>
      <c r="O882" s="14" t="s">
        <v>75</v>
      </c>
      <c r="P882" s="14">
        <v>561</v>
      </c>
      <c r="Q882" s="15">
        <v>619685.18999999994</v>
      </c>
      <c r="R882" s="15">
        <v>10609.56</v>
      </c>
      <c r="S882" s="14" t="s">
        <v>23</v>
      </c>
      <c r="T882" s="15">
        <v>935421</v>
      </c>
      <c r="U882" s="16">
        <f t="shared" si="143"/>
        <v>0.10374372964886033</v>
      </c>
      <c r="V882" s="14">
        <v>1</v>
      </c>
      <c r="W882" s="17">
        <v>78.2</v>
      </c>
      <c r="X882" s="14">
        <v>12.6</v>
      </c>
      <c r="Y882" s="18">
        <f t="shared" si="144"/>
        <v>37.5</v>
      </c>
      <c r="Z882" s="18" t="str">
        <f t="shared" si="145"/>
        <v>Medium</v>
      </c>
      <c r="AA882" s="19" t="str">
        <f t="shared" si="146"/>
        <v>Review</v>
      </c>
      <c r="AB882" s="14" t="s">
        <v>85</v>
      </c>
      <c r="AC882" s="14">
        <v>2</v>
      </c>
      <c r="AD882" s="14" t="s">
        <v>78</v>
      </c>
      <c r="AE882" s="17">
        <v>26.8</v>
      </c>
      <c r="AF882" s="15">
        <v>0</v>
      </c>
      <c r="AG882" s="20">
        <f t="shared" si="147"/>
        <v>1227204</v>
      </c>
      <c r="AH882" s="14">
        <v>1</v>
      </c>
      <c r="AI882" s="14" t="s">
        <v>75</v>
      </c>
      <c r="AJ882" s="14">
        <v>180</v>
      </c>
      <c r="AK882" s="21">
        <f t="shared" si="148"/>
        <v>0.1</v>
      </c>
      <c r="AL882" s="20">
        <f t="shared" si="149"/>
        <v>10052.081938116437</v>
      </c>
      <c r="AM882" s="22">
        <f t="shared" si="150"/>
        <v>0.76223757419304372</v>
      </c>
      <c r="AN882" s="20">
        <f t="shared" si="151"/>
        <v>20661.641938116438</v>
      </c>
      <c r="AO882" s="16">
        <f t="shared" si="152"/>
        <v>0.2020362574253321</v>
      </c>
      <c r="AP882" s="15">
        <v>9245872</v>
      </c>
      <c r="AQ882" s="18">
        <f t="shared" si="153"/>
        <v>0.10117174453637255</v>
      </c>
      <c r="AR882" s="23">
        <v>45976</v>
      </c>
      <c r="AS882" s="14" t="s">
        <v>79</v>
      </c>
    </row>
    <row r="883" spans="1:45" x14ac:dyDescent="0.25">
      <c r="A883" s="14" t="s">
        <v>2788</v>
      </c>
      <c r="B883" s="14" t="s">
        <v>269</v>
      </c>
      <c r="C883" s="14">
        <v>9991279188</v>
      </c>
      <c r="D883" s="15" t="s">
        <v>2813</v>
      </c>
      <c r="E883" s="14">
        <v>28</v>
      </c>
      <c r="F883" s="14" t="s">
        <v>71</v>
      </c>
      <c r="G883" s="14" t="s">
        <v>72</v>
      </c>
      <c r="H883" s="14" t="s">
        <v>91</v>
      </c>
      <c r="I883" s="14" t="s">
        <v>92</v>
      </c>
      <c r="J883" s="15">
        <v>1866642</v>
      </c>
      <c r="K883" s="14">
        <v>1</v>
      </c>
      <c r="L883" s="14" t="s">
        <v>76</v>
      </c>
      <c r="M883" s="14" t="s">
        <v>75</v>
      </c>
      <c r="N883" s="14" t="s">
        <v>75</v>
      </c>
      <c r="O883" s="14" t="s">
        <v>75</v>
      </c>
      <c r="P883" s="14">
        <v>848</v>
      </c>
      <c r="Q883" s="15"/>
      <c r="R883" s="15">
        <v>14814.21</v>
      </c>
      <c r="S883" s="14" t="s">
        <v>23</v>
      </c>
      <c r="T883" s="15"/>
      <c r="U883" s="16">
        <f t="shared" si="143"/>
        <v>9.5235465611509862E-2</v>
      </c>
      <c r="V883" s="14">
        <v>4</v>
      </c>
      <c r="W883" s="17">
        <v>65.7</v>
      </c>
      <c r="X883" s="14">
        <v>7.6</v>
      </c>
      <c r="Y883" s="18">
        <f t="shared" si="144"/>
        <v>28.9</v>
      </c>
      <c r="Z883" s="18" t="str">
        <f t="shared" si="145"/>
        <v>Low</v>
      </c>
      <c r="AA883" s="19" t="str">
        <f t="shared" si="146"/>
        <v>Review</v>
      </c>
      <c r="AB883" s="14" t="s">
        <v>77</v>
      </c>
      <c r="AC883" s="14">
        <v>1</v>
      </c>
      <c r="AD883" s="14" t="s">
        <v>78</v>
      </c>
      <c r="AE883" s="17">
        <v>4</v>
      </c>
      <c r="AF883" s="15">
        <v>0</v>
      </c>
      <c r="AG883" s="20">
        <f t="shared" si="147"/>
        <v>1866642</v>
      </c>
      <c r="AH883" s="14">
        <v>0</v>
      </c>
      <c r="AI883" s="14" t="s">
        <v>75</v>
      </c>
      <c r="AJ883" s="14">
        <v>240</v>
      </c>
      <c r="AK883" s="21">
        <f t="shared" si="148"/>
        <v>8.5000000000000006E-2</v>
      </c>
      <c r="AL883" s="20">
        <f t="shared" si="149"/>
        <v>0</v>
      </c>
      <c r="AM883" s="22">
        <f t="shared" si="150"/>
        <v>0</v>
      </c>
      <c r="AN883" s="20">
        <f t="shared" si="151"/>
        <v>14814.21</v>
      </c>
      <c r="AO883" s="16">
        <f t="shared" si="152"/>
        <v>9.5235465611509862E-2</v>
      </c>
      <c r="AP883" s="15">
        <v>7560055</v>
      </c>
      <c r="AQ883" s="18">
        <f t="shared" si="153"/>
        <v>0</v>
      </c>
      <c r="AR883" s="23">
        <v>46138</v>
      </c>
      <c r="AS883" s="14" t="s">
        <v>79</v>
      </c>
    </row>
    <row r="884" spans="1:45" x14ac:dyDescent="0.25">
      <c r="A884" s="14" t="s">
        <v>2789</v>
      </c>
      <c r="B884" s="14" t="s">
        <v>2790</v>
      </c>
      <c r="C884" s="14">
        <v>9637387937</v>
      </c>
      <c r="D884" s="15" t="s">
        <v>2815</v>
      </c>
      <c r="E884" s="14">
        <v>26</v>
      </c>
      <c r="F884" s="14" t="s">
        <v>89</v>
      </c>
      <c r="G884" s="14" t="s">
        <v>226</v>
      </c>
      <c r="H884" s="14" t="s">
        <v>103</v>
      </c>
      <c r="I884" s="14" t="s">
        <v>74</v>
      </c>
      <c r="J884" s="15">
        <v>1683084</v>
      </c>
      <c r="K884" s="14">
        <v>1</v>
      </c>
      <c r="L884" s="14" t="s">
        <v>75</v>
      </c>
      <c r="M884" s="14" t="s">
        <v>76</v>
      </c>
      <c r="N884" s="14" t="s">
        <v>75</v>
      </c>
      <c r="O884" s="14" t="s">
        <v>75</v>
      </c>
      <c r="P884" s="14">
        <v>581</v>
      </c>
      <c r="Q884" s="15">
        <v>282895.90000000002</v>
      </c>
      <c r="R884" s="15">
        <v>13237.64</v>
      </c>
      <c r="S884" s="14" t="s">
        <v>22</v>
      </c>
      <c r="T884" s="15">
        <v>1280613</v>
      </c>
      <c r="U884" s="16">
        <f t="shared" si="143"/>
        <v>9.4381314301603486E-2</v>
      </c>
      <c r="V884" s="14">
        <v>6</v>
      </c>
      <c r="W884" s="17">
        <v>11.1</v>
      </c>
      <c r="X884" s="14">
        <v>9.6</v>
      </c>
      <c r="Y884" s="18">
        <f t="shared" si="144"/>
        <v>45.2</v>
      </c>
      <c r="Z884" s="18" t="str">
        <f t="shared" si="145"/>
        <v>Medium</v>
      </c>
      <c r="AA884" s="19" t="str">
        <f t="shared" si="146"/>
        <v>Not Eligible</v>
      </c>
      <c r="AB884" s="14" t="s">
        <v>161</v>
      </c>
      <c r="AC884" s="14">
        <v>1</v>
      </c>
      <c r="AD884" s="14" t="s">
        <v>93</v>
      </c>
      <c r="AE884" s="17">
        <v>4.7</v>
      </c>
      <c r="AF884" s="15">
        <v>0</v>
      </c>
      <c r="AG884" s="20">
        <f t="shared" si="147"/>
        <v>1683084</v>
      </c>
      <c r="AH884" s="14">
        <v>0</v>
      </c>
      <c r="AI884" s="14" t="s">
        <v>75</v>
      </c>
      <c r="AJ884" s="14">
        <v>84</v>
      </c>
      <c r="AK884" s="21">
        <f t="shared" si="148"/>
        <v>0.105</v>
      </c>
      <c r="AL884" s="20">
        <f t="shared" si="149"/>
        <v>21591.99722300002</v>
      </c>
      <c r="AM884" s="22">
        <f t="shared" si="150"/>
        <v>0.76087289760938848</v>
      </c>
      <c r="AN884" s="20">
        <f t="shared" si="151"/>
        <v>34829.63722300002</v>
      </c>
      <c r="AO884" s="16">
        <f t="shared" si="152"/>
        <v>0.24832726511332781</v>
      </c>
      <c r="AP884" s="15">
        <v>569443</v>
      </c>
      <c r="AQ884" s="18">
        <f t="shared" si="153"/>
        <v>2.2488870703476906</v>
      </c>
      <c r="AR884" s="23">
        <v>46210</v>
      </c>
      <c r="AS884" s="14" t="s">
        <v>79</v>
      </c>
    </row>
    <row r="885" spans="1:45" x14ac:dyDescent="0.25">
      <c r="A885" s="14" t="s">
        <v>2792</v>
      </c>
      <c r="B885" s="14" t="s">
        <v>2793</v>
      </c>
      <c r="C885" s="14"/>
      <c r="D885" s="15" t="s">
        <v>2818</v>
      </c>
      <c r="E885" s="14">
        <v>60</v>
      </c>
      <c r="F885" s="14" t="s">
        <v>89</v>
      </c>
      <c r="G885" s="14" t="s">
        <v>106</v>
      </c>
      <c r="H885" s="14" t="s">
        <v>103</v>
      </c>
      <c r="I885" s="14" t="s">
        <v>74</v>
      </c>
      <c r="J885" s="15">
        <v>601744</v>
      </c>
      <c r="K885" s="14">
        <v>0</v>
      </c>
      <c r="L885" s="14" t="s">
        <v>75</v>
      </c>
      <c r="M885" s="14" t="s">
        <v>75</v>
      </c>
      <c r="N885" s="14" t="s">
        <v>75</v>
      </c>
      <c r="O885" s="14" t="s">
        <v>75</v>
      </c>
      <c r="P885" s="14">
        <v>712</v>
      </c>
      <c r="Q885" s="15">
        <v>623428.12</v>
      </c>
      <c r="R885" s="15">
        <v>530.26</v>
      </c>
      <c r="S885" s="14" t="s">
        <v>23</v>
      </c>
      <c r="T885" s="15">
        <v>1231218</v>
      </c>
      <c r="U885" s="16">
        <f t="shared" si="143"/>
        <v>1.0574463559254434E-2</v>
      </c>
      <c r="V885" s="14">
        <v>5</v>
      </c>
      <c r="W885" s="17">
        <v>5.8</v>
      </c>
      <c r="X885" s="14">
        <v>12.2</v>
      </c>
      <c r="Y885" s="18">
        <f t="shared" si="144"/>
        <v>33.4</v>
      </c>
      <c r="Z885" s="18" t="str">
        <f t="shared" si="145"/>
        <v>Medium</v>
      </c>
      <c r="AA885" s="19" t="str">
        <f t="shared" si="146"/>
        <v>Not Eligible</v>
      </c>
      <c r="AB885" s="14" t="s">
        <v>85</v>
      </c>
      <c r="AC885" s="14">
        <v>0</v>
      </c>
      <c r="AD885" s="14" t="s">
        <v>93</v>
      </c>
      <c r="AE885" s="17">
        <v>24.6</v>
      </c>
      <c r="AF885" s="15">
        <v>232693</v>
      </c>
      <c r="AG885" s="20">
        <f t="shared" si="147"/>
        <v>834437</v>
      </c>
      <c r="AH885" s="14">
        <v>1</v>
      </c>
      <c r="AI885" s="14" t="s">
        <v>75</v>
      </c>
      <c r="AJ885" s="14">
        <v>120</v>
      </c>
      <c r="AK885" s="21">
        <f t="shared" si="148"/>
        <v>0.1</v>
      </c>
      <c r="AL885" s="20">
        <f t="shared" si="149"/>
        <v>16270.636596208882</v>
      </c>
      <c r="AM885" s="22">
        <f t="shared" si="150"/>
        <v>2.0460827195618072</v>
      </c>
      <c r="AN885" s="20">
        <f t="shared" si="151"/>
        <v>16800.896596208881</v>
      </c>
      <c r="AO885" s="16">
        <f t="shared" si="152"/>
        <v>0.33504407049261237</v>
      </c>
      <c r="AP885" s="15">
        <v>4679384</v>
      </c>
      <c r="AQ885" s="18">
        <f t="shared" si="153"/>
        <v>0.26311540151438734</v>
      </c>
      <c r="AR885" s="23">
        <v>46062</v>
      </c>
      <c r="AS885" s="14" t="s">
        <v>79</v>
      </c>
    </row>
    <row r="886" spans="1:45" x14ac:dyDescent="0.25">
      <c r="A886" s="14" t="s">
        <v>2795</v>
      </c>
      <c r="B886" s="14" t="s">
        <v>1524</v>
      </c>
      <c r="C886" s="14">
        <v>9696969321</v>
      </c>
      <c r="D886" s="15" t="s">
        <v>2821</v>
      </c>
      <c r="E886" s="14">
        <v>30</v>
      </c>
      <c r="F886" s="14" t="s">
        <v>71</v>
      </c>
      <c r="G886" s="14" t="s">
        <v>314</v>
      </c>
      <c r="H886" s="14" t="s">
        <v>84</v>
      </c>
      <c r="I886" s="14" t="s">
        <v>74</v>
      </c>
      <c r="J886" s="15">
        <v>1201634</v>
      </c>
      <c r="K886" s="14">
        <v>2</v>
      </c>
      <c r="L886" s="14" t="s">
        <v>76</v>
      </c>
      <c r="M886" s="14" t="s">
        <v>75</v>
      </c>
      <c r="N886" s="14" t="s">
        <v>76</v>
      </c>
      <c r="O886" s="14" t="s">
        <v>75</v>
      </c>
      <c r="P886" s="14">
        <v>866</v>
      </c>
      <c r="Q886" s="15">
        <v>334791.55</v>
      </c>
      <c r="R886" s="15">
        <v>676.89</v>
      </c>
      <c r="S886" s="14" t="s">
        <v>22</v>
      </c>
      <c r="T886" s="15"/>
      <c r="U886" s="16">
        <f t="shared" si="143"/>
        <v>6.7596955478956156E-3</v>
      </c>
      <c r="V886" s="14">
        <v>2</v>
      </c>
      <c r="W886" s="17">
        <v>9.6999999999999993</v>
      </c>
      <c r="X886" s="14">
        <v>1.4</v>
      </c>
      <c r="Y886" s="18">
        <f t="shared" si="144"/>
        <v>11.4</v>
      </c>
      <c r="Z886" s="18" t="str">
        <f t="shared" si="145"/>
        <v>Low</v>
      </c>
      <c r="AA886" s="19" t="str">
        <f t="shared" si="146"/>
        <v>Eligible</v>
      </c>
      <c r="AB886" s="14" t="s">
        <v>77</v>
      </c>
      <c r="AC886" s="14">
        <v>2</v>
      </c>
      <c r="AD886" s="14" t="s">
        <v>78</v>
      </c>
      <c r="AE886" s="17">
        <v>0.4</v>
      </c>
      <c r="AF886" s="15">
        <v>832492</v>
      </c>
      <c r="AG886" s="20">
        <f t="shared" si="147"/>
        <v>2034126</v>
      </c>
      <c r="AH886" s="14">
        <v>1</v>
      </c>
      <c r="AI886" s="14" t="s">
        <v>75</v>
      </c>
      <c r="AJ886" s="14">
        <v>48</v>
      </c>
      <c r="AK886" s="21">
        <f t="shared" si="148"/>
        <v>0.09</v>
      </c>
      <c r="AL886" s="20">
        <f t="shared" si="149"/>
        <v>0</v>
      </c>
      <c r="AM886" s="22">
        <f t="shared" si="150"/>
        <v>0</v>
      </c>
      <c r="AN886" s="20">
        <f t="shared" si="151"/>
        <v>676.89</v>
      </c>
      <c r="AO886" s="16">
        <f t="shared" si="152"/>
        <v>6.7596955478956156E-3</v>
      </c>
      <c r="AP886" s="15">
        <v>1486215</v>
      </c>
      <c r="AQ886" s="18">
        <f t="shared" si="153"/>
        <v>0</v>
      </c>
      <c r="AR886" s="23">
        <v>46119</v>
      </c>
      <c r="AS886" s="14" t="s">
        <v>79</v>
      </c>
    </row>
    <row r="887" spans="1:45" x14ac:dyDescent="0.25">
      <c r="A887" s="14" t="s">
        <v>2798</v>
      </c>
      <c r="B887" s="14" t="s">
        <v>2799</v>
      </c>
      <c r="C887" s="14"/>
      <c r="D887" s="15" t="s">
        <v>2824</v>
      </c>
      <c r="E887" s="14">
        <v>52</v>
      </c>
      <c r="F887" s="14" t="s">
        <v>71</v>
      </c>
      <c r="G887" s="14" t="s">
        <v>106</v>
      </c>
      <c r="H887" s="14" t="s">
        <v>103</v>
      </c>
      <c r="I887" s="14" t="s">
        <v>74</v>
      </c>
      <c r="J887" s="15">
        <v>1395613</v>
      </c>
      <c r="K887" s="14">
        <v>1</v>
      </c>
      <c r="L887" s="14" t="s">
        <v>76</v>
      </c>
      <c r="M887" s="14" t="s">
        <v>75</v>
      </c>
      <c r="N887" s="14" t="s">
        <v>75</v>
      </c>
      <c r="O887" s="14" t="s">
        <v>75</v>
      </c>
      <c r="P887" s="14">
        <v>702</v>
      </c>
      <c r="Q887" s="15">
        <v>58624</v>
      </c>
      <c r="R887" s="15">
        <v>878.23</v>
      </c>
      <c r="S887" s="14" t="s">
        <v>23</v>
      </c>
      <c r="T887" s="15">
        <v>5234353</v>
      </c>
      <c r="U887" s="16">
        <f t="shared" si="143"/>
        <v>7.5513484038913364E-3</v>
      </c>
      <c r="V887" s="14">
        <v>5</v>
      </c>
      <c r="W887" s="17">
        <v>83.3</v>
      </c>
      <c r="X887" s="14">
        <v>6.2</v>
      </c>
      <c r="Y887" s="18">
        <f t="shared" si="144"/>
        <v>41.8</v>
      </c>
      <c r="Z887" s="18" t="str">
        <f t="shared" si="145"/>
        <v>Medium</v>
      </c>
      <c r="AA887" s="19" t="str">
        <f t="shared" si="146"/>
        <v>Not Eligible</v>
      </c>
      <c r="AB887" s="14" t="s">
        <v>77</v>
      </c>
      <c r="AC887" s="14">
        <v>1</v>
      </c>
      <c r="AD887" s="14" t="s">
        <v>78</v>
      </c>
      <c r="AE887" s="17">
        <v>10.199999999999999</v>
      </c>
      <c r="AF887" s="15">
        <v>843884</v>
      </c>
      <c r="AG887" s="20">
        <f t="shared" si="147"/>
        <v>2239497</v>
      </c>
      <c r="AH887" s="14">
        <v>2</v>
      </c>
      <c r="AI887" s="14" t="s">
        <v>75</v>
      </c>
      <c r="AJ887" s="14">
        <v>360</v>
      </c>
      <c r="AK887" s="21">
        <f t="shared" si="148"/>
        <v>0.1</v>
      </c>
      <c r="AL887" s="20">
        <f t="shared" si="149"/>
        <v>45935.193806090145</v>
      </c>
      <c r="AM887" s="22">
        <f t="shared" si="150"/>
        <v>3.7505762700691383</v>
      </c>
      <c r="AN887" s="20">
        <f t="shared" si="151"/>
        <v>46813.423806090148</v>
      </c>
      <c r="AO887" s="16">
        <f t="shared" si="152"/>
        <v>0.40251924113137511</v>
      </c>
      <c r="AP887" s="15">
        <v>4362754</v>
      </c>
      <c r="AQ887" s="18">
        <f t="shared" si="153"/>
        <v>1.1997818350518961</v>
      </c>
      <c r="AR887" s="23">
        <v>46201</v>
      </c>
      <c r="AS887" s="14" t="s">
        <v>79</v>
      </c>
    </row>
    <row r="888" spans="1:45" x14ac:dyDescent="0.25">
      <c r="A888" s="14" t="s">
        <v>2801</v>
      </c>
      <c r="B888" s="14" t="s">
        <v>2802</v>
      </c>
      <c r="C888" s="14"/>
      <c r="D888" s="15" t="s">
        <v>2827</v>
      </c>
      <c r="E888" s="14">
        <v>49</v>
      </c>
      <c r="F888" s="14" t="s">
        <v>71</v>
      </c>
      <c r="G888" s="14" t="s">
        <v>314</v>
      </c>
      <c r="H888" s="14" t="s">
        <v>103</v>
      </c>
      <c r="I888" s="14" t="s">
        <v>74</v>
      </c>
      <c r="J888" s="15">
        <v>478567</v>
      </c>
      <c r="K888" s="14">
        <v>2</v>
      </c>
      <c r="L888" s="14" t="s">
        <v>76</v>
      </c>
      <c r="M888" s="14" t="s">
        <v>76</v>
      </c>
      <c r="N888" s="14" t="s">
        <v>75</v>
      </c>
      <c r="O888" s="14" t="s">
        <v>75</v>
      </c>
      <c r="P888" s="14">
        <v>628</v>
      </c>
      <c r="Q888" s="15">
        <v>110172</v>
      </c>
      <c r="R888" s="15">
        <v>3915.16</v>
      </c>
      <c r="S888" s="14" t="s">
        <v>21</v>
      </c>
      <c r="T888" s="15">
        <v>775447</v>
      </c>
      <c r="U888" s="16">
        <f t="shared" si="143"/>
        <v>9.8172084577499069E-2</v>
      </c>
      <c r="V888" s="14">
        <v>0</v>
      </c>
      <c r="W888" s="17">
        <v>6.9</v>
      </c>
      <c r="X888" s="14">
        <v>7.6</v>
      </c>
      <c r="Y888" s="18">
        <f t="shared" si="144"/>
        <v>21.8</v>
      </c>
      <c r="Z888" s="18" t="str">
        <f t="shared" si="145"/>
        <v>Low</v>
      </c>
      <c r="AA888" s="19" t="str">
        <f t="shared" si="146"/>
        <v>Review</v>
      </c>
      <c r="AB888" s="14" t="s">
        <v>85</v>
      </c>
      <c r="AC888" s="14">
        <v>1</v>
      </c>
      <c r="AD888" s="14" t="s">
        <v>78</v>
      </c>
      <c r="AE888" s="17">
        <v>25.6</v>
      </c>
      <c r="AF888" s="15">
        <v>0</v>
      </c>
      <c r="AG888" s="20">
        <f t="shared" si="147"/>
        <v>478567</v>
      </c>
      <c r="AH888" s="14">
        <v>0</v>
      </c>
      <c r="AI888" s="14" t="s">
        <v>75</v>
      </c>
      <c r="AJ888" s="14">
        <v>60</v>
      </c>
      <c r="AK888" s="21">
        <f t="shared" si="148"/>
        <v>0.14000000000000001</v>
      </c>
      <c r="AL888" s="20">
        <f t="shared" si="149"/>
        <v>18043.29531640514</v>
      </c>
      <c r="AM888" s="22">
        <f t="shared" si="150"/>
        <v>1.6203520092275481</v>
      </c>
      <c r="AN888" s="20">
        <f t="shared" si="151"/>
        <v>21958.455316405139</v>
      </c>
      <c r="AO888" s="16">
        <f t="shared" si="152"/>
        <v>0.55060516875769061</v>
      </c>
      <c r="AP888" s="15">
        <v>0</v>
      </c>
      <c r="AQ888" s="18" t="str">
        <f t="shared" si="153"/>
        <v>N/A</v>
      </c>
      <c r="AR888" s="23">
        <v>46084</v>
      </c>
      <c r="AS888" s="14" t="s">
        <v>79</v>
      </c>
    </row>
    <row r="889" spans="1:45" x14ac:dyDescent="0.25">
      <c r="A889" s="14" t="s">
        <v>2804</v>
      </c>
      <c r="B889" s="14" t="s">
        <v>2805</v>
      </c>
      <c r="C889" s="14">
        <v>9816787711</v>
      </c>
      <c r="D889" s="15" t="s">
        <v>2831</v>
      </c>
      <c r="E889" s="14">
        <v>21</v>
      </c>
      <c r="F889" s="14" t="s">
        <v>89</v>
      </c>
      <c r="G889" s="14" t="s">
        <v>83</v>
      </c>
      <c r="H889" s="14" t="s">
        <v>166</v>
      </c>
      <c r="I889" s="14" t="s">
        <v>74</v>
      </c>
      <c r="J889" s="15">
        <v>2315353</v>
      </c>
      <c r="K889" s="14">
        <v>1</v>
      </c>
      <c r="L889" s="14" t="s">
        <v>75</v>
      </c>
      <c r="M889" s="14" t="s">
        <v>76</v>
      </c>
      <c r="N889" s="14" t="s">
        <v>75</v>
      </c>
      <c r="O889" s="14" t="s">
        <v>75</v>
      </c>
      <c r="P889" s="14">
        <v>883</v>
      </c>
      <c r="Q889" s="15">
        <v>199248.71</v>
      </c>
      <c r="R889" s="15">
        <v>26066.01</v>
      </c>
      <c r="S889" s="14" t="s">
        <v>20</v>
      </c>
      <c r="T889" s="15">
        <v>3490487</v>
      </c>
      <c r="U889" s="16">
        <f t="shared" si="143"/>
        <v>0.13509478684243828</v>
      </c>
      <c r="V889" s="14">
        <v>1</v>
      </c>
      <c r="W889" s="17">
        <v>40.200000000000003</v>
      </c>
      <c r="X889" s="14">
        <v>2.5</v>
      </c>
      <c r="Y889" s="18">
        <f t="shared" si="144"/>
        <v>13.2</v>
      </c>
      <c r="Z889" s="18" t="str">
        <f t="shared" si="145"/>
        <v>Low</v>
      </c>
      <c r="AA889" s="19" t="str">
        <f t="shared" si="146"/>
        <v>Eligible</v>
      </c>
      <c r="AB889" s="14" t="s">
        <v>77</v>
      </c>
      <c r="AC889" s="14">
        <v>1</v>
      </c>
      <c r="AD889" s="14" t="s">
        <v>78</v>
      </c>
      <c r="AE889" s="17">
        <v>0.3</v>
      </c>
      <c r="AF889" s="15">
        <v>735564</v>
      </c>
      <c r="AG889" s="20">
        <f t="shared" si="147"/>
        <v>3050917</v>
      </c>
      <c r="AH889" s="14">
        <v>0</v>
      </c>
      <c r="AI889" s="14" t="s">
        <v>75</v>
      </c>
      <c r="AJ889" s="14">
        <v>36</v>
      </c>
      <c r="AK889" s="21">
        <f t="shared" si="148"/>
        <v>0.36</v>
      </c>
      <c r="AL889" s="20">
        <f t="shared" si="149"/>
        <v>159877.54815047584</v>
      </c>
      <c r="AM889" s="22">
        <f t="shared" si="150"/>
        <v>1.5075398870064305</v>
      </c>
      <c r="AN889" s="20">
        <f t="shared" si="151"/>
        <v>185943.55815047584</v>
      </c>
      <c r="AO889" s="16">
        <f t="shared" si="152"/>
        <v>0.96370734734863761</v>
      </c>
      <c r="AP889" s="15">
        <v>0</v>
      </c>
      <c r="AQ889" s="18" t="str">
        <f t="shared" si="153"/>
        <v>N/A</v>
      </c>
      <c r="AR889" s="23">
        <v>46036</v>
      </c>
      <c r="AS889" s="14" t="s">
        <v>79</v>
      </c>
    </row>
    <row r="890" spans="1:45" x14ac:dyDescent="0.25">
      <c r="A890" s="14" t="s">
        <v>2807</v>
      </c>
      <c r="B890" s="14" t="s">
        <v>2808</v>
      </c>
      <c r="C890" s="14">
        <v>9961427999</v>
      </c>
      <c r="D890" s="15" t="s">
        <v>2834</v>
      </c>
      <c r="E890" s="14">
        <v>54</v>
      </c>
      <c r="F890" s="14" t="s">
        <v>89</v>
      </c>
      <c r="G890" s="14" t="s">
        <v>115</v>
      </c>
      <c r="H890" s="14" t="s">
        <v>84</v>
      </c>
      <c r="I890" s="14" t="s">
        <v>74</v>
      </c>
      <c r="J890" s="15">
        <v>2145388</v>
      </c>
      <c r="K890" s="14">
        <v>1</v>
      </c>
      <c r="L890" s="14" t="s">
        <v>76</v>
      </c>
      <c r="M890" s="14" t="s">
        <v>75</v>
      </c>
      <c r="N890" s="14" t="s">
        <v>75</v>
      </c>
      <c r="O890" s="14" t="s">
        <v>75</v>
      </c>
      <c r="P890" s="14">
        <v>337</v>
      </c>
      <c r="Q890" s="15">
        <v>911044.95</v>
      </c>
      <c r="R890" s="15">
        <v>17705.29</v>
      </c>
      <c r="S890" s="14" t="s">
        <v>22</v>
      </c>
      <c r="T890" s="15">
        <v>942009</v>
      </c>
      <c r="U890" s="16">
        <f t="shared" si="143"/>
        <v>9.9032659826567504E-2</v>
      </c>
      <c r="V890" s="14">
        <v>2</v>
      </c>
      <c r="W890" s="17">
        <v>30</v>
      </c>
      <c r="X890" s="14">
        <v>11.9</v>
      </c>
      <c r="Y890" s="18">
        <f t="shared" si="144"/>
        <v>51.5</v>
      </c>
      <c r="Z890" s="18" t="str">
        <f t="shared" si="145"/>
        <v>Medium</v>
      </c>
      <c r="AA890" s="19" t="str">
        <f t="shared" si="146"/>
        <v>Not Eligible</v>
      </c>
      <c r="AB890" s="14" t="s">
        <v>85</v>
      </c>
      <c r="AC890" s="14">
        <v>3</v>
      </c>
      <c r="AD890" s="14" t="s">
        <v>78</v>
      </c>
      <c r="AE890" s="17">
        <v>23</v>
      </c>
      <c r="AF890" s="15">
        <v>0</v>
      </c>
      <c r="AG890" s="20">
        <f t="shared" si="147"/>
        <v>2145388</v>
      </c>
      <c r="AH890" s="14">
        <v>1</v>
      </c>
      <c r="AI890" s="14" t="s">
        <v>75</v>
      </c>
      <c r="AJ890" s="14">
        <v>60</v>
      </c>
      <c r="AK890" s="21">
        <f t="shared" si="148"/>
        <v>0.105</v>
      </c>
      <c r="AL890" s="20">
        <f t="shared" si="149"/>
        <v>20247.447601290049</v>
      </c>
      <c r="AM890" s="22">
        <f t="shared" si="150"/>
        <v>0.43908561062148199</v>
      </c>
      <c r="AN890" s="20">
        <f t="shared" si="151"/>
        <v>37952.737601290049</v>
      </c>
      <c r="AO890" s="16">
        <f t="shared" si="152"/>
        <v>0.21228460829252357</v>
      </c>
      <c r="AP890" s="15">
        <v>1131991</v>
      </c>
      <c r="AQ890" s="18">
        <f t="shared" si="153"/>
        <v>0.83217004375476489</v>
      </c>
      <c r="AR890" s="23">
        <v>45984</v>
      </c>
      <c r="AS890" s="14" t="s">
        <v>94</v>
      </c>
    </row>
    <row r="891" spans="1:45" x14ac:dyDescent="0.25">
      <c r="A891" s="14" t="s">
        <v>2810</v>
      </c>
      <c r="B891" s="14" t="s">
        <v>2811</v>
      </c>
      <c r="C891" s="14">
        <v>9929428400</v>
      </c>
      <c r="D891" s="15" t="s">
        <v>2836</v>
      </c>
      <c r="E891" s="14">
        <v>60</v>
      </c>
      <c r="F891" s="14" t="s">
        <v>71</v>
      </c>
      <c r="G891" s="14" t="s">
        <v>115</v>
      </c>
      <c r="H891" s="14" t="s">
        <v>99</v>
      </c>
      <c r="I891" s="14" t="s">
        <v>74</v>
      </c>
      <c r="J891" s="15">
        <v>1310789</v>
      </c>
      <c r="K891" s="14">
        <v>3</v>
      </c>
      <c r="L891" s="14" t="s">
        <v>76</v>
      </c>
      <c r="M891" s="14" t="s">
        <v>76</v>
      </c>
      <c r="N891" s="14" t="s">
        <v>76</v>
      </c>
      <c r="O891" s="14" t="s">
        <v>75</v>
      </c>
      <c r="P891" s="14">
        <v>777</v>
      </c>
      <c r="Q891" s="15">
        <v>66134.2</v>
      </c>
      <c r="R891" s="15">
        <v>6553.39</v>
      </c>
      <c r="S891" s="14" t="s">
        <v>20</v>
      </c>
      <c r="T891" s="15">
        <v>381767</v>
      </c>
      <c r="U891" s="16">
        <f t="shared" si="143"/>
        <v>5.9994919090715595E-2</v>
      </c>
      <c r="V891" s="14">
        <v>0</v>
      </c>
      <c r="W891" s="17">
        <v>36.6</v>
      </c>
      <c r="X891" s="14">
        <v>3.9</v>
      </c>
      <c r="Y891" s="18">
        <f t="shared" si="144"/>
        <v>13.7</v>
      </c>
      <c r="Z891" s="18" t="str">
        <f t="shared" si="145"/>
        <v>Low</v>
      </c>
      <c r="AA891" s="19" t="str">
        <f t="shared" si="146"/>
        <v>Eligible</v>
      </c>
      <c r="AB891" s="14" t="s">
        <v>85</v>
      </c>
      <c r="AC891" s="14">
        <v>0</v>
      </c>
      <c r="AD891" s="14" t="s">
        <v>78</v>
      </c>
      <c r="AE891" s="17">
        <v>28.8</v>
      </c>
      <c r="AF891" s="15">
        <v>203817</v>
      </c>
      <c r="AG891" s="20">
        <f t="shared" si="147"/>
        <v>1514606</v>
      </c>
      <c r="AH891" s="14">
        <v>2</v>
      </c>
      <c r="AI891" s="14" t="s">
        <v>75</v>
      </c>
      <c r="AJ891" s="14">
        <v>36</v>
      </c>
      <c r="AK891" s="21">
        <f t="shared" si="148"/>
        <v>0.36</v>
      </c>
      <c r="AL891" s="20">
        <f t="shared" si="149"/>
        <v>17486.37709430309</v>
      </c>
      <c r="AM891" s="22">
        <f t="shared" si="150"/>
        <v>0.29124977399108476</v>
      </c>
      <c r="AN891" s="20">
        <f t="shared" si="151"/>
        <v>24039.76709430309</v>
      </c>
      <c r="AO891" s="16">
        <f t="shared" si="152"/>
        <v>0.22007905553955445</v>
      </c>
      <c r="AP891" s="15">
        <v>0</v>
      </c>
      <c r="AQ891" s="18" t="str">
        <f t="shared" si="153"/>
        <v>N/A</v>
      </c>
      <c r="AR891" s="23">
        <v>45963</v>
      </c>
      <c r="AS891" s="14" t="s">
        <v>79</v>
      </c>
    </row>
    <row r="892" spans="1:45" x14ac:dyDescent="0.25">
      <c r="A892" s="14" t="s">
        <v>2814</v>
      </c>
      <c r="B892" s="14" t="s">
        <v>736</v>
      </c>
      <c r="C892" s="14">
        <v>9810683780</v>
      </c>
      <c r="D892" s="15" t="s">
        <v>2839</v>
      </c>
      <c r="E892" s="14">
        <v>37</v>
      </c>
      <c r="F892" s="14" t="s">
        <v>71</v>
      </c>
      <c r="G892" s="14" t="s">
        <v>131</v>
      </c>
      <c r="H892" s="14" t="s">
        <v>103</v>
      </c>
      <c r="I892" s="14" t="s">
        <v>74</v>
      </c>
      <c r="J892" s="15">
        <v>1433986</v>
      </c>
      <c r="K892" s="14">
        <v>1</v>
      </c>
      <c r="L892" s="14" t="s">
        <v>75</v>
      </c>
      <c r="M892" s="14" t="s">
        <v>75</v>
      </c>
      <c r="N892" s="14" t="s">
        <v>75</v>
      </c>
      <c r="O892" s="14" t="s">
        <v>76</v>
      </c>
      <c r="P892" s="14">
        <v>846</v>
      </c>
      <c r="Q892" s="15">
        <v>3770</v>
      </c>
      <c r="R892" s="15">
        <v>5337.66</v>
      </c>
      <c r="S892" s="14" t="s">
        <v>22</v>
      </c>
      <c r="T892" s="15"/>
      <c r="U892" s="16">
        <f t="shared" si="143"/>
        <v>4.4667046958617444E-2</v>
      </c>
      <c r="V892" s="14">
        <v>0</v>
      </c>
      <c r="W892" s="17">
        <v>68.2</v>
      </c>
      <c r="X892" s="14">
        <v>2.4</v>
      </c>
      <c r="Y892" s="18">
        <f t="shared" si="144"/>
        <v>11.8</v>
      </c>
      <c r="Z892" s="18" t="str">
        <f t="shared" si="145"/>
        <v>Low</v>
      </c>
      <c r="AA892" s="19" t="str">
        <f t="shared" si="146"/>
        <v>Eligible</v>
      </c>
      <c r="AB892" s="14" t="s">
        <v>77</v>
      </c>
      <c r="AC892" s="14">
        <v>2</v>
      </c>
      <c r="AD892" s="14" t="s">
        <v>194</v>
      </c>
      <c r="AE892" s="17">
        <v>5.8</v>
      </c>
      <c r="AF892" s="15">
        <v>731435</v>
      </c>
      <c r="AG892" s="20">
        <f t="shared" si="147"/>
        <v>2165421</v>
      </c>
      <c r="AH892" s="14">
        <v>1</v>
      </c>
      <c r="AI892" s="14" t="s">
        <v>75</v>
      </c>
      <c r="AJ892" s="14">
        <v>48</v>
      </c>
      <c r="AK892" s="21">
        <f t="shared" si="148"/>
        <v>0.09</v>
      </c>
      <c r="AL892" s="20">
        <f t="shared" si="149"/>
        <v>0</v>
      </c>
      <c r="AM892" s="22">
        <f t="shared" si="150"/>
        <v>0</v>
      </c>
      <c r="AN892" s="20">
        <f t="shared" si="151"/>
        <v>5337.66</v>
      </c>
      <c r="AO892" s="16">
        <f t="shared" si="152"/>
        <v>4.4667046958617444E-2</v>
      </c>
      <c r="AP892" s="15">
        <v>1469115</v>
      </c>
      <c r="AQ892" s="18">
        <f t="shared" si="153"/>
        <v>0</v>
      </c>
      <c r="AR892" s="23">
        <v>46201</v>
      </c>
      <c r="AS892" s="14" t="s">
        <v>79</v>
      </c>
    </row>
    <row r="893" spans="1:45" x14ac:dyDescent="0.25">
      <c r="A893" s="14" t="s">
        <v>2816</v>
      </c>
      <c r="B893" s="14" t="s">
        <v>2817</v>
      </c>
      <c r="C893" s="14">
        <v>9802448013</v>
      </c>
      <c r="D893" s="15" t="s">
        <v>2841</v>
      </c>
      <c r="E893" s="14">
        <v>46</v>
      </c>
      <c r="F893" s="14" t="s">
        <v>71</v>
      </c>
      <c r="G893" s="14" t="s">
        <v>72</v>
      </c>
      <c r="H893" s="14" t="s">
        <v>144</v>
      </c>
      <c r="I893" s="14" t="s">
        <v>92</v>
      </c>
      <c r="J893" s="15">
        <v>1400968</v>
      </c>
      <c r="K893" s="14">
        <v>3</v>
      </c>
      <c r="L893" s="14" t="s">
        <v>75</v>
      </c>
      <c r="M893" s="14" t="s">
        <v>76</v>
      </c>
      <c r="N893" s="14" t="s">
        <v>76</v>
      </c>
      <c r="O893" s="14" t="s">
        <v>76</v>
      </c>
      <c r="P893" s="14">
        <v>518</v>
      </c>
      <c r="Q893" s="15">
        <v>70819.08</v>
      </c>
      <c r="R893" s="15">
        <v>11762.79</v>
      </c>
      <c r="S893" s="14" t="s">
        <v>22</v>
      </c>
      <c r="T893" s="15"/>
      <c r="U893" s="16">
        <f t="shared" si="143"/>
        <v>0.10075424991862771</v>
      </c>
      <c r="V893" s="14">
        <v>0</v>
      </c>
      <c r="W893" s="17">
        <v>6.7</v>
      </c>
      <c r="X893" s="14">
        <v>1.7</v>
      </c>
      <c r="Y893" s="18">
        <f t="shared" si="144"/>
        <v>29.2</v>
      </c>
      <c r="Z893" s="18" t="str">
        <f t="shared" si="145"/>
        <v>Low</v>
      </c>
      <c r="AA893" s="19" t="str">
        <f t="shared" si="146"/>
        <v>Not Eligible</v>
      </c>
      <c r="AB893" s="14" t="s">
        <v>85</v>
      </c>
      <c r="AC893" s="14">
        <v>2</v>
      </c>
      <c r="AD893" s="14" t="s">
        <v>194</v>
      </c>
      <c r="AE893" s="17">
        <v>15.9</v>
      </c>
      <c r="AF893" s="15">
        <v>697150</v>
      </c>
      <c r="AG893" s="20">
        <f t="shared" si="147"/>
        <v>2098118</v>
      </c>
      <c r="AH893" s="14">
        <v>0</v>
      </c>
      <c r="AI893" s="14" t="s">
        <v>75</v>
      </c>
      <c r="AJ893" s="14">
        <v>84</v>
      </c>
      <c r="AK893" s="21">
        <f t="shared" si="148"/>
        <v>0.09</v>
      </c>
      <c r="AL893" s="20">
        <f t="shared" si="149"/>
        <v>0</v>
      </c>
      <c r="AM893" s="22">
        <f t="shared" si="150"/>
        <v>0</v>
      </c>
      <c r="AN893" s="20">
        <f t="shared" si="151"/>
        <v>11762.79</v>
      </c>
      <c r="AO893" s="16">
        <f t="shared" si="152"/>
        <v>0.10075424991862771</v>
      </c>
      <c r="AP893" s="15">
        <v>1492078</v>
      </c>
      <c r="AQ893" s="18">
        <f t="shared" si="153"/>
        <v>0</v>
      </c>
      <c r="AR893" s="23">
        <v>46250</v>
      </c>
      <c r="AS893" s="14" t="s">
        <v>79</v>
      </c>
    </row>
    <row r="894" spans="1:45" x14ac:dyDescent="0.25">
      <c r="A894" s="14" t="s">
        <v>2819</v>
      </c>
      <c r="B894" s="14" t="s">
        <v>2820</v>
      </c>
      <c r="C894" s="14">
        <v>9446712607</v>
      </c>
      <c r="D894" s="15" t="s">
        <v>2844</v>
      </c>
      <c r="E894" s="14">
        <v>57</v>
      </c>
      <c r="F894" s="14" t="s">
        <v>89</v>
      </c>
      <c r="G894" s="14" t="s">
        <v>90</v>
      </c>
      <c r="H894" s="14" t="s">
        <v>144</v>
      </c>
      <c r="I894" s="14" t="s">
        <v>92</v>
      </c>
      <c r="J894" s="15">
        <v>1209124</v>
      </c>
      <c r="K894" s="14">
        <v>2</v>
      </c>
      <c r="L894" s="14" t="s">
        <v>76</v>
      </c>
      <c r="M894" s="14" t="s">
        <v>76</v>
      </c>
      <c r="N894" s="14" t="s">
        <v>75</v>
      </c>
      <c r="O894" s="14" t="s">
        <v>75</v>
      </c>
      <c r="P894" s="14">
        <v>425</v>
      </c>
      <c r="Q894" s="15">
        <v>13105</v>
      </c>
      <c r="R894" s="15">
        <v>13949.65</v>
      </c>
      <c r="S894" s="14" t="s">
        <v>23</v>
      </c>
      <c r="T894" s="15">
        <v>389710</v>
      </c>
      <c r="U894" s="16">
        <f t="shared" si="143"/>
        <v>0.13844386514534487</v>
      </c>
      <c r="V894" s="14">
        <v>0</v>
      </c>
      <c r="W894" s="17">
        <v>48.7</v>
      </c>
      <c r="X894" s="14">
        <v>9.3000000000000007</v>
      </c>
      <c r="Y894" s="18">
        <f t="shared" si="144"/>
        <v>40.700000000000003</v>
      </c>
      <c r="Z894" s="18" t="str">
        <f t="shared" si="145"/>
        <v>Medium</v>
      </c>
      <c r="AA894" s="19" t="str">
        <f t="shared" si="146"/>
        <v>Not Eligible</v>
      </c>
      <c r="AB894" s="14" t="s">
        <v>85</v>
      </c>
      <c r="AC894" s="14">
        <v>3</v>
      </c>
      <c r="AD894" s="14" t="s">
        <v>93</v>
      </c>
      <c r="AE894" s="17">
        <v>13.3</v>
      </c>
      <c r="AF894" s="15">
        <v>437413</v>
      </c>
      <c r="AG894" s="20">
        <f t="shared" si="147"/>
        <v>1646537</v>
      </c>
      <c r="AH894" s="14">
        <v>1</v>
      </c>
      <c r="AI894" s="14" t="s">
        <v>75</v>
      </c>
      <c r="AJ894" s="14">
        <v>360</v>
      </c>
      <c r="AK894" s="21">
        <f t="shared" si="148"/>
        <v>0.1</v>
      </c>
      <c r="AL894" s="20">
        <f t="shared" si="149"/>
        <v>3419.9841657930579</v>
      </c>
      <c r="AM894" s="22">
        <f t="shared" si="150"/>
        <v>0.32230772029998578</v>
      </c>
      <c r="AN894" s="20">
        <f t="shared" si="151"/>
        <v>17369.634165793057</v>
      </c>
      <c r="AO894" s="16">
        <f t="shared" si="152"/>
        <v>0.17238563620399286</v>
      </c>
      <c r="AP894" s="15">
        <v>2716755</v>
      </c>
      <c r="AQ894" s="18">
        <f t="shared" si="153"/>
        <v>0.14344686951896657</v>
      </c>
      <c r="AR894" s="23">
        <v>46173</v>
      </c>
      <c r="AS894" s="14" t="s">
        <v>79</v>
      </c>
    </row>
    <row r="895" spans="1:45" x14ac:dyDescent="0.25">
      <c r="A895" s="14" t="s">
        <v>2822</v>
      </c>
      <c r="B895" s="14" t="s">
        <v>2823</v>
      </c>
      <c r="C895" s="14"/>
      <c r="D895" s="15" t="s">
        <v>2847</v>
      </c>
      <c r="E895" s="14">
        <v>64</v>
      </c>
      <c r="F895" s="14" t="s">
        <v>71</v>
      </c>
      <c r="G895" s="14" t="s">
        <v>153</v>
      </c>
      <c r="H895" s="14" t="s">
        <v>132</v>
      </c>
      <c r="I895" s="14" t="s">
        <v>92</v>
      </c>
      <c r="J895" s="15">
        <v>760710</v>
      </c>
      <c r="K895" s="14">
        <v>0</v>
      </c>
      <c r="L895" s="14" t="s">
        <v>75</v>
      </c>
      <c r="M895" s="14" t="s">
        <v>75</v>
      </c>
      <c r="N895" s="14" t="s">
        <v>75</v>
      </c>
      <c r="O895" s="14" t="s">
        <v>75</v>
      </c>
      <c r="P895" s="14">
        <v>862</v>
      </c>
      <c r="Q895" s="15">
        <v>337138.54</v>
      </c>
      <c r="R895" s="15">
        <v>1196.4100000000001</v>
      </c>
      <c r="S895" s="14" t="s">
        <v>23</v>
      </c>
      <c r="T895" s="15"/>
      <c r="U895" s="16">
        <f t="shared" si="143"/>
        <v>1.8873052805931302E-2</v>
      </c>
      <c r="V895" s="14">
        <v>0</v>
      </c>
      <c r="W895" s="17">
        <v>28.7</v>
      </c>
      <c r="X895" s="14">
        <v>15</v>
      </c>
      <c r="Y895" s="18">
        <f t="shared" si="144"/>
        <v>6</v>
      </c>
      <c r="Z895" s="18" t="str">
        <f t="shared" si="145"/>
        <v>Low</v>
      </c>
      <c r="AA895" s="19" t="str">
        <f t="shared" si="146"/>
        <v>Eligible</v>
      </c>
      <c r="AB895" s="14" t="s">
        <v>77</v>
      </c>
      <c r="AC895" s="14">
        <v>1</v>
      </c>
      <c r="AD895" s="14" t="s">
        <v>78</v>
      </c>
      <c r="AE895" s="17">
        <v>26.4</v>
      </c>
      <c r="AF895" s="15">
        <v>0</v>
      </c>
      <c r="AG895" s="20">
        <f t="shared" si="147"/>
        <v>760710</v>
      </c>
      <c r="AH895" s="14">
        <v>1</v>
      </c>
      <c r="AI895" s="14" t="s">
        <v>75</v>
      </c>
      <c r="AJ895" s="14">
        <v>120</v>
      </c>
      <c r="AK895" s="21">
        <f t="shared" si="148"/>
        <v>8.5000000000000006E-2</v>
      </c>
      <c r="AL895" s="20">
        <f t="shared" si="149"/>
        <v>0</v>
      </c>
      <c r="AM895" s="22">
        <f t="shared" si="150"/>
        <v>0</v>
      </c>
      <c r="AN895" s="20">
        <f t="shared" si="151"/>
        <v>1196.4100000000001</v>
      </c>
      <c r="AO895" s="16">
        <f t="shared" si="152"/>
        <v>1.8873052805931302E-2</v>
      </c>
      <c r="AP895" s="15">
        <v>6659471</v>
      </c>
      <c r="AQ895" s="18">
        <f t="shared" si="153"/>
        <v>0</v>
      </c>
      <c r="AR895" s="23">
        <v>46127</v>
      </c>
      <c r="AS895" s="14" t="s">
        <v>79</v>
      </c>
    </row>
    <row r="896" spans="1:45" x14ac:dyDescent="0.25">
      <c r="A896" s="14" t="s">
        <v>2825</v>
      </c>
      <c r="B896" s="14" t="s">
        <v>2826</v>
      </c>
      <c r="C896" s="14">
        <v>9488788775</v>
      </c>
      <c r="D896" s="15" t="s">
        <v>2851</v>
      </c>
      <c r="E896" s="14">
        <v>34</v>
      </c>
      <c r="F896" s="14" t="s">
        <v>71</v>
      </c>
      <c r="G896" s="14" t="s">
        <v>106</v>
      </c>
      <c r="H896" s="14" t="s">
        <v>73</v>
      </c>
      <c r="I896" s="14" t="s">
        <v>74</v>
      </c>
      <c r="J896" s="15">
        <v>1113065</v>
      </c>
      <c r="K896" s="14">
        <v>2</v>
      </c>
      <c r="L896" s="14" t="s">
        <v>75</v>
      </c>
      <c r="M896" s="14" t="s">
        <v>76</v>
      </c>
      <c r="N896" s="14" t="s">
        <v>76</v>
      </c>
      <c r="O896" s="14" t="s">
        <v>75</v>
      </c>
      <c r="P896" s="14">
        <v>617</v>
      </c>
      <c r="Q896" s="15">
        <v>125877</v>
      </c>
      <c r="R896" s="15">
        <v>2118.6999999999998</v>
      </c>
      <c r="S896" s="14" t="s">
        <v>22</v>
      </c>
      <c r="T896" s="15">
        <v>179518</v>
      </c>
      <c r="U896" s="16">
        <f t="shared" si="143"/>
        <v>2.2841792707523817E-2</v>
      </c>
      <c r="V896" s="14">
        <v>0</v>
      </c>
      <c r="W896" s="17">
        <v>85.9</v>
      </c>
      <c r="X896" s="14">
        <v>13.9</v>
      </c>
      <c r="Y896" s="18">
        <f t="shared" si="144"/>
        <v>28.1</v>
      </c>
      <c r="Z896" s="18" t="str">
        <f t="shared" si="145"/>
        <v>Low</v>
      </c>
      <c r="AA896" s="19" t="str">
        <f t="shared" si="146"/>
        <v>Review</v>
      </c>
      <c r="AB896" s="14" t="s">
        <v>85</v>
      </c>
      <c r="AC896" s="14">
        <v>2</v>
      </c>
      <c r="AD896" s="14" t="s">
        <v>93</v>
      </c>
      <c r="AE896" s="17">
        <v>5.6</v>
      </c>
      <c r="AF896" s="15">
        <v>0</v>
      </c>
      <c r="AG896" s="20">
        <f t="shared" si="147"/>
        <v>1113065</v>
      </c>
      <c r="AH896" s="14">
        <v>2</v>
      </c>
      <c r="AI896" s="14" t="s">
        <v>76</v>
      </c>
      <c r="AJ896" s="14">
        <v>48</v>
      </c>
      <c r="AK896" s="21">
        <f t="shared" si="148"/>
        <v>0.09</v>
      </c>
      <c r="AL896" s="20">
        <f t="shared" si="149"/>
        <v>4467.313036883922</v>
      </c>
      <c r="AM896" s="22">
        <f t="shared" si="150"/>
        <v>0.16128258457502481</v>
      </c>
      <c r="AN896" s="20">
        <f t="shared" si="151"/>
        <v>6586.0130368839218</v>
      </c>
      <c r="AO896" s="16">
        <f t="shared" si="152"/>
        <v>7.1004080123449262E-2</v>
      </c>
      <c r="AP896" s="15">
        <v>894891</v>
      </c>
      <c r="AQ896" s="18">
        <f t="shared" si="153"/>
        <v>0.20060320195420447</v>
      </c>
      <c r="AR896" s="23">
        <v>45906</v>
      </c>
      <c r="AS896" s="14" t="s">
        <v>79</v>
      </c>
    </row>
    <row r="897" spans="1:45" x14ac:dyDescent="0.25">
      <c r="A897" s="14" t="s">
        <v>2828</v>
      </c>
      <c r="B897" s="14" t="s">
        <v>2829</v>
      </c>
      <c r="C897" s="14">
        <v>9747356865</v>
      </c>
      <c r="D897" s="15" t="s">
        <v>2855</v>
      </c>
      <c r="E897" s="14">
        <v>50</v>
      </c>
      <c r="F897" s="14" t="s">
        <v>71</v>
      </c>
      <c r="G897" s="14" t="s">
        <v>106</v>
      </c>
      <c r="H897" s="14" t="s">
        <v>99</v>
      </c>
      <c r="I897" s="14" t="s">
        <v>74</v>
      </c>
      <c r="J897" s="15">
        <v>1829903</v>
      </c>
      <c r="K897" s="14">
        <v>1</v>
      </c>
      <c r="L897" s="14" t="s">
        <v>75</v>
      </c>
      <c r="M897" s="14" t="s">
        <v>76</v>
      </c>
      <c r="N897" s="14" t="s">
        <v>75</v>
      </c>
      <c r="O897" s="14" t="s">
        <v>75</v>
      </c>
      <c r="P897" s="14">
        <v>650</v>
      </c>
      <c r="Q897" s="15"/>
      <c r="R897" s="15">
        <v>3689.79</v>
      </c>
      <c r="S897" s="14" t="s">
        <v>23</v>
      </c>
      <c r="T897" s="15">
        <v>1101084</v>
      </c>
      <c r="U897" s="16">
        <f t="shared" si="143"/>
        <v>2.4196626815738319E-2</v>
      </c>
      <c r="V897" s="14">
        <v>4</v>
      </c>
      <c r="W897" s="17">
        <v>49.7</v>
      </c>
      <c r="X897" s="14">
        <v>9</v>
      </c>
      <c r="Y897" s="18">
        <f t="shared" si="144"/>
        <v>38.4</v>
      </c>
      <c r="Z897" s="18" t="str">
        <f t="shared" si="145"/>
        <v>Medium</v>
      </c>
      <c r="AA897" s="19" t="str">
        <f t="shared" si="146"/>
        <v>Review</v>
      </c>
      <c r="AB897" s="14" t="s">
        <v>85</v>
      </c>
      <c r="AC897" s="14">
        <v>2</v>
      </c>
      <c r="AD897" s="14" t="s">
        <v>78</v>
      </c>
      <c r="AE897" s="17">
        <v>25.7</v>
      </c>
      <c r="AF897" s="15">
        <v>0</v>
      </c>
      <c r="AG897" s="20">
        <f t="shared" si="147"/>
        <v>1829903</v>
      </c>
      <c r="AH897" s="14">
        <v>0</v>
      </c>
      <c r="AI897" s="14" t="s">
        <v>75</v>
      </c>
      <c r="AJ897" s="14">
        <v>360</v>
      </c>
      <c r="AK897" s="21">
        <f t="shared" si="148"/>
        <v>0.1</v>
      </c>
      <c r="AL897" s="20">
        <f t="shared" si="149"/>
        <v>9662.8001467965478</v>
      </c>
      <c r="AM897" s="22">
        <f t="shared" si="150"/>
        <v>0.6017171401981416</v>
      </c>
      <c r="AN897" s="20">
        <f t="shared" si="151"/>
        <v>13352.590146796549</v>
      </c>
      <c r="AO897" s="16">
        <f t="shared" si="152"/>
        <v>8.7562609472501329E-2</v>
      </c>
      <c r="AP897" s="15">
        <v>4104539</v>
      </c>
      <c r="AQ897" s="18">
        <f t="shared" si="153"/>
        <v>0.26826008962273229</v>
      </c>
      <c r="AR897" s="23">
        <v>45959</v>
      </c>
      <c r="AS897" s="14" t="s">
        <v>79</v>
      </c>
    </row>
    <row r="898" spans="1:45" x14ac:dyDescent="0.25">
      <c r="A898" s="14" t="s">
        <v>2832</v>
      </c>
      <c r="B898" s="14" t="s">
        <v>1575</v>
      </c>
      <c r="C898" s="14"/>
      <c r="D898" s="15" t="s">
        <v>2858</v>
      </c>
      <c r="E898" s="14">
        <v>37</v>
      </c>
      <c r="F898" s="14" t="s">
        <v>71</v>
      </c>
      <c r="G898" s="14" t="s">
        <v>226</v>
      </c>
      <c r="H898" s="14" t="s">
        <v>132</v>
      </c>
      <c r="I898" s="14" t="s">
        <v>92</v>
      </c>
      <c r="J898" s="15">
        <v>1883814</v>
      </c>
      <c r="K898" s="14">
        <v>2</v>
      </c>
      <c r="L898" s="14" t="s">
        <v>76</v>
      </c>
      <c r="M898" s="14" t="s">
        <v>76</v>
      </c>
      <c r="N898" s="14" t="s">
        <v>75</v>
      </c>
      <c r="O898" s="14" t="s">
        <v>75</v>
      </c>
      <c r="P898" s="14">
        <v>881</v>
      </c>
      <c r="Q898" s="15">
        <v>649644</v>
      </c>
      <c r="R898" s="15">
        <v>43383.09</v>
      </c>
      <c r="S898" s="14" t="s">
        <v>22</v>
      </c>
      <c r="T898" s="15">
        <v>933696</v>
      </c>
      <c r="U898" s="16">
        <f t="shared" ref="U898:U961" si="154">IFERROR((R898*12)/J898,0)</f>
        <v>0.27635269724081035</v>
      </c>
      <c r="V898" s="14">
        <v>0</v>
      </c>
      <c r="W898" s="17">
        <v>77</v>
      </c>
      <c r="X898" s="14">
        <v>4.9000000000000004</v>
      </c>
      <c r="Y898" s="18">
        <f t="shared" ref="Y898:Y961" si="155">ROUND(0.4*((900-P898)/600*100)+0.3*MIN(U898*100,100)+0.2*MIN(V898*20,100)+0.1*W898,1)</f>
        <v>17.3</v>
      </c>
      <c r="Z898" s="18" t="str">
        <f t="shared" ref="Z898:Z961" si="156">IF(Y898&lt;=30,"Low",IF(Y898&lt;=60,"Medium","High"))</f>
        <v>Low</v>
      </c>
      <c r="AA898" s="19" t="str">
        <f t="shared" ref="AA898:AA961" si="157">IF(AND(P898&gt;=650,U898&lt;=0.4,V898&lt;=2,Y898&lt;=50),"Eligible",IF(AND(P898&gt;=550,V898&lt;=4,Y898&lt;=75),"Review","Not Eligible"))</f>
        <v>Eligible</v>
      </c>
      <c r="AB898" s="14" t="s">
        <v>161</v>
      </c>
      <c r="AC898" s="14">
        <v>2</v>
      </c>
      <c r="AD898" s="14" t="s">
        <v>78</v>
      </c>
      <c r="AE898" s="17">
        <v>14.7</v>
      </c>
      <c r="AF898" s="15">
        <v>0</v>
      </c>
      <c r="AG898" s="20">
        <f t="shared" ref="AG898:AG961" si="158">J898+AF898</f>
        <v>1883814</v>
      </c>
      <c r="AH898" s="14">
        <v>0</v>
      </c>
      <c r="AI898" s="14" t="s">
        <v>75</v>
      </c>
      <c r="AJ898" s="14">
        <v>48</v>
      </c>
      <c r="AK898" s="21">
        <f t="shared" ref="AK898:AK961" si="159">(IF(S898="Credit Card",0.36,IF(S898="Personal Loan",0.14,IF(S898="Car Loan",0.09,0.085))))+IF(Z898="Low",0,IF(Z898="Medium",0.015,0.03))</f>
        <v>0.09</v>
      </c>
      <c r="AL898" s="20">
        <f t="shared" ref="AL898:AL961" si="160">-PMT(AK898/12,AJ898,T898)</f>
        <v>23235.064524372872</v>
      </c>
      <c r="AM898" s="22">
        <f t="shared" ref="AM898:AM961" si="161">IFERROR(T898/J898,0)</f>
        <v>0.49564128942666313</v>
      </c>
      <c r="AN898" s="20">
        <f t="shared" ref="AN898:AN961" si="162">R898+AL898</f>
        <v>66618.154524372861</v>
      </c>
      <c r="AO898" s="16">
        <f t="shared" ref="AO898:AO961" si="163">IFERROR((AN898*12)/J898,0)</f>
        <v>0.42436135111665713</v>
      </c>
      <c r="AP898" s="15">
        <v>1041893</v>
      </c>
      <c r="AQ898" s="18">
        <f t="shared" ref="AQ898:AQ961" si="164">IF(AP898&gt;0,T898/AP898,"N/A")</f>
        <v>0.89615344377973549</v>
      </c>
      <c r="AR898" s="23">
        <v>45934</v>
      </c>
      <c r="AS898" s="14" t="s">
        <v>79</v>
      </c>
    </row>
    <row r="899" spans="1:45" x14ac:dyDescent="0.25">
      <c r="A899" s="14" t="s">
        <v>2835</v>
      </c>
      <c r="B899" s="14" t="s">
        <v>1011</v>
      </c>
      <c r="C899" s="14">
        <v>9383497061</v>
      </c>
      <c r="D899" s="15" t="s">
        <v>2861</v>
      </c>
      <c r="E899" s="14">
        <v>63</v>
      </c>
      <c r="F899" s="14" t="s">
        <v>89</v>
      </c>
      <c r="G899" s="14" t="s">
        <v>120</v>
      </c>
      <c r="H899" s="14" t="s">
        <v>91</v>
      </c>
      <c r="I899" s="14" t="s">
        <v>92</v>
      </c>
      <c r="J899" s="15">
        <v>1902419</v>
      </c>
      <c r="K899" s="14">
        <v>1</v>
      </c>
      <c r="L899" s="14" t="s">
        <v>75</v>
      </c>
      <c r="M899" s="14" t="s">
        <v>76</v>
      </c>
      <c r="N899" s="14" t="s">
        <v>75</v>
      </c>
      <c r="O899" s="14" t="s">
        <v>75</v>
      </c>
      <c r="P899" s="14">
        <v>447</v>
      </c>
      <c r="Q899" s="15">
        <v>107223</v>
      </c>
      <c r="R899" s="15">
        <v>1407.11</v>
      </c>
      <c r="S899" s="14" t="s">
        <v>20</v>
      </c>
      <c r="T899" s="15"/>
      <c r="U899" s="16">
        <f t="shared" si="154"/>
        <v>8.8757103456178679E-3</v>
      </c>
      <c r="V899" s="14">
        <v>1</v>
      </c>
      <c r="W899" s="17">
        <v>47.2</v>
      </c>
      <c r="X899" s="14">
        <v>14.3</v>
      </c>
      <c r="Y899" s="18">
        <f t="shared" si="155"/>
        <v>39.200000000000003</v>
      </c>
      <c r="Z899" s="18" t="str">
        <f t="shared" si="156"/>
        <v>Medium</v>
      </c>
      <c r="AA899" s="19" t="str">
        <f t="shared" si="157"/>
        <v>Not Eligible</v>
      </c>
      <c r="AB899" s="14" t="s">
        <v>85</v>
      </c>
      <c r="AC899" s="14">
        <v>1</v>
      </c>
      <c r="AD899" s="14" t="s">
        <v>78</v>
      </c>
      <c r="AE899" s="17">
        <v>23.4</v>
      </c>
      <c r="AF899" s="15">
        <v>522491</v>
      </c>
      <c r="AG899" s="20">
        <f t="shared" si="158"/>
        <v>2424910</v>
      </c>
      <c r="AH899" s="14">
        <v>0</v>
      </c>
      <c r="AI899" s="14" t="s">
        <v>75</v>
      </c>
      <c r="AJ899" s="14">
        <v>18</v>
      </c>
      <c r="AK899" s="21">
        <f t="shared" si="159"/>
        <v>0.375</v>
      </c>
      <c r="AL899" s="20">
        <f t="shared" si="160"/>
        <v>0</v>
      </c>
      <c r="AM899" s="22">
        <f t="shared" si="161"/>
        <v>0</v>
      </c>
      <c r="AN899" s="20">
        <f t="shared" si="162"/>
        <v>1407.11</v>
      </c>
      <c r="AO899" s="16">
        <f t="shared" si="163"/>
        <v>8.8757103456178679E-3</v>
      </c>
      <c r="AP899" s="15">
        <v>0</v>
      </c>
      <c r="AQ899" s="18" t="str">
        <f t="shared" si="164"/>
        <v>N/A</v>
      </c>
      <c r="AR899" s="23">
        <v>45979</v>
      </c>
      <c r="AS899" s="14" t="s">
        <v>79</v>
      </c>
    </row>
    <row r="900" spans="1:45" x14ac:dyDescent="0.25">
      <c r="A900" s="14" t="s">
        <v>2837</v>
      </c>
      <c r="B900" s="14" t="s">
        <v>2480</v>
      </c>
      <c r="C900" s="14">
        <v>9215430014</v>
      </c>
      <c r="D900" s="15" t="s">
        <v>2864</v>
      </c>
      <c r="E900" s="14">
        <v>33</v>
      </c>
      <c r="F900" s="14" t="s">
        <v>71</v>
      </c>
      <c r="G900" s="14" t="s">
        <v>226</v>
      </c>
      <c r="H900" s="14" t="s">
        <v>84</v>
      </c>
      <c r="I900" s="14" t="s">
        <v>74</v>
      </c>
      <c r="J900" s="15">
        <v>550253</v>
      </c>
      <c r="K900" s="14">
        <v>1</v>
      </c>
      <c r="L900" s="14" t="s">
        <v>75</v>
      </c>
      <c r="M900" s="14" t="s">
        <v>76</v>
      </c>
      <c r="N900" s="14" t="s">
        <v>75</v>
      </c>
      <c r="O900" s="14" t="s">
        <v>75</v>
      </c>
      <c r="P900" s="14">
        <v>698</v>
      </c>
      <c r="Q900" s="15">
        <v>671086.79</v>
      </c>
      <c r="R900" s="15">
        <v>314.14</v>
      </c>
      <c r="S900" s="14" t="s">
        <v>23</v>
      </c>
      <c r="T900" s="15">
        <v>224503</v>
      </c>
      <c r="U900" s="16">
        <f t="shared" si="154"/>
        <v>6.8508122627227832E-3</v>
      </c>
      <c r="V900" s="14">
        <v>5</v>
      </c>
      <c r="W900" s="17">
        <v>49.5</v>
      </c>
      <c r="X900" s="14">
        <v>7.3</v>
      </c>
      <c r="Y900" s="18">
        <f t="shared" si="155"/>
        <v>38.6</v>
      </c>
      <c r="Z900" s="18" t="str">
        <f t="shared" si="156"/>
        <v>Medium</v>
      </c>
      <c r="AA900" s="19" t="str">
        <f t="shared" si="157"/>
        <v>Not Eligible</v>
      </c>
      <c r="AB900" s="14" t="s">
        <v>77</v>
      </c>
      <c r="AC900" s="14">
        <v>0</v>
      </c>
      <c r="AD900" s="14" t="s">
        <v>78</v>
      </c>
      <c r="AE900" s="17">
        <v>8.1</v>
      </c>
      <c r="AF900" s="15">
        <v>0</v>
      </c>
      <c r="AG900" s="20">
        <f t="shared" si="158"/>
        <v>550253</v>
      </c>
      <c r="AH900" s="14">
        <v>3</v>
      </c>
      <c r="AI900" s="14" t="s">
        <v>75</v>
      </c>
      <c r="AJ900" s="14">
        <v>300</v>
      </c>
      <c r="AK900" s="21">
        <f t="shared" si="159"/>
        <v>0.1</v>
      </c>
      <c r="AL900" s="20">
        <f t="shared" si="160"/>
        <v>2040.0604347598021</v>
      </c>
      <c r="AM900" s="22">
        <f t="shared" si="161"/>
        <v>0.40799959291453203</v>
      </c>
      <c r="AN900" s="20">
        <f t="shared" si="162"/>
        <v>2354.2004347598022</v>
      </c>
      <c r="AO900" s="16">
        <f t="shared" si="163"/>
        <v>5.1340756374099961E-2</v>
      </c>
      <c r="AP900" s="15">
        <v>5988337</v>
      </c>
      <c r="AQ900" s="18">
        <f t="shared" si="164"/>
        <v>3.749004105814352E-2</v>
      </c>
      <c r="AR900" s="23">
        <v>46204</v>
      </c>
      <c r="AS900" s="14" t="s">
        <v>79</v>
      </c>
    </row>
    <row r="901" spans="1:45" x14ac:dyDescent="0.25">
      <c r="A901" s="14" t="s">
        <v>2840</v>
      </c>
      <c r="B901" s="14" t="s">
        <v>2357</v>
      </c>
      <c r="C901" s="14">
        <v>9112249011</v>
      </c>
      <c r="D901" s="15" t="s">
        <v>2868</v>
      </c>
      <c r="E901" s="14">
        <v>61</v>
      </c>
      <c r="F901" s="14" t="s">
        <v>89</v>
      </c>
      <c r="G901" s="14" t="s">
        <v>98</v>
      </c>
      <c r="H901" s="14" t="s">
        <v>73</v>
      </c>
      <c r="I901" s="14" t="s">
        <v>74</v>
      </c>
      <c r="J901" s="15">
        <v>2392905</v>
      </c>
      <c r="K901" s="14">
        <v>2</v>
      </c>
      <c r="L901" s="14" t="s">
        <v>76</v>
      </c>
      <c r="M901" s="14" t="s">
        <v>76</v>
      </c>
      <c r="N901" s="14" t="s">
        <v>75</v>
      </c>
      <c r="O901" s="14" t="s">
        <v>75</v>
      </c>
      <c r="P901" s="14">
        <v>874</v>
      </c>
      <c r="Q901" s="15">
        <v>644553</v>
      </c>
      <c r="R901" s="15">
        <v>2284.4899999999998</v>
      </c>
      <c r="S901" s="14" t="s">
        <v>20</v>
      </c>
      <c r="T901" s="15">
        <v>6500813</v>
      </c>
      <c r="U901" s="16">
        <f t="shared" si="154"/>
        <v>1.1456317739316855E-2</v>
      </c>
      <c r="V901" s="14">
        <v>0</v>
      </c>
      <c r="W901" s="17">
        <v>59.6</v>
      </c>
      <c r="X901" s="14">
        <v>0.9</v>
      </c>
      <c r="Y901" s="18">
        <f t="shared" si="155"/>
        <v>8</v>
      </c>
      <c r="Z901" s="18" t="str">
        <f t="shared" si="156"/>
        <v>Low</v>
      </c>
      <c r="AA901" s="19" t="str">
        <f t="shared" si="157"/>
        <v>Eligible</v>
      </c>
      <c r="AB901" s="14" t="s">
        <v>77</v>
      </c>
      <c r="AC901" s="14">
        <v>2</v>
      </c>
      <c r="AD901" s="14" t="s">
        <v>78</v>
      </c>
      <c r="AE901" s="17">
        <v>9.1</v>
      </c>
      <c r="AF901" s="15">
        <v>450454</v>
      </c>
      <c r="AG901" s="20">
        <f t="shared" si="158"/>
        <v>2843359</v>
      </c>
      <c r="AH901" s="14">
        <v>1</v>
      </c>
      <c r="AI901" s="14" t="s">
        <v>75</v>
      </c>
      <c r="AJ901" s="14">
        <v>12</v>
      </c>
      <c r="AK901" s="21">
        <f t="shared" si="159"/>
        <v>0.36</v>
      </c>
      <c r="AL901" s="20">
        <f t="shared" si="160"/>
        <v>653085.23124974919</v>
      </c>
      <c r="AM901" s="22">
        <f t="shared" si="161"/>
        <v>2.7167033375750393</v>
      </c>
      <c r="AN901" s="20">
        <f t="shared" si="162"/>
        <v>655369.72124974919</v>
      </c>
      <c r="AO901" s="16">
        <f t="shared" si="163"/>
        <v>3.2865645125890874</v>
      </c>
      <c r="AP901" s="15">
        <v>0</v>
      </c>
      <c r="AQ901" s="18" t="str">
        <f t="shared" si="164"/>
        <v>N/A</v>
      </c>
      <c r="AR901" s="23">
        <v>46196</v>
      </c>
      <c r="AS901" s="14" t="s">
        <v>79</v>
      </c>
    </row>
    <row r="902" spans="1:45" x14ac:dyDescent="0.25">
      <c r="A902" s="14" t="s">
        <v>2842</v>
      </c>
      <c r="B902" s="14" t="s">
        <v>2843</v>
      </c>
      <c r="C902" s="14">
        <v>9355940198</v>
      </c>
      <c r="D902" s="15"/>
      <c r="E902" s="14">
        <v>59</v>
      </c>
      <c r="F902" s="14" t="s">
        <v>71</v>
      </c>
      <c r="G902" s="14" t="s">
        <v>153</v>
      </c>
      <c r="H902" s="14" t="s">
        <v>84</v>
      </c>
      <c r="I902" s="14" t="s">
        <v>74</v>
      </c>
      <c r="J902" s="15">
        <v>439210</v>
      </c>
      <c r="K902" s="14">
        <v>0</v>
      </c>
      <c r="L902" s="14" t="s">
        <v>75</v>
      </c>
      <c r="M902" s="14" t="s">
        <v>75</v>
      </c>
      <c r="N902" s="14" t="s">
        <v>75</v>
      </c>
      <c r="O902" s="14" t="s">
        <v>75</v>
      </c>
      <c r="P902" s="14">
        <v>534</v>
      </c>
      <c r="Q902" s="15"/>
      <c r="R902" s="15">
        <v>397.11</v>
      </c>
      <c r="S902" s="14" t="s">
        <v>20</v>
      </c>
      <c r="T902" s="15">
        <v>104406</v>
      </c>
      <c r="U902" s="16">
        <f t="shared" si="154"/>
        <v>1.0849752965551785E-2</v>
      </c>
      <c r="V902" s="14">
        <v>6</v>
      </c>
      <c r="W902" s="17">
        <v>47.8</v>
      </c>
      <c r="X902" s="14">
        <v>1</v>
      </c>
      <c r="Y902" s="18">
        <f t="shared" si="155"/>
        <v>49.5</v>
      </c>
      <c r="Z902" s="18" t="str">
        <f t="shared" si="156"/>
        <v>Medium</v>
      </c>
      <c r="AA902" s="19" t="str">
        <f t="shared" si="157"/>
        <v>Not Eligible</v>
      </c>
      <c r="AB902" s="14" t="s">
        <v>85</v>
      </c>
      <c r="AC902" s="14">
        <v>2</v>
      </c>
      <c r="AD902" s="14" t="s">
        <v>78</v>
      </c>
      <c r="AE902" s="17">
        <v>17.3</v>
      </c>
      <c r="AF902" s="15">
        <v>895103</v>
      </c>
      <c r="AG902" s="20">
        <f t="shared" si="158"/>
        <v>1334313</v>
      </c>
      <c r="AH902" s="14">
        <v>0</v>
      </c>
      <c r="AI902" s="14" t="s">
        <v>75</v>
      </c>
      <c r="AJ902" s="14">
        <v>12</v>
      </c>
      <c r="AK902" s="21">
        <f t="shared" si="159"/>
        <v>0.375</v>
      </c>
      <c r="AL902" s="20">
        <f t="shared" si="160"/>
        <v>10567.262747370338</v>
      </c>
      <c r="AM902" s="22">
        <f t="shared" si="161"/>
        <v>0.23771316682224905</v>
      </c>
      <c r="AN902" s="20">
        <f t="shared" si="162"/>
        <v>10964.372747370338</v>
      </c>
      <c r="AO902" s="16">
        <f t="shared" si="163"/>
        <v>0.29956620516027427</v>
      </c>
      <c r="AP902" s="15">
        <v>0</v>
      </c>
      <c r="AQ902" s="18" t="str">
        <f t="shared" si="164"/>
        <v>N/A</v>
      </c>
      <c r="AR902" s="23">
        <v>46131</v>
      </c>
      <c r="AS902" s="14" t="s">
        <v>79</v>
      </c>
    </row>
    <row r="903" spans="1:45" x14ac:dyDescent="0.25">
      <c r="A903" s="14" t="s">
        <v>2845</v>
      </c>
      <c r="B903" s="14" t="s">
        <v>2846</v>
      </c>
      <c r="C903" s="14">
        <v>9343273152</v>
      </c>
      <c r="D903" s="15" t="s">
        <v>2872</v>
      </c>
      <c r="E903" s="14">
        <v>36</v>
      </c>
      <c r="F903" s="14" t="s">
        <v>89</v>
      </c>
      <c r="G903" s="14" t="s">
        <v>72</v>
      </c>
      <c r="H903" s="14" t="s">
        <v>103</v>
      </c>
      <c r="I903" s="14" t="s">
        <v>74</v>
      </c>
      <c r="J903" s="15">
        <v>1020884</v>
      </c>
      <c r="K903" s="14">
        <v>3</v>
      </c>
      <c r="L903" s="14" t="s">
        <v>76</v>
      </c>
      <c r="M903" s="14" t="s">
        <v>76</v>
      </c>
      <c r="N903" s="14" t="s">
        <v>76</v>
      </c>
      <c r="O903" s="14" t="s">
        <v>75</v>
      </c>
      <c r="P903" s="14">
        <v>325</v>
      </c>
      <c r="Q903" s="15">
        <v>93796.33</v>
      </c>
      <c r="R903" s="15">
        <v>7662.24</v>
      </c>
      <c r="S903" s="14" t="s">
        <v>23</v>
      </c>
      <c r="T903" s="15"/>
      <c r="U903" s="16">
        <f t="shared" si="154"/>
        <v>9.0065942849530414E-2</v>
      </c>
      <c r="V903" s="14">
        <v>3</v>
      </c>
      <c r="W903" s="17">
        <v>53.9</v>
      </c>
      <c r="X903" s="14">
        <v>2.2999999999999998</v>
      </c>
      <c r="Y903" s="18">
        <f t="shared" si="155"/>
        <v>58.4</v>
      </c>
      <c r="Z903" s="18" t="str">
        <f t="shared" si="156"/>
        <v>Medium</v>
      </c>
      <c r="AA903" s="19" t="str">
        <f t="shared" si="157"/>
        <v>Not Eligible</v>
      </c>
      <c r="AB903" s="14" t="s">
        <v>77</v>
      </c>
      <c r="AC903" s="14">
        <v>2</v>
      </c>
      <c r="AD903" s="14" t="s">
        <v>78</v>
      </c>
      <c r="AE903" s="17">
        <v>14.9</v>
      </c>
      <c r="AF903" s="15">
        <v>0</v>
      </c>
      <c r="AG903" s="20">
        <f t="shared" si="158"/>
        <v>1020884</v>
      </c>
      <c r="AH903" s="14">
        <v>1</v>
      </c>
      <c r="AI903" s="14" t="s">
        <v>75</v>
      </c>
      <c r="AJ903" s="14">
        <v>180</v>
      </c>
      <c r="AK903" s="21">
        <f t="shared" si="159"/>
        <v>0.1</v>
      </c>
      <c r="AL903" s="20">
        <f t="shared" si="160"/>
        <v>0</v>
      </c>
      <c r="AM903" s="22">
        <f t="shared" si="161"/>
        <v>0</v>
      </c>
      <c r="AN903" s="20">
        <f t="shared" si="162"/>
        <v>7662.24</v>
      </c>
      <c r="AO903" s="16">
        <f t="shared" si="163"/>
        <v>9.0065942849530414E-2</v>
      </c>
      <c r="AP903" s="15">
        <v>6044783</v>
      </c>
      <c r="AQ903" s="18">
        <f t="shared" si="164"/>
        <v>0</v>
      </c>
      <c r="AR903" s="23">
        <v>46213</v>
      </c>
      <c r="AS903" s="14" t="s">
        <v>79</v>
      </c>
    </row>
    <row r="904" spans="1:45" x14ac:dyDescent="0.25">
      <c r="A904" s="14" t="s">
        <v>2848</v>
      </c>
      <c r="B904" s="14" t="s">
        <v>2849</v>
      </c>
      <c r="C904" s="14">
        <v>9921056754</v>
      </c>
      <c r="D904" s="15" t="s">
        <v>2876</v>
      </c>
      <c r="E904" s="14">
        <v>41</v>
      </c>
      <c r="F904" s="14" t="s">
        <v>71</v>
      </c>
      <c r="G904" s="14" t="s">
        <v>115</v>
      </c>
      <c r="H904" s="14" t="s">
        <v>84</v>
      </c>
      <c r="I904" s="14" t="s">
        <v>74</v>
      </c>
      <c r="J904" s="15">
        <v>1717976</v>
      </c>
      <c r="K904" s="14">
        <v>1</v>
      </c>
      <c r="L904" s="14" t="s">
        <v>75</v>
      </c>
      <c r="M904" s="14" t="s">
        <v>75</v>
      </c>
      <c r="N904" s="14" t="s">
        <v>76</v>
      </c>
      <c r="O904" s="14" t="s">
        <v>75</v>
      </c>
      <c r="P904" s="14">
        <v>653</v>
      </c>
      <c r="Q904" s="15">
        <v>1033830</v>
      </c>
      <c r="R904" s="15">
        <v>5721.69</v>
      </c>
      <c r="S904" s="14" t="s">
        <v>20</v>
      </c>
      <c r="T904" s="15">
        <v>576849</v>
      </c>
      <c r="U904" s="16">
        <f t="shared" si="154"/>
        <v>3.9965796961075127E-2</v>
      </c>
      <c r="V904" s="14">
        <v>0</v>
      </c>
      <c r="W904" s="17">
        <v>81.7</v>
      </c>
      <c r="X904" s="14">
        <v>1.5</v>
      </c>
      <c r="Y904" s="18">
        <f t="shared" si="155"/>
        <v>25.8</v>
      </c>
      <c r="Z904" s="18" t="str">
        <f t="shared" si="156"/>
        <v>Low</v>
      </c>
      <c r="AA904" s="19" t="str">
        <f t="shared" si="157"/>
        <v>Eligible</v>
      </c>
      <c r="AB904" s="14" t="s">
        <v>77</v>
      </c>
      <c r="AC904" s="14">
        <v>0</v>
      </c>
      <c r="AD904" s="14" t="s">
        <v>78</v>
      </c>
      <c r="AE904" s="17">
        <v>6.8</v>
      </c>
      <c r="AF904" s="15">
        <v>0</v>
      </c>
      <c r="AG904" s="20">
        <f t="shared" si="158"/>
        <v>1717976</v>
      </c>
      <c r="AH904" s="14">
        <v>1</v>
      </c>
      <c r="AI904" s="14" t="s">
        <v>75</v>
      </c>
      <c r="AJ904" s="14">
        <v>12</v>
      </c>
      <c r="AK904" s="21">
        <f t="shared" si="159"/>
        <v>0.36</v>
      </c>
      <c r="AL904" s="20">
        <f t="shared" si="160"/>
        <v>57951.453542993244</v>
      </c>
      <c r="AM904" s="22">
        <f t="shared" si="161"/>
        <v>0.33577244385253346</v>
      </c>
      <c r="AN904" s="20">
        <f t="shared" si="162"/>
        <v>63673.143542993246</v>
      </c>
      <c r="AO904" s="16">
        <f t="shared" si="163"/>
        <v>0.44475459640642184</v>
      </c>
      <c r="AP904" s="15">
        <v>0</v>
      </c>
      <c r="AQ904" s="18" t="str">
        <f t="shared" si="164"/>
        <v>N/A</v>
      </c>
      <c r="AR904" s="23">
        <v>46007</v>
      </c>
      <c r="AS904" s="14" t="s">
        <v>79</v>
      </c>
    </row>
    <row r="905" spans="1:45" x14ac:dyDescent="0.25">
      <c r="A905" s="14" t="s">
        <v>2852</v>
      </c>
      <c r="B905" s="14" t="s">
        <v>2853</v>
      </c>
      <c r="C905" s="14">
        <v>9231365105</v>
      </c>
      <c r="D905" s="15" t="s">
        <v>2879</v>
      </c>
      <c r="E905" s="14">
        <v>52</v>
      </c>
      <c r="F905" s="14" t="s">
        <v>89</v>
      </c>
      <c r="G905" s="14" t="s">
        <v>120</v>
      </c>
      <c r="H905" s="14" t="s">
        <v>107</v>
      </c>
      <c r="I905" s="14" t="s">
        <v>92</v>
      </c>
      <c r="J905" s="15">
        <v>412515</v>
      </c>
      <c r="K905" s="14">
        <v>1</v>
      </c>
      <c r="L905" s="14" t="s">
        <v>76</v>
      </c>
      <c r="M905" s="14" t="s">
        <v>75</v>
      </c>
      <c r="N905" s="14" t="s">
        <v>75</v>
      </c>
      <c r="O905" s="14" t="s">
        <v>75</v>
      </c>
      <c r="P905" s="14">
        <v>886</v>
      </c>
      <c r="Q905" s="15">
        <v>107076.93</v>
      </c>
      <c r="R905" s="15">
        <v>3755.51</v>
      </c>
      <c r="S905" s="14" t="s">
        <v>22</v>
      </c>
      <c r="T905" s="15">
        <v>2837811</v>
      </c>
      <c r="U905" s="16">
        <f t="shared" si="154"/>
        <v>0.10924722737355005</v>
      </c>
      <c r="V905" s="14">
        <v>0</v>
      </c>
      <c r="W905" s="17">
        <v>13.9</v>
      </c>
      <c r="X905" s="14">
        <v>6</v>
      </c>
      <c r="Y905" s="18">
        <f t="shared" si="155"/>
        <v>5.6</v>
      </c>
      <c r="Z905" s="18" t="str">
        <f t="shared" si="156"/>
        <v>Low</v>
      </c>
      <c r="AA905" s="19" t="str">
        <f t="shared" si="157"/>
        <v>Eligible</v>
      </c>
      <c r="AB905" s="14" t="s">
        <v>85</v>
      </c>
      <c r="AC905" s="14">
        <v>0</v>
      </c>
      <c r="AD905" s="14" t="s">
        <v>93</v>
      </c>
      <c r="AE905" s="17">
        <v>16.8</v>
      </c>
      <c r="AF905" s="15">
        <v>329301</v>
      </c>
      <c r="AG905" s="20">
        <f t="shared" si="158"/>
        <v>741816</v>
      </c>
      <c r="AH905" s="14">
        <v>0</v>
      </c>
      <c r="AI905" s="14" t="s">
        <v>75</v>
      </c>
      <c r="AJ905" s="14">
        <v>72</v>
      </c>
      <c r="AK905" s="21">
        <f t="shared" si="159"/>
        <v>0.09</v>
      </c>
      <c r="AL905" s="20">
        <f t="shared" si="160"/>
        <v>51153.06765703066</v>
      </c>
      <c r="AM905" s="22">
        <f t="shared" si="161"/>
        <v>6.8792916621213775</v>
      </c>
      <c r="AN905" s="20">
        <f t="shared" si="162"/>
        <v>54908.577657030663</v>
      </c>
      <c r="AO905" s="16">
        <f t="shared" si="163"/>
        <v>1.597282357936967</v>
      </c>
      <c r="AP905" s="15">
        <v>1256017</v>
      </c>
      <c r="AQ905" s="18">
        <f t="shared" si="164"/>
        <v>2.2593730817337665</v>
      </c>
      <c r="AR905" s="23">
        <v>46101</v>
      </c>
      <c r="AS905" s="14" t="s">
        <v>79</v>
      </c>
    </row>
    <row r="906" spans="1:45" x14ac:dyDescent="0.25">
      <c r="A906" s="14" t="s">
        <v>2856</v>
      </c>
      <c r="B906" s="14" t="s">
        <v>2857</v>
      </c>
      <c r="C906" s="14">
        <v>9223324899</v>
      </c>
      <c r="D906" s="15" t="s">
        <v>2883</v>
      </c>
      <c r="E906" s="14">
        <v>21</v>
      </c>
      <c r="F906" s="14" t="s">
        <v>89</v>
      </c>
      <c r="G906" s="14" t="s">
        <v>215</v>
      </c>
      <c r="H906" s="14" t="s">
        <v>91</v>
      </c>
      <c r="I906" s="14" t="s">
        <v>92</v>
      </c>
      <c r="J906" s="15">
        <v>1600922</v>
      </c>
      <c r="K906" s="14">
        <v>1</v>
      </c>
      <c r="L906" s="14" t="s">
        <v>76</v>
      </c>
      <c r="M906" s="14" t="s">
        <v>75</v>
      </c>
      <c r="N906" s="14" t="s">
        <v>75</v>
      </c>
      <c r="O906" s="14" t="s">
        <v>75</v>
      </c>
      <c r="P906" s="14">
        <v>765</v>
      </c>
      <c r="Q906" s="15">
        <v>766780.54</v>
      </c>
      <c r="R906" s="15">
        <v>12030.44</v>
      </c>
      <c r="S906" s="14" t="s">
        <v>21</v>
      </c>
      <c r="T906" s="15">
        <v>466279</v>
      </c>
      <c r="U906" s="16">
        <f t="shared" si="154"/>
        <v>9.0176335886445441E-2</v>
      </c>
      <c r="V906" s="14">
        <v>0</v>
      </c>
      <c r="W906" s="17">
        <v>77.400000000000006</v>
      </c>
      <c r="X906" s="14">
        <v>11.5</v>
      </c>
      <c r="Y906" s="18">
        <f t="shared" si="155"/>
        <v>19.399999999999999</v>
      </c>
      <c r="Z906" s="18" t="str">
        <f t="shared" si="156"/>
        <v>Low</v>
      </c>
      <c r="AA906" s="19" t="str">
        <f t="shared" si="157"/>
        <v>Eligible</v>
      </c>
      <c r="AB906" s="14" t="s">
        <v>85</v>
      </c>
      <c r="AC906" s="14">
        <v>0</v>
      </c>
      <c r="AD906" s="14" t="s">
        <v>78</v>
      </c>
      <c r="AE906" s="17">
        <v>0.3</v>
      </c>
      <c r="AF906" s="15">
        <v>0</v>
      </c>
      <c r="AG906" s="20">
        <f t="shared" si="158"/>
        <v>1600922</v>
      </c>
      <c r="AH906" s="14">
        <v>1</v>
      </c>
      <c r="AI906" s="14" t="s">
        <v>75</v>
      </c>
      <c r="AJ906" s="14">
        <v>48</v>
      </c>
      <c r="AK906" s="21">
        <f t="shared" si="159"/>
        <v>0.14000000000000001</v>
      </c>
      <c r="AL906" s="20">
        <f t="shared" si="160"/>
        <v>12741.762133633982</v>
      </c>
      <c r="AM906" s="22">
        <f t="shared" si="161"/>
        <v>0.29125653841973564</v>
      </c>
      <c r="AN906" s="20">
        <f t="shared" si="162"/>
        <v>24772.202133633982</v>
      </c>
      <c r="AO906" s="16">
        <f t="shared" si="163"/>
        <v>0.18568451530031307</v>
      </c>
      <c r="AP906" s="15">
        <v>0</v>
      </c>
      <c r="AQ906" s="18" t="str">
        <f t="shared" si="164"/>
        <v>N/A</v>
      </c>
      <c r="AR906" s="23">
        <v>46065</v>
      </c>
      <c r="AS906" s="14" t="s">
        <v>79</v>
      </c>
    </row>
    <row r="907" spans="1:45" x14ac:dyDescent="0.25">
      <c r="A907" s="14" t="s">
        <v>2859</v>
      </c>
      <c r="B907" s="14" t="s">
        <v>2860</v>
      </c>
      <c r="C907" s="14">
        <v>9847513361</v>
      </c>
      <c r="D907" s="15" t="s">
        <v>2886</v>
      </c>
      <c r="E907" s="14">
        <v>28</v>
      </c>
      <c r="F907" s="14" t="s">
        <v>71</v>
      </c>
      <c r="G907" s="14" t="s">
        <v>143</v>
      </c>
      <c r="H907" s="14" t="s">
        <v>144</v>
      </c>
      <c r="I907" s="14" t="s">
        <v>92</v>
      </c>
      <c r="J907" s="15">
        <v>1478205</v>
      </c>
      <c r="K907" s="14">
        <v>0</v>
      </c>
      <c r="L907" s="14" t="s">
        <v>75</v>
      </c>
      <c r="M907" s="14" t="s">
        <v>75</v>
      </c>
      <c r="N907" s="14" t="s">
        <v>75</v>
      </c>
      <c r="O907" s="14" t="s">
        <v>75</v>
      </c>
      <c r="P907" s="14">
        <v>749</v>
      </c>
      <c r="Q907" s="15">
        <v>921935.17</v>
      </c>
      <c r="R907" s="15">
        <v>4288.93</v>
      </c>
      <c r="S907" s="14" t="s">
        <v>20</v>
      </c>
      <c r="T907" s="15">
        <v>3621163</v>
      </c>
      <c r="U907" s="16">
        <f t="shared" si="154"/>
        <v>3.4817335890488806E-2</v>
      </c>
      <c r="V907" s="14">
        <v>0</v>
      </c>
      <c r="W907" s="17">
        <v>37.700000000000003</v>
      </c>
      <c r="X907" s="14">
        <v>0.5</v>
      </c>
      <c r="Y907" s="18">
        <f t="shared" si="155"/>
        <v>14.9</v>
      </c>
      <c r="Z907" s="18" t="str">
        <f t="shared" si="156"/>
        <v>Low</v>
      </c>
      <c r="AA907" s="19" t="str">
        <f t="shared" si="157"/>
        <v>Eligible</v>
      </c>
      <c r="AB907" s="14" t="s">
        <v>85</v>
      </c>
      <c r="AC907" s="14">
        <v>1</v>
      </c>
      <c r="AD907" s="14" t="s">
        <v>93</v>
      </c>
      <c r="AE907" s="17">
        <v>3.3</v>
      </c>
      <c r="AF907" s="15">
        <v>0</v>
      </c>
      <c r="AG907" s="20">
        <f t="shared" si="158"/>
        <v>1478205</v>
      </c>
      <c r="AH907" s="14">
        <v>1</v>
      </c>
      <c r="AI907" s="14" t="s">
        <v>76</v>
      </c>
      <c r="AJ907" s="14">
        <v>24</v>
      </c>
      <c r="AK907" s="21">
        <f t="shared" si="159"/>
        <v>0.36</v>
      </c>
      <c r="AL907" s="20">
        <f t="shared" si="160"/>
        <v>213820.31788001963</v>
      </c>
      <c r="AM907" s="22">
        <f t="shared" si="161"/>
        <v>2.4497028490635602</v>
      </c>
      <c r="AN907" s="20">
        <f t="shared" si="162"/>
        <v>218109.24788001963</v>
      </c>
      <c r="AO907" s="16">
        <f t="shared" si="163"/>
        <v>1.7706008128508803</v>
      </c>
      <c r="AP907" s="15">
        <v>0</v>
      </c>
      <c r="AQ907" s="18" t="str">
        <f t="shared" si="164"/>
        <v>N/A</v>
      </c>
      <c r="AR907" s="23">
        <v>46139</v>
      </c>
      <c r="AS907" s="14" t="s">
        <v>79</v>
      </c>
    </row>
    <row r="908" spans="1:45" x14ac:dyDescent="0.25">
      <c r="A908" s="14" t="s">
        <v>2862</v>
      </c>
      <c r="B908" s="14" t="s">
        <v>872</v>
      </c>
      <c r="C908" s="14">
        <v>9355451415</v>
      </c>
      <c r="D908" s="15" t="s">
        <v>2888</v>
      </c>
      <c r="E908" s="14">
        <v>57</v>
      </c>
      <c r="F908" s="14" t="s">
        <v>89</v>
      </c>
      <c r="G908" s="14" t="s">
        <v>153</v>
      </c>
      <c r="H908" s="14" t="s">
        <v>84</v>
      </c>
      <c r="I908" s="14" t="s">
        <v>74</v>
      </c>
      <c r="J908" s="15">
        <v>2185654</v>
      </c>
      <c r="K908" s="14">
        <v>1</v>
      </c>
      <c r="L908" s="14" t="s">
        <v>76</v>
      </c>
      <c r="M908" s="14" t="s">
        <v>75</v>
      </c>
      <c r="N908" s="14" t="s">
        <v>75</v>
      </c>
      <c r="O908" s="14" t="s">
        <v>75</v>
      </c>
      <c r="P908" s="14">
        <v>453</v>
      </c>
      <c r="Q908" s="15">
        <v>287014</v>
      </c>
      <c r="R908" s="15">
        <v>16367.97</v>
      </c>
      <c r="S908" s="14" t="s">
        <v>21</v>
      </c>
      <c r="T908" s="15"/>
      <c r="U908" s="16">
        <f t="shared" si="154"/>
        <v>8.9865843358555367E-2</v>
      </c>
      <c r="V908" s="14">
        <v>0</v>
      </c>
      <c r="W908" s="17">
        <v>59.8</v>
      </c>
      <c r="X908" s="14">
        <v>4.5999999999999996</v>
      </c>
      <c r="Y908" s="18">
        <f t="shared" si="155"/>
        <v>38.5</v>
      </c>
      <c r="Z908" s="18" t="str">
        <f t="shared" si="156"/>
        <v>Medium</v>
      </c>
      <c r="AA908" s="19" t="str">
        <f t="shared" si="157"/>
        <v>Not Eligible</v>
      </c>
      <c r="AB908" s="14" t="s">
        <v>85</v>
      </c>
      <c r="AC908" s="14">
        <v>3</v>
      </c>
      <c r="AD908" s="14" t="s">
        <v>93</v>
      </c>
      <c r="AE908" s="17">
        <v>22.8</v>
      </c>
      <c r="AF908" s="15">
        <v>0</v>
      </c>
      <c r="AG908" s="20">
        <f t="shared" si="158"/>
        <v>2185654</v>
      </c>
      <c r="AH908" s="14">
        <v>1</v>
      </c>
      <c r="AI908" s="14" t="s">
        <v>75</v>
      </c>
      <c r="AJ908" s="14">
        <v>48</v>
      </c>
      <c r="AK908" s="21">
        <f t="shared" si="159"/>
        <v>0.15500000000000003</v>
      </c>
      <c r="AL908" s="20">
        <f t="shared" si="160"/>
        <v>0</v>
      </c>
      <c r="AM908" s="22">
        <f t="shared" si="161"/>
        <v>0</v>
      </c>
      <c r="AN908" s="20">
        <f t="shared" si="162"/>
        <v>16367.97</v>
      </c>
      <c r="AO908" s="16">
        <f t="shared" si="163"/>
        <v>8.9865843358555367E-2</v>
      </c>
      <c r="AP908" s="15">
        <v>0</v>
      </c>
      <c r="AQ908" s="18" t="str">
        <f t="shared" si="164"/>
        <v>N/A</v>
      </c>
      <c r="AR908" s="23">
        <v>46165</v>
      </c>
      <c r="AS908" s="14" t="s">
        <v>79</v>
      </c>
    </row>
    <row r="909" spans="1:45" x14ac:dyDescent="0.25">
      <c r="A909" s="14" t="s">
        <v>2865</v>
      </c>
      <c r="B909" s="14" t="s">
        <v>2866</v>
      </c>
      <c r="C909" s="14">
        <v>9713597585</v>
      </c>
      <c r="D909" s="15" t="s">
        <v>2891</v>
      </c>
      <c r="E909" s="14">
        <v>45</v>
      </c>
      <c r="F909" s="14" t="s">
        <v>71</v>
      </c>
      <c r="G909" s="14" t="s">
        <v>174</v>
      </c>
      <c r="H909" s="14" t="s">
        <v>73</v>
      </c>
      <c r="I909" s="14" t="s">
        <v>74</v>
      </c>
      <c r="J909" s="15">
        <v>1216387</v>
      </c>
      <c r="K909" s="14">
        <v>1</v>
      </c>
      <c r="L909" s="14" t="s">
        <v>76</v>
      </c>
      <c r="M909" s="14" t="s">
        <v>75</v>
      </c>
      <c r="N909" s="14" t="s">
        <v>75</v>
      </c>
      <c r="O909" s="14" t="s">
        <v>75</v>
      </c>
      <c r="P909" s="14">
        <v>753</v>
      </c>
      <c r="Q909" s="15">
        <v>413936</v>
      </c>
      <c r="R909" s="15">
        <v>15720.8</v>
      </c>
      <c r="S909" s="14" t="s">
        <v>23</v>
      </c>
      <c r="T909" s="15">
        <v>840574</v>
      </c>
      <c r="U909" s="16">
        <f t="shared" si="154"/>
        <v>0.15509011523470737</v>
      </c>
      <c r="V909" s="14">
        <v>0</v>
      </c>
      <c r="W909" s="17">
        <v>8.9</v>
      </c>
      <c r="X909" s="14">
        <v>9.9</v>
      </c>
      <c r="Y909" s="18">
        <f t="shared" si="155"/>
        <v>15.3</v>
      </c>
      <c r="Z909" s="18" t="str">
        <f t="shared" si="156"/>
        <v>Low</v>
      </c>
      <c r="AA909" s="19" t="str">
        <f t="shared" si="157"/>
        <v>Eligible</v>
      </c>
      <c r="AB909" s="14" t="s">
        <v>85</v>
      </c>
      <c r="AC909" s="14">
        <v>3</v>
      </c>
      <c r="AD909" s="14" t="s">
        <v>78</v>
      </c>
      <c r="AE909" s="17">
        <v>9.1999999999999993</v>
      </c>
      <c r="AF909" s="15">
        <v>0</v>
      </c>
      <c r="AG909" s="20">
        <f t="shared" si="158"/>
        <v>1216387</v>
      </c>
      <c r="AH909" s="14">
        <v>1</v>
      </c>
      <c r="AI909" s="14" t="s">
        <v>75</v>
      </c>
      <c r="AJ909" s="14">
        <v>300</v>
      </c>
      <c r="AK909" s="21">
        <f t="shared" si="159"/>
        <v>8.5000000000000006E-2</v>
      </c>
      <c r="AL909" s="20">
        <f t="shared" si="160"/>
        <v>6768.5295045409748</v>
      </c>
      <c r="AM909" s="22">
        <f t="shared" si="161"/>
        <v>0.69104158462726084</v>
      </c>
      <c r="AN909" s="20">
        <f t="shared" si="162"/>
        <v>22489.329504540976</v>
      </c>
      <c r="AO909" s="16">
        <f t="shared" si="163"/>
        <v>0.22186356320356243</v>
      </c>
      <c r="AP909" s="15">
        <v>7589308</v>
      </c>
      <c r="AQ909" s="18">
        <f t="shared" si="164"/>
        <v>0.11075766064574004</v>
      </c>
      <c r="AR909" s="23">
        <v>45938</v>
      </c>
      <c r="AS909" s="14" t="s">
        <v>79</v>
      </c>
    </row>
    <row r="910" spans="1:45" x14ac:dyDescent="0.25">
      <c r="A910" s="14" t="s">
        <v>2869</v>
      </c>
      <c r="B910" s="14" t="s">
        <v>2327</v>
      </c>
      <c r="C910" s="14">
        <v>9189423283</v>
      </c>
      <c r="D910" s="15" t="s">
        <v>2894</v>
      </c>
      <c r="E910" s="14">
        <v>29</v>
      </c>
      <c r="F910" s="14" t="s">
        <v>89</v>
      </c>
      <c r="G910" s="14" t="s">
        <v>98</v>
      </c>
      <c r="H910" s="14" t="s">
        <v>132</v>
      </c>
      <c r="I910" s="14" t="s">
        <v>92</v>
      </c>
      <c r="J910" s="15">
        <v>436239</v>
      </c>
      <c r="K910" s="14">
        <v>2</v>
      </c>
      <c r="L910" s="14" t="s">
        <v>76</v>
      </c>
      <c r="M910" s="14" t="s">
        <v>75</v>
      </c>
      <c r="N910" s="14" t="s">
        <v>75</v>
      </c>
      <c r="O910" s="14" t="s">
        <v>76</v>
      </c>
      <c r="P910" s="14">
        <v>506</v>
      </c>
      <c r="Q910" s="15">
        <v>399603</v>
      </c>
      <c r="R910" s="15">
        <v>1788.18</v>
      </c>
      <c r="S910" s="14" t="s">
        <v>21</v>
      </c>
      <c r="T910" s="15">
        <v>661135</v>
      </c>
      <c r="U910" s="16">
        <f t="shared" si="154"/>
        <v>4.918899960801304E-2</v>
      </c>
      <c r="V910" s="14">
        <v>3</v>
      </c>
      <c r="W910" s="17">
        <v>25.5</v>
      </c>
      <c r="X910" s="14">
        <v>8.9</v>
      </c>
      <c r="Y910" s="18">
        <f t="shared" si="155"/>
        <v>42.3</v>
      </c>
      <c r="Z910" s="18" t="str">
        <f t="shared" si="156"/>
        <v>Medium</v>
      </c>
      <c r="AA910" s="19" t="str">
        <f t="shared" si="157"/>
        <v>Not Eligible</v>
      </c>
      <c r="AB910" s="14" t="s">
        <v>85</v>
      </c>
      <c r="AC910" s="14">
        <v>1</v>
      </c>
      <c r="AD910" s="14" t="s">
        <v>78</v>
      </c>
      <c r="AE910" s="17">
        <v>3.4</v>
      </c>
      <c r="AF910" s="15">
        <v>0</v>
      </c>
      <c r="AG910" s="20">
        <f t="shared" si="158"/>
        <v>436239</v>
      </c>
      <c r="AH910" s="14">
        <v>0</v>
      </c>
      <c r="AI910" s="14" t="s">
        <v>75</v>
      </c>
      <c r="AJ910" s="14">
        <v>48</v>
      </c>
      <c r="AK910" s="21">
        <f t="shared" si="159"/>
        <v>0.15500000000000003</v>
      </c>
      <c r="AL910" s="20">
        <f t="shared" si="160"/>
        <v>18567.883185580395</v>
      </c>
      <c r="AM910" s="22">
        <f t="shared" si="161"/>
        <v>1.5155339160414361</v>
      </c>
      <c r="AN910" s="20">
        <f t="shared" si="162"/>
        <v>20356.063185580395</v>
      </c>
      <c r="AO910" s="16">
        <f t="shared" si="163"/>
        <v>0.5599516738002901</v>
      </c>
      <c r="AP910" s="15">
        <v>0</v>
      </c>
      <c r="AQ910" s="18" t="str">
        <f t="shared" si="164"/>
        <v>N/A</v>
      </c>
      <c r="AR910" s="23">
        <v>46184</v>
      </c>
      <c r="AS910" s="14" t="s">
        <v>94</v>
      </c>
    </row>
    <row r="911" spans="1:45" x14ac:dyDescent="0.25">
      <c r="A911" s="14" t="s">
        <v>2871</v>
      </c>
      <c r="B911" s="14" t="s">
        <v>2395</v>
      </c>
      <c r="C911" s="14">
        <v>9566265153</v>
      </c>
      <c r="D911" s="15" t="s">
        <v>2896</v>
      </c>
      <c r="E911" s="14">
        <v>46</v>
      </c>
      <c r="F911" s="14" t="s">
        <v>89</v>
      </c>
      <c r="G911" s="14" t="s">
        <v>72</v>
      </c>
      <c r="H911" s="14" t="s">
        <v>91</v>
      </c>
      <c r="I911" s="14" t="s">
        <v>92</v>
      </c>
      <c r="J911" s="15">
        <v>1730356</v>
      </c>
      <c r="K911" s="14">
        <v>2</v>
      </c>
      <c r="L911" s="14" t="s">
        <v>76</v>
      </c>
      <c r="M911" s="14" t="s">
        <v>75</v>
      </c>
      <c r="N911" s="14" t="s">
        <v>75</v>
      </c>
      <c r="O911" s="14" t="s">
        <v>76</v>
      </c>
      <c r="P911" s="14">
        <v>612</v>
      </c>
      <c r="Q911" s="15">
        <v>343166.44</v>
      </c>
      <c r="R911" s="15">
        <v>2131.73</v>
      </c>
      <c r="S911" s="14" t="s">
        <v>22</v>
      </c>
      <c r="T911" s="15">
        <v>4535863</v>
      </c>
      <c r="U911" s="16">
        <f t="shared" si="154"/>
        <v>1.4783524315227619E-2</v>
      </c>
      <c r="V911" s="14">
        <v>1</v>
      </c>
      <c r="W911" s="17">
        <v>84.3</v>
      </c>
      <c r="X911" s="14">
        <v>0.7</v>
      </c>
      <c r="Y911" s="18">
        <f t="shared" si="155"/>
        <v>32.1</v>
      </c>
      <c r="Z911" s="18" t="str">
        <f t="shared" si="156"/>
        <v>Medium</v>
      </c>
      <c r="AA911" s="19" t="str">
        <f t="shared" si="157"/>
        <v>Review</v>
      </c>
      <c r="AB911" s="14" t="s">
        <v>85</v>
      </c>
      <c r="AC911" s="14">
        <v>3</v>
      </c>
      <c r="AD911" s="14" t="s">
        <v>78</v>
      </c>
      <c r="AE911" s="17">
        <v>22.2</v>
      </c>
      <c r="AF911" s="15">
        <v>0</v>
      </c>
      <c r="AG911" s="20">
        <f t="shared" si="158"/>
        <v>1730356</v>
      </c>
      <c r="AH911" s="14">
        <v>0</v>
      </c>
      <c r="AI911" s="14" t="s">
        <v>75</v>
      </c>
      <c r="AJ911" s="14">
        <v>48</v>
      </c>
      <c r="AK911" s="21">
        <f t="shared" si="159"/>
        <v>0.105</v>
      </c>
      <c r="AL911" s="20">
        <f t="shared" si="160"/>
        <v>116133.42289161068</v>
      </c>
      <c r="AM911" s="22">
        <f t="shared" si="161"/>
        <v>2.6213467055334276</v>
      </c>
      <c r="AN911" s="20">
        <f t="shared" si="162"/>
        <v>118265.15289161068</v>
      </c>
      <c r="AO911" s="16">
        <f t="shared" si="163"/>
        <v>0.82016754627332644</v>
      </c>
      <c r="AP911" s="15">
        <v>888534</v>
      </c>
      <c r="AQ911" s="18">
        <f t="shared" si="164"/>
        <v>5.1048839999369751</v>
      </c>
      <c r="AR911" s="23">
        <v>45954</v>
      </c>
      <c r="AS911" s="14" t="s">
        <v>94</v>
      </c>
    </row>
    <row r="912" spans="1:45" x14ac:dyDescent="0.25">
      <c r="A912" s="14" t="s">
        <v>2873</v>
      </c>
      <c r="B912" s="14" t="s">
        <v>2874</v>
      </c>
      <c r="C912" s="14"/>
      <c r="D912" s="15" t="s">
        <v>2899</v>
      </c>
      <c r="E912" s="14">
        <v>21</v>
      </c>
      <c r="F912" s="14" t="s">
        <v>89</v>
      </c>
      <c r="G912" s="14" t="s">
        <v>98</v>
      </c>
      <c r="H912" s="14" t="s">
        <v>103</v>
      </c>
      <c r="I912" s="14" t="s">
        <v>74</v>
      </c>
      <c r="J912" s="15">
        <v>1768271</v>
      </c>
      <c r="K912" s="14">
        <v>1</v>
      </c>
      <c r="L912" s="14" t="s">
        <v>75</v>
      </c>
      <c r="M912" s="14" t="s">
        <v>75</v>
      </c>
      <c r="N912" s="14" t="s">
        <v>75</v>
      </c>
      <c r="O912" s="14" t="s">
        <v>76</v>
      </c>
      <c r="P912" s="14">
        <v>553</v>
      </c>
      <c r="Q912" s="15">
        <v>128722.37</v>
      </c>
      <c r="R912" s="15">
        <v>27206.06</v>
      </c>
      <c r="S912" s="14" t="s">
        <v>22</v>
      </c>
      <c r="T912" s="15">
        <v>3413059</v>
      </c>
      <c r="U912" s="16">
        <f t="shared" si="154"/>
        <v>0.18462821592391665</v>
      </c>
      <c r="V912" s="14">
        <v>0</v>
      </c>
      <c r="W912" s="17">
        <v>81.099999999999994</v>
      </c>
      <c r="X912" s="14">
        <v>7.3</v>
      </c>
      <c r="Y912" s="18">
        <f t="shared" si="155"/>
        <v>36.799999999999997</v>
      </c>
      <c r="Z912" s="18" t="str">
        <f t="shared" si="156"/>
        <v>Medium</v>
      </c>
      <c r="AA912" s="19" t="str">
        <f t="shared" si="157"/>
        <v>Review</v>
      </c>
      <c r="AB912" s="14" t="s">
        <v>77</v>
      </c>
      <c r="AC912" s="14">
        <v>4</v>
      </c>
      <c r="AD912" s="14" t="s">
        <v>93</v>
      </c>
      <c r="AE912" s="17">
        <v>0.3</v>
      </c>
      <c r="AF912" s="15">
        <v>0</v>
      </c>
      <c r="AG912" s="20">
        <f t="shared" si="158"/>
        <v>1768271</v>
      </c>
      <c r="AH912" s="14">
        <v>0</v>
      </c>
      <c r="AI912" s="14" t="s">
        <v>75</v>
      </c>
      <c r="AJ912" s="14">
        <v>84</v>
      </c>
      <c r="AK912" s="21">
        <f t="shared" si="159"/>
        <v>0.105</v>
      </c>
      <c r="AL912" s="20">
        <f t="shared" si="160"/>
        <v>57546.47223629248</v>
      </c>
      <c r="AM912" s="22">
        <f t="shared" si="161"/>
        <v>1.9301673781903339</v>
      </c>
      <c r="AN912" s="20">
        <f t="shared" si="162"/>
        <v>84752.532236292478</v>
      </c>
      <c r="AO912" s="16">
        <f t="shared" si="163"/>
        <v>0.57515527135575351</v>
      </c>
      <c r="AP912" s="15">
        <v>626507</v>
      </c>
      <c r="AQ912" s="18">
        <f t="shared" si="164"/>
        <v>5.4477587640680794</v>
      </c>
      <c r="AR912" s="23">
        <v>46012</v>
      </c>
      <c r="AS912" s="14" t="s">
        <v>79</v>
      </c>
    </row>
    <row r="913" spans="1:45" x14ac:dyDescent="0.25">
      <c r="A913" s="14" t="s">
        <v>2877</v>
      </c>
      <c r="B913" s="14" t="s">
        <v>2878</v>
      </c>
      <c r="C913" s="14">
        <v>9870766683</v>
      </c>
      <c r="D913" s="15" t="s">
        <v>2901</v>
      </c>
      <c r="E913" s="14">
        <v>51</v>
      </c>
      <c r="F913" s="14" t="s">
        <v>71</v>
      </c>
      <c r="G913" s="14" t="s">
        <v>120</v>
      </c>
      <c r="H913" s="14" t="s">
        <v>103</v>
      </c>
      <c r="I913" s="14" t="s">
        <v>74</v>
      </c>
      <c r="J913" s="15">
        <v>1983106</v>
      </c>
      <c r="K913" s="14">
        <v>0</v>
      </c>
      <c r="L913" s="14" t="s">
        <v>75</v>
      </c>
      <c r="M913" s="14" t="s">
        <v>75</v>
      </c>
      <c r="N913" s="14" t="s">
        <v>75</v>
      </c>
      <c r="O913" s="14" t="s">
        <v>75</v>
      </c>
      <c r="P913" s="14">
        <v>434</v>
      </c>
      <c r="Q913" s="15"/>
      <c r="R913" s="15">
        <v>2549.4499999999998</v>
      </c>
      <c r="S913" s="14" t="s">
        <v>23</v>
      </c>
      <c r="T913" s="15">
        <v>438063</v>
      </c>
      <c r="U913" s="16">
        <f t="shared" si="154"/>
        <v>1.542701197011153E-2</v>
      </c>
      <c r="V913" s="14">
        <v>5</v>
      </c>
      <c r="W913" s="17">
        <v>54.3</v>
      </c>
      <c r="X913" s="14">
        <v>3.2</v>
      </c>
      <c r="Y913" s="18">
        <f t="shared" si="155"/>
        <v>57</v>
      </c>
      <c r="Z913" s="18" t="str">
        <f t="shared" si="156"/>
        <v>Medium</v>
      </c>
      <c r="AA913" s="19" t="str">
        <f t="shared" si="157"/>
        <v>Not Eligible</v>
      </c>
      <c r="AB913" s="14" t="s">
        <v>77</v>
      </c>
      <c r="AC913" s="14">
        <v>0</v>
      </c>
      <c r="AD913" s="14" t="s">
        <v>93</v>
      </c>
      <c r="AE913" s="17">
        <v>24.2</v>
      </c>
      <c r="AF913" s="15">
        <v>0</v>
      </c>
      <c r="AG913" s="20">
        <f t="shared" si="158"/>
        <v>1983106</v>
      </c>
      <c r="AH913" s="14">
        <v>1</v>
      </c>
      <c r="AI913" s="14" t="s">
        <v>75</v>
      </c>
      <c r="AJ913" s="14">
        <v>120</v>
      </c>
      <c r="AK913" s="21">
        <f t="shared" si="159"/>
        <v>0.1</v>
      </c>
      <c r="AL913" s="20">
        <f t="shared" si="160"/>
        <v>5789.0348250635152</v>
      </c>
      <c r="AM913" s="22">
        <f t="shared" si="161"/>
        <v>0.2208974205110569</v>
      </c>
      <c r="AN913" s="20">
        <f t="shared" si="162"/>
        <v>8338.484825063515</v>
      </c>
      <c r="AO913" s="16">
        <f t="shared" si="163"/>
        <v>5.0457120245091379E-2</v>
      </c>
      <c r="AP913" s="15">
        <v>3599685</v>
      </c>
      <c r="AQ913" s="18">
        <f t="shared" si="164"/>
        <v>0.12169481496297593</v>
      </c>
      <c r="AR913" s="23">
        <v>46236</v>
      </c>
      <c r="AS913" s="14" t="s">
        <v>79</v>
      </c>
    </row>
    <row r="914" spans="1:45" x14ac:dyDescent="0.25">
      <c r="A914" s="14" t="s">
        <v>2880</v>
      </c>
      <c r="B914" s="14" t="s">
        <v>2881</v>
      </c>
      <c r="C914" s="14">
        <v>9581439114</v>
      </c>
      <c r="D914" s="15"/>
      <c r="E914" s="14">
        <v>36</v>
      </c>
      <c r="F914" s="14" t="s">
        <v>71</v>
      </c>
      <c r="G914" s="14" t="s">
        <v>98</v>
      </c>
      <c r="H914" s="14" t="s">
        <v>144</v>
      </c>
      <c r="I914" s="14" t="s">
        <v>92</v>
      </c>
      <c r="J914" s="15">
        <v>2424659</v>
      </c>
      <c r="K914" s="14">
        <v>2</v>
      </c>
      <c r="L914" s="14" t="s">
        <v>76</v>
      </c>
      <c r="M914" s="14" t="s">
        <v>76</v>
      </c>
      <c r="N914" s="14" t="s">
        <v>75</v>
      </c>
      <c r="O914" s="14" t="s">
        <v>75</v>
      </c>
      <c r="P914" s="14">
        <v>483</v>
      </c>
      <c r="Q914" s="15"/>
      <c r="R914" s="15">
        <v>24734.86</v>
      </c>
      <c r="S914" s="14" t="s">
        <v>22</v>
      </c>
      <c r="T914" s="15">
        <v>822602</v>
      </c>
      <c r="U914" s="16">
        <f t="shared" si="154"/>
        <v>0.12241652125102953</v>
      </c>
      <c r="V914" s="14">
        <v>0</v>
      </c>
      <c r="W914" s="17">
        <v>7</v>
      </c>
      <c r="X914" s="14">
        <v>10.3</v>
      </c>
      <c r="Y914" s="18">
        <f t="shared" si="155"/>
        <v>32.200000000000003</v>
      </c>
      <c r="Z914" s="18" t="str">
        <f t="shared" si="156"/>
        <v>Medium</v>
      </c>
      <c r="AA914" s="19" t="str">
        <f t="shared" si="157"/>
        <v>Not Eligible</v>
      </c>
      <c r="AB914" s="14" t="s">
        <v>77</v>
      </c>
      <c r="AC914" s="14">
        <v>2</v>
      </c>
      <c r="AD914" s="14" t="s">
        <v>78</v>
      </c>
      <c r="AE914" s="17">
        <v>10.9</v>
      </c>
      <c r="AF914" s="15">
        <v>0</v>
      </c>
      <c r="AG914" s="20">
        <f t="shared" si="158"/>
        <v>2424659</v>
      </c>
      <c r="AH914" s="14">
        <v>0</v>
      </c>
      <c r="AI914" s="14" t="s">
        <v>76</v>
      </c>
      <c r="AJ914" s="14">
        <v>24</v>
      </c>
      <c r="AK914" s="21">
        <f t="shared" si="159"/>
        <v>0.105</v>
      </c>
      <c r="AL914" s="20">
        <f t="shared" si="160"/>
        <v>38149.024604630387</v>
      </c>
      <c r="AM914" s="22">
        <f t="shared" si="161"/>
        <v>0.33926502654600088</v>
      </c>
      <c r="AN914" s="20">
        <f t="shared" si="162"/>
        <v>62883.884604630388</v>
      </c>
      <c r="AO914" s="16">
        <f t="shared" si="163"/>
        <v>0.31122174922558787</v>
      </c>
      <c r="AP914" s="15">
        <v>526741</v>
      </c>
      <c r="AQ914" s="18">
        <f t="shared" si="164"/>
        <v>1.5616821170176614</v>
      </c>
      <c r="AR914" s="23">
        <v>46166</v>
      </c>
      <c r="AS914" s="14" t="s">
        <v>79</v>
      </c>
    </row>
    <row r="915" spans="1:45" x14ac:dyDescent="0.25">
      <c r="A915" s="14" t="s">
        <v>2884</v>
      </c>
      <c r="B915" s="14" t="s">
        <v>2885</v>
      </c>
      <c r="C915" s="14">
        <v>9855024113</v>
      </c>
      <c r="D915" s="15" t="s">
        <v>2904</v>
      </c>
      <c r="E915" s="14">
        <v>38</v>
      </c>
      <c r="F915" s="14" t="s">
        <v>89</v>
      </c>
      <c r="G915" s="14" t="s">
        <v>174</v>
      </c>
      <c r="H915" s="14" t="s">
        <v>132</v>
      </c>
      <c r="I915" s="14" t="s">
        <v>92</v>
      </c>
      <c r="J915" s="15">
        <v>2256506</v>
      </c>
      <c r="K915" s="14">
        <v>1</v>
      </c>
      <c r="L915" s="14" t="s">
        <v>76</v>
      </c>
      <c r="M915" s="14" t="s">
        <v>75</v>
      </c>
      <c r="N915" s="14" t="s">
        <v>75</v>
      </c>
      <c r="O915" s="14" t="s">
        <v>75</v>
      </c>
      <c r="P915" s="14">
        <v>715</v>
      </c>
      <c r="Q915" s="15">
        <v>14550</v>
      </c>
      <c r="R915" s="15">
        <v>19206.98</v>
      </c>
      <c r="S915" s="14" t="s">
        <v>23</v>
      </c>
      <c r="T915" s="15"/>
      <c r="U915" s="16">
        <f t="shared" si="154"/>
        <v>0.10214187775259627</v>
      </c>
      <c r="V915" s="14">
        <v>0</v>
      </c>
      <c r="W915" s="17">
        <v>83.4</v>
      </c>
      <c r="X915" s="14">
        <v>3.6</v>
      </c>
      <c r="Y915" s="18">
        <f t="shared" si="155"/>
        <v>23.7</v>
      </c>
      <c r="Z915" s="18" t="str">
        <f t="shared" si="156"/>
        <v>Low</v>
      </c>
      <c r="AA915" s="19" t="str">
        <f t="shared" si="157"/>
        <v>Eligible</v>
      </c>
      <c r="AB915" s="14" t="s">
        <v>77</v>
      </c>
      <c r="AC915" s="14">
        <v>0</v>
      </c>
      <c r="AD915" s="14" t="s">
        <v>93</v>
      </c>
      <c r="AE915" s="17">
        <v>13.1</v>
      </c>
      <c r="AF915" s="15">
        <v>557140</v>
      </c>
      <c r="AG915" s="20">
        <f t="shared" si="158"/>
        <v>2813646</v>
      </c>
      <c r="AH915" s="14">
        <v>3</v>
      </c>
      <c r="AI915" s="14" t="s">
        <v>75</v>
      </c>
      <c r="AJ915" s="14">
        <v>120</v>
      </c>
      <c r="AK915" s="21">
        <f t="shared" si="159"/>
        <v>8.5000000000000006E-2</v>
      </c>
      <c r="AL915" s="20">
        <f t="shared" si="160"/>
        <v>0</v>
      </c>
      <c r="AM915" s="22">
        <f t="shared" si="161"/>
        <v>0</v>
      </c>
      <c r="AN915" s="20">
        <f t="shared" si="162"/>
        <v>19206.98</v>
      </c>
      <c r="AO915" s="16">
        <f t="shared" si="163"/>
        <v>0.10214187775259627</v>
      </c>
      <c r="AP915" s="15">
        <v>4682947</v>
      </c>
      <c r="AQ915" s="18">
        <f t="shared" si="164"/>
        <v>0</v>
      </c>
      <c r="AR915" s="23">
        <v>46085</v>
      </c>
      <c r="AS915" s="14" t="s">
        <v>79</v>
      </c>
    </row>
    <row r="916" spans="1:45" x14ac:dyDescent="0.25">
      <c r="A916" s="14" t="s">
        <v>2887</v>
      </c>
      <c r="B916" s="14" t="s">
        <v>1543</v>
      </c>
      <c r="C916" s="14">
        <v>9323543839</v>
      </c>
      <c r="D916" s="15" t="s">
        <v>2909</v>
      </c>
      <c r="E916" s="14">
        <v>34</v>
      </c>
      <c r="F916" s="14" t="s">
        <v>89</v>
      </c>
      <c r="G916" s="14" t="s">
        <v>83</v>
      </c>
      <c r="H916" s="14" t="s">
        <v>166</v>
      </c>
      <c r="I916" s="14" t="s">
        <v>74</v>
      </c>
      <c r="J916" s="15">
        <v>2087799</v>
      </c>
      <c r="K916" s="14">
        <v>2</v>
      </c>
      <c r="L916" s="14" t="s">
        <v>76</v>
      </c>
      <c r="M916" s="14" t="s">
        <v>76</v>
      </c>
      <c r="N916" s="14" t="s">
        <v>75</v>
      </c>
      <c r="O916" s="14" t="s">
        <v>75</v>
      </c>
      <c r="P916" s="14">
        <v>457</v>
      </c>
      <c r="Q916" s="15"/>
      <c r="R916" s="15">
        <v>7757.13</v>
      </c>
      <c r="S916" s="14" t="s">
        <v>23</v>
      </c>
      <c r="T916" s="15"/>
      <c r="U916" s="16">
        <f t="shared" si="154"/>
        <v>4.4585498891416268E-2</v>
      </c>
      <c r="V916" s="14">
        <v>0</v>
      </c>
      <c r="W916" s="17">
        <v>68</v>
      </c>
      <c r="X916" s="14">
        <v>5.3</v>
      </c>
      <c r="Y916" s="18">
        <f t="shared" si="155"/>
        <v>37.700000000000003</v>
      </c>
      <c r="Z916" s="18" t="str">
        <f t="shared" si="156"/>
        <v>Medium</v>
      </c>
      <c r="AA916" s="19" t="str">
        <f t="shared" si="157"/>
        <v>Not Eligible</v>
      </c>
      <c r="AB916" s="14" t="s">
        <v>77</v>
      </c>
      <c r="AC916" s="14">
        <v>2</v>
      </c>
      <c r="AD916" s="14" t="s">
        <v>93</v>
      </c>
      <c r="AE916" s="17">
        <v>1.5</v>
      </c>
      <c r="AF916" s="15">
        <v>230143</v>
      </c>
      <c r="AG916" s="20">
        <f t="shared" si="158"/>
        <v>2317942</v>
      </c>
      <c r="AH916" s="14">
        <v>0</v>
      </c>
      <c r="AI916" s="14" t="s">
        <v>75</v>
      </c>
      <c r="AJ916" s="14">
        <v>300</v>
      </c>
      <c r="AK916" s="21">
        <f t="shared" si="159"/>
        <v>0.1</v>
      </c>
      <c r="AL916" s="20">
        <f t="shared" si="160"/>
        <v>0</v>
      </c>
      <c r="AM916" s="22">
        <f t="shared" si="161"/>
        <v>0</v>
      </c>
      <c r="AN916" s="20">
        <f t="shared" si="162"/>
        <v>7757.13</v>
      </c>
      <c r="AO916" s="16">
        <f t="shared" si="163"/>
        <v>4.4585498891416268E-2</v>
      </c>
      <c r="AP916" s="15">
        <v>2810056</v>
      </c>
      <c r="AQ916" s="18">
        <f t="shared" si="164"/>
        <v>0</v>
      </c>
      <c r="AR916" s="23">
        <v>45909</v>
      </c>
      <c r="AS916" s="14" t="s">
        <v>79</v>
      </c>
    </row>
    <row r="917" spans="1:45" x14ac:dyDescent="0.25">
      <c r="A917" s="14" t="s">
        <v>2889</v>
      </c>
      <c r="B917" s="14" t="s">
        <v>2890</v>
      </c>
      <c r="C917" s="14">
        <v>9780805896</v>
      </c>
      <c r="D917" s="15" t="s">
        <v>2913</v>
      </c>
      <c r="E917" s="14">
        <v>28</v>
      </c>
      <c r="F917" s="14" t="s">
        <v>71</v>
      </c>
      <c r="G917" s="14" t="s">
        <v>83</v>
      </c>
      <c r="H917" s="14" t="s">
        <v>103</v>
      </c>
      <c r="I917" s="14" t="s">
        <v>74</v>
      </c>
      <c r="J917" s="15">
        <v>829857</v>
      </c>
      <c r="K917" s="14">
        <v>1</v>
      </c>
      <c r="L917" s="14" t="s">
        <v>76</v>
      </c>
      <c r="M917" s="14" t="s">
        <v>75</v>
      </c>
      <c r="N917" s="14" t="s">
        <v>75</v>
      </c>
      <c r="O917" s="14" t="s">
        <v>75</v>
      </c>
      <c r="P917" s="14">
        <v>303</v>
      </c>
      <c r="Q917" s="15">
        <v>888265.94</v>
      </c>
      <c r="R917" s="15">
        <v>8623.67</v>
      </c>
      <c r="S917" s="14" t="s">
        <v>21</v>
      </c>
      <c r="T917" s="15">
        <v>787735</v>
      </c>
      <c r="U917" s="16">
        <f t="shared" si="154"/>
        <v>0.12470105090395094</v>
      </c>
      <c r="V917" s="14">
        <v>1</v>
      </c>
      <c r="W917" s="17">
        <v>37.299999999999997</v>
      </c>
      <c r="X917" s="14">
        <v>2.6</v>
      </c>
      <c r="Y917" s="18">
        <f t="shared" si="155"/>
        <v>51.3</v>
      </c>
      <c r="Z917" s="18" t="str">
        <f t="shared" si="156"/>
        <v>Medium</v>
      </c>
      <c r="AA917" s="19" t="str">
        <f t="shared" si="157"/>
        <v>Not Eligible</v>
      </c>
      <c r="AB917" s="14" t="s">
        <v>77</v>
      </c>
      <c r="AC917" s="14">
        <v>1</v>
      </c>
      <c r="AD917" s="14" t="s">
        <v>194</v>
      </c>
      <c r="AE917" s="17">
        <v>4.5</v>
      </c>
      <c r="AF917" s="15">
        <v>0</v>
      </c>
      <c r="AG917" s="20">
        <f t="shared" si="158"/>
        <v>829857</v>
      </c>
      <c r="AH917" s="14">
        <v>0</v>
      </c>
      <c r="AI917" s="14" t="s">
        <v>75</v>
      </c>
      <c r="AJ917" s="14">
        <v>48</v>
      </c>
      <c r="AK917" s="21">
        <f t="shared" si="159"/>
        <v>0.15500000000000003</v>
      </c>
      <c r="AL917" s="20">
        <f t="shared" si="160"/>
        <v>22123.426321694013</v>
      </c>
      <c r="AM917" s="22">
        <f t="shared" si="161"/>
        <v>0.94924185733204636</v>
      </c>
      <c r="AN917" s="20">
        <f t="shared" si="162"/>
        <v>30747.096321694014</v>
      </c>
      <c r="AO917" s="16">
        <f t="shared" si="163"/>
        <v>0.44461293434932547</v>
      </c>
      <c r="AP917" s="15">
        <v>0</v>
      </c>
      <c r="AQ917" s="18" t="str">
        <f t="shared" si="164"/>
        <v>N/A</v>
      </c>
      <c r="AR917" s="23">
        <v>46003</v>
      </c>
      <c r="AS917" s="14" t="s">
        <v>79</v>
      </c>
    </row>
    <row r="918" spans="1:45" x14ac:dyDescent="0.25">
      <c r="A918" s="14" t="s">
        <v>2892</v>
      </c>
      <c r="B918" s="14" t="s">
        <v>185</v>
      </c>
      <c r="C918" s="14">
        <v>9372653510</v>
      </c>
      <c r="D918" s="15" t="s">
        <v>2917</v>
      </c>
      <c r="E918" s="14">
        <v>31</v>
      </c>
      <c r="F918" s="14" t="s">
        <v>71</v>
      </c>
      <c r="G918" s="14" t="s">
        <v>417</v>
      </c>
      <c r="H918" s="14" t="s">
        <v>103</v>
      </c>
      <c r="I918" s="14" t="s">
        <v>74</v>
      </c>
      <c r="J918" s="15">
        <v>2227242</v>
      </c>
      <c r="K918" s="14">
        <v>1</v>
      </c>
      <c r="L918" s="14" t="s">
        <v>76</v>
      </c>
      <c r="M918" s="14" t="s">
        <v>75</v>
      </c>
      <c r="N918" s="14" t="s">
        <v>75</v>
      </c>
      <c r="O918" s="14" t="s">
        <v>75</v>
      </c>
      <c r="P918" s="14">
        <v>487</v>
      </c>
      <c r="Q918" s="15">
        <v>618658</v>
      </c>
      <c r="R918" s="15">
        <v>9746.41</v>
      </c>
      <c r="S918" s="14" t="s">
        <v>21</v>
      </c>
      <c r="T918" s="15">
        <v>589944</v>
      </c>
      <c r="U918" s="16">
        <f t="shared" si="154"/>
        <v>5.2511994655273203E-2</v>
      </c>
      <c r="V918" s="14">
        <v>0</v>
      </c>
      <c r="W918" s="17">
        <v>41.6</v>
      </c>
      <c r="X918" s="14">
        <v>5.3</v>
      </c>
      <c r="Y918" s="18">
        <f t="shared" si="155"/>
        <v>33.299999999999997</v>
      </c>
      <c r="Z918" s="18" t="str">
        <f t="shared" si="156"/>
        <v>Medium</v>
      </c>
      <c r="AA918" s="19" t="str">
        <f t="shared" si="157"/>
        <v>Not Eligible</v>
      </c>
      <c r="AB918" s="14" t="s">
        <v>85</v>
      </c>
      <c r="AC918" s="14">
        <v>3</v>
      </c>
      <c r="AD918" s="14" t="s">
        <v>78</v>
      </c>
      <c r="AE918" s="17">
        <v>1</v>
      </c>
      <c r="AF918" s="15">
        <v>581329</v>
      </c>
      <c r="AG918" s="20">
        <f t="shared" si="158"/>
        <v>2808571</v>
      </c>
      <c r="AH918" s="14">
        <v>3</v>
      </c>
      <c r="AI918" s="14" t="s">
        <v>75</v>
      </c>
      <c r="AJ918" s="14">
        <v>48</v>
      </c>
      <c r="AK918" s="21">
        <f t="shared" si="159"/>
        <v>0.15500000000000003</v>
      </c>
      <c r="AL918" s="20">
        <f t="shared" si="160"/>
        <v>16568.493995982728</v>
      </c>
      <c r="AM918" s="22">
        <f t="shared" si="161"/>
        <v>0.26487647054069563</v>
      </c>
      <c r="AN918" s="20">
        <f t="shared" si="162"/>
        <v>26314.903995982728</v>
      </c>
      <c r="AO918" s="16">
        <f t="shared" si="163"/>
        <v>0.14178021425233214</v>
      </c>
      <c r="AP918" s="15">
        <v>0</v>
      </c>
      <c r="AQ918" s="18" t="str">
        <f t="shared" si="164"/>
        <v>N/A</v>
      </c>
      <c r="AR918" s="23">
        <v>46125</v>
      </c>
      <c r="AS918" s="14" t="s">
        <v>79</v>
      </c>
    </row>
    <row r="919" spans="1:45" x14ac:dyDescent="0.25">
      <c r="A919" s="14" t="s">
        <v>2895</v>
      </c>
      <c r="B919" s="14" t="s">
        <v>2194</v>
      </c>
      <c r="C919" s="14">
        <v>9936556320</v>
      </c>
      <c r="D919" s="15" t="s">
        <v>2920</v>
      </c>
      <c r="E919" s="14">
        <v>51</v>
      </c>
      <c r="F919" s="14" t="s">
        <v>71</v>
      </c>
      <c r="G919" s="14" t="s">
        <v>215</v>
      </c>
      <c r="H919" s="14" t="s">
        <v>84</v>
      </c>
      <c r="I919" s="14" t="s">
        <v>74</v>
      </c>
      <c r="J919" s="15">
        <v>1102241</v>
      </c>
      <c r="K919" s="14">
        <v>1</v>
      </c>
      <c r="L919" s="14" t="s">
        <v>75</v>
      </c>
      <c r="M919" s="14" t="s">
        <v>76</v>
      </c>
      <c r="N919" s="14" t="s">
        <v>75</v>
      </c>
      <c r="O919" s="14" t="s">
        <v>75</v>
      </c>
      <c r="P919" s="14">
        <v>773</v>
      </c>
      <c r="Q919" s="15">
        <v>606020</v>
      </c>
      <c r="R919" s="15">
        <v>15598.47</v>
      </c>
      <c r="S919" s="14" t="s">
        <v>23</v>
      </c>
      <c r="T919" s="15"/>
      <c r="U919" s="16">
        <f t="shared" si="154"/>
        <v>0.16981915933085412</v>
      </c>
      <c r="V919" s="14">
        <v>1</v>
      </c>
      <c r="W919" s="17">
        <v>37.1</v>
      </c>
      <c r="X919" s="14">
        <v>6.2</v>
      </c>
      <c r="Y919" s="18">
        <f t="shared" si="155"/>
        <v>21.3</v>
      </c>
      <c r="Z919" s="18" t="str">
        <f t="shared" si="156"/>
        <v>Low</v>
      </c>
      <c r="AA919" s="19" t="str">
        <f t="shared" si="157"/>
        <v>Eligible</v>
      </c>
      <c r="AB919" s="14" t="s">
        <v>77</v>
      </c>
      <c r="AC919" s="14">
        <v>1</v>
      </c>
      <c r="AD919" s="14" t="s">
        <v>93</v>
      </c>
      <c r="AE919" s="17">
        <v>26</v>
      </c>
      <c r="AF919" s="15">
        <v>0</v>
      </c>
      <c r="AG919" s="20">
        <f t="shared" si="158"/>
        <v>1102241</v>
      </c>
      <c r="AH919" s="14">
        <v>2</v>
      </c>
      <c r="AI919" s="14" t="s">
        <v>75</v>
      </c>
      <c r="AJ919" s="14">
        <v>360</v>
      </c>
      <c r="AK919" s="21">
        <f t="shared" si="159"/>
        <v>8.5000000000000006E-2</v>
      </c>
      <c r="AL919" s="20">
        <f t="shared" si="160"/>
        <v>0</v>
      </c>
      <c r="AM919" s="22">
        <f t="shared" si="161"/>
        <v>0</v>
      </c>
      <c r="AN919" s="20">
        <f t="shared" si="162"/>
        <v>15598.47</v>
      </c>
      <c r="AO919" s="16">
        <f t="shared" si="163"/>
        <v>0.16981915933085412</v>
      </c>
      <c r="AP919" s="15">
        <v>5269397</v>
      </c>
      <c r="AQ919" s="18">
        <f t="shared" si="164"/>
        <v>0</v>
      </c>
      <c r="AR919" s="23">
        <v>46010</v>
      </c>
      <c r="AS919" s="14" t="s">
        <v>79</v>
      </c>
    </row>
    <row r="920" spans="1:45" x14ac:dyDescent="0.25">
      <c r="A920" s="14" t="s">
        <v>2897</v>
      </c>
      <c r="B920" s="14" t="s">
        <v>2898</v>
      </c>
      <c r="C920" s="14">
        <v>9886708679</v>
      </c>
      <c r="D920" s="15" t="s">
        <v>2923</v>
      </c>
      <c r="E920" s="14">
        <v>29</v>
      </c>
      <c r="F920" s="14" t="s">
        <v>89</v>
      </c>
      <c r="G920" s="14" t="s">
        <v>115</v>
      </c>
      <c r="H920" s="14" t="s">
        <v>99</v>
      </c>
      <c r="I920" s="14" t="s">
        <v>74</v>
      </c>
      <c r="J920" s="15">
        <v>512083</v>
      </c>
      <c r="K920" s="14">
        <v>1</v>
      </c>
      <c r="L920" s="14" t="s">
        <v>75</v>
      </c>
      <c r="M920" s="14" t="s">
        <v>75</v>
      </c>
      <c r="N920" s="14" t="s">
        <v>75</v>
      </c>
      <c r="O920" s="14" t="s">
        <v>76</v>
      </c>
      <c r="P920" s="14">
        <v>367</v>
      </c>
      <c r="Q920" s="15">
        <v>945538.77</v>
      </c>
      <c r="R920" s="15">
        <v>3785.95</v>
      </c>
      <c r="S920" s="14" t="s">
        <v>23</v>
      </c>
      <c r="T920" s="15">
        <v>631815</v>
      </c>
      <c r="U920" s="16">
        <f t="shared" si="154"/>
        <v>8.8718820972381415E-2</v>
      </c>
      <c r="V920" s="14">
        <v>1</v>
      </c>
      <c r="W920" s="17">
        <v>17.100000000000001</v>
      </c>
      <c r="X920" s="14">
        <v>13.2</v>
      </c>
      <c r="Y920" s="18">
        <f t="shared" si="155"/>
        <v>43.9</v>
      </c>
      <c r="Z920" s="18" t="str">
        <f t="shared" si="156"/>
        <v>Medium</v>
      </c>
      <c r="AA920" s="19" t="str">
        <f t="shared" si="157"/>
        <v>Not Eligible</v>
      </c>
      <c r="AB920" s="14" t="s">
        <v>85</v>
      </c>
      <c r="AC920" s="14">
        <v>2</v>
      </c>
      <c r="AD920" s="14" t="s">
        <v>194</v>
      </c>
      <c r="AE920" s="17">
        <v>6.7</v>
      </c>
      <c r="AF920" s="15">
        <v>346274</v>
      </c>
      <c r="AG920" s="20">
        <f t="shared" si="158"/>
        <v>858357</v>
      </c>
      <c r="AH920" s="14">
        <v>0</v>
      </c>
      <c r="AI920" s="14" t="s">
        <v>75</v>
      </c>
      <c r="AJ920" s="14">
        <v>300</v>
      </c>
      <c r="AK920" s="21">
        <f t="shared" si="159"/>
        <v>0.1</v>
      </c>
      <c r="AL920" s="20">
        <f t="shared" si="160"/>
        <v>5741.3076154339333</v>
      </c>
      <c r="AM920" s="22">
        <f t="shared" si="161"/>
        <v>1.2338136591138547</v>
      </c>
      <c r="AN920" s="20">
        <f t="shared" si="162"/>
        <v>9527.2576154339331</v>
      </c>
      <c r="AO920" s="16">
        <f t="shared" si="163"/>
        <v>0.22325890799969381</v>
      </c>
      <c r="AP920" s="15">
        <v>4592177</v>
      </c>
      <c r="AQ920" s="18">
        <f t="shared" si="164"/>
        <v>0.13758507130713821</v>
      </c>
      <c r="AR920" s="23">
        <v>46013</v>
      </c>
      <c r="AS920" s="14" t="s">
        <v>79</v>
      </c>
    </row>
    <row r="921" spans="1:45" x14ac:dyDescent="0.25">
      <c r="A921" s="14" t="s">
        <v>2900</v>
      </c>
      <c r="B921" s="14" t="s">
        <v>2510</v>
      </c>
      <c r="C921" s="14"/>
      <c r="D921" s="15" t="s">
        <v>2925</v>
      </c>
      <c r="E921" s="14">
        <v>61</v>
      </c>
      <c r="F921" s="14" t="s">
        <v>71</v>
      </c>
      <c r="G921" s="14" t="s">
        <v>139</v>
      </c>
      <c r="H921" s="14" t="s">
        <v>103</v>
      </c>
      <c r="I921" s="14" t="s">
        <v>74</v>
      </c>
      <c r="J921" s="15">
        <v>922050</v>
      </c>
      <c r="K921" s="14">
        <v>2</v>
      </c>
      <c r="L921" s="14" t="s">
        <v>76</v>
      </c>
      <c r="M921" s="14" t="s">
        <v>76</v>
      </c>
      <c r="N921" s="14" t="s">
        <v>75</v>
      </c>
      <c r="O921" s="14" t="s">
        <v>75</v>
      </c>
      <c r="P921" s="14">
        <v>488</v>
      </c>
      <c r="Q921" s="15">
        <v>513562</v>
      </c>
      <c r="R921" s="15">
        <v>12254.68</v>
      </c>
      <c r="S921" s="14" t="s">
        <v>22</v>
      </c>
      <c r="T921" s="15">
        <v>372966</v>
      </c>
      <c r="U921" s="16">
        <f t="shared" si="154"/>
        <v>0.15948827070115504</v>
      </c>
      <c r="V921" s="14">
        <v>0</v>
      </c>
      <c r="W921" s="17">
        <v>96.2</v>
      </c>
      <c r="X921" s="14">
        <v>5.0999999999999996</v>
      </c>
      <c r="Y921" s="18">
        <f t="shared" si="155"/>
        <v>41.9</v>
      </c>
      <c r="Z921" s="18" t="str">
        <f t="shared" si="156"/>
        <v>Medium</v>
      </c>
      <c r="AA921" s="19" t="str">
        <f t="shared" si="157"/>
        <v>Not Eligible</v>
      </c>
      <c r="AB921" s="14" t="s">
        <v>85</v>
      </c>
      <c r="AC921" s="14">
        <v>2</v>
      </c>
      <c r="AD921" s="14" t="s">
        <v>93</v>
      </c>
      <c r="AE921" s="17">
        <v>19.100000000000001</v>
      </c>
      <c r="AF921" s="15">
        <v>0</v>
      </c>
      <c r="AG921" s="20">
        <f t="shared" si="158"/>
        <v>922050</v>
      </c>
      <c r="AH921" s="14">
        <v>0</v>
      </c>
      <c r="AI921" s="14" t="s">
        <v>75</v>
      </c>
      <c r="AJ921" s="14">
        <v>36</v>
      </c>
      <c r="AK921" s="21">
        <f t="shared" si="159"/>
        <v>0.105</v>
      </c>
      <c r="AL921" s="20">
        <f t="shared" si="160"/>
        <v>12122.306344169067</v>
      </c>
      <c r="AM921" s="22">
        <f t="shared" si="161"/>
        <v>0.40449650235887424</v>
      </c>
      <c r="AN921" s="20">
        <f t="shared" si="162"/>
        <v>24376.986344169069</v>
      </c>
      <c r="AO921" s="16">
        <f t="shared" si="163"/>
        <v>0.31725376729030835</v>
      </c>
      <c r="AP921" s="15">
        <v>479016</v>
      </c>
      <c r="AQ921" s="18">
        <f t="shared" si="164"/>
        <v>0.77860864772784211</v>
      </c>
      <c r="AR921" s="23">
        <v>46063</v>
      </c>
      <c r="AS921" s="14" t="s">
        <v>79</v>
      </c>
    </row>
    <row r="922" spans="1:45" x14ac:dyDescent="0.25">
      <c r="A922" s="14" t="s">
        <v>2902</v>
      </c>
      <c r="B922" s="14" t="s">
        <v>1661</v>
      </c>
      <c r="C922" s="14">
        <v>9748175471</v>
      </c>
      <c r="D922" s="15" t="s">
        <v>2927</v>
      </c>
      <c r="E922" s="14">
        <v>31</v>
      </c>
      <c r="F922" s="14" t="s">
        <v>71</v>
      </c>
      <c r="G922" s="14" t="s">
        <v>83</v>
      </c>
      <c r="H922" s="14" t="s">
        <v>91</v>
      </c>
      <c r="I922" s="14" t="s">
        <v>92</v>
      </c>
      <c r="J922" s="15">
        <v>1654936</v>
      </c>
      <c r="K922" s="14">
        <v>0</v>
      </c>
      <c r="L922" s="14" t="s">
        <v>75</v>
      </c>
      <c r="M922" s="14" t="s">
        <v>75</v>
      </c>
      <c r="N922" s="14" t="s">
        <v>75</v>
      </c>
      <c r="O922" s="14" t="s">
        <v>75</v>
      </c>
      <c r="P922" s="14">
        <v>788</v>
      </c>
      <c r="Q922" s="15"/>
      <c r="R922" s="15">
        <v>7761.17</v>
      </c>
      <c r="S922" s="14" t="s">
        <v>22</v>
      </c>
      <c r="T922" s="15">
        <v>1483420</v>
      </c>
      <c r="U922" s="16">
        <f t="shared" si="154"/>
        <v>5.6276520663034707E-2</v>
      </c>
      <c r="V922" s="14">
        <v>4</v>
      </c>
      <c r="W922" s="17">
        <v>6.9</v>
      </c>
      <c r="X922" s="14">
        <v>2.7</v>
      </c>
      <c r="Y922" s="18">
        <f t="shared" si="155"/>
        <v>25.8</v>
      </c>
      <c r="Z922" s="18" t="str">
        <f t="shared" si="156"/>
        <v>Low</v>
      </c>
      <c r="AA922" s="19" t="str">
        <f t="shared" si="157"/>
        <v>Review</v>
      </c>
      <c r="AB922" s="14" t="s">
        <v>85</v>
      </c>
      <c r="AC922" s="14">
        <v>3</v>
      </c>
      <c r="AD922" s="14" t="s">
        <v>93</v>
      </c>
      <c r="AE922" s="17">
        <v>4.8</v>
      </c>
      <c r="AF922" s="15">
        <v>0</v>
      </c>
      <c r="AG922" s="20">
        <f t="shared" si="158"/>
        <v>1654936</v>
      </c>
      <c r="AH922" s="14">
        <v>0</v>
      </c>
      <c r="AI922" s="14" t="s">
        <v>75</v>
      </c>
      <c r="AJ922" s="14">
        <v>84</v>
      </c>
      <c r="AK922" s="21">
        <f t="shared" si="159"/>
        <v>0.09</v>
      </c>
      <c r="AL922" s="20">
        <f t="shared" si="160"/>
        <v>23866.860472506385</v>
      </c>
      <c r="AM922" s="22">
        <f t="shared" si="161"/>
        <v>0.89636094688858059</v>
      </c>
      <c r="AN922" s="20">
        <f t="shared" si="162"/>
        <v>31628.030472506383</v>
      </c>
      <c r="AO922" s="16">
        <f t="shared" si="163"/>
        <v>0.22933597774782624</v>
      </c>
      <c r="AP922" s="15">
        <v>897096</v>
      </c>
      <c r="AQ922" s="18">
        <f t="shared" si="164"/>
        <v>1.653579995897875</v>
      </c>
      <c r="AR922" s="23">
        <v>46204</v>
      </c>
      <c r="AS922" s="14" t="s">
        <v>79</v>
      </c>
    </row>
    <row r="923" spans="1:45" x14ac:dyDescent="0.25">
      <c r="A923" s="14" t="s">
        <v>2903</v>
      </c>
      <c r="B923" s="14" t="s">
        <v>2649</v>
      </c>
      <c r="C923" s="14">
        <v>9492391386</v>
      </c>
      <c r="D923" s="15" t="s">
        <v>2929</v>
      </c>
      <c r="E923" s="14">
        <v>48</v>
      </c>
      <c r="F923" s="14" t="s">
        <v>89</v>
      </c>
      <c r="G923" s="14" t="s">
        <v>417</v>
      </c>
      <c r="H923" s="14" t="s">
        <v>99</v>
      </c>
      <c r="I923" s="14" t="s">
        <v>74</v>
      </c>
      <c r="J923" s="15">
        <v>583340</v>
      </c>
      <c r="K923" s="14">
        <v>0</v>
      </c>
      <c r="L923" s="14" t="s">
        <v>75</v>
      </c>
      <c r="M923" s="14" t="s">
        <v>75</v>
      </c>
      <c r="N923" s="14" t="s">
        <v>75</v>
      </c>
      <c r="O923" s="14" t="s">
        <v>75</v>
      </c>
      <c r="P923" s="14">
        <v>800</v>
      </c>
      <c r="Q923" s="15">
        <v>23538</v>
      </c>
      <c r="R923" s="15">
        <v>246.6</v>
      </c>
      <c r="S923" s="14" t="s">
        <v>22</v>
      </c>
      <c r="T923" s="15">
        <v>416466</v>
      </c>
      <c r="U923" s="16">
        <f t="shared" si="154"/>
        <v>5.0728563102135976E-3</v>
      </c>
      <c r="V923" s="14">
        <v>0</v>
      </c>
      <c r="W923" s="17">
        <v>94.1</v>
      </c>
      <c r="X923" s="14">
        <v>10.8</v>
      </c>
      <c r="Y923" s="18">
        <f t="shared" si="155"/>
        <v>16.2</v>
      </c>
      <c r="Z923" s="18" t="str">
        <f t="shared" si="156"/>
        <v>Low</v>
      </c>
      <c r="AA923" s="19" t="str">
        <f t="shared" si="157"/>
        <v>Eligible</v>
      </c>
      <c r="AB923" s="14" t="s">
        <v>85</v>
      </c>
      <c r="AC923" s="14">
        <v>2</v>
      </c>
      <c r="AD923" s="14" t="s">
        <v>78</v>
      </c>
      <c r="AE923" s="17">
        <v>16.8</v>
      </c>
      <c r="AF923" s="15">
        <v>0</v>
      </c>
      <c r="AG923" s="20">
        <f t="shared" si="158"/>
        <v>583340</v>
      </c>
      <c r="AH923" s="14">
        <v>1</v>
      </c>
      <c r="AI923" s="14" t="s">
        <v>75</v>
      </c>
      <c r="AJ923" s="14">
        <v>84</v>
      </c>
      <c r="AK923" s="21">
        <f t="shared" si="159"/>
        <v>0.09</v>
      </c>
      <c r="AL923" s="20">
        <f t="shared" si="160"/>
        <v>6700.5540666452143</v>
      </c>
      <c r="AM923" s="22">
        <f t="shared" si="161"/>
        <v>0.71393355504508516</v>
      </c>
      <c r="AN923" s="20">
        <f t="shared" si="162"/>
        <v>6947.1540666452147</v>
      </c>
      <c r="AO923" s="16">
        <f t="shared" si="163"/>
        <v>0.14291125038526858</v>
      </c>
      <c r="AP923" s="15">
        <v>1099181</v>
      </c>
      <c r="AQ923" s="18">
        <f t="shared" si="164"/>
        <v>0.37888755355123499</v>
      </c>
      <c r="AR923" s="23">
        <v>46081</v>
      </c>
      <c r="AS923" s="14" t="s">
        <v>79</v>
      </c>
    </row>
    <row r="924" spans="1:45" x14ac:dyDescent="0.25">
      <c r="A924" s="14" t="s">
        <v>2905</v>
      </c>
      <c r="B924" s="14" t="s">
        <v>1674</v>
      </c>
      <c r="C924" s="14">
        <v>9216249057</v>
      </c>
      <c r="D924" s="15" t="s">
        <v>2932</v>
      </c>
      <c r="E924" s="14">
        <v>40</v>
      </c>
      <c r="F924" s="14" t="s">
        <v>71</v>
      </c>
      <c r="G924" s="14" t="s">
        <v>153</v>
      </c>
      <c r="H924" s="14" t="s">
        <v>166</v>
      </c>
      <c r="I924" s="14" t="s">
        <v>74</v>
      </c>
      <c r="J924" s="15">
        <v>1462562</v>
      </c>
      <c r="K924" s="14">
        <v>2</v>
      </c>
      <c r="L924" s="14" t="s">
        <v>76</v>
      </c>
      <c r="M924" s="14" t="s">
        <v>76</v>
      </c>
      <c r="N924" s="14" t="s">
        <v>75</v>
      </c>
      <c r="O924" s="14" t="s">
        <v>75</v>
      </c>
      <c r="P924" s="14">
        <v>487</v>
      </c>
      <c r="Q924" s="15">
        <v>192395.97</v>
      </c>
      <c r="R924" s="15">
        <v>12398.1</v>
      </c>
      <c r="S924" s="14" t="s">
        <v>22</v>
      </c>
      <c r="T924" s="15">
        <v>1006772</v>
      </c>
      <c r="U924" s="16">
        <f t="shared" si="154"/>
        <v>0.10172368761119188</v>
      </c>
      <c r="V924" s="14">
        <v>1</v>
      </c>
      <c r="W924" s="17">
        <v>58</v>
      </c>
      <c r="X924" s="14">
        <v>3.5</v>
      </c>
      <c r="Y924" s="18">
        <f t="shared" si="155"/>
        <v>40.4</v>
      </c>
      <c r="Z924" s="18" t="str">
        <f t="shared" si="156"/>
        <v>Medium</v>
      </c>
      <c r="AA924" s="19" t="str">
        <f t="shared" si="157"/>
        <v>Not Eligible</v>
      </c>
      <c r="AB924" s="14" t="s">
        <v>85</v>
      </c>
      <c r="AC924" s="14">
        <v>0</v>
      </c>
      <c r="AD924" s="14" t="s">
        <v>93</v>
      </c>
      <c r="AE924" s="17">
        <v>9.9</v>
      </c>
      <c r="AF924" s="15">
        <v>0</v>
      </c>
      <c r="AG924" s="20">
        <f t="shared" si="158"/>
        <v>1462562</v>
      </c>
      <c r="AH924" s="14">
        <v>0</v>
      </c>
      <c r="AI924" s="14" t="s">
        <v>76</v>
      </c>
      <c r="AJ924" s="14">
        <v>36</v>
      </c>
      <c r="AK924" s="21">
        <f t="shared" si="159"/>
        <v>0.105</v>
      </c>
      <c r="AL924" s="20">
        <f t="shared" si="160"/>
        <v>32722.550052100669</v>
      </c>
      <c r="AM924" s="22">
        <f t="shared" si="161"/>
        <v>0.68836192927205819</v>
      </c>
      <c r="AN924" s="20">
        <f t="shared" si="162"/>
        <v>45120.650052100667</v>
      </c>
      <c r="AO924" s="16">
        <f t="shared" si="163"/>
        <v>0.37020502421450036</v>
      </c>
      <c r="AP924" s="15">
        <v>736215</v>
      </c>
      <c r="AQ924" s="18">
        <f t="shared" si="164"/>
        <v>1.3674972664235312</v>
      </c>
      <c r="AR924" s="23">
        <v>46022</v>
      </c>
      <c r="AS924" s="14" t="s">
        <v>79</v>
      </c>
    </row>
    <row r="925" spans="1:45" x14ac:dyDescent="0.25">
      <c r="A925" s="14" t="s">
        <v>2907</v>
      </c>
      <c r="B925" s="14" t="s">
        <v>2908</v>
      </c>
      <c r="C925" s="14"/>
      <c r="D925" s="15" t="s">
        <v>2935</v>
      </c>
      <c r="E925" s="14">
        <v>35</v>
      </c>
      <c r="F925" s="14" t="s">
        <v>89</v>
      </c>
      <c r="G925" s="14" t="s">
        <v>143</v>
      </c>
      <c r="H925" s="14" t="s">
        <v>73</v>
      </c>
      <c r="I925" s="14" t="s">
        <v>74</v>
      </c>
      <c r="J925" s="15">
        <v>1049578</v>
      </c>
      <c r="K925" s="14">
        <v>2</v>
      </c>
      <c r="L925" s="14" t="s">
        <v>76</v>
      </c>
      <c r="M925" s="14" t="s">
        <v>75</v>
      </c>
      <c r="N925" s="14" t="s">
        <v>75</v>
      </c>
      <c r="O925" s="14" t="s">
        <v>76</v>
      </c>
      <c r="P925" s="14">
        <v>883</v>
      </c>
      <c r="Q925" s="15"/>
      <c r="R925" s="15">
        <v>14136.07</v>
      </c>
      <c r="S925" s="14" t="s">
        <v>23</v>
      </c>
      <c r="T925" s="15">
        <v>35680</v>
      </c>
      <c r="U925" s="16">
        <f t="shared" si="154"/>
        <v>0.1616200415786154</v>
      </c>
      <c r="V925" s="14">
        <v>0</v>
      </c>
      <c r="W925" s="17">
        <v>26.9</v>
      </c>
      <c r="X925" s="14">
        <v>0.9</v>
      </c>
      <c r="Y925" s="18">
        <f t="shared" si="155"/>
        <v>8.6999999999999993</v>
      </c>
      <c r="Z925" s="18" t="str">
        <f t="shared" si="156"/>
        <v>Low</v>
      </c>
      <c r="AA925" s="19" t="str">
        <f t="shared" si="157"/>
        <v>Eligible</v>
      </c>
      <c r="AB925" s="14" t="s">
        <v>77</v>
      </c>
      <c r="AC925" s="14">
        <v>1</v>
      </c>
      <c r="AD925" s="14" t="s">
        <v>78</v>
      </c>
      <c r="AE925" s="17">
        <v>11.6</v>
      </c>
      <c r="AF925" s="15">
        <v>764140</v>
      </c>
      <c r="AG925" s="20">
        <f t="shared" si="158"/>
        <v>1813718</v>
      </c>
      <c r="AH925" s="14">
        <v>0</v>
      </c>
      <c r="AI925" s="14" t="s">
        <v>75</v>
      </c>
      <c r="AJ925" s="14">
        <v>240</v>
      </c>
      <c r="AK925" s="21">
        <f t="shared" si="159"/>
        <v>8.5000000000000006E-2</v>
      </c>
      <c r="AL925" s="20">
        <f t="shared" si="160"/>
        <v>309.63932966482247</v>
      </c>
      <c r="AM925" s="22">
        <f t="shared" si="161"/>
        <v>3.3994614978591395E-2</v>
      </c>
      <c r="AN925" s="20">
        <f t="shared" si="162"/>
        <v>14445.709329664822</v>
      </c>
      <c r="AO925" s="16">
        <f t="shared" si="163"/>
        <v>0.16516019958114389</v>
      </c>
      <c r="AP925" s="15">
        <v>3470846</v>
      </c>
      <c r="AQ925" s="18">
        <f t="shared" si="164"/>
        <v>1.0279914464657897E-2</v>
      </c>
      <c r="AR925" s="23">
        <v>46150</v>
      </c>
      <c r="AS925" s="14" t="s">
        <v>79</v>
      </c>
    </row>
    <row r="926" spans="1:45" x14ac:dyDescent="0.25">
      <c r="A926" s="14" t="s">
        <v>2910</v>
      </c>
      <c r="B926" s="14" t="s">
        <v>2911</v>
      </c>
      <c r="C926" s="14">
        <v>9516059856</v>
      </c>
      <c r="D926" s="15" t="s">
        <v>2938</v>
      </c>
      <c r="E926" s="14">
        <v>38</v>
      </c>
      <c r="F926" s="14" t="s">
        <v>71</v>
      </c>
      <c r="G926" s="14" t="s">
        <v>72</v>
      </c>
      <c r="H926" s="14" t="s">
        <v>84</v>
      </c>
      <c r="I926" s="14" t="s">
        <v>74</v>
      </c>
      <c r="J926" s="15">
        <v>1729791</v>
      </c>
      <c r="K926" s="14">
        <v>3</v>
      </c>
      <c r="L926" s="14" t="s">
        <v>76</v>
      </c>
      <c r="M926" s="14" t="s">
        <v>76</v>
      </c>
      <c r="N926" s="14" t="s">
        <v>75</v>
      </c>
      <c r="O926" s="14" t="s">
        <v>76</v>
      </c>
      <c r="P926" s="14">
        <v>681</v>
      </c>
      <c r="Q926" s="15">
        <v>335387</v>
      </c>
      <c r="R926" s="15">
        <v>44413.3</v>
      </c>
      <c r="S926" s="14" t="s">
        <v>22</v>
      </c>
      <c r="T926" s="15">
        <v>1967134</v>
      </c>
      <c r="U926" s="16">
        <f t="shared" si="154"/>
        <v>0.30810635504520495</v>
      </c>
      <c r="V926" s="14">
        <v>1</v>
      </c>
      <c r="W926" s="17">
        <v>82.2</v>
      </c>
      <c r="X926" s="14">
        <v>14.1</v>
      </c>
      <c r="Y926" s="18">
        <f t="shared" si="155"/>
        <v>36.1</v>
      </c>
      <c r="Z926" s="18" t="str">
        <f t="shared" si="156"/>
        <v>Medium</v>
      </c>
      <c r="AA926" s="19" t="str">
        <f t="shared" si="157"/>
        <v>Eligible</v>
      </c>
      <c r="AB926" s="14" t="s">
        <v>77</v>
      </c>
      <c r="AC926" s="14">
        <v>0</v>
      </c>
      <c r="AD926" s="14" t="s">
        <v>78</v>
      </c>
      <c r="AE926" s="17">
        <v>4.5</v>
      </c>
      <c r="AF926" s="15">
        <v>0</v>
      </c>
      <c r="AG926" s="20">
        <f t="shared" si="158"/>
        <v>1729791</v>
      </c>
      <c r="AH926" s="14">
        <v>3</v>
      </c>
      <c r="AI926" s="14" t="s">
        <v>75</v>
      </c>
      <c r="AJ926" s="14">
        <v>24</v>
      </c>
      <c r="AK926" s="21">
        <f t="shared" si="159"/>
        <v>0.105</v>
      </c>
      <c r="AL926" s="20">
        <f t="shared" si="160"/>
        <v>91227.888294223711</v>
      </c>
      <c r="AM926" s="22">
        <f t="shared" si="161"/>
        <v>1.1372090616727686</v>
      </c>
      <c r="AN926" s="20">
        <f t="shared" si="162"/>
        <v>135641.18829422371</v>
      </c>
      <c r="AO926" s="16">
        <f t="shared" si="163"/>
        <v>0.94097741260688972</v>
      </c>
      <c r="AP926" s="15">
        <v>882152</v>
      </c>
      <c r="AQ926" s="18">
        <f t="shared" si="164"/>
        <v>2.2299263618968159</v>
      </c>
      <c r="AR926" s="23">
        <v>46009</v>
      </c>
      <c r="AS926" s="14" t="s">
        <v>79</v>
      </c>
    </row>
    <row r="927" spans="1:45" x14ac:dyDescent="0.25">
      <c r="A927" s="14" t="s">
        <v>2914</v>
      </c>
      <c r="B927" s="14" t="s">
        <v>2915</v>
      </c>
      <c r="C927" s="14">
        <v>9890895511</v>
      </c>
      <c r="D927" s="15" t="s">
        <v>2940</v>
      </c>
      <c r="E927" s="14">
        <v>60</v>
      </c>
      <c r="F927" s="14" t="s">
        <v>89</v>
      </c>
      <c r="G927" s="14" t="s">
        <v>139</v>
      </c>
      <c r="H927" s="14" t="s">
        <v>103</v>
      </c>
      <c r="I927" s="14" t="s">
        <v>74</v>
      </c>
      <c r="J927" s="15">
        <v>2385459</v>
      </c>
      <c r="K927" s="14">
        <v>1</v>
      </c>
      <c r="L927" s="14" t="s">
        <v>75</v>
      </c>
      <c r="M927" s="14" t="s">
        <v>75</v>
      </c>
      <c r="N927" s="14" t="s">
        <v>75</v>
      </c>
      <c r="O927" s="14" t="s">
        <v>76</v>
      </c>
      <c r="P927" s="14">
        <v>701</v>
      </c>
      <c r="Q927" s="15">
        <v>873272.73</v>
      </c>
      <c r="R927" s="15">
        <v>23794.55</v>
      </c>
      <c r="S927" s="14" t="s">
        <v>21</v>
      </c>
      <c r="T927" s="15">
        <v>561491</v>
      </c>
      <c r="U927" s="16">
        <f t="shared" si="154"/>
        <v>0.11969797007619916</v>
      </c>
      <c r="V927" s="14">
        <v>1</v>
      </c>
      <c r="W927" s="17">
        <v>17.5</v>
      </c>
      <c r="X927" s="14">
        <v>4.3</v>
      </c>
      <c r="Y927" s="18">
        <f t="shared" si="155"/>
        <v>22.6</v>
      </c>
      <c r="Z927" s="18" t="str">
        <f t="shared" si="156"/>
        <v>Low</v>
      </c>
      <c r="AA927" s="19" t="str">
        <f t="shared" si="157"/>
        <v>Eligible</v>
      </c>
      <c r="AB927" s="14" t="s">
        <v>85</v>
      </c>
      <c r="AC927" s="14">
        <v>3</v>
      </c>
      <c r="AD927" s="14" t="s">
        <v>78</v>
      </c>
      <c r="AE927" s="17">
        <v>22.4</v>
      </c>
      <c r="AF927" s="15">
        <v>789056</v>
      </c>
      <c r="AG927" s="20">
        <f t="shared" si="158"/>
        <v>3174515</v>
      </c>
      <c r="AH927" s="14">
        <v>1</v>
      </c>
      <c r="AI927" s="14" t="s">
        <v>75</v>
      </c>
      <c r="AJ927" s="14">
        <v>36</v>
      </c>
      <c r="AK927" s="21">
        <f t="shared" si="159"/>
        <v>0.14000000000000001</v>
      </c>
      <c r="AL927" s="20">
        <f t="shared" si="160"/>
        <v>19190.431510463561</v>
      </c>
      <c r="AM927" s="22">
        <f t="shared" si="161"/>
        <v>0.23538069612598667</v>
      </c>
      <c r="AN927" s="20">
        <f t="shared" si="162"/>
        <v>42984.981510463564</v>
      </c>
      <c r="AO927" s="16">
        <f t="shared" si="163"/>
        <v>0.21623502148876286</v>
      </c>
      <c r="AP927" s="15">
        <v>0</v>
      </c>
      <c r="AQ927" s="18" t="str">
        <f t="shared" si="164"/>
        <v>N/A</v>
      </c>
      <c r="AR927" s="23">
        <v>46116</v>
      </c>
      <c r="AS927" s="14" t="s">
        <v>79</v>
      </c>
    </row>
    <row r="928" spans="1:45" x14ac:dyDescent="0.25">
      <c r="A928" s="14" t="s">
        <v>2918</v>
      </c>
      <c r="B928" s="14" t="s">
        <v>2919</v>
      </c>
      <c r="C928" s="14">
        <v>9402632200</v>
      </c>
      <c r="D928" s="15" t="s">
        <v>2942</v>
      </c>
      <c r="E928" s="14">
        <v>48</v>
      </c>
      <c r="F928" s="14" t="s">
        <v>71</v>
      </c>
      <c r="G928" s="14" t="s">
        <v>226</v>
      </c>
      <c r="H928" s="14" t="s">
        <v>166</v>
      </c>
      <c r="I928" s="14" t="s">
        <v>74</v>
      </c>
      <c r="J928" s="15">
        <v>1512832</v>
      </c>
      <c r="K928" s="14">
        <v>1</v>
      </c>
      <c r="L928" s="14" t="s">
        <v>76</v>
      </c>
      <c r="M928" s="14" t="s">
        <v>75</v>
      </c>
      <c r="N928" s="14" t="s">
        <v>75</v>
      </c>
      <c r="O928" s="14" t="s">
        <v>75</v>
      </c>
      <c r="P928" s="14">
        <v>667</v>
      </c>
      <c r="Q928" s="15">
        <v>603325.31999999995</v>
      </c>
      <c r="R928" s="15">
        <v>15947.91</v>
      </c>
      <c r="S928" s="14" t="s">
        <v>23</v>
      </c>
      <c r="T928" s="15"/>
      <c r="U928" s="16">
        <f t="shared" si="154"/>
        <v>0.12650110521194685</v>
      </c>
      <c r="V928" s="14">
        <v>4</v>
      </c>
      <c r="W928" s="17">
        <v>34.1</v>
      </c>
      <c r="X928" s="14">
        <v>10.4</v>
      </c>
      <c r="Y928" s="18">
        <f t="shared" si="155"/>
        <v>38.700000000000003</v>
      </c>
      <c r="Z928" s="18" t="str">
        <f t="shared" si="156"/>
        <v>Medium</v>
      </c>
      <c r="AA928" s="19" t="str">
        <f t="shared" si="157"/>
        <v>Review</v>
      </c>
      <c r="AB928" s="14" t="s">
        <v>77</v>
      </c>
      <c r="AC928" s="14">
        <v>1</v>
      </c>
      <c r="AD928" s="14" t="s">
        <v>194</v>
      </c>
      <c r="AE928" s="17">
        <v>13.8</v>
      </c>
      <c r="AF928" s="15">
        <v>0</v>
      </c>
      <c r="AG928" s="20">
        <f t="shared" si="158"/>
        <v>1512832</v>
      </c>
      <c r="AH928" s="14">
        <v>1</v>
      </c>
      <c r="AI928" s="14" t="s">
        <v>75</v>
      </c>
      <c r="AJ928" s="14">
        <v>120</v>
      </c>
      <c r="AK928" s="21">
        <f t="shared" si="159"/>
        <v>0.1</v>
      </c>
      <c r="AL928" s="20">
        <f t="shared" si="160"/>
        <v>0</v>
      </c>
      <c r="AM928" s="22">
        <f t="shared" si="161"/>
        <v>0</v>
      </c>
      <c r="AN928" s="20">
        <f t="shared" si="162"/>
        <v>15947.91</v>
      </c>
      <c r="AO928" s="16">
        <f t="shared" si="163"/>
        <v>0.12650110521194685</v>
      </c>
      <c r="AP928" s="15">
        <v>7397046</v>
      </c>
      <c r="AQ928" s="18">
        <f t="shared" si="164"/>
        <v>0</v>
      </c>
      <c r="AR928" s="23">
        <v>46108</v>
      </c>
      <c r="AS928" s="14" t="s">
        <v>79</v>
      </c>
    </row>
    <row r="929" spans="1:45" x14ac:dyDescent="0.25">
      <c r="A929" s="14" t="s">
        <v>2921</v>
      </c>
      <c r="B929" s="14" t="s">
        <v>124</v>
      </c>
      <c r="C929" s="14"/>
      <c r="D929" s="15" t="s">
        <v>2944</v>
      </c>
      <c r="E929" s="14">
        <v>30</v>
      </c>
      <c r="F929" s="14" t="s">
        <v>89</v>
      </c>
      <c r="G929" s="14" t="s">
        <v>314</v>
      </c>
      <c r="H929" s="14" t="s">
        <v>144</v>
      </c>
      <c r="I929" s="14" t="s">
        <v>92</v>
      </c>
      <c r="J929" s="15">
        <v>2400660</v>
      </c>
      <c r="K929" s="14">
        <v>1</v>
      </c>
      <c r="L929" s="14" t="s">
        <v>75</v>
      </c>
      <c r="M929" s="14" t="s">
        <v>75</v>
      </c>
      <c r="N929" s="14" t="s">
        <v>76</v>
      </c>
      <c r="O929" s="14" t="s">
        <v>75</v>
      </c>
      <c r="P929" s="14">
        <v>700</v>
      </c>
      <c r="Q929" s="15">
        <v>183200</v>
      </c>
      <c r="R929" s="15">
        <v>26264.97</v>
      </c>
      <c r="S929" s="14" t="s">
        <v>21</v>
      </c>
      <c r="T929" s="15">
        <v>819274</v>
      </c>
      <c r="U929" s="16">
        <f t="shared" si="154"/>
        <v>0.1312887455949614</v>
      </c>
      <c r="V929" s="14">
        <v>1</v>
      </c>
      <c r="W929" s="17">
        <v>43.7</v>
      </c>
      <c r="X929" s="14">
        <v>7.7</v>
      </c>
      <c r="Y929" s="18">
        <f t="shared" si="155"/>
        <v>25.6</v>
      </c>
      <c r="Z929" s="18" t="str">
        <f t="shared" si="156"/>
        <v>Low</v>
      </c>
      <c r="AA929" s="19" t="str">
        <f t="shared" si="157"/>
        <v>Eligible</v>
      </c>
      <c r="AB929" s="14" t="s">
        <v>77</v>
      </c>
      <c r="AC929" s="14">
        <v>2</v>
      </c>
      <c r="AD929" s="14" t="s">
        <v>78</v>
      </c>
      <c r="AE929" s="17">
        <v>7.4</v>
      </c>
      <c r="AF929" s="15">
        <v>0</v>
      </c>
      <c r="AG929" s="20">
        <f t="shared" si="158"/>
        <v>2400660</v>
      </c>
      <c r="AH929" s="14">
        <v>0</v>
      </c>
      <c r="AI929" s="14" t="s">
        <v>75</v>
      </c>
      <c r="AJ929" s="14">
        <v>36</v>
      </c>
      <c r="AK929" s="21">
        <f t="shared" si="159"/>
        <v>0.14000000000000001</v>
      </c>
      <c r="AL929" s="20">
        <f t="shared" si="160"/>
        <v>28000.843442376681</v>
      </c>
      <c r="AM929" s="22">
        <f t="shared" si="161"/>
        <v>0.34127031732940111</v>
      </c>
      <c r="AN929" s="20">
        <f t="shared" si="162"/>
        <v>54265.813442376682</v>
      </c>
      <c r="AO929" s="16">
        <f t="shared" si="163"/>
        <v>0.27125447223201959</v>
      </c>
      <c r="AP929" s="15">
        <v>0</v>
      </c>
      <c r="AQ929" s="18" t="str">
        <f t="shared" si="164"/>
        <v>N/A</v>
      </c>
      <c r="AR929" s="23">
        <v>46216</v>
      </c>
      <c r="AS929" s="14" t="s">
        <v>79</v>
      </c>
    </row>
    <row r="930" spans="1:45" x14ac:dyDescent="0.25">
      <c r="A930" s="14" t="s">
        <v>2924</v>
      </c>
      <c r="B930" s="14" t="s">
        <v>785</v>
      </c>
      <c r="C930" s="14">
        <v>9200111799</v>
      </c>
      <c r="D930" s="15" t="s">
        <v>2947</v>
      </c>
      <c r="E930" s="14">
        <v>55</v>
      </c>
      <c r="F930" s="14" t="s">
        <v>71</v>
      </c>
      <c r="G930" s="14" t="s">
        <v>153</v>
      </c>
      <c r="H930" s="14" t="s">
        <v>107</v>
      </c>
      <c r="I930" s="14" t="s">
        <v>92</v>
      </c>
      <c r="J930" s="15">
        <v>1038605</v>
      </c>
      <c r="K930" s="14">
        <v>2</v>
      </c>
      <c r="L930" s="14" t="s">
        <v>76</v>
      </c>
      <c r="M930" s="14" t="s">
        <v>76</v>
      </c>
      <c r="N930" s="14" t="s">
        <v>75</v>
      </c>
      <c r="O930" s="14" t="s">
        <v>75</v>
      </c>
      <c r="P930" s="14">
        <v>460</v>
      </c>
      <c r="Q930" s="15"/>
      <c r="R930" s="15">
        <v>8854.52</v>
      </c>
      <c r="S930" s="14" t="s">
        <v>20</v>
      </c>
      <c r="T930" s="15">
        <v>253273</v>
      </c>
      <c r="U930" s="16">
        <f t="shared" si="154"/>
        <v>0.10230476456400653</v>
      </c>
      <c r="V930" s="14">
        <v>2</v>
      </c>
      <c r="W930" s="17">
        <v>87.2</v>
      </c>
      <c r="X930" s="14">
        <v>6.8</v>
      </c>
      <c r="Y930" s="18">
        <f t="shared" si="155"/>
        <v>49.1</v>
      </c>
      <c r="Z930" s="18" t="str">
        <f t="shared" si="156"/>
        <v>Medium</v>
      </c>
      <c r="AA930" s="19" t="str">
        <f t="shared" si="157"/>
        <v>Not Eligible</v>
      </c>
      <c r="AB930" s="14" t="s">
        <v>77</v>
      </c>
      <c r="AC930" s="14">
        <v>1</v>
      </c>
      <c r="AD930" s="14" t="s">
        <v>78</v>
      </c>
      <c r="AE930" s="17">
        <v>8.6999999999999993</v>
      </c>
      <c r="AF930" s="15">
        <v>0</v>
      </c>
      <c r="AG930" s="20">
        <f t="shared" si="158"/>
        <v>1038605</v>
      </c>
      <c r="AH930" s="14">
        <v>0</v>
      </c>
      <c r="AI930" s="14" t="s">
        <v>75</v>
      </c>
      <c r="AJ930" s="14">
        <v>12</v>
      </c>
      <c r="AK930" s="21">
        <f t="shared" si="159"/>
        <v>0.375</v>
      </c>
      <c r="AL930" s="20">
        <f t="shared" si="160"/>
        <v>25634.564467700395</v>
      </c>
      <c r="AM930" s="22">
        <f t="shared" si="161"/>
        <v>0.24385882987276203</v>
      </c>
      <c r="AN930" s="20">
        <f t="shared" si="162"/>
        <v>34489.084467700392</v>
      </c>
      <c r="AO930" s="16">
        <f t="shared" si="163"/>
        <v>0.39848548159541375</v>
      </c>
      <c r="AP930" s="15">
        <v>0</v>
      </c>
      <c r="AQ930" s="18" t="str">
        <f t="shared" si="164"/>
        <v>N/A</v>
      </c>
      <c r="AR930" s="23">
        <v>46168</v>
      </c>
      <c r="AS930" s="14" t="s">
        <v>79</v>
      </c>
    </row>
    <row r="931" spans="1:45" x14ac:dyDescent="0.25">
      <c r="A931" s="14" t="s">
        <v>2926</v>
      </c>
      <c r="B931" s="14" t="s">
        <v>1996</v>
      </c>
      <c r="C931" s="14">
        <v>9665397101</v>
      </c>
      <c r="D931" s="15" t="s">
        <v>2949</v>
      </c>
      <c r="E931" s="14">
        <v>59</v>
      </c>
      <c r="F931" s="14" t="s">
        <v>89</v>
      </c>
      <c r="G931" s="14" t="s">
        <v>139</v>
      </c>
      <c r="H931" s="14" t="s">
        <v>84</v>
      </c>
      <c r="I931" s="14" t="s">
        <v>74</v>
      </c>
      <c r="J931" s="15">
        <v>1754078</v>
      </c>
      <c r="K931" s="14">
        <v>1</v>
      </c>
      <c r="L931" s="14" t="s">
        <v>75</v>
      </c>
      <c r="M931" s="14" t="s">
        <v>75</v>
      </c>
      <c r="N931" s="14" t="s">
        <v>76</v>
      </c>
      <c r="O931" s="14" t="s">
        <v>75</v>
      </c>
      <c r="P931" s="14">
        <v>381</v>
      </c>
      <c r="Q931" s="15">
        <v>489803</v>
      </c>
      <c r="R931" s="15">
        <v>6520.47</v>
      </c>
      <c r="S931" s="14" t="s">
        <v>22</v>
      </c>
      <c r="T931" s="15">
        <v>6530174</v>
      </c>
      <c r="U931" s="16">
        <f t="shared" si="154"/>
        <v>4.4607845261157145E-2</v>
      </c>
      <c r="V931" s="14">
        <v>0</v>
      </c>
      <c r="W931" s="17">
        <v>46.3</v>
      </c>
      <c r="X931" s="14">
        <v>8</v>
      </c>
      <c r="Y931" s="18">
        <f t="shared" si="155"/>
        <v>40.6</v>
      </c>
      <c r="Z931" s="18" t="str">
        <f t="shared" si="156"/>
        <v>Medium</v>
      </c>
      <c r="AA931" s="19" t="str">
        <f t="shared" si="157"/>
        <v>Not Eligible</v>
      </c>
      <c r="AB931" s="14" t="s">
        <v>77</v>
      </c>
      <c r="AC931" s="14">
        <v>1</v>
      </c>
      <c r="AD931" s="14" t="s">
        <v>78</v>
      </c>
      <c r="AE931" s="17">
        <v>17</v>
      </c>
      <c r="AF931" s="15">
        <v>0</v>
      </c>
      <c r="AG931" s="20">
        <f t="shared" si="158"/>
        <v>1754078</v>
      </c>
      <c r="AH931" s="14">
        <v>2</v>
      </c>
      <c r="AI931" s="14" t="s">
        <v>75</v>
      </c>
      <c r="AJ931" s="14">
        <v>48</v>
      </c>
      <c r="AK931" s="21">
        <f t="shared" si="159"/>
        <v>0.105</v>
      </c>
      <c r="AL931" s="20">
        <f t="shared" si="160"/>
        <v>167194.52476801016</v>
      </c>
      <c r="AM931" s="22">
        <f t="shared" si="161"/>
        <v>3.7228526895611256</v>
      </c>
      <c r="AN931" s="20">
        <f t="shared" si="162"/>
        <v>173714.99476801016</v>
      </c>
      <c r="AO931" s="16">
        <f t="shared" si="163"/>
        <v>1.1884191793159267</v>
      </c>
      <c r="AP931" s="15">
        <v>1662713</v>
      </c>
      <c r="AQ931" s="18">
        <f t="shared" si="164"/>
        <v>3.9274210281630082</v>
      </c>
      <c r="AR931" s="23">
        <v>45918</v>
      </c>
      <c r="AS931" s="14" t="s">
        <v>79</v>
      </c>
    </row>
    <row r="932" spans="1:45" x14ac:dyDescent="0.25">
      <c r="A932" s="14" t="s">
        <v>2928</v>
      </c>
      <c r="B932" s="14" t="s">
        <v>2094</v>
      </c>
      <c r="C932" s="14"/>
      <c r="D932" s="15" t="s">
        <v>2951</v>
      </c>
      <c r="E932" s="14">
        <v>34</v>
      </c>
      <c r="F932" s="14" t="s">
        <v>89</v>
      </c>
      <c r="G932" s="14" t="s">
        <v>131</v>
      </c>
      <c r="H932" s="14" t="s">
        <v>73</v>
      </c>
      <c r="I932" s="14" t="s">
        <v>74</v>
      </c>
      <c r="J932" s="15">
        <v>2413009</v>
      </c>
      <c r="K932" s="14">
        <v>1</v>
      </c>
      <c r="L932" s="14" t="s">
        <v>76</v>
      </c>
      <c r="M932" s="14" t="s">
        <v>75</v>
      </c>
      <c r="N932" s="14" t="s">
        <v>75</v>
      </c>
      <c r="O932" s="14" t="s">
        <v>75</v>
      </c>
      <c r="P932" s="14">
        <v>450</v>
      </c>
      <c r="Q932" s="15">
        <v>328201</v>
      </c>
      <c r="R932" s="15">
        <v>1681.26</v>
      </c>
      <c r="S932" s="14" t="s">
        <v>21</v>
      </c>
      <c r="T932" s="15">
        <v>202285</v>
      </c>
      <c r="U932" s="16">
        <f t="shared" si="154"/>
        <v>8.3609800046332197E-3</v>
      </c>
      <c r="V932" s="14">
        <v>1</v>
      </c>
      <c r="W932" s="17">
        <v>96.3</v>
      </c>
      <c r="X932" s="14">
        <v>6.5</v>
      </c>
      <c r="Y932" s="18">
        <f t="shared" si="155"/>
        <v>43.9</v>
      </c>
      <c r="Z932" s="18" t="str">
        <f t="shared" si="156"/>
        <v>Medium</v>
      </c>
      <c r="AA932" s="19" t="str">
        <f t="shared" si="157"/>
        <v>Not Eligible</v>
      </c>
      <c r="AB932" s="14" t="s">
        <v>77</v>
      </c>
      <c r="AC932" s="14">
        <v>0</v>
      </c>
      <c r="AD932" s="14" t="s">
        <v>93</v>
      </c>
      <c r="AE932" s="17">
        <v>9.1999999999999993</v>
      </c>
      <c r="AF932" s="15">
        <v>0</v>
      </c>
      <c r="AG932" s="20">
        <f t="shared" si="158"/>
        <v>2413009</v>
      </c>
      <c r="AH932" s="14">
        <v>0</v>
      </c>
      <c r="AI932" s="14" t="s">
        <v>75</v>
      </c>
      <c r="AJ932" s="14">
        <v>12</v>
      </c>
      <c r="AK932" s="21">
        <f t="shared" si="159"/>
        <v>0.15500000000000003</v>
      </c>
      <c r="AL932" s="20">
        <f t="shared" si="160"/>
        <v>18305.663018205767</v>
      </c>
      <c r="AM932" s="22">
        <f t="shared" si="161"/>
        <v>8.3831017621567097E-2</v>
      </c>
      <c r="AN932" s="20">
        <f t="shared" si="162"/>
        <v>19986.923018205765</v>
      </c>
      <c r="AO932" s="16">
        <f t="shared" si="163"/>
        <v>9.9395848178962118E-2</v>
      </c>
      <c r="AP932" s="15">
        <v>0</v>
      </c>
      <c r="AQ932" s="18" t="str">
        <f t="shared" si="164"/>
        <v>N/A</v>
      </c>
      <c r="AR932" s="23">
        <v>46088</v>
      </c>
      <c r="AS932" s="14" t="s">
        <v>79</v>
      </c>
    </row>
    <row r="933" spans="1:45" x14ac:dyDescent="0.25">
      <c r="A933" s="14" t="s">
        <v>2930</v>
      </c>
      <c r="B933" s="14" t="s">
        <v>2931</v>
      </c>
      <c r="C933" s="14"/>
      <c r="D933" s="15" t="s">
        <v>2953</v>
      </c>
      <c r="E933" s="14">
        <v>47</v>
      </c>
      <c r="F933" s="14" t="s">
        <v>71</v>
      </c>
      <c r="G933" s="14" t="s">
        <v>106</v>
      </c>
      <c r="H933" s="14" t="s">
        <v>84</v>
      </c>
      <c r="I933" s="14" t="s">
        <v>74</v>
      </c>
      <c r="J933" s="15">
        <v>2315306</v>
      </c>
      <c r="K933" s="14">
        <v>2</v>
      </c>
      <c r="L933" s="14" t="s">
        <v>75</v>
      </c>
      <c r="M933" s="14" t="s">
        <v>76</v>
      </c>
      <c r="N933" s="14" t="s">
        <v>76</v>
      </c>
      <c r="O933" s="14" t="s">
        <v>75</v>
      </c>
      <c r="P933" s="14">
        <v>358</v>
      </c>
      <c r="Q933" s="15"/>
      <c r="R933" s="15">
        <v>5497.03</v>
      </c>
      <c r="S933" s="14" t="s">
        <v>22</v>
      </c>
      <c r="T933" s="15"/>
      <c r="U933" s="16">
        <f t="shared" si="154"/>
        <v>2.8490558051505934E-2</v>
      </c>
      <c r="V933" s="14">
        <v>0</v>
      </c>
      <c r="W933" s="17">
        <v>67.5</v>
      </c>
      <c r="X933" s="14">
        <v>15</v>
      </c>
      <c r="Y933" s="18">
        <f t="shared" si="155"/>
        <v>43.7</v>
      </c>
      <c r="Z933" s="18" t="str">
        <f t="shared" si="156"/>
        <v>Medium</v>
      </c>
      <c r="AA933" s="19" t="str">
        <f t="shared" si="157"/>
        <v>Not Eligible</v>
      </c>
      <c r="AB933" s="14" t="s">
        <v>85</v>
      </c>
      <c r="AC933" s="14">
        <v>4</v>
      </c>
      <c r="AD933" s="14" t="s">
        <v>93</v>
      </c>
      <c r="AE933" s="17">
        <v>19.399999999999999</v>
      </c>
      <c r="AF933" s="15">
        <v>572689</v>
      </c>
      <c r="AG933" s="20">
        <f t="shared" si="158"/>
        <v>2887995</v>
      </c>
      <c r="AH933" s="14">
        <v>2</v>
      </c>
      <c r="AI933" s="14" t="s">
        <v>75</v>
      </c>
      <c r="AJ933" s="14">
        <v>72</v>
      </c>
      <c r="AK933" s="21">
        <f t="shared" si="159"/>
        <v>0.105</v>
      </c>
      <c r="AL933" s="20">
        <f t="shared" si="160"/>
        <v>0</v>
      </c>
      <c r="AM933" s="22">
        <f t="shared" si="161"/>
        <v>0</v>
      </c>
      <c r="AN933" s="20">
        <f t="shared" si="162"/>
        <v>5497.03</v>
      </c>
      <c r="AO933" s="16">
        <f t="shared" si="163"/>
        <v>2.8490558051505934E-2</v>
      </c>
      <c r="AP933" s="15">
        <v>1227584</v>
      </c>
      <c r="AQ933" s="18">
        <f t="shared" si="164"/>
        <v>0</v>
      </c>
      <c r="AR933" s="23">
        <v>46100</v>
      </c>
      <c r="AS933" s="14" t="s">
        <v>79</v>
      </c>
    </row>
    <row r="934" spans="1:45" x14ac:dyDescent="0.25">
      <c r="A934" s="14" t="s">
        <v>2933</v>
      </c>
      <c r="B934" s="14" t="s">
        <v>2934</v>
      </c>
      <c r="C934" s="14">
        <v>9432798029</v>
      </c>
      <c r="D934" s="15"/>
      <c r="E934" s="14">
        <v>40</v>
      </c>
      <c r="F934" s="14" t="s">
        <v>89</v>
      </c>
      <c r="G934" s="14" t="s">
        <v>139</v>
      </c>
      <c r="H934" s="14" t="s">
        <v>99</v>
      </c>
      <c r="I934" s="14" t="s">
        <v>74</v>
      </c>
      <c r="J934" s="15">
        <v>1199909</v>
      </c>
      <c r="K934" s="14">
        <v>1</v>
      </c>
      <c r="L934" s="14" t="s">
        <v>76</v>
      </c>
      <c r="M934" s="14" t="s">
        <v>75</v>
      </c>
      <c r="N934" s="14" t="s">
        <v>75</v>
      </c>
      <c r="O934" s="14" t="s">
        <v>75</v>
      </c>
      <c r="P934" s="14">
        <v>525</v>
      </c>
      <c r="Q934" s="15">
        <v>366037.33</v>
      </c>
      <c r="R934" s="15">
        <v>37074.639999999999</v>
      </c>
      <c r="S934" s="14" t="s">
        <v>20</v>
      </c>
      <c r="T934" s="15">
        <v>349547</v>
      </c>
      <c r="U934" s="16">
        <f t="shared" si="154"/>
        <v>0.37077451706754427</v>
      </c>
      <c r="V934" s="14">
        <v>1</v>
      </c>
      <c r="W934" s="17">
        <v>32.6</v>
      </c>
      <c r="X934" s="14">
        <v>4.8</v>
      </c>
      <c r="Y934" s="18">
        <f t="shared" si="155"/>
        <v>43.4</v>
      </c>
      <c r="Z934" s="18" t="str">
        <f t="shared" si="156"/>
        <v>Medium</v>
      </c>
      <c r="AA934" s="19" t="str">
        <f t="shared" si="157"/>
        <v>Not Eligible</v>
      </c>
      <c r="AB934" s="14" t="s">
        <v>77</v>
      </c>
      <c r="AC934" s="14">
        <v>2</v>
      </c>
      <c r="AD934" s="14" t="s">
        <v>78</v>
      </c>
      <c r="AE934" s="17">
        <v>0.6</v>
      </c>
      <c r="AF934" s="15">
        <v>0</v>
      </c>
      <c r="AG934" s="20">
        <f t="shared" si="158"/>
        <v>1199909</v>
      </c>
      <c r="AH934" s="14">
        <v>1</v>
      </c>
      <c r="AI934" s="14" t="s">
        <v>75</v>
      </c>
      <c r="AJ934" s="14">
        <v>36</v>
      </c>
      <c r="AK934" s="21">
        <f t="shared" si="159"/>
        <v>0.375</v>
      </c>
      <c r="AL934" s="20">
        <f t="shared" si="160"/>
        <v>16310.594211517386</v>
      </c>
      <c r="AM934" s="22">
        <f t="shared" si="161"/>
        <v>0.29131125777038092</v>
      </c>
      <c r="AN934" s="20">
        <f t="shared" si="162"/>
        <v>53385.234211517381</v>
      </c>
      <c r="AO934" s="16">
        <f t="shared" si="163"/>
        <v>0.53389282898803869</v>
      </c>
      <c r="AP934" s="15">
        <v>0</v>
      </c>
      <c r="AQ934" s="18" t="str">
        <f t="shared" si="164"/>
        <v>N/A</v>
      </c>
      <c r="AR934" s="23">
        <v>46055</v>
      </c>
      <c r="AS934" s="14" t="s">
        <v>94</v>
      </c>
    </row>
    <row r="935" spans="1:45" x14ac:dyDescent="0.25">
      <c r="A935" s="14" t="s">
        <v>2936</v>
      </c>
      <c r="B935" s="14" t="s">
        <v>943</v>
      </c>
      <c r="C935" s="14"/>
      <c r="D935" s="15" t="s">
        <v>2959</v>
      </c>
      <c r="E935" s="14">
        <v>60</v>
      </c>
      <c r="F935" s="14" t="s">
        <v>89</v>
      </c>
      <c r="G935" s="14" t="s">
        <v>388</v>
      </c>
      <c r="H935" s="14" t="s">
        <v>103</v>
      </c>
      <c r="I935" s="14" t="s">
        <v>74</v>
      </c>
      <c r="J935" s="15">
        <v>718491</v>
      </c>
      <c r="K935" s="14">
        <v>2</v>
      </c>
      <c r="L935" s="14" t="s">
        <v>76</v>
      </c>
      <c r="M935" s="14" t="s">
        <v>75</v>
      </c>
      <c r="N935" s="14" t="s">
        <v>76</v>
      </c>
      <c r="O935" s="14" t="s">
        <v>75</v>
      </c>
      <c r="P935" s="14">
        <v>763</v>
      </c>
      <c r="Q935" s="15"/>
      <c r="R935" s="15">
        <v>6449.75</v>
      </c>
      <c r="S935" s="14" t="s">
        <v>23</v>
      </c>
      <c r="T935" s="15">
        <v>183114</v>
      </c>
      <c r="U935" s="16">
        <f t="shared" si="154"/>
        <v>0.1077215998530253</v>
      </c>
      <c r="V935" s="14">
        <v>0</v>
      </c>
      <c r="W935" s="17">
        <v>17.100000000000001</v>
      </c>
      <c r="X935" s="14">
        <v>0.8</v>
      </c>
      <c r="Y935" s="18">
        <f t="shared" si="155"/>
        <v>14.1</v>
      </c>
      <c r="Z935" s="18" t="str">
        <f t="shared" si="156"/>
        <v>Low</v>
      </c>
      <c r="AA935" s="19" t="str">
        <f t="shared" si="157"/>
        <v>Eligible</v>
      </c>
      <c r="AB935" s="14" t="s">
        <v>85</v>
      </c>
      <c r="AC935" s="14">
        <v>4</v>
      </c>
      <c r="AD935" s="14" t="s">
        <v>78</v>
      </c>
      <c r="AE935" s="17">
        <v>11.7</v>
      </c>
      <c r="AF935" s="15">
        <v>0</v>
      </c>
      <c r="AG935" s="20">
        <f t="shared" si="158"/>
        <v>718491</v>
      </c>
      <c r="AH935" s="14">
        <v>2</v>
      </c>
      <c r="AI935" s="14" t="s">
        <v>76</v>
      </c>
      <c r="AJ935" s="14">
        <v>120</v>
      </c>
      <c r="AK935" s="21">
        <f t="shared" si="159"/>
        <v>8.5000000000000006E-2</v>
      </c>
      <c r="AL935" s="20">
        <f t="shared" si="160"/>
        <v>2270.3515432567233</v>
      </c>
      <c r="AM935" s="22">
        <f t="shared" si="161"/>
        <v>0.25485914228570711</v>
      </c>
      <c r="AN935" s="20">
        <f t="shared" si="162"/>
        <v>8720.1015432567237</v>
      </c>
      <c r="AO935" s="16">
        <f t="shared" si="163"/>
        <v>0.14564026343973785</v>
      </c>
      <c r="AP935" s="15">
        <v>2352915</v>
      </c>
      <c r="AQ935" s="18">
        <f t="shared" si="164"/>
        <v>7.782431579551323E-2</v>
      </c>
      <c r="AR935" s="23">
        <v>45935</v>
      </c>
      <c r="AS935" s="14" t="s">
        <v>79</v>
      </c>
    </row>
    <row r="936" spans="1:45" x14ac:dyDescent="0.25">
      <c r="A936" s="14" t="s">
        <v>2939</v>
      </c>
      <c r="B936" s="14" t="s">
        <v>2180</v>
      </c>
      <c r="C936" s="14">
        <v>9709804832</v>
      </c>
      <c r="D936" s="15" t="s">
        <v>2963</v>
      </c>
      <c r="E936" s="14">
        <v>27</v>
      </c>
      <c r="F936" s="14" t="s">
        <v>71</v>
      </c>
      <c r="G936" s="14" t="s">
        <v>314</v>
      </c>
      <c r="H936" s="14" t="s">
        <v>166</v>
      </c>
      <c r="I936" s="14" t="s">
        <v>74</v>
      </c>
      <c r="J936" s="15">
        <v>1712701</v>
      </c>
      <c r="K936" s="14">
        <v>2</v>
      </c>
      <c r="L936" s="14" t="s">
        <v>76</v>
      </c>
      <c r="M936" s="14" t="s">
        <v>75</v>
      </c>
      <c r="N936" s="14" t="s">
        <v>76</v>
      </c>
      <c r="O936" s="14" t="s">
        <v>75</v>
      </c>
      <c r="P936" s="14">
        <v>417</v>
      </c>
      <c r="Q936" s="15">
        <v>1173548</v>
      </c>
      <c r="R936" s="15">
        <v>34930.910000000003</v>
      </c>
      <c r="S936" s="14" t="s">
        <v>21</v>
      </c>
      <c r="T936" s="15">
        <v>4264629</v>
      </c>
      <c r="U936" s="16">
        <f t="shared" si="154"/>
        <v>0.24474261415156531</v>
      </c>
      <c r="V936" s="14">
        <v>1</v>
      </c>
      <c r="W936" s="17">
        <v>32.9</v>
      </c>
      <c r="X936" s="14">
        <v>4.3</v>
      </c>
      <c r="Y936" s="18">
        <f t="shared" si="155"/>
        <v>46.8</v>
      </c>
      <c r="Z936" s="18" t="str">
        <f t="shared" si="156"/>
        <v>Medium</v>
      </c>
      <c r="AA936" s="19" t="str">
        <f t="shared" si="157"/>
        <v>Not Eligible</v>
      </c>
      <c r="AB936" s="14" t="s">
        <v>77</v>
      </c>
      <c r="AC936" s="14">
        <v>0</v>
      </c>
      <c r="AD936" s="14" t="s">
        <v>93</v>
      </c>
      <c r="AE936" s="17">
        <v>4.9000000000000004</v>
      </c>
      <c r="AF936" s="15">
        <v>0</v>
      </c>
      <c r="AG936" s="20">
        <f t="shared" si="158"/>
        <v>1712701</v>
      </c>
      <c r="AH936" s="14">
        <v>0</v>
      </c>
      <c r="AI936" s="14" t="s">
        <v>75</v>
      </c>
      <c r="AJ936" s="14">
        <v>60</v>
      </c>
      <c r="AK936" s="21">
        <f t="shared" si="159"/>
        <v>0.15500000000000003</v>
      </c>
      <c r="AL936" s="20">
        <f t="shared" si="160"/>
        <v>102577.93622106424</v>
      </c>
      <c r="AM936" s="22">
        <f t="shared" si="161"/>
        <v>2.4900020493944943</v>
      </c>
      <c r="AN936" s="20">
        <f t="shared" si="162"/>
        <v>137508.84622106425</v>
      </c>
      <c r="AO936" s="16">
        <f t="shared" si="163"/>
        <v>0.96345255514697026</v>
      </c>
      <c r="AP936" s="15">
        <v>0</v>
      </c>
      <c r="AQ936" s="18" t="str">
        <f t="shared" si="164"/>
        <v>N/A</v>
      </c>
      <c r="AR936" s="23">
        <v>46060</v>
      </c>
      <c r="AS936" s="14" t="s">
        <v>79</v>
      </c>
    </row>
    <row r="937" spans="1:45" x14ac:dyDescent="0.25">
      <c r="A937" s="14" t="s">
        <v>2941</v>
      </c>
      <c r="B937" s="14" t="s">
        <v>2122</v>
      </c>
      <c r="C937" s="14"/>
      <c r="D937" s="15" t="s">
        <v>2965</v>
      </c>
      <c r="E937" s="14">
        <v>30</v>
      </c>
      <c r="F937" s="14" t="s">
        <v>71</v>
      </c>
      <c r="G937" s="14" t="s">
        <v>72</v>
      </c>
      <c r="H937" s="14" t="s">
        <v>132</v>
      </c>
      <c r="I937" s="14" t="s">
        <v>92</v>
      </c>
      <c r="J937" s="15">
        <v>1388512</v>
      </c>
      <c r="K937" s="14">
        <v>1</v>
      </c>
      <c r="L937" s="14" t="s">
        <v>75</v>
      </c>
      <c r="M937" s="14" t="s">
        <v>76</v>
      </c>
      <c r="N937" s="14" t="s">
        <v>75</v>
      </c>
      <c r="O937" s="14" t="s">
        <v>75</v>
      </c>
      <c r="P937" s="14">
        <v>495</v>
      </c>
      <c r="Q937" s="15">
        <v>665621</v>
      </c>
      <c r="R937" s="15">
        <v>22345.38</v>
      </c>
      <c r="S937" s="14" t="s">
        <v>23</v>
      </c>
      <c r="T937" s="15">
        <v>223728</v>
      </c>
      <c r="U937" s="16">
        <f t="shared" si="154"/>
        <v>0.19311648728999101</v>
      </c>
      <c r="V937" s="14">
        <v>1</v>
      </c>
      <c r="W937" s="17">
        <v>33.5</v>
      </c>
      <c r="X937" s="14">
        <v>0.8</v>
      </c>
      <c r="Y937" s="18">
        <f t="shared" si="155"/>
        <v>40.1</v>
      </c>
      <c r="Z937" s="18" t="str">
        <f t="shared" si="156"/>
        <v>Medium</v>
      </c>
      <c r="AA937" s="19" t="str">
        <f t="shared" si="157"/>
        <v>Not Eligible</v>
      </c>
      <c r="AB937" s="14" t="s">
        <v>77</v>
      </c>
      <c r="AC937" s="14">
        <v>3</v>
      </c>
      <c r="AD937" s="14" t="s">
        <v>93</v>
      </c>
      <c r="AE937" s="17">
        <v>8.1999999999999993</v>
      </c>
      <c r="AF937" s="15">
        <v>264375</v>
      </c>
      <c r="AG937" s="20">
        <f t="shared" si="158"/>
        <v>1652887</v>
      </c>
      <c r="AH937" s="14">
        <v>1</v>
      </c>
      <c r="AI937" s="14" t="s">
        <v>75</v>
      </c>
      <c r="AJ937" s="14">
        <v>120</v>
      </c>
      <c r="AK937" s="21">
        <f t="shared" si="159"/>
        <v>0.1</v>
      </c>
      <c r="AL937" s="20">
        <f t="shared" si="160"/>
        <v>2956.5820061082773</v>
      </c>
      <c r="AM937" s="22">
        <f t="shared" si="161"/>
        <v>0.16112788366251066</v>
      </c>
      <c r="AN937" s="20">
        <f t="shared" si="162"/>
        <v>25301.962006108279</v>
      </c>
      <c r="AO937" s="16">
        <f t="shared" si="163"/>
        <v>0.21866828955983048</v>
      </c>
      <c r="AP937" s="15">
        <v>4787091</v>
      </c>
      <c r="AQ937" s="18">
        <f t="shared" si="164"/>
        <v>4.6735689795744433E-2</v>
      </c>
      <c r="AR937" s="23">
        <v>45957</v>
      </c>
      <c r="AS937" s="14" t="s">
        <v>79</v>
      </c>
    </row>
    <row r="938" spans="1:45" x14ac:dyDescent="0.25">
      <c r="A938" s="14" t="s">
        <v>2943</v>
      </c>
      <c r="B938" s="14" t="s">
        <v>129</v>
      </c>
      <c r="C938" s="14"/>
      <c r="D938" s="15" t="s">
        <v>2968</v>
      </c>
      <c r="E938" s="14">
        <v>45</v>
      </c>
      <c r="F938" s="14" t="s">
        <v>71</v>
      </c>
      <c r="G938" s="14" t="s">
        <v>127</v>
      </c>
      <c r="H938" s="14" t="s">
        <v>84</v>
      </c>
      <c r="I938" s="14" t="s">
        <v>74</v>
      </c>
      <c r="J938" s="15">
        <v>2205053</v>
      </c>
      <c r="K938" s="14">
        <v>0</v>
      </c>
      <c r="L938" s="14" t="s">
        <v>75</v>
      </c>
      <c r="M938" s="14" t="s">
        <v>75</v>
      </c>
      <c r="N938" s="14" t="s">
        <v>75</v>
      </c>
      <c r="O938" s="14" t="s">
        <v>75</v>
      </c>
      <c r="P938" s="14">
        <v>427</v>
      </c>
      <c r="Q938" s="15">
        <v>766057.49</v>
      </c>
      <c r="R938" s="15">
        <v>3738.78</v>
      </c>
      <c r="S938" s="14" t="s">
        <v>21</v>
      </c>
      <c r="T938" s="15"/>
      <c r="U938" s="16">
        <f t="shared" si="154"/>
        <v>2.0346612983905603E-2</v>
      </c>
      <c r="V938" s="14">
        <v>0</v>
      </c>
      <c r="W938" s="17">
        <v>95.1</v>
      </c>
      <c r="X938" s="14">
        <v>14.4</v>
      </c>
      <c r="Y938" s="18">
        <f t="shared" si="155"/>
        <v>41.7</v>
      </c>
      <c r="Z938" s="18" t="str">
        <f t="shared" si="156"/>
        <v>Medium</v>
      </c>
      <c r="AA938" s="19" t="str">
        <f t="shared" si="157"/>
        <v>Not Eligible</v>
      </c>
      <c r="AB938" s="14" t="s">
        <v>77</v>
      </c>
      <c r="AC938" s="14">
        <v>0</v>
      </c>
      <c r="AD938" s="14" t="s">
        <v>78</v>
      </c>
      <c r="AE938" s="17">
        <v>11.8</v>
      </c>
      <c r="AF938" s="15">
        <v>0</v>
      </c>
      <c r="AG938" s="20">
        <f t="shared" si="158"/>
        <v>2205053</v>
      </c>
      <c r="AH938" s="14">
        <v>1</v>
      </c>
      <c r="AI938" s="14" t="s">
        <v>75</v>
      </c>
      <c r="AJ938" s="14">
        <v>12</v>
      </c>
      <c r="AK938" s="21">
        <f t="shared" si="159"/>
        <v>0.15500000000000003</v>
      </c>
      <c r="AL938" s="20">
        <f t="shared" si="160"/>
        <v>0</v>
      </c>
      <c r="AM938" s="22">
        <f t="shared" si="161"/>
        <v>0</v>
      </c>
      <c r="AN938" s="20">
        <f t="shared" si="162"/>
        <v>3738.78</v>
      </c>
      <c r="AO938" s="16">
        <f t="shared" si="163"/>
        <v>2.0346612983905603E-2</v>
      </c>
      <c r="AP938" s="15">
        <v>0</v>
      </c>
      <c r="AQ938" s="18" t="str">
        <f t="shared" si="164"/>
        <v>N/A</v>
      </c>
      <c r="AR938" s="23">
        <v>45918</v>
      </c>
      <c r="AS938" s="14" t="s">
        <v>79</v>
      </c>
    </row>
    <row r="939" spans="1:45" x14ac:dyDescent="0.25">
      <c r="A939" s="14" t="s">
        <v>2945</v>
      </c>
      <c r="B939" s="14" t="s">
        <v>2946</v>
      </c>
      <c r="C939" s="14"/>
      <c r="D939" s="15"/>
      <c r="E939" s="14">
        <v>54</v>
      </c>
      <c r="F939" s="14" t="s">
        <v>71</v>
      </c>
      <c r="G939" s="14" t="s">
        <v>139</v>
      </c>
      <c r="H939" s="14" t="s">
        <v>144</v>
      </c>
      <c r="I939" s="14" t="s">
        <v>92</v>
      </c>
      <c r="J939" s="15">
        <v>734398</v>
      </c>
      <c r="K939" s="14">
        <v>2</v>
      </c>
      <c r="L939" s="14" t="s">
        <v>76</v>
      </c>
      <c r="M939" s="14" t="s">
        <v>75</v>
      </c>
      <c r="N939" s="14" t="s">
        <v>75</v>
      </c>
      <c r="O939" s="14" t="s">
        <v>76</v>
      </c>
      <c r="P939" s="14">
        <v>537</v>
      </c>
      <c r="Q939" s="15">
        <v>9071</v>
      </c>
      <c r="R939" s="15">
        <v>1326.77</v>
      </c>
      <c r="S939" s="14" t="s">
        <v>20</v>
      </c>
      <c r="T939" s="15">
        <v>51265</v>
      </c>
      <c r="U939" s="16">
        <f t="shared" si="154"/>
        <v>2.1679307405521257E-2</v>
      </c>
      <c r="V939" s="14">
        <v>4</v>
      </c>
      <c r="W939" s="17">
        <v>68.5</v>
      </c>
      <c r="X939" s="14">
        <v>4.8</v>
      </c>
      <c r="Y939" s="18">
        <f t="shared" si="155"/>
        <v>47.7</v>
      </c>
      <c r="Z939" s="18" t="str">
        <f t="shared" si="156"/>
        <v>Medium</v>
      </c>
      <c r="AA939" s="19" t="str">
        <f t="shared" si="157"/>
        <v>Not Eligible</v>
      </c>
      <c r="AB939" s="14" t="s">
        <v>85</v>
      </c>
      <c r="AC939" s="14">
        <v>2</v>
      </c>
      <c r="AD939" s="14" t="s">
        <v>78</v>
      </c>
      <c r="AE939" s="17">
        <v>17.3</v>
      </c>
      <c r="AF939" s="15">
        <v>185825</v>
      </c>
      <c r="AG939" s="20">
        <f t="shared" si="158"/>
        <v>920223</v>
      </c>
      <c r="AH939" s="14">
        <v>3</v>
      </c>
      <c r="AI939" s="14" t="s">
        <v>75</v>
      </c>
      <c r="AJ939" s="14">
        <v>12</v>
      </c>
      <c r="AK939" s="21">
        <f t="shared" si="159"/>
        <v>0.375</v>
      </c>
      <c r="AL939" s="20">
        <f t="shared" si="160"/>
        <v>5188.6934155502586</v>
      </c>
      <c r="AM939" s="22">
        <f t="shared" si="161"/>
        <v>6.9805473326452414E-2</v>
      </c>
      <c r="AN939" s="20">
        <f t="shared" si="162"/>
        <v>6515.463415550259</v>
      </c>
      <c r="AO939" s="16">
        <f t="shared" si="163"/>
        <v>0.1064621104450218</v>
      </c>
      <c r="AP939" s="15">
        <v>0</v>
      </c>
      <c r="AQ939" s="18" t="str">
        <f t="shared" si="164"/>
        <v>N/A</v>
      </c>
      <c r="AR939" s="23">
        <v>46046</v>
      </c>
      <c r="AS939" s="14" t="s">
        <v>79</v>
      </c>
    </row>
    <row r="940" spans="1:45" x14ac:dyDescent="0.25">
      <c r="A940" s="14" t="s">
        <v>2948</v>
      </c>
      <c r="B940" s="14" t="s">
        <v>288</v>
      </c>
      <c r="C940" s="14">
        <v>9334130786</v>
      </c>
      <c r="D940" s="15" t="s">
        <v>2973</v>
      </c>
      <c r="E940" s="14">
        <v>22</v>
      </c>
      <c r="F940" s="14" t="s">
        <v>71</v>
      </c>
      <c r="G940" s="14" t="s">
        <v>139</v>
      </c>
      <c r="H940" s="14" t="s">
        <v>84</v>
      </c>
      <c r="I940" s="14" t="s">
        <v>74</v>
      </c>
      <c r="J940" s="15">
        <v>1783472</v>
      </c>
      <c r="K940" s="14">
        <v>1</v>
      </c>
      <c r="L940" s="14" t="s">
        <v>75</v>
      </c>
      <c r="M940" s="14" t="s">
        <v>75</v>
      </c>
      <c r="N940" s="14" t="s">
        <v>75</v>
      </c>
      <c r="O940" s="14" t="s">
        <v>76</v>
      </c>
      <c r="P940" s="14">
        <v>456</v>
      </c>
      <c r="Q940" s="15">
        <v>202985.24</v>
      </c>
      <c r="R940" s="15">
        <v>9070.43</v>
      </c>
      <c r="S940" s="14" t="s">
        <v>23</v>
      </c>
      <c r="T940" s="15">
        <v>1178687</v>
      </c>
      <c r="U940" s="16">
        <f t="shared" si="154"/>
        <v>6.1029923654534531E-2</v>
      </c>
      <c r="V940" s="14">
        <v>0</v>
      </c>
      <c r="W940" s="17">
        <v>10.199999999999999</v>
      </c>
      <c r="X940" s="14">
        <v>10.9</v>
      </c>
      <c r="Y940" s="18">
        <f t="shared" si="155"/>
        <v>32.5</v>
      </c>
      <c r="Z940" s="18" t="str">
        <f t="shared" si="156"/>
        <v>Medium</v>
      </c>
      <c r="AA940" s="19" t="str">
        <f t="shared" si="157"/>
        <v>Not Eligible</v>
      </c>
      <c r="AB940" s="14" t="s">
        <v>85</v>
      </c>
      <c r="AC940" s="14">
        <v>0</v>
      </c>
      <c r="AD940" s="14" t="s">
        <v>194</v>
      </c>
      <c r="AE940" s="17">
        <v>0.6</v>
      </c>
      <c r="AF940" s="15">
        <v>620541</v>
      </c>
      <c r="AG940" s="20">
        <f t="shared" si="158"/>
        <v>2404013</v>
      </c>
      <c r="AH940" s="14">
        <v>1</v>
      </c>
      <c r="AI940" s="14" t="s">
        <v>76</v>
      </c>
      <c r="AJ940" s="14">
        <v>300</v>
      </c>
      <c r="AK940" s="21">
        <f t="shared" si="159"/>
        <v>0.1</v>
      </c>
      <c r="AL940" s="20">
        <f t="shared" si="160"/>
        <v>10710.737556583774</v>
      </c>
      <c r="AM940" s="22">
        <f t="shared" si="161"/>
        <v>0.66089459212143509</v>
      </c>
      <c r="AN940" s="20">
        <f t="shared" si="162"/>
        <v>19781.167556583772</v>
      </c>
      <c r="AO940" s="16">
        <f t="shared" si="163"/>
        <v>0.1330965726846316</v>
      </c>
      <c r="AP940" s="15">
        <v>7515757</v>
      </c>
      <c r="AQ940" s="18">
        <f t="shared" si="164"/>
        <v>0.15682877985544239</v>
      </c>
      <c r="AR940" s="23">
        <v>46012</v>
      </c>
      <c r="AS940" s="14" t="s">
        <v>79</v>
      </c>
    </row>
    <row r="941" spans="1:45" x14ac:dyDescent="0.25">
      <c r="A941" s="14" t="s">
        <v>2950</v>
      </c>
      <c r="B941" s="14" t="s">
        <v>2762</v>
      </c>
      <c r="C941" s="14">
        <v>9776127827</v>
      </c>
      <c r="D941" s="15" t="s">
        <v>2976</v>
      </c>
      <c r="E941" s="14">
        <v>39</v>
      </c>
      <c r="F941" s="14" t="s">
        <v>71</v>
      </c>
      <c r="G941" s="14" t="s">
        <v>98</v>
      </c>
      <c r="H941" s="14" t="s">
        <v>99</v>
      </c>
      <c r="I941" s="14" t="s">
        <v>74</v>
      </c>
      <c r="J941" s="15">
        <v>1560218</v>
      </c>
      <c r="K941" s="14">
        <v>3</v>
      </c>
      <c r="L941" s="14" t="s">
        <v>76</v>
      </c>
      <c r="M941" s="14" t="s">
        <v>75</v>
      </c>
      <c r="N941" s="14" t="s">
        <v>76</v>
      </c>
      <c r="O941" s="14" t="s">
        <v>76</v>
      </c>
      <c r="P941" s="14">
        <v>761</v>
      </c>
      <c r="Q941" s="15">
        <v>26462</v>
      </c>
      <c r="R941" s="15">
        <v>20512.55</v>
      </c>
      <c r="S941" s="14" t="s">
        <v>20</v>
      </c>
      <c r="T941" s="15"/>
      <c r="U941" s="16">
        <f t="shared" si="154"/>
        <v>0.15776679925497589</v>
      </c>
      <c r="V941" s="14">
        <v>1</v>
      </c>
      <c r="W941" s="17">
        <v>95.1</v>
      </c>
      <c r="X941" s="14">
        <v>3.8</v>
      </c>
      <c r="Y941" s="18">
        <f t="shared" si="155"/>
        <v>27.5</v>
      </c>
      <c r="Z941" s="18" t="str">
        <f t="shared" si="156"/>
        <v>Low</v>
      </c>
      <c r="AA941" s="19" t="str">
        <f t="shared" si="157"/>
        <v>Eligible</v>
      </c>
      <c r="AB941" s="14" t="s">
        <v>77</v>
      </c>
      <c r="AC941" s="14">
        <v>0</v>
      </c>
      <c r="AD941" s="14" t="s">
        <v>78</v>
      </c>
      <c r="AE941" s="17">
        <v>9.6999999999999993</v>
      </c>
      <c r="AF941" s="15">
        <v>0</v>
      </c>
      <c r="AG941" s="20">
        <f t="shared" si="158"/>
        <v>1560218</v>
      </c>
      <c r="AH941" s="14">
        <v>0</v>
      </c>
      <c r="AI941" s="14" t="s">
        <v>75</v>
      </c>
      <c r="AJ941" s="14">
        <v>12</v>
      </c>
      <c r="AK941" s="21">
        <f t="shared" si="159"/>
        <v>0.36</v>
      </c>
      <c r="AL941" s="20">
        <f t="shared" si="160"/>
        <v>0</v>
      </c>
      <c r="AM941" s="22">
        <f t="shared" si="161"/>
        <v>0</v>
      </c>
      <c r="AN941" s="20">
        <f t="shared" si="162"/>
        <v>20512.55</v>
      </c>
      <c r="AO941" s="16">
        <f t="shared" si="163"/>
        <v>0.15776679925497589</v>
      </c>
      <c r="AP941" s="15">
        <v>0</v>
      </c>
      <c r="AQ941" s="18" t="str">
        <f t="shared" si="164"/>
        <v>N/A</v>
      </c>
      <c r="AR941" s="23">
        <v>45979</v>
      </c>
      <c r="AS941" s="14" t="s">
        <v>79</v>
      </c>
    </row>
    <row r="942" spans="1:45" x14ac:dyDescent="0.25">
      <c r="A942" s="14" t="s">
        <v>2952</v>
      </c>
      <c r="B942" s="14" t="s">
        <v>2843</v>
      </c>
      <c r="C942" s="14">
        <v>9781895408</v>
      </c>
      <c r="D942" s="15" t="s">
        <v>2979</v>
      </c>
      <c r="E942" s="14">
        <v>22</v>
      </c>
      <c r="F942" s="14" t="s">
        <v>71</v>
      </c>
      <c r="G942" s="14" t="s">
        <v>215</v>
      </c>
      <c r="H942" s="14" t="s">
        <v>107</v>
      </c>
      <c r="I942" s="14" t="s">
        <v>92</v>
      </c>
      <c r="J942" s="15">
        <v>1518835</v>
      </c>
      <c r="K942" s="14">
        <v>0</v>
      </c>
      <c r="L942" s="14" t="s">
        <v>75</v>
      </c>
      <c r="M942" s="14" t="s">
        <v>75</v>
      </c>
      <c r="N942" s="14" t="s">
        <v>75</v>
      </c>
      <c r="O942" s="14" t="s">
        <v>75</v>
      </c>
      <c r="P942" s="14">
        <v>687</v>
      </c>
      <c r="Q942" s="15">
        <v>734968</v>
      </c>
      <c r="R942" s="15">
        <v>2263.35</v>
      </c>
      <c r="S942" s="14" t="s">
        <v>22</v>
      </c>
      <c r="T942" s="15">
        <v>694770</v>
      </c>
      <c r="U942" s="16">
        <f t="shared" si="154"/>
        <v>1.788225844150286E-2</v>
      </c>
      <c r="V942" s="14">
        <v>0</v>
      </c>
      <c r="W942" s="17">
        <v>11.6</v>
      </c>
      <c r="X942" s="14">
        <v>0.4</v>
      </c>
      <c r="Y942" s="18">
        <f t="shared" si="155"/>
        <v>15.9</v>
      </c>
      <c r="Z942" s="18" t="str">
        <f t="shared" si="156"/>
        <v>Low</v>
      </c>
      <c r="AA942" s="19" t="str">
        <f t="shared" si="157"/>
        <v>Eligible</v>
      </c>
      <c r="AB942" s="14" t="s">
        <v>77</v>
      </c>
      <c r="AC942" s="14">
        <v>1</v>
      </c>
      <c r="AD942" s="14" t="s">
        <v>78</v>
      </c>
      <c r="AE942" s="17">
        <v>1</v>
      </c>
      <c r="AF942" s="15">
        <v>0</v>
      </c>
      <c r="AG942" s="20">
        <f t="shared" si="158"/>
        <v>1518835</v>
      </c>
      <c r="AH942" s="14">
        <v>0</v>
      </c>
      <c r="AI942" s="14" t="s">
        <v>75</v>
      </c>
      <c r="AJ942" s="14">
        <v>24</v>
      </c>
      <c r="AK942" s="21">
        <f t="shared" si="159"/>
        <v>0.09</v>
      </c>
      <c r="AL942" s="20">
        <f t="shared" si="160"/>
        <v>31740.388393301087</v>
      </c>
      <c r="AM942" s="22">
        <f t="shared" si="161"/>
        <v>0.45743612703157355</v>
      </c>
      <c r="AN942" s="20">
        <f t="shared" si="162"/>
        <v>34003.738393301086</v>
      </c>
      <c r="AO942" s="16">
        <f t="shared" si="163"/>
        <v>0.26865647731294912</v>
      </c>
      <c r="AP942" s="15">
        <v>1556833</v>
      </c>
      <c r="AQ942" s="18">
        <f t="shared" si="164"/>
        <v>0.4462713727162772</v>
      </c>
      <c r="AR942" s="23">
        <v>46008</v>
      </c>
      <c r="AS942" s="14" t="s">
        <v>79</v>
      </c>
    </row>
    <row r="943" spans="1:45" x14ac:dyDescent="0.25">
      <c r="A943" s="14" t="s">
        <v>2954</v>
      </c>
      <c r="B943" s="14" t="s">
        <v>2955</v>
      </c>
      <c r="C943" s="14"/>
      <c r="D943" s="15" t="s">
        <v>2982</v>
      </c>
      <c r="E943" s="14">
        <v>33</v>
      </c>
      <c r="F943" s="14" t="s">
        <v>71</v>
      </c>
      <c r="G943" s="14" t="s">
        <v>417</v>
      </c>
      <c r="H943" s="14" t="s">
        <v>144</v>
      </c>
      <c r="I943" s="14" t="s">
        <v>92</v>
      </c>
      <c r="J943" s="15">
        <v>733118</v>
      </c>
      <c r="K943" s="14">
        <v>1</v>
      </c>
      <c r="L943" s="14" t="s">
        <v>76</v>
      </c>
      <c r="M943" s="14" t="s">
        <v>75</v>
      </c>
      <c r="N943" s="14" t="s">
        <v>75</v>
      </c>
      <c r="O943" s="14" t="s">
        <v>75</v>
      </c>
      <c r="P943" s="14">
        <v>733</v>
      </c>
      <c r="Q943" s="15">
        <v>33800.839999999997</v>
      </c>
      <c r="R943" s="15">
        <v>26145.52</v>
      </c>
      <c r="S943" s="14" t="s">
        <v>22</v>
      </c>
      <c r="T943" s="15">
        <v>416992</v>
      </c>
      <c r="U943" s="16">
        <f t="shared" si="154"/>
        <v>0.42796144686121468</v>
      </c>
      <c r="V943" s="14">
        <v>0</v>
      </c>
      <c r="W943" s="17">
        <v>13.8</v>
      </c>
      <c r="X943" s="14">
        <v>4.4000000000000004</v>
      </c>
      <c r="Y943" s="18">
        <f t="shared" si="155"/>
        <v>25.4</v>
      </c>
      <c r="Z943" s="18" t="str">
        <f t="shared" si="156"/>
        <v>Low</v>
      </c>
      <c r="AA943" s="19" t="str">
        <f t="shared" si="157"/>
        <v>Review</v>
      </c>
      <c r="AB943" s="14" t="s">
        <v>85</v>
      </c>
      <c r="AC943" s="14">
        <v>4</v>
      </c>
      <c r="AD943" s="14" t="s">
        <v>78</v>
      </c>
      <c r="AE943" s="17">
        <v>10.199999999999999</v>
      </c>
      <c r="AF943" s="15">
        <v>0</v>
      </c>
      <c r="AG943" s="20">
        <f t="shared" si="158"/>
        <v>733118</v>
      </c>
      <c r="AH943" s="14">
        <v>0</v>
      </c>
      <c r="AI943" s="14" t="s">
        <v>75</v>
      </c>
      <c r="AJ943" s="14">
        <v>84</v>
      </c>
      <c r="AK943" s="21">
        <f t="shared" si="159"/>
        <v>0.09</v>
      </c>
      <c r="AL943" s="20">
        <f t="shared" si="160"/>
        <v>6709.0169218099945</v>
      </c>
      <c r="AM943" s="22">
        <f t="shared" si="161"/>
        <v>0.56879247269880151</v>
      </c>
      <c r="AN943" s="20">
        <f t="shared" si="162"/>
        <v>32854.536921809995</v>
      </c>
      <c r="AO943" s="16">
        <f t="shared" si="163"/>
        <v>0.53777760614487702</v>
      </c>
      <c r="AP943" s="15">
        <v>413303</v>
      </c>
      <c r="AQ943" s="18">
        <f t="shared" si="164"/>
        <v>1.0089256550279093</v>
      </c>
      <c r="AR943" s="23">
        <v>46050</v>
      </c>
      <c r="AS943" s="14" t="s">
        <v>79</v>
      </c>
    </row>
    <row r="944" spans="1:45" x14ac:dyDescent="0.25">
      <c r="A944" s="14" t="s">
        <v>2957</v>
      </c>
      <c r="B944" s="14" t="s">
        <v>2958</v>
      </c>
      <c r="C944" s="14"/>
      <c r="D944" s="15" t="s">
        <v>2985</v>
      </c>
      <c r="E944" s="14">
        <v>44</v>
      </c>
      <c r="F944" s="14" t="s">
        <v>71</v>
      </c>
      <c r="G944" s="14" t="s">
        <v>131</v>
      </c>
      <c r="H944" s="14" t="s">
        <v>73</v>
      </c>
      <c r="I944" s="14" t="s">
        <v>74</v>
      </c>
      <c r="J944" s="15">
        <v>2313454</v>
      </c>
      <c r="K944" s="14">
        <v>2</v>
      </c>
      <c r="L944" s="14" t="s">
        <v>75</v>
      </c>
      <c r="M944" s="14" t="s">
        <v>76</v>
      </c>
      <c r="N944" s="14" t="s">
        <v>76</v>
      </c>
      <c r="O944" s="14" t="s">
        <v>75</v>
      </c>
      <c r="P944" s="14">
        <v>549</v>
      </c>
      <c r="Q944" s="15"/>
      <c r="R944" s="15">
        <v>20980.06</v>
      </c>
      <c r="S944" s="14" t="s">
        <v>20</v>
      </c>
      <c r="T944" s="15">
        <v>5429283</v>
      </c>
      <c r="U944" s="16">
        <f t="shared" si="154"/>
        <v>0.10882460597876596</v>
      </c>
      <c r="V944" s="14">
        <v>1</v>
      </c>
      <c r="W944" s="17">
        <v>80.7</v>
      </c>
      <c r="X944" s="14">
        <v>8.8000000000000007</v>
      </c>
      <c r="Y944" s="18">
        <f t="shared" si="155"/>
        <v>38.700000000000003</v>
      </c>
      <c r="Z944" s="18" t="str">
        <f t="shared" si="156"/>
        <v>Medium</v>
      </c>
      <c r="AA944" s="19" t="str">
        <f t="shared" si="157"/>
        <v>Not Eligible</v>
      </c>
      <c r="AB944" s="14" t="s">
        <v>85</v>
      </c>
      <c r="AC944" s="14">
        <v>1</v>
      </c>
      <c r="AD944" s="14" t="s">
        <v>78</v>
      </c>
      <c r="AE944" s="17">
        <v>16.600000000000001</v>
      </c>
      <c r="AF944" s="15">
        <v>0</v>
      </c>
      <c r="AG944" s="20">
        <f t="shared" si="158"/>
        <v>2313454</v>
      </c>
      <c r="AH944" s="14">
        <v>3</v>
      </c>
      <c r="AI944" s="14" t="s">
        <v>75</v>
      </c>
      <c r="AJ944" s="14">
        <v>36</v>
      </c>
      <c r="AK944" s="21">
        <f t="shared" si="159"/>
        <v>0.375</v>
      </c>
      <c r="AL944" s="20">
        <f t="shared" si="160"/>
        <v>253341.70189556695</v>
      </c>
      <c r="AM944" s="22">
        <f t="shared" si="161"/>
        <v>2.3468298915820243</v>
      </c>
      <c r="AN944" s="20">
        <f t="shared" si="162"/>
        <v>274321.76189556695</v>
      </c>
      <c r="AO944" s="16">
        <f t="shared" si="163"/>
        <v>1.4229205087919636</v>
      </c>
      <c r="AP944" s="15">
        <v>0</v>
      </c>
      <c r="AQ944" s="18" t="str">
        <f t="shared" si="164"/>
        <v>N/A</v>
      </c>
      <c r="AR944" s="23">
        <v>46015</v>
      </c>
      <c r="AS944" s="14" t="s">
        <v>79</v>
      </c>
    </row>
    <row r="945" spans="1:45" x14ac:dyDescent="0.25">
      <c r="A945" s="14" t="s">
        <v>2960</v>
      </c>
      <c r="B945" s="14" t="s">
        <v>2961</v>
      </c>
      <c r="C945" s="14"/>
      <c r="D945" s="15" t="s">
        <v>2987</v>
      </c>
      <c r="E945" s="14">
        <v>48</v>
      </c>
      <c r="F945" s="14" t="s">
        <v>71</v>
      </c>
      <c r="G945" s="14" t="s">
        <v>215</v>
      </c>
      <c r="H945" s="14" t="s">
        <v>144</v>
      </c>
      <c r="I945" s="14" t="s">
        <v>92</v>
      </c>
      <c r="J945" s="15">
        <v>2377480</v>
      </c>
      <c r="K945" s="14">
        <v>1</v>
      </c>
      <c r="L945" s="14" t="s">
        <v>75</v>
      </c>
      <c r="M945" s="14" t="s">
        <v>76</v>
      </c>
      <c r="N945" s="14" t="s">
        <v>75</v>
      </c>
      <c r="O945" s="14" t="s">
        <v>75</v>
      </c>
      <c r="P945" s="14">
        <v>873</v>
      </c>
      <c r="Q945" s="15">
        <v>1271713</v>
      </c>
      <c r="R945" s="15">
        <v>26078.84</v>
      </c>
      <c r="S945" s="14" t="s">
        <v>23</v>
      </c>
      <c r="T945" s="15">
        <v>2373027</v>
      </c>
      <c r="U945" s="16">
        <f t="shared" si="154"/>
        <v>0.13162932180291739</v>
      </c>
      <c r="V945" s="14">
        <v>6</v>
      </c>
      <c r="W945" s="17">
        <v>28.1</v>
      </c>
      <c r="X945" s="14">
        <v>9.4</v>
      </c>
      <c r="Y945" s="18">
        <f t="shared" si="155"/>
        <v>28.6</v>
      </c>
      <c r="Z945" s="18" t="str">
        <f t="shared" si="156"/>
        <v>Low</v>
      </c>
      <c r="AA945" s="19" t="str">
        <f t="shared" si="157"/>
        <v>Not Eligible</v>
      </c>
      <c r="AB945" s="14" t="s">
        <v>77</v>
      </c>
      <c r="AC945" s="14">
        <v>2</v>
      </c>
      <c r="AD945" s="14" t="s">
        <v>78</v>
      </c>
      <c r="AE945" s="17">
        <v>12.4</v>
      </c>
      <c r="AF945" s="15">
        <v>675972</v>
      </c>
      <c r="AG945" s="20">
        <f t="shared" si="158"/>
        <v>3053452</v>
      </c>
      <c r="AH945" s="14">
        <v>3</v>
      </c>
      <c r="AI945" s="14" t="s">
        <v>76</v>
      </c>
      <c r="AJ945" s="14">
        <v>240</v>
      </c>
      <c r="AK945" s="21">
        <f t="shared" si="159"/>
        <v>8.5000000000000006E-2</v>
      </c>
      <c r="AL945" s="20">
        <f t="shared" si="160"/>
        <v>20593.679640037128</v>
      </c>
      <c r="AM945" s="22">
        <f t="shared" si="161"/>
        <v>0.99812700842909297</v>
      </c>
      <c r="AN945" s="20">
        <f t="shared" si="162"/>
        <v>46672.519640037128</v>
      </c>
      <c r="AO945" s="16">
        <f t="shared" si="163"/>
        <v>0.23557305873464573</v>
      </c>
      <c r="AP945" s="15">
        <v>5518970</v>
      </c>
      <c r="AQ945" s="18">
        <f t="shared" si="164"/>
        <v>0.42997642676079051</v>
      </c>
      <c r="AR945" s="23">
        <v>45958</v>
      </c>
      <c r="AS945" s="14" t="s">
        <v>79</v>
      </c>
    </row>
    <row r="946" spans="1:45" x14ac:dyDescent="0.25">
      <c r="A946" s="14" t="s">
        <v>2964</v>
      </c>
      <c r="B946" s="14" t="s">
        <v>818</v>
      </c>
      <c r="C946" s="14"/>
      <c r="D946" s="15" t="s">
        <v>2990</v>
      </c>
      <c r="E946" s="14">
        <v>23</v>
      </c>
      <c r="F946" s="14" t="s">
        <v>89</v>
      </c>
      <c r="G946" s="14" t="s">
        <v>127</v>
      </c>
      <c r="H946" s="14" t="s">
        <v>103</v>
      </c>
      <c r="I946" s="14" t="s">
        <v>74</v>
      </c>
      <c r="J946" s="15">
        <v>1826045</v>
      </c>
      <c r="K946" s="14">
        <v>1</v>
      </c>
      <c r="L946" s="14" t="s">
        <v>75</v>
      </c>
      <c r="M946" s="14" t="s">
        <v>76</v>
      </c>
      <c r="N946" s="14" t="s">
        <v>75</v>
      </c>
      <c r="O946" s="14" t="s">
        <v>75</v>
      </c>
      <c r="P946" s="14">
        <v>773</v>
      </c>
      <c r="Q946" s="15"/>
      <c r="R946" s="15">
        <v>35032.67</v>
      </c>
      <c r="S946" s="14" t="s">
        <v>20</v>
      </c>
      <c r="T946" s="15">
        <v>801062</v>
      </c>
      <c r="U946" s="16">
        <f t="shared" si="154"/>
        <v>0.23021997814949793</v>
      </c>
      <c r="V946" s="14">
        <v>0</v>
      </c>
      <c r="W946" s="17">
        <v>7.3</v>
      </c>
      <c r="X946" s="14">
        <v>10.5</v>
      </c>
      <c r="Y946" s="18">
        <f t="shared" si="155"/>
        <v>16.100000000000001</v>
      </c>
      <c r="Z946" s="18" t="str">
        <f t="shared" si="156"/>
        <v>Low</v>
      </c>
      <c r="AA946" s="19" t="str">
        <f t="shared" si="157"/>
        <v>Eligible</v>
      </c>
      <c r="AB946" s="14" t="s">
        <v>85</v>
      </c>
      <c r="AC946" s="14">
        <v>2</v>
      </c>
      <c r="AD946" s="14" t="s">
        <v>194</v>
      </c>
      <c r="AE946" s="17">
        <v>0.9</v>
      </c>
      <c r="AF946" s="15">
        <v>376695</v>
      </c>
      <c r="AG946" s="20">
        <f t="shared" si="158"/>
        <v>2202740</v>
      </c>
      <c r="AH946" s="14">
        <v>0</v>
      </c>
      <c r="AI946" s="14" t="s">
        <v>75</v>
      </c>
      <c r="AJ946" s="14">
        <v>36</v>
      </c>
      <c r="AK946" s="21">
        <f t="shared" si="159"/>
        <v>0.36</v>
      </c>
      <c r="AL946" s="20">
        <f t="shared" si="160"/>
        <v>36691.678976749223</v>
      </c>
      <c r="AM946" s="22">
        <f t="shared" si="161"/>
        <v>0.43868688887732776</v>
      </c>
      <c r="AN946" s="20">
        <f t="shared" si="162"/>
        <v>71724.348976749228</v>
      </c>
      <c r="AO946" s="16">
        <f t="shared" si="163"/>
        <v>0.47134226578260158</v>
      </c>
      <c r="AP946" s="15">
        <v>0</v>
      </c>
      <c r="AQ946" s="18" t="str">
        <f t="shared" si="164"/>
        <v>N/A</v>
      </c>
      <c r="AR946" s="23">
        <v>45902</v>
      </c>
      <c r="AS946" s="14" t="s">
        <v>79</v>
      </c>
    </row>
    <row r="947" spans="1:45" x14ac:dyDescent="0.25">
      <c r="A947" s="14" t="s">
        <v>2966</v>
      </c>
      <c r="B947" s="14" t="s">
        <v>2967</v>
      </c>
      <c r="C947" s="14"/>
      <c r="D947" s="15" t="s">
        <v>2993</v>
      </c>
      <c r="E947" s="14">
        <v>44</v>
      </c>
      <c r="F947" s="14" t="s">
        <v>89</v>
      </c>
      <c r="G947" s="14" t="s">
        <v>127</v>
      </c>
      <c r="H947" s="14" t="s">
        <v>91</v>
      </c>
      <c r="I947" s="14" t="s">
        <v>92</v>
      </c>
      <c r="J947" s="15">
        <v>1295463</v>
      </c>
      <c r="K947" s="14">
        <v>2</v>
      </c>
      <c r="L947" s="14" t="s">
        <v>76</v>
      </c>
      <c r="M947" s="14" t="s">
        <v>76</v>
      </c>
      <c r="N947" s="14" t="s">
        <v>75</v>
      </c>
      <c r="O947" s="14" t="s">
        <v>75</v>
      </c>
      <c r="P947" s="14">
        <v>853</v>
      </c>
      <c r="Q947" s="15"/>
      <c r="R947" s="15">
        <v>20704.259999999998</v>
      </c>
      <c r="S947" s="14" t="s">
        <v>21</v>
      </c>
      <c r="T947" s="15">
        <v>210543</v>
      </c>
      <c r="U947" s="16">
        <f t="shared" si="154"/>
        <v>0.19178557782043948</v>
      </c>
      <c r="V947" s="14">
        <v>0</v>
      </c>
      <c r="W947" s="17">
        <v>62.4</v>
      </c>
      <c r="X947" s="14">
        <v>12.8</v>
      </c>
      <c r="Y947" s="18">
        <f t="shared" si="155"/>
        <v>15.1</v>
      </c>
      <c r="Z947" s="18" t="str">
        <f t="shared" si="156"/>
        <v>Low</v>
      </c>
      <c r="AA947" s="19" t="str">
        <f t="shared" si="157"/>
        <v>Eligible</v>
      </c>
      <c r="AB947" s="14" t="s">
        <v>85</v>
      </c>
      <c r="AC947" s="14">
        <v>0</v>
      </c>
      <c r="AD947" s="14" t="s">
        <v>194</v>
      </c>
      <c r="AE947" s="17">
        <v>9.1</v>
      </c>
      <c r="AF947" s="15">
        <v>185933</v>
      </c>
      <c r="AG947" s="20">
        <f t="shared" si="158"/>
        <v>1481396</v>
      </c>
      <c r="AH947" s="14">
        <v>0</v>
      </c>
      <c r="AI947" s="14" t="s">
        <v>76</v>
      </c>
      <c r="AJ947" s="14">
        <v>12</v>
      </c>
      <c r="AK947" s="21">
        <f t="shared" si="159"/>
        <v>0.14000000000000001</v>
      </c>
      <c r="AL947" s="20">
        <f t="shared" si="160"/>
        <v>18904.049103259837</v>
      </c>
      <c r="AM947" s="22">
        <f t="shared" si="161"/>
        <v>0.16252336037385862</v>
      </c>
      <c r="AN947" s="20">
        <f t="shared" si="162"/>
        <v>39608.309103259831</v>
      </c>
      <c r="AO947" s="16">
        <f t="shared" si="163"/>
        <v>0.36689562669031689</v>
      </c>
      <c r="AP947" s="15">
        <v>0</v>
      </c>
      <c r="AQ947" s="18" t="str">
        <f t="shared" si="164"/>
        <v>N/A</v>
      </c>
      <c r="AR947" s="23">
        <v>46236</v>
      </c>
      <c r="AS947" s="14" t="s">
        <v>79</v>
      </c>
    </row>
    <row r="948" spans="1:45" x14ac:dyDescent="0.25">
      <c r="A948" s="14" t="s">
        <v>2969</v>
      </c>
      <c r="B948" s="14" t="s">
        <v>2970</v>
      </c>
      <c r="C948" s="14">
        <v>9238514760</v>
      </c>
      <c r="D948" s="15" t="s">
        <v>2995</v>
      </c>
      <c r="E948" s="14">
        <v>25</v>
      </c>
      <c r="F948" s="14" t="s">
        <v>89</v>
      </c>
      <c r="G948" s="14" t="s">
        <v>120</v>
      </c>
      <c r="H948" s="14" t="s">
        <v>107</v>
      </c>
      <c r="I948" s="14" t="s">
        <v>92</v>
      </c>
      <c r="J948" s="15">
        <v>1107514</v>
      </c>
      <c r="K948" s="14">
        <v>0</v>
      </c>
      <c r="L948" s="14" t="s">
        <v>75</v>
      </c>
      <c r="M948" s="14" t="s">
        <v>75</v>
      </c>
      <c r="N948" s="14" t="s">
        <v>75</v>
      </c>
      <c r="O948" s="14" t="s">
        <v>75</v>
      </c>
      <c r="P948" s="14">
        <v>826</v>
      </c>
      <c r="Q948" s="15"/>
      <c r="R948" s="15">
        <v>533.57000000000005</v>
      </c>
      <c r="S948" s="14" t="s">
        <v>21</v>
      </c>
      <c r="T948" s="15">
        <v>729310</v>
      </c>
      <c r="U948" s="16">
        <f t="shared" si="154"/>
        <v>5.7812722909146071E-3</v>
      </c>
      <c r="V948" s="14">
        <v>0</v>
      </c>
      <c r="W948" s="17">
        <v>75.3</v>
      </c>
      <c r="X948" s="14">
        <v>7.8</v>
      </c>
      <c r="Y948" s="18">
        <f t="shared" si="155"/>
        <v>12.6</v>
      </c>
      <c r="Z948" s="18" t="str">
        <f t="shared" si="156"/>
        <v>Low</v>
      </c>
      <c r="AA948" s="19" t="str">
        <f t="shared" si="157"/>
        <v>Eligible</v>
      </c>
      <c r="AB948" s="14" t="s">
        <v>77</v>
      </c>
      <c r="AC948" s="14">
        <v>0</v>
      </c>
      <c r="AD948" s="14" t="s">
        <v>93</v>
      </c>
      <c r="AE948" s="17">
        <v>2.8</v>
      </c>
      <c r="AF948" s="15">
        <v>0</v>
      </c>
      <c r="AG948" s="20">
        <f t="shared" si="158"/>
        <v>1107514</v>
      </c>
      <c r="AH948" s="14">
        <v>1</v>
      </c>
      <c r="AI948" s="14" t="s">
        <v>75</v>
      </c>
      <c r="AJ948" s="14">
        <v>60</v>
      </c>
      <c r="AK948" s="21">
        <f t="shared" si="159"/>
        <v>0.14000000000000001</v>
      </c>
      <c r="AL948" s="20">
        <f t="shared" si="160"/>
        <v>16969.76802696694</v>
      </c>
      <c r="AM948" s="22">
        <f t="shared" si="161"/>
        <v>0.6585108630680967</v>
      </c>
      <c r="AN948" s="20">
        <f t="shared" si="162"/>
        <v>17503.33802696694</v>
      </c>
      <c r="AO948" s="16">
        <f t="shared" si="163"/>
        <v>0.18965002367789777</v>
      </c>
      <c r="AP948" s="15">
        <v>0</v>
      </c>
      <c r="AQ948" s="18" t="str">
        <f t="shared" si="164"/>
        <v>N/A</v>
      </c>
      <c r="AR948" s="23">
        <v>46102</v>
      </c>
      <c r="AS948" s="14" t="s">
        <v>79</v>
      </c>
    </row>
    <row r="949" spans="1:45" x14ac:dyDescent="0.25">
      <c r="A949" s="14" t="s">
        <v>2971</v>
      </c>
      <c r="B949" s="14" t="s">
        <v>2972</v>
      </c>
      <c r="C949" s="14">
        <v>9605995936</v>
      </c>
      <c r="D949" s="15" t="s">
        <v>2999</v>
      </c>
      <c r="E949" s="14">
        <v>37</v>
      </c>
      <c r="F949" s="14" t="s">
        <v>89</v>
      </c>
      <c r="G949" s="14" t="s">
        <v>314</v>
      </c>
      <c r="H949" s="14" t="s">
        <v>73</v>
      </c>
      <c r="I949" s="14" t="s">
        <v>74</v>
      </c>
      <c r="J949" s="15">
        <v>2371106</v>
      </c>
      <c r="K949" s="14">
        <v>0</v>
      </c>
      <c r="L949" s="14" t="s">
        <v>75</v>
      </c>
      <c r="M949" s="14" t="s">
        <v>75</v>
      </c>
      <c r="N949" s="14" t="s">
        <v>75</v>
      </c>
      <c r="O949" s="14" t="s">
        <v>75</v>
      </c>
      <c r="P949" s="14">
        <v>722</v>
      </c>
      <c r="Q949" s="15">
        <v>357352</v>
      </c>
      <c r="R949" s="15">
        <v>5799.58</v>
      </c>
      <c r="S949" s="14" t="s">
        <v>22</v>
      </c>
      <c r="T949" s="15"/>
      <c r="U949" s="16">
        <f t="shared" si="154"/>
        <v>2.935126476842452E-2</v>
      </c>
      <c r="V949" s="14">
        <v>0</v>
      </c>
      <c r="W949" s="17">
        <v>18.2</v>
      </c>
      <c r="X949" s="14">
        <v>14.8</v>
      </c>
      <c r="Y949" s="18">
        <f t="shared" si="155"/>
        <v>14.6</v>
      </c>
      <c r="Z949" s="18" t="str">
        <f t="shared" si="156"/>
        <v>Low</v>
      </c>
      <c r="AA949" s="19" t="str">
        <f t="shared" si="157"/>
        <v>Eligible</v>
      </c>
      <c r="AB949" s="14" t="s">
        <v>77</v>
      </c>
      <c r="AC949" s="14">
        <v>2</v>
      </c>
      <c r="AD949" s="14" t="s">
        <v>78</v>
      </c>
      <c r="AE949" s="17">
        <v>2.5</v>
      </c>
      <c r="AF949" s="15">
        <v>0</v>
      </c>
      <c r="AG949" s="20">
        <f t="shared" si="158"/>
        <v>2371106</v>
      </c>
      <c r="AH949" s="14">
        <v>1</v>
      </c>
      <c r="AI949" s="14" t="s">
        <v>75</v>
      </c>
      <c r="AJ949" s="14">
        <v>60</v>
      </c>
      <c r="AK949" s="21">
        <f t="shared" si="159"/>
        <v>0.09</v>
      </c>
      <c r="AL949" s="20">
        <f t="shared" si="160"/>
        <v>0</v>
      </c>
      <c r="AM949" s="22">
        <f t="shared" si="161"/>
        <v>0</v>
      </c>
      <c r="AN949" s="20">
        <f t="shared" si="162"/>
        <v>5799.58</v>
      </c>
      <c r="AO949" s="16">
        <f t="shared" si="163"/>
        <v>2.935126476842452E-2</v>
      </c>
      <c r="AP949" s="15">
        <v>1431385</v>
      </c>
      <c r="AQ949" s="18">
        <f t="shared" si="164"/>
        <v>0</v>
      </c>
      <c r="AR949" s="23">
        <v>45957</v>
      </c>
      <c r="AS949" s="14" t="s">
        <v>79</v>
      </c>
    </row>
    <row r="950" spans="1:45" x14ac:dyDescent="0.25">
      <c r="A950" s="14" t="s">
        <v>2974</v>
      </c>
      <c r="B950" s="14" t="s">
        <v>211</v>
      </c>
      <c r="C950" s="14">
        <v>9103857880</v>
      </c>
      <c r="D950" s="15" t="s">
        <v>3003</v>
      </c>
      <c r="E950" s="14">
        <v>22</v>
      </c>
      <c r="F950" s="14" t="s">
        <v>71</v>
      </c>
      <c r="G950" s="14" t="s">
        <v>388</v>
      </c>
      <c r="H950" s="14" t="s">
        <v>99</v>
      </c>
      <c r="I950" s="14" t="s">
        <v>74</v>
      </c>
      <c r="J950" s="15">
        <v>1398062</v>
      </c>
      <c r="K950" s="14">
        <v>0</v>
      </c>
      <c r="L950" s="14" t="s">
        <v>75</v>
      </c>
      <c r="M950" s="14" t="s">
        <v>75</v>
      </c>
      <c r="N950" s="14" t="s">
        <v>75</v>
      </c>
      <c r="O950" s="14" t="s">
        <v>75</v>
      </c>
      <c r="P950" s="14">
        <v>818</v>
      </c>
      <c r="Q950" s="15">
        <v>191026.19</v>
      </c>
      <c r="R950" s="15">
        <v>508.88</v>
      </c>
      <c r="S950" s="14" t="s">
        <v>20</v>
      </c>
      <c r="T950" s="15">
        <v>403153</v>
      </c>
      <c r="U950" s="16">
        <f t="shared" si="154"/>
        <v>4.3678749583351811E-3</v>
      </c>
      <c r="V950" s="14">
        <v>3</v>
      </c>
      <c r="W950" s="17">
        <v>46.3</v>
      </c>
      <c r="X950" s="14">
        <v>0.4</v>
      </c>
      <c r="Y950" s="18">
        <f t="shared" si="155"/>
        <v>22.2</v>
      </c>
      <c r="Z950" s="18" t="str">
        <f t="shared" si="156"/>
        <v>Low</v>
      </c>
      <c r="AA950" s="19" t="str">
        <f t="shared" si="157"/>
        <v>Review</v>
      </c>
      <c r="AB950" s="14" t="s">
        <v>85</v>
      </c>
      <c r="AC950" s="14">
        <v>0</v>
      </c>
      <c r="AD950" s="14" t="s">
        <v>93</v>
      </c>
      <c r="AE950" s="17">
        <v>0.3</v>
      </c>
      <c r="AF950" s="15">
        <v>0</v>
      </c>
      <c r="AG950" s="20">
        <f t="shared" si="158"/>
        <v>1398062</v>
      </c>
      <c r="AH950" s="14">
        <v>0</v>
      </c>
      <c r="AI950" s="14" t="s">
        <v>75</v>
      </c>
      <c r="AJ950" s="14">
        <v>24</v>
      </c>
      <c r="AK950" s="21">
        <f t="shared" si="159"/>
        <v>0.36</v>
      </c>
      <c r="AL950" s="20">
        <f t="shared" si="160"/>
        <v>23805.142882075055</v>
      </c>
      <c r="AM950" s="22">
        <f t="shared" si="161"/>
        <v>0.28836560896440933</v>
      </c>
      <c r="AN950" s="20">
        <f t="shared" si="162"/>
        <v>24314.022882075056</v>
      </c>
      <c r="AO950" s="16">
        <f t="shared" si="163"/>
        <v>0.2086948036531289</v>
      </c>
      <c r="AP950" s="15">
        <v>0</v>
      </c>
      <c r="AQ950" s="18" t="str">
        <f t="shared" si="164"/>
        <v>N/A</v>
      </c>
      <c r="AR950" s="23">
        <v>45966</v>
      </c>
      <c r="AS950" s="14" t="s">
        <v>79</v>
      </c>
    </row>
    <row r="951" spans="1:45" x14ac:dyDescent="0.25">
      <c r="A951" s="14" t="s">
        <v>2977</v>
      </c>
      <c r="B951" s="14" t="s">
        <v>2978</v>
      </c>
      <c r="C951" s="14">
        <v>9795700566</v>
      </c>
      <c r="D951" s="15" t="s">
        <v>3005</v>
      </c>
      <c r="E951" s="14">
        <v>50</v>
      </c>
      <c r="F951" s="14" t="s">
        <v>71</v>
      </c>
      <c r="G951" s="14" t="s">
        <v>98</v>
      </c>
      <c r="H951" s="14" t="s">
        <v>99</v>
      </c>
      <c r="I951" s="14" t="s">
        <v>74</v>
      </c>
      <c r="J951" s="15">
        <v>1308309</v>
      </c>
      <c r="K951" s="14">
        <v>2</v>
      </c>
      <c r="L951" s="14" t="s">
        <v>76</v>
      </c>
      <c r="M951" s="14" t="s">
        <v>76</v>
      </c>
      <c r="N951" s="14" t="s">
        <v>75</v>
      </c>
      <c r="O951" s="14" t="s">
        <v>75</v>
      </c>
      <c r="P951" s="14">
        <v>469</v>
      </c>
      <c r="Q951" s="15">
        <v>566162</v>
      </c>
      <c r="R951" s="15">
        <v>22967.75</v>
      </c>
      <c r="S951" s="14" t="s">
        <v>21</v>
      </c>
      <c r="T951" s="15">
        <v>65581</v>
      </c>
      <c r="U951" s="16">
        <f t="shared" si="154"/>
        <v>0.2106635359078016</v>
      </c>
      <c r="V951" s="14">
        <v>0</v>
      </c>
      <c r="W951" s="17">
        <v>29.4</v>
      </c>
      <c r="X951" s="14">
        <v>4.7</v>
      </c>
      <c r="Y951" s="18">
        <f t="shared" si="155"/>
        <v>38</v>
      </c>
      <c r="Z951" s="18" t="str">
        <f t="shared" si="156"/>
        <v>Medium</v>
      </c>
      <c r="AA951" s="19" t="str">
        <f t="shared" si="157"/>
        <v>Not Eligible</v>
      </c>
      <c r="AB951" s="14" t="s">
        <v>85</v>
      </c>
      <c r="AC951" s="14">
        <v>2</v>
      </c>
      <c r="AD951" s="14" t="s">
        <v>78</v>
      </c>
      <c r="AE951" s="17">
        <v>26.8</v>
      </c>
      <c r="AF951" s="15">
        <v>0</v>
      </c>
      <c r="AG951" s="20">
        <f t="shared" si="158"/>
        <v>1308309</v>
      </c>
      <c r="AH951" s="14">
        <v>1</v>
      </c>
      <c r="AI951" s="14" t="s">
        <v>75</v>
      </c>
      <c r="AJ951" s="14">
        <v>48</v>
      </c>
      <c r="AK951" s="21">
        <f t="shared" si="159"/>
        <v>0.15500000000000003</v>
      </c>
      <c r="AL951" s="20">
        <f t="shared" si="160"/>
        <v>1841.8331311964239</v>
      </c>
      <c r="AM951" s="22">
        <f t="shared" si="161"/>
        <v>5.0126537385281306E-2</v>
      </c>
      <c r="AN951" s="20">
        <f t="shared" si="162"/>
        <v>24809.583131196425</v>
      </c>
      <c r="AO951" s="16">
        <f t="shared" si="163"/>
        <v>0.22755709666015986</v>
      </c>
      <c r="AP951" s="15">
        <v>0</v>
      </c>
      <c r="AQ951" s="18" t="str">
        <f t="shared" si="164"/>
        <v>N/A</v>
      </c>
      <c r="AR951" s="23">
        <v>46154</v>
      </c>
      <c r="AS951" s="14" t="s">
        <v>79</v>
      </c>
    </row>
    <row r="952" spans="1:45" x14ac:dyDescent="0.25">
      <c r="A952" s="14" t="s">
        <v>2980</v>
      </c>
      <c r="B952" s="14" t="s">
        <v>2981</v>
      </c>
      <c r="C952" s="14">
        <v>9670719782</v>
      </c>
      <c r="D952" s="15" t="s">
        <v>3008</v>
      </c>
      <c r="E952" s="14">
        <v>35</v>
      </c>
      <c r="F952" s="14" t="s">
        <v>71</v>
      </c>
      <c r="G952" s="14" t="s">
        <v>174</v>
      </c>
      <c r="H952" s="14" t="s">
        <v>84</v>
      </c>
      <c r="I952" s="14" t="s">
        <v>74</v>
      </c>
      <c r="J952" s="15">
        <v>401955</v>
      </c>
      <c r="K952" s="14">
        <v>0</v>
      </c>
      <c r="L952" s="14" t="s">
        <v>75</v>
      </c>
      <c r="M952" s="14" t="s">
        <v>75</v>
      </c>
      <c r="N952" s="14" t="s">
        <v>75</v>
      </c>
      <c r="O952" s="14" t="s">
        <v>75</v>
      </c>
      <c r="P952" s="14">
        <v>387</v>
      </c>
      <c r="Q952" s="15"/>
      <c r="R952" s="15">
        <v>1056.28</v>
      </c>
      <c r="S952" s="14" t="s">
        <v>22</v>
      </c>
      <c r="T952" s="15"/>
      <c r="U952" s="16">
        <f t="shared" si="154"/>
        <v>3.1534276224950558E-2</v>
      </c>
      <c r="V952" s="14">
        <v>3</v>
      </c>
      <c r="W952" s="17">
        <v>91.4</v>
      </c>
      <c r="X952" s="14">
        <v>10.5</v>
      </c>
      <c r="Y952" s="18">
        <f t="shared" si="155"/>
        <v>56.3</v>
      </c>
      <c r="Z952" s="18" t="str">
        <f t="shared" si="156"/>
        <v>Medium</v>
      </c>
      <c r="AA952" s="19" t="str">
        <f t="shared" si="157"/>
        <v>Not Eligible</v>
      </c>
      <c r="AB952" s="14" t="s">
        <v>85</v>
      </c>
      <c r="AC952" s="14">
        <v>1</v>
      </c>
      <c r="AD952" s="14" t="s">
        <v>93</v>
      </c>
      <c r="AE952" s="17">
        <v>8.6999999999999993</v>
      </c>
      <c r="AF952" s="15">
        <v>417248</v>
      </c>
      <c r="AG952" s="20">
        <f t="shared" si="158"/>
        <v>819203</v>
      </c>
      <c r="AH952" s="14">
        <v>0</v>
      </c>
      <c r="AI952" s="14" t="s">
        <v>75</v>
      </c>
      <c r="AJ952" s="14">
        <v>84</v>
      </c>
      <c r="AK952" s="21">
        <f t="shared" si="159"/>
        <v>0.105</v>
      </c>
      <c r="AL952" s="20">
        <f t="shared" si="160"/>
        <v>0</v>
      </c>
      <c r="AM952" s="22">
        <f t="shared" si="161"/>
        <v>0</v>
      </c>
      <c r="AN952" s="20">
        <f t="shared" si="162"/>
        <v>1056.28</v>
      </c>
      <c r="AO952" s="16">
        <f t="shared" si="163"/>
        <v>3.1534276224950558E-2</v>
      </c>
      <c r="AP952" s="15">
        <v>498700</v>
      </c>
      <c r="AQ952" s="18">
        <f t="shared" si="164"/>
        <v>0</v>
      </c>
      <c r="AR952" s="23">
        <v>46094</v>
      </c>
      <c r="AS952" s="14" t="s">
        <v>94</v>
      </c>
    </row>
    <row r="953" spans="1:45" x14ac:dyDescent="0.25">
      <c r="A953" s="14" t="s">
        <v>2983</v>
      </c>
      <c r="B953" s="14" t="s">
        <v>2984</v>
      </c>
      <c r="C953" s="14">
        <v>9632495830</v>
      </c>
      <c r="D953" s="15" t="s">
        <v>3012</v>
      </c>
      <c r="E953" s="14">
        <v>46</v>
      </c>
      <c r="F953" s="14" t="s">
        <v>89</v>
      </c>
      <c r="G953" s="14" t="s">
        <v>127</v>
      </c>
      <c r="H953" s="14" t="s">
        <v>91</v>
      </c>
      <c r="I953" s="14" t="s">
        <v>92</v>
      </c>
      <c r="J953" s="15">
        <v>911337</v>
      </c>
      <c r="K953" s="14">
        <v>2</v>
      </c>
      <c r="L953" s="14" t="s">
        <v>76</v>
      </c>
      <c r="M953" s="14" t="s">
        <v>75</v>
      </c>
      <c r="N953" s="14" t="s">
        <v>76</v>
      </c>
      <c r="O953" s="14" t="s">
        <v>75</v>
      </c>
      <c r="P953" s="14">
        <v>479</v>
      </c>
      <c r="Q953" s="15">
        <v>328278</v>
      </c>
      <c r="R953" s="15">
        <v>10011.120000000001</v>
      </c>
      <c r="S953" s="14" t="s">
        <v>23</v>
      </c>
      <c r="T953" s="15">
        <v>518271</v>
      </c>
      <c r="U953" s="16">
        <f t="shared" si="154"/>
        <v>0.13182109362398323</v>
      </c>
      <c r="V953" s="14">
        <v>2</v>
      </c>
      <c r="W953" s="17">
        <v>73.5</v>
      </c>
      <c r="X953" s="14">
        <v>14.6</v>
      </c>
      <c r="Y953" s="18">
        <f t="shared" si="155"/>
        <v>47.4</v>
      </c>
      <c r="Z953" s="18" t="str">
        <f t="shared" si="156"/>
        <v>Medium</v>
      </c>
      <c r="AA953" s="19" t="str">
        <f t="shared" si="157"/>
        <v>Not Eligible</v>
      </c>
      <c r="AB953" s="14" t="s">
        <v>77</v>
      </c>
      <c r="AC953" s="14">
        <v>0</v>
      </c>
      <c r="AD953" s="14" t="s">
        <v>93</v>
      </c>
      <c r="AE953" s="17">
        <v>24.4</v>
      </c>
      <c r="AF953" s="15">
        <v>0</v>
      </c>
      <c r="AG953" s="20">
        <f t="shared" si="158"/>
        <v>911337</v>
      </c>
      <c r="AH953" s="14">
        <v>0</v>
      </c>
      <c r="AI953" s="14" t="s">
        <v>75</v>
      </c>
      <c r="AJ953" s="14">
        <v>360</v>
      </c>
      <c r="AK953" s="21">
        <f t="shared" si="159"/>
        <v>0.1</v>
      </c>
      <c r="AL953" s="20">
        <f t="shared" si="160"/>
        <v>4548.1989520149182</v>
      </c>
      <c r="AM953" s="22">
        <f t="shared" si="161"/>
        <v>0.56869303013045669</v>
      </c>
      <c r="AN953" s="20">
        <f t="shared" si="162"/>
        <v>14559.318952014919</v>
      </c>
      <c r="AO953" s="16">
        <f t="shared" si="163"/>
        <v>0.19170935386600021</v>
      </c>
      <c r="AP953" s="15">
        <v>7548971</v>
      </c>
      <c r="AQ953" s="18">
        <f t="shared" si="164"/>
        <v>6.8654522583276575E-2</v>
      </c>
      <c r="AR953" s="23">
        <v>45969</v>
      </c>
      <c r="AS953" s="14" t="s">
        <v>79</v>
      </c>
    </row>
    <row r="954" spans="1:45" x14ac:dyDescent="0.25">
      <c r="A954" s="14" t="s">
        <v>2986</v>
      </c>
      <c r="B954" s="14" t="s">
        <v>1099</v>
      </c>
      <c r="C954" s="14">
        <v>9316270437</v>
      </c>
      <c r="D954" s="15" t="s">
        <v>3015</v>
      </c>
      <c r="E954" s="14">
        <v>25</v>
      </c>
      <c r="F954" s="14" t="s">
        <v>89</v>
      </c>
      <c r="G954" s="14" t="s">
        <v>388</v>
      </c>
      <c r="H954" s="14" t="s">
        <v>99</v>
      </c>
      <c r="I954" s="14" t="s">
        <v>74</v>
      </c>
      <c r="J954" s="15">
        <v>2212810</v>
      </c>
      <c r="K954" s="14">
        <v>1</v>
      </c>
      <c r="L954" s="14" t="s">
        <v>76</v>
      </c>
      <c r="M954" s="14" t="s">
        <v>75</v>
      </c>
      <c r="N954" s="14" t="s">
        <v>75</v>
      </c>
      <c r="O954" s="14" t="s">
        <v>75</v>
      </c>
      <c r="P954" s="14">
        <v>702</v>
      </c>
      <c r="Q954" s="15"/>
      <c r="R954" s="15">
        <v>31017.39</v>
      </c>
      <c r="S954" s="14" t="s">
        <v>23</v>
      </c>
      <c r="T954" s="15">
        <v>57374</v>
      </c>
      <c r="U954" s="16">
        <f t="shared" si="154"/>
        <v>0.16820634396988443</v>
      </c>
      <c r="V954" s="14">
        <v>0</v>
      </c>
      <c r="W954" s="17">
        <v>39.700000000000003</v>
      </c>
      <c r="X954" s="14">
        <v>8.4</v>
      </c>
      <c r="Y954" s="18">
        <f t="shared" si="155"/>
        <v>22.2</v>
      </c>
      <c r="Z954" s="18" t="str">
        <f t="shared" si="156"/>
        <v>Low</v>
      </c>
      <c r="AA954" s="19" t="str">
        <f t="shared" si="157"/>
        <v>Eligible</v>
      </c>
      <c r="AB954" s="14" t="s">
        <v>77</v>
      </c>
      <c r="AC954" s="14">
        <v>0</v>
      </c>
      <c r="AD954" s="14" t="s">
        <v>78</v>
      </c>
      <c r="AE954" s="17">
        <v>3.2</v>
      </c>
      <c r="AF954" s="15">
        <v>0</v>
      </c>
      <c r="AG954" s="20">
        <f t="shared" si="158"/>
        <v>2212810</v>
      </c>
      <c r="AH954" s="14">
        <v>0</v>
      </c>
      <c r="AI954" s="14" t="s">
        <v>76</v>
      </c>
      <c r="AJ954" s="14">
        <v>120</v>
      </c>
      <c r="AK954" s="21">
        <f t="shared" si="159"/>
        <v>8.5000000000000006E-2</v>
      </c>
      <c r="AL954" s="20">
        <f t="shared" si="160"/>
        <v>711.35549134862015</v>
      </c>
      <c r="AM954" s="22">
        <f t="shared" si="161"/>
        <v>2.5928118546102014E-2</v>
      </c>
      <c r="AN954" s="20">
        <f t="shared" si="162"/>
        <v>31728.745491348618</v>
      </c>
      <c r="AO954" s="16">
        <f t="shared" si="163"/>
        <v>0.17206400273687458</v>
      </c>
      <c r="AP954" s="15">
        <v>3169839</v>
      </c>
      <c r="AQ954" s="18">
        <f t="shared" si="164"/>
        <v>1.8099972900831873E-2</v>
      </c>
      <c r="AR954" s="23">
        <v>46155</v>
      </c>
      <c r="AS954" s="14" t="s">
        <v>79</v>
      </c>
    </row>
    <row r="955" spans="1:45" x14ac:dyDescent="0.25">
      <c r="A955" s="14" t="s">
        <v>2988</v>
      </c>
      <c r="B955" s="14" t="s">
        <v>2989</v>
      </c>
      <c r="C955" s="14"/>
      <c r="D955" s="15"/>
      <c r="E955" s="14">
        <v>29</v>
      </c>
      <c r="F955" s="14" t="s">
        <v>89</v>
      </c>
      <c r="G955" s="14" t="s">
        <v>131</v>
      </c>
      <c r="H955" s="14" t="s">
        <v>132</v>
      </c>
      <c r="I955" s="14" t="s">
        <v>92</v>
      </c>
      <c r="J955" s="15">
        <v>764018</v>
      </c>
      <c r="K955" s="14">
        <v>1</v>
      </c>
      <c r="L955" s="14" t="s">
        <v>76</v>
      </c>
      <c r="M955" s="14" t="s">
        <v>75</v>
      </c>
      <c r="N955" s="14" t="s">
        <v>75</v>
      </c>
      <c r="O955" s="14" t="s">
        <v>75</v>
      </c>
      <c r="P955" s="14">
        <v>385</v>
      </c>
      <c r="Q955" s="15">
        <v>119993</v>
      </c>
      <c r="R955" s="15">
        <v>1968.47</v>
      </c>
      <c r="S955" s="14" t="s">
        <v>21</v>
      </c>
      <c r="T955" s="15">
        <v>5799409</v>
      </c>
      <c r="U955" s="16">
        <f t="shared" si="154"/>
        <v>3.0917648537076351E-2</v>
      </c>
      <c r="V955" s="14">
        <v>0</v>
      </c>
      <c r="W955" s="17">
        <v>38.5</v>
      </c>
      <c r="X955" s="14">
        <v>13.8</v>
      </c>
      <c r="Y955" s="18">
        <f t="shared" si="155"/>
        <v>39.1</v>
      </c>
      <c r="Z955" s="18" t="str">
        <f t="shared" si="156"/>
        <v>Medium</v>
      </c>
      <c r="AA955" s="19" t="str">
        <f t="shared" si="157"/>
        <v>Not Eligible</v>
      </c>
      <c r="AB955" s="14" t="s">
        <v>85</v>
      </c>
      <c r="AC955" s="14">
        <v>0</v>
      </c>
      <c r="AD955" s="14" t="s">
        <v>78</v>
      </c>
      <c r="AE955" s="17">
        <v>1.3</v>
      </c>
      <c r="AF955" s="15">
        <v>486892</v>
      </c>
      <c r="AG955" s="20">
        <f t="shared" si="158"/>
        <v>1250910</v>
      </c>
      <c r="AH955" s="14">
        <v>0</v>
      </c>
      <c r="AI955" s="14" t="s">
        <v>75</v>
      </c>
      <c r="AJ955" s="14">
        <v>60</v>
      </c>
      <c r="AK955" s="21">
        <f t="shared" si="159"/>
        <v>0.15500000000000003</v>
      </c>
      <c r="AL955" s="20">
        <f t="shared" si="160"/>
        <v>139494.29282637857</v>
      </c>
      <c r="AM955" s="22">
        <f t="shared" si="161"/>
        <v>7.5906706386498746</v>
      </c>
      <c r="AN955" s="20">
        <f t="shared" si="162"/>
        <v>141462.76282637857</v>
      </c>
      <c r="AO955" s="16">
        <f t="shared" si="163"/>
        <v>2.221875864071976</v>
      </c>
      <c r="AP955" s="15">
        <v>0</v>
      </c>
      <c r="AQ955" s="18" t="str">
        <f t="shared" si="164"/>
        <v>N/A</v>
      </c>
      <c r="AR955" s="23">
        <v>46135</v>
      </c>
      <c r="AS955" s="14" t="s">
        <v>79</v>
      </c>
    </row>
    <row r="956" spans="1:45" x14ac:dyDescent="0.25">
      <c r="A956" s="14" t="s">
        <v>2991</v>
      </c>
      <c r="B956" s="14" t="s">
        <v>2992</v>
      </c>
      <c r="C956" s="14"/>
      <c r="D956" s="15" t="s">
        <v>3020</v>
      </c>
      <c r="E956" s="14">
        <v>52</v>
      </c>
      <c r="F956" s="14" t="s">
        <v>89</v>
      </c>
      <c r="G956" s="14" t="s">
        <v>388</v>
      </c>
      <c r="H956" s="14" t="s">
        <v>99</v>
      </c>
      <c r="I956" s="14" t="s">
        <v>74</v>
      </c>
      <c r="J956" s="15">
        <v>1668379</v>
      </c>
      <c r="K956" s="14">
        <v>1</v>
      </c>
      <c r="L956" s="14" t="s">
        <v>76</v>
      </c>
      <c r="M956" s="14" t="s">
        <v>75</v>
      </c>
      <c r="N956" s="14" t="s">
        <v>75</v>
      </c>
      <c r="O956" s="14" t="s">
        <v>75</v>
      </c>
      <c r="P956" s="14">
        <v>393</v>
      </c>
      <c r="Q956" s="15">
        <v>713620.14</v>
      </c>
      <c r="R956" s="15">
        <v>52702.65</v>
      </c>
      <c r="S956" s="14" t="s">
        <v>20</v>
      </c>
      <c r="T956" s="15">
        <v>6870802</v>
      </c>
      <c r="U956" s="16">
        <f t="shared" si="154"/>
        <v>0.37906962386843762</v>
      </c>
      <c r="V956" s="14">
        <v>4</v>
      </c>
      <c r="W956" s="17">
        <v>8.1</v>
      </c>
      <c r="X956" s="14">
        <v>1.9</v>
      </c>
      <c r="Y956" s="18">
        <f t="shared" si="155"/>
        <v>62</v>
      </c>
      <c r="Z956" s="18" t="str">
        <f t="shared" si="156"/>
        <v>High</v>
      </c>
      <c r="AA956" s="19" t="str">
        <f t="shared" si="157"/>
        <v>Not Eligible</v>
      </c>
      <c r="AB956" s="14" t="s">
        <v>85</v>
      </c>
      <c r="AC956" s="14">
        <v>2</v>
      </c>
      <c r="AD956" s="14" t="s">
        <v>78</v>
      </c>
      <c r="AE956" s="17">
        <v>4.0999999999999996</v>
      </c>
      <c r="AF956" s="15">
        <v>0</v>
      </c>
      <c r="AG956" s="20">
        <f t="shared" si="158"/>
        <v>1668379</v>
      </c>
      <c r="AH956" s="14">
        <v>0</v>
      </c>
      <c r="AI956" s="14" t="s">
        <v>75</v>
      </c>
      <c r="AJ956" s="14">
        <v>12</v>
      </c>
      <c r="AK956" s="21">
        <f t="shared" si="159"/>
        <v>0.39</v>
      </c>
      <c r="AL956" s="20">
        <f t="shared" si="160"/>
        <v>700596.35780661216</v>
      </c>
      <c r="AM956" s="22">
        <f t="shared" si="161"/>
        <v>4.1182501098371533</v>
      </c>
      <c r="AN956" s="20">
        <f t="shared" si="162"/>
        <v>753299.00780661218</v>
      </c>
      <c r="AO956" s="16">
        <f t="shared" si="163"/>
        <v>5.4181862116937136</v>
      </c>
      <c r="AP956" s="15">
        <v>0</v>
      </c>
      <c r="AQ956" s="18" t="str">
        <f t="shared" si="164"/>
        <v>N/A</v>
      </c>
      <c r="AR956" s="23">
        <v>46002</v>
      </c>
      <c r="AS956" s="14" t="s">
        <v>79</v>
      </c>
    </row>
    <row r="957" spans="1:45" x14ac:dyDescent="0.25">
      <c r="A957" s="14" t="s">
        <v>2994</v>
      </c>
      <c r="B957" s="14" t="s">
        <v>947</v>
      </c>
      <c r="C957" s="14">
        <v>9756296671</v>
      </c>
      <c r="D957" s="15" t="s">
        <v>3023</v>
      </c>
      <c r="E957" s="14">
        <v>23</v>
      </c>
      <c r="F957" s="14" t="s">
        <v>71</v>
      </c>
      <c r="G957" s="14" t="s">
        <v>314</v>
      </c>
      <c r="H957" s="14" t="s">
        <v>91</v>
      </c>
      <c r="I957" s="14" t="s">
        <v>92</v>
      </c>
      <c r="J957" s="15">
        <v>311830</v>
      </c>
      <c r="K957" s="14">
        <v>2</v>
      </c>
      <c r="L957" s="14" t="s">
        <v>75</v>
      </c>
      <c r="M957" s="14" t="s">
        <v>76</v>
      </c>
      <c r="N957" s="14" t="s">
        <v>75</v>
      </c>
      <c r="O957" s="14" t="s">
        <v>76</v>
      </c>
      <c r="P957" s="14">
        <v>581</v>
      </c>
      <c r="Q957" s="15"/>
      <c r="R957" s="15">
        <v>901.23</v>
      </c>
      <c r="S957" s="14" t="s">
        <v>22</v>
      </c>
      <c r="T957" s="15">
        <v>218399</v>
      </c>
      <c r="U957" s="16">
        <f t="shared" si="154"/>
        <v>3.4681589327518199E-2</v>
      </c>
      <c r="V957" s="14">
        <v>1</v>
      </c>
      <c r="W957" s="17">
        <v>98.2</v>
      </c>
      <c r="X957" s="14">
        <v>11.6</v>
      </c>
      <c r="Y957" s="18">
        <f t="shared" si="155"/>
        <v>36.1</v>
      </c>
      <c r="Z957" s="18" t="str">
        <f t="shared" si="156"/>
        <v>Medium</v>
      </c>
      <c r="AA957" s="19" t="str">
        <f t="shared" si="157"/>
        <v>Review</v>
      </c>
      <c r="AB957" s="14" t="s">
        <v>85</v>
      </c>
      <c r="AC957" s="14">
        <v>4</v>
      </c>
      <c r="AD957" s="14" t="s">
        <v>78</v>
      </c>
      <c r="AE957" s="17">
        <v>1.3</v>
      </c>
      <c r="AF957" s="15">
        <v>0</v>
      </c>
      <c r="AG957" s="20">
        <f t="shared" si="158"/>
        <v>311830</v>
      </c>
      <c r="AH957" s="14">
        <v>1</v>
      </c>
      <c r="AI957" s="14" t="s">
        <v>75</v>
      </c>
      <c r="AJ957" s="14">
        <v>60</v>
      </c>
      <c r="AK957" s="21">
        <f t="shared" si="159"/>
        <v>0.105</v>
      </c>
      <c r="AL957" s="20">
        <f t="shared" si="160"/>
        <v>4694.2463486804745</v>
      </c>
      <c r="AM957" s="22">
        <f t="shared" si="161"/>
        <v>0.70037841131385692</v>
      </c>
      <c r="AN957" s="20">
        <f t="shared" si="162"/>
        <v>5595.476348680475</v>
      </c>
      <c r="AO957" s="16">
        <f t="shared" si="163"/>
        <v>0.21532795492468879</v>
      </c>
      <c r="AP957" s="15">
        <v>888334</v>
      </c>
      <c r="AQ957" s="18">
        <f t="shared" si="164"/>
        <v>0.24585234832844402</v>
      </c>
      <c r="AR957" s="23">
        <v>46113</v>
      </c>
      <c r="AS957" s="14" t="s">
        <v>79</v>
      </c>
    </row>
    <row r="958" spans="1:45" x14ac:dyDescent="0.25">
      <c r="A958" s="14" t="s">
        <v>2996</v>
      </c>
      <c r="B958" s="14" t="s">
        <v>2997</v>
      </c>
      <c r="C958" s="14"/>
      <c r="D958" s="15" t="s">
        <v>3026</v>
      </c>
      <c r="E958" s="14">
        <v>21</v>
      </c>
      <c r="F958" s="14" t="s">
        <v>71</v>
      </c>
      <c r="G958" s="14" t="s">
        <v>388</v>
      </c>
      <c r="H958" s="14" t="s">
        <v>166</v>
      </c>
      <c r="I958" s="14" t="s">
        <v>74</v>
      </c>
      <c r="J958" s="15">
        <v>1366356</v>
      </c>
      <c r="K958" s="14">
        <v>3</v>
      </c>
      <c r="L958" s="14" t="s">
        <v>76</v>
      </c>
      <c r="M958" s="14" t="s">
        <v>75</v>
      </c>
      <c r="N958" s="14" t="s">
        <v>76</v>
      </c>
      <c r="O958" s="14" t="s">
        <v>76</v>
      </c>
      <c r="P958" s="14">
        <v>401</v>
      </c>
      <c r="Q958" s="15">
        <v>468839.02</v>
      </c>
      <c r="R958" s="15">
        <v>12762.57</v>
      </c>
      <c r="S958" s="14" t="s">
        <v>23</v>
      </c>
      <c r="T958" s="15">
        <v>998111</v>
      </c>
      <c r="U958" s="16">
        <f t="shared" si="154"/>
        <v>0.11208706954849249</v>
      </c>
      <c r="V958" s="14">
        <v>0</v>
      </c>
      <c r="W958" s="17">
        <v>56.9</v>
      </c>
      <c r="X958" s="14">
        <v>4.5</v>
      </c>
      <c r="Y958" s="18">
        <f t="shared" si="155"/>
        <v>42.3</v>
      </c>
      <c r="Z958" s="18" t="str">
        <f t="shared" si="156"/>
        <v>Medium</v>
      </c>
      <c r="AA958" s="19" t="str">
        <f t="shared" si="157"/>
        <v>Not Eligible</v>
      </c>
      <c r="AB958" s="14" t="s">
        <v>77</v>
      </c>
      <c r="AC958" s="14">
        <v>2</v>
      </c>
      <c r="AD958" s="14" t="s">
        <v>78</v>
      </c>
      <c r="AE958" s="17">
        <v>0.3</v>
      </c>
      <c r="AF958" s="15">
        <v>0</v>
      </c>
      <c r="AG958" s="20">
        <f t="shared" si="158"/>
        <v>1366356</v>
      </c>
      <c r="AH958" s="14">
        <v>0</v>
      </c>
      <c r="AI958" s="14" t="s">
        <v>75</v>
      </c>
      <c r="AJ958" s="14">
        <v>180</v>
      </c>
      <c r="AK958" s="21">
        <f t="shared" si="159"/>
        <v>0.1</v>
      </c>
      <c r="AL958" s="20">
        <f t="shared" si="160"/>
        <v>10725.751886407654</v>
      </c>
      <c r="AM958" s="22">
        <f t="shared" si="161"/>
        <v>0.73049117506711281</v>
      </c>
      <c r="AN958" s="20">
        <f t="shared" si="162"/>
        <v>23488.321886407655</v>
      </c>
      <c r="AO958" s="16">
        <f t="shared" si="163"/>
        <v>0.20628581616862068</v>
      </c>
      <c r="AP958" s="15">
        <v>1989081</v>
      </c>
      <c r="AQ958" s="18">
        <f t="shared" si="164"/>
        <v>0.50179505007588932</v>
      </c>
      <c r="AR958" s="23">
        <v>46106</v>
      </c>
      <c r="AS958" s="14" t="s">
        <v>79</v>
      </c>
    </row>
    <row r="959" spans="1:45" x14ac:dyDescent="0.25">
      <c r="A959" s="14" t="s">
        <v>3000</v>
      </c>
      <c r="B959" s="14" t="s">
        <v>3001</v>
      </c>
      <c r="C959" s="14">
        <v>9436684605</v>
      </c>
      <c r="D959" s="15" t="s">
        <v>3030</v>
      </c>
      <c r="E959" s="14">
        <v>39</v>
      </c>
      <c r="F959" s="14" t="s">
        <v>71</v>
      </c>
      <c r="G959" s="14" t="s">
        <v>139</v>
      </c>
      <c r="H959" s="14" t="s">
        <v>103</v>
      </c>
      <c r="I959" s="14" t="s">
        <v>74</v>
      </c>
      <c r="J959" s="15">
        <v>325464</v>
      </c>
      <c r="K959" s="14">
        <v>2</v>
      </c>
      <c r="L959" s="14" t="s">
        <v>76</v>
      </c>
      <c r="M959" s="14" t="s">
        <v>76</v>
      </c>
      <c r="N959" s="14" t="s">
        <v>75</v>
      </c>
      <c r="O959" s="14" t="s">
        <v>75</v>
      </c>
      <c r="P959" s="14">
        <v>886</v>
      </c>
      <c r="Q959" s="15"/>
      <c r="R959" s="15">
        <v>5027.01</v>
      </c>
      <c r="S959" s="14" t="s">
        <v>20</v>
      </c>
      <c r="T959" s="15">
        <v>1188942</v>
      </c>
      <c r="U959" s="16">
        <f t="shared" si="154"/>
        <v>0.18534805692795517</v>
      </c>
      <c r="V959" s="14">
        <v>2</v>
      </c>
      <c r="W959" s="17">
        <v>23.5</v>
      </c>
      <c r="X959" s="14">
        <v>5.0999999999999996</v>
      </c>
      <c r="Y959" s="18">
        <f t="shared" si="155"/>
        <v>16.8</v>
      </c>
      <c r="Z959" s="18" t="str">
        <f t="shared" si="156"/>
        <v>Low</v>
      </c>
      <c r="AA959" s="19" t="str">
        <f t="shared" si="157"/>
        <v>Eligible</v>
      </c>
      <c r="AB959" s="14" t="s">
        <v>85</v>
      </c>
      <c r="AC959" s="14">
        <v>1</v>
      </c>
      <c r="AD959" s="14" t="s">
        <v>78</v>
      </c>
      <c r="AE959" s="17">
        <v>4.5999999999999996</v>
      </c>
      <c r="AF959" s="15">
        <v>645494</v>
      </c>
      <c r="AG959" s="20">
        <f t="shared" si="158"/>
        <v>970958</v>
      </c>
      <c r="AH959" s="14">
        <v>3</v>
      </c>
      <c r="AI959" s="14" t="s">
        <v>76</v>
      </c>
      <c r="AJ959" s="14">
        <v>24</v>
      </c>
      <c r="AK959" s="21">
        <f t="shared" si="159"/>
        <v>0.36</v>
      </c>
      <c r="AL959" s="20">
        <f t="shared" si="160"/>
        <v>70203.952813200143</v>
      </c>
      <c r="AM959" s="22">
        <f t="shared" si="161"/>
        <v>3.6530676203819779</v>
      </c>
      <c r="AN959" s="20">
        <f t="shared" si="162"/>
        <v>75230.962813200138</v>
      </c>
      <c r="AO959" s="16">
        <f t="shared" si="163"/>
        <v>2.7737984961728537</v>
      </c>
      <c r="AP959" s="15">
        <v>0</v>
      </c>
      <c r="AQ959" s="18" t="str">
        <f t="shared" si="164"/>
        <v>N/A</v>
      </c>
      <c r="AR959" s="23">
        <v>46152</v>
      </c>
      <c r="AS959" s="14" t="s">
        <v>79</v>
      </c>
    </row>
    <row r="960" spans="1:45" x14ac:dyDescent="0.25">
      <c r="A960" s="14" t="s">
        <v>3004</v>
      </c>
      <c r="B960" s="14" t="s">
        <v>855</v>
      </c>
      <c r="C960" s="14"/>
      <c r="D960" s="15" t="s">
        <v>3033</v>
      </c>
      <c r="E960" s="14">
        <v>36</v>
      </c>
      <c r="F960" s="14" t="s">
        <v>89</v>
      </c>
      <c r="G960" s="14" t="s">
        <v>215</v>
      </c>
      <c r="H960" s="14" t="s">
        <v>166</v>
      </c>
      <c r="I960" s="14" t="s">
        <v>74</v>
      </c>
      <c r="J960" s="15">
        <v>1583719</v>
      </c>
      <c r="K960" s="14">
        <v>1</v>
      </c>
      <c r="L960" s="14" t="s">
        <v>76</v>
      </c>
      <c r="M960" s="14" t="s">
        <v>75</v>
      </c>
      <c r="N960" s="14" t="s">
        <v>75</v>
      </c>
      <c r="O960" s="14" t="s">
        <v>75</v>
      </c>
      <c r="P960" s="14">
        <v>503</v>
      </c>
      <c r="Q960" s="15"/>
      <c r="R960" s="15">
        <v>40440.11</v>
      </c>
      <c r="S960" s="14" t="s">
        <v>20</v>
      </c>
      <c r="T960" s="15">
        <v>7179094</v>
      </c>
      <c r="U960" s="16">
        <f t="shared" si="154"/>
        <v>0.30641882808755849</v>
      </c>
      <c r="V960" s="14">
        <v>0</v>
      </c>
      <c r="W960" s="17">
        <v>36.299999999999997</v>
      </c>
      <c r="X960" s="14">
        <v>2.6</v>
      </c>
      <c r="Y960" s="18">
        <f t="shared" si="155"/>
        <v>39.299999999999997</v>
      </c>
      <c r="Z960" s="18" t="str">
        <f t="shared" si="156"/>
        <v>Medium</v>
      </c>
      <c r="AA960" s="19" t="str">
        <f t="shared" si="157"/>
        <v>Not Eligible</v>
      </c>
      <c r="AB960" s="14" t="s">
        <v>85</v>
      </c>
      <c r="AC960" s="14">
        <v>2</v>
      </c>
      <c r="AD960" s="14" t="s">
        <v>78</v>
      </c>
      <c r="AE960" s="17">
        <v>3</v>
      </c>
      <c r="AF960" s="15">
        <v>0</v>
      </c>
      <c r="AG960" s="20">
        <f t="shared" si="158"/>
        <v>1583719</v>
      </c>
      <c r="AH960" s="14">
        <v>0</v>
      </c>
      <c r="AI960" s="14" t="s">
        <v>75</v>
      </c>
      <c r="AJ960" s="14">
        <v>36</v>
      </c>
      <c r="AK960" s="21">
        <f t="shared" si="159"/>
        <v>0.375</v>
      </c>
      <c r="AL960" s="20">
        <f t="shared" si="160"/>
        <v>334991.54345578473</v>
      </c>
      <c r="AM960" s="22">
        <f t="shared" si="161"/>
        <v>4.53306047348046</v>
      </c>
      <c r="AN960" s="20">
        <f t="shared" si="162"/>
        <v>375431.65345578472</v>
      </c>
      <c r="AO960" s="16">
        <f t="shared" si="163"/>
        <v>2.8446838368860994</v>
      </c>
      <c r="AP960" s="15">
        <v>0</v>
      </c>
      <c r="AQ960" s="18" t="str">
        <f t="shared" si="164"/>
        <v>N/A</v>
      </c>
      <c r="AR960" s="23">
        <v>45915</v>
      </c>
      <c r="AS960" s="14" t="s">
        <v>79</v>
      </c>
    </row>
    <row r="961" spans="1:45" x14ac:dyDescent="0.25">
      <c r="A961" s="14" t="s">
        <v>3006</v>
      </c>
      <c r="B961" s="14" t="s">
        <v>1099</v>
      </c>
      <c r="C961" s="14">
        <v>9478709976</v>
      </c>
      <c r="D961" s="15"/>
      <c r="E961" s="14">
        <v>36</v>
      </c>
      <c r="F961" s="14" t="s">
        <v>71</v>
      </c>
      <c r="G961" s="14" t="s">
        <v>215</v>
      </c>
      <c r="H961" s="14" t="s">
        <v>103</v>
      </c>
      <c r="I961" s="14" t="s">
        <v>74</v>
      </c>
      <c r="J961" s="15">
        <v>2428604</v>
      </c>
      <c r="K961" s="14">
        <v>1</v>
      </c>
      <c r="L961" s="14" t="s">
        <v>76</v>
      </c>
      <c r="M961" s="14" t="s">
        <v>75</v>
      </c>
      <c r="N961" s="14" t="s">
        <v>75</v>
      </c>
      <c r="O961" s="14" t="s">
        <v>75</v>
      </c>
      <c r="P961" s="14">
        <v>742</v>
      </c>
      <c r="Q961" s="15"/>
      <c r="R961" s="15">
        <v>3168.48</v>
      </c>
      <c r="S961" s="14" t="s">
        <v>21</v>
      </c>
      <c r="T961" s="15">
        <v>5587672</v>
      </c>
      <c r="U961" s="16">
        <f t="shared" si="154"/>
        <v>1.5655808851504815E-2</v>
      </c>
      <c r="V961" s="14">
        <v>1</v>
      </c>
      <c r="W961" s="17">
        <v>89.8</v>
      </c>
      <c r="X961" s="14">
        <v>5.6</v>
      </c>
      <c r="Y961" s="18">
        <f t="shared" si="155"/>
        <v>24</v>
      </c>
      <c r="Z961" s="18" t="str">
        <f t="shared" si="156"/>
        <v>Low</v>
      </c>
      <c r="AA961" s="19" t="str">
        <f t="shared" si="157"/>
        <v>Eligible</v>
      </c>
      <c r="AB961" s="14" t="s">
        <v>77</v>
      </c>
      <c r="AC961" s="14">
        <v>4</v>
      </c>
      <c r="AD961" s="14" t="s">
        <v>93</v>
      </c>
      <c r="AE961" s="17">
        <v>10</v>
      </c>
      <c r="AF961" s="15">
        <v>0</v>
      </c>
      <c r="AG961" s="20">
        <f t="shared" si="158"/>
        <v>2428604</v>
      </c>
      <c r="AH961" s="14">
        <v>2</v>
      </c>
      <c r="AI961" s="14" t="s">
        <v>75</v>
      </c>
      <c r="AJ961" s="14">
        <v>36</v>
      </c>
      <c r="AK961" s="21">
        <f t="shared" si="159"/>
        <v>0.14000000000000001</v>
      </c>
      <c r="AL961" s="20">
        <f t="shared" si="160"/>
        <v>190973.38482528651</v>
      </c>
      <c r="AM961" s="22">
        <f t="shared" si="161"/>
        <v>2.3007752601906279</v>
      </c>
      <c r="AN961" s="20">
        <f t="shared" si="162"/>
        <v>194141.86482528652</v>
      </c>
      <c r="AO961" s="16">
        <f t="shared" si="163"/>
        <v>0.95927634884214885</v>
      </c>
      <c r="AP961" s="15">
        <v>0</v>
      </c>
      <c r="AQ961" s="18" t="str">
        <f t="shared" si="164"/>
        <v>N/A</v>
      </c>
      <c r="AR961" s="23">
        <v>46183</v>
      </c>
      <c r="AS961" s="14" t="s">
        <v>79</v>
      </c>
    </row>
    <row r="962" spans="1:45" x14ac:dyDescent="0.25">
      <c r="A962" s="14" t="s">
        <v>3009</v>
      </c>
      <c r="B962" s="14" t="s">
        <v>3010</v>
      </c>
      <c r="C962" s="14"/>
      <c r="D962" s="15" t="s">
        <v>3036</v>
      </c>
      <c r="E962" s="14">
        <v>26</v>
      </c>
      <c r="F962" s="14" t="s">
        <v>71</v>
      </c>
      <c r="G962" s="14" t="s">
        <v>388</v>
      </c>
      <c r="H962" s="14" t="s">
        <v>107</v>
      </c>
      <c r="I962" s="14" t="s">
        <v>92</v>
      </c>
      <c r="J962" s="15">
        <v>1237425</v>
      </c>
      <c r="K962" s="14">
        <v>1</v>
      </c>
      <c r="L962" s="14" t="s">
        <v>76</v>
      </c>
      <c r="M962" s="14" t="s">
        <v>75</v>
      </c>
      <c r="N962" s="14" t="s">
        <v>75</v>
      </c>
      <c r="O962" s="14" t="s">
        <v>75</v>
      </c>
      <c r="P962" s="14">
        <v>446</v>
      </c>
      <c r="Q962" s="15">
        <v>212285.27</v>
      </c>
      <c r="R962" s="15">
        <v>11724.21</v>
      </c>
      <c r="S962" s="14" t="s">
        <v>22</v>
      </c>
      <c r="T962" s="15">
        <v>229930</v>
      </c>
      <c r="U962" s="16">
        <f t="shared" ref="U962:U1001" si="165">IFERROR((R962*12)/J962,0)</f>
        <v>0.11369619976968301</v>
      </c>
      <c r="V962" s="14">
        <v>0</v>
      </c>
      <c r="W962" s="17">
        <v>42</v>
      </c>
      <c r="X962" s="14">
        <v>8.3000000000000007</v>
      </c>
      <c r="Y962" s="18">
        <f t="shared" ref="Y962:Y1001" si="166">ROUND(0.4*((900-P962)/600*100)+0.3*MIN(U962*100,100)+0.2*MIN(V962*20,100)+0.1*W962,1)</f>
        <v>37.9</v>
      </c>
      <c r="Z962" s="18" t="str">
        <f t="shared" ref="Z962:Z1025" si="167">IF(Y962&lt;=30,"Low",IF(Y962&lt;=60,"Medium","High"))</f>
        <v>Medium</v>
      </c>
      <c r="AA962" s="19" t="str">
        <f t="shared" ref="AA962:AA1001" si="168">IF(AND(P962&gt;=650,U962&lt;=0.4,V962&lt;=2,Y962&lt;=50),"Eligible",IF(AND(P962&gt;=550,V962&lt;=4,Y962&lt;=75),"Review","Not Eligible"))</f>
        <v>Not Eligible</v>
      </c>
      <c r="AB962" s="14" t="s">
        <v>161</v>
      </c>
      <c r="AC962" s="14">
        <v>3</v>
      </c>
      <c r="AD962" s="14" t="s">
        <v>194</v>
      </c>
      <c r="AE962" s="17">
        <v>3</v>
      </c>
      <c r="AF962" s="15">
        <v>0</v>
      </c>
      <c r="AG962" s="20">
        <f t="shared" ref="AG962:AG1025" si="169">J962+AF962</f>
        <v>1237425</v>
      </c>
      <c r="AH962" s="14">
        <v>0</v>
      </c>
      <c r="AI962" s="14" t="s">
        <v>75</v>
      </c>
      <c r="AJ962" s="14">
        <v>48</v>
      </c>
      <c r="AK962" s="21">
        <f t="shared" ref="AK962:AK1001" si="170">(IF(S962="Credit Card",0.36,IF(S962="Personal Loan",0.14,IF(S962="Car Loan",0.09,0.085))))+IF(Z962="Low",0,IF(Z962="Medium",0.015,0.03))</f>
        <v>0.105</v>
      </c>
      <c r="AL962" s="20">
        <f t="shared" ref="AL962:AL1025" si="171">-PMT(AK962/12,AJ962,T962)</f>
        <v>5886.9851063552951</v>
      </c>
      <c r="AM962" s="22">
        <f t="shared" ref="AM962:AM1001" si="172">IFERROR(T962/J962,0)</f>
        <v>0.18581328161302704</v>
      </c>
      <c r="AN962" s="20">
        <f t="shared" ref="AN962:AN1001" si="173">R962+AL962</f>
        <v>17611.195106355295</v>
      </c>
      <c r="AO962" s="16">
        <f t="shared" ref="AO962:AO1025" si="174">IFERROR((AN962*12)/J962,0)</f>
        <v>0.17078557591471283</v>
      </c>
      <c r="AP962" s="15">
        <v>612524</v>
      </c>
      <c r="AQ962" s="18">
        <f t="shared" ref="AQ962:AQ1025" si="175">IF(AP962&gt;0,T962/AP962,"N/A")</f>
        <v>0.37538120955260529</v>
      </c>
      <c r="AR962" s="23">
        <v>45980</v>
      </c>
      <c r="AS962" s="14" t="s">
        <v>79</v>
      </c>
    </row>
    <row r="963" spans="1:45" x14ac:dyDescent="0.25">
      <c r="A963" s="14" t="s">
        <v>3013</v>
      </c>
      <c r="B963" s="14" t="s">
        <v>3014</v>
      </c>
      <c r="C963" s="14">
        <v>9432149914</v>
      </c>
      <c r="D963" s="15" t="s">
        <v>3038</v>
      </c>
      <c r="E963" s="14">
        <v>59</v>
      </c>
      <c r="F963" s="14" t="s">
        <v>89</v>
      </c>
      <c r="G963" s="14" t="s">
        <v>90</v>
      </c>
      <c r="H963" s="14" t="s">
        <v>166</v>
      </c>
      <c r="I963" s="14" t="s">
        <v>74</v>
      </c>
      <c r="J963" s="15">
        <v>2455947</v>
      </c>
      <c r="K963" s="14">
        <v>2</v>
      </c>
      <c r="L963" s="14" t="s">
        <v>76</v>
      </c>
      <c r="M963" s="14" t="s">
        <v>75</v>
      </c>
      <c r="N963" s="14" t="s">
        <v>75</v>
      </c>
      <c r="O963" s="14" t="s">
        <v>76</v>
      </c>
      <c r="P963" s="14">
        <v>819</v>
      </c>
      <c r="Q963" s="15">
        <v>353419.34</v>
      </c>
      <c r="R963" s="15">
        <v>20813.98</v>
      </c>
      <c r="S963" s="14" t="s">
        <v>21</v>
      </c>
      <c r="T963" s="15"/>
      <c r="U963" s="16">
        <f t="shared" si="165"/>
        <v>0.1016991653321509</v>
      </c>
      <c r="V963" s="14">
        <v>2</v>
      </c>
      <c r="W963" s="17">
        <v>92.5</v>
      </c>
      <c r="X963" s="14">
        <v>4.4000000000000004</v>
      </c>
      <c r="Y963" s="18">
        <f t="shared" si="166"/>
        <v>25.7</v>
      </c>
      <c r="Z963" s="18" t="str">
        <f t="shared" si="167"/>
        <v>Low</v>
      </c>
      <c r="AA963" s="19" t="str">
        <f t="shared" si="168"/>
        <v>Eligible</v>
      </c>
      <c r="AB963" s="14" t="s">
        <v>77</v>
      </c>
      <c r="AC963" s="14">
        <v>2</v>
      </c>
      <c r="AD963" s="14" t="s">
        <v>93</v>
      </c>
      <c r="AE963" s="17">
        <v>22</v>
      </c>
      <c r="AF963" s="15">
        <v>0</v>
      </c>
      <c r="AG963" s="20">
        <f t="shared" si="169"/>
        <v>2455947</v>
      </c>
      <c r="AH963" s="14">
        <v>1</v>
      </c>
      <c r="AI963" s="14" t="s">
        <v>75</v>
      </c>
      <c r="AJ963" s="14">
        <v>60</v>
      </c>
      <c r="AK963" s="21">
        <f t="shared" si="170"/>
        <v>0.14000000000000001</v>
      </c>
      <c r="AL963" s="20">
        <f t="shared" si="171"/>
        <v>0</v>
      </c>
      <c r="AM963" s="22">
        <f t="shared" si="172"/>
        <v>0</v>
      </c>
      <c r="AN963" s="20">
        <f t="shared" si="173"/>
        <v>20813.98</v>
      </c>
      <c r="AO963" s="16">
        <f t="shared" si="174"/>
        <v>0.1016991653321509</v>
      </c>
      <c r="AP963" s="15">
        <v>0</v>
      </c>
      <c r="AQ963" s="18" t="str">
        <f t="shared" si="175"/>
        <v>N/A</v>
      </c>
      <c r="AR963" s="23">
        <v>45959</v>
      </c>
      <c r="AS963" s="14" t="s">
        <v>79</v>
      </c>
    </row>
    <row r="964" spans="1:45" x14ac:dyDescent="0.25">
      <c r="A964" s="14" t="s">
        <v>3016</v>
      </c>
      <c r="B964" s="14" t="s">
        <v>3017</v>
      </c>
      <c r="C964" s="14"/>
      <c r="D964" s="15" t="s">
        <v>3040</v>
      </c>
      <c r="E964" s="14">
        <v>24</v>
      </c>
      <c r="F964" s="14" t="s">
        <v>71</v>
      </c>
      <c r="G964" s="14" t="s">
        <v>388</v>
      </c>
      <c r="H964" s="14" t="s">
        <v>144</v>
      </c>
      <c r="I964" s="14" t="s">
        <v>92</v>
      </c>
      <c r="J964" s="15">
        <v>2337383</v>
      </c>
      <c r="K964" s="14">
        <v>0</v>
      </c>
      <c r="L964" s="14" t="s">
        <v>75</v>
      </c>
      <c r="M964" s="14" t="s">
        <v>75</v>
      </c>
      <c r="N964" s="14" t="s">
        <v>75</v>
      </c>
      <c r="O964" s="14" t="s">
        <v>75</v>
      </c>
      <c r="P964" s="14">
        <v>449</v>
      </c>
      <c r="Q964" s="15">
        <v>281190.38</v>
      </c>
      <c r="R964" s="15">
        <v>2068.84</v>
      </c>
      <c r="S964" s="14" t="s">
        <v>23</v>
      </c>
      <c r="T964" s="15">
        <v>115157</v>
      </c>
      <c r="U964" s="16">
        <f t="shared" si="165"/>
        <v>1.0621314521411339E-2</v>
      </c>
      <c r="V964" s="14">
        <v>2</v>
      </c>
      <c r="W964" s="17">
        <v>56.9</v>
      </c>
      <c r="X964" s="14">
        <v>11.6</v>
      </c>
      <c r="Y964" s="18">
        <f t="shared" si="166"/>
        <v>44.1</v>
      </c>
      <c r="Z964" s="18" t="str">
        <f t="shared" si="167"/>
        <v>Medium</v>
      </c>
      <c r="AA964" s="19" t="str">
        <f t="shared" si="168"/>
        <v>Not Eligible</v>
      </c>
      <c r="AB964" s="14" t="s">
        <v>77</v>
      </c>
      <c r="AC964" s="14">
        <v>4</v>
      </c>
      <c r="AD964" s="14" t="s">
        <v>93</v>
      </c>
      <c r="AE964" s="17">
        <v>2.2000000000000002</v>
      </c>
      <c r="AF964" s="15">
        <v>832026</v>
      </c>
      <c r="AG964" s="20">
        <f t="shared" si="169"/>
        <v>3169409</v>
      </c>
      <c r="AH964" s="14">
        <v>1</v>
      </c>
      <c r="AI964" s="14" t="s">
        <v>75</v>
      </c>
      <c r="AJ964" s="14">
        <v>300</v>
      </c>
      <c r="AK964" s="21">
        <f t="shared" si="170"/>
        <v>0.1</v>
      </c>
      <c r="AL964" s="20">
        <f t="shared" si="171"/>
        <v>1046.4325175415674</v>
      </c>
      <c r="AM964" s="22">
        <f t="shared" si="172"/>
        <v>4.9267492747230558E-2</v>
      </c>
      <c r="AN964" s="20">
        <f t="shared" si="173"/>
        <v>3115.2725175415676</v>
      </c>
      <c r="AO964" s="16">
        <f t="shared" si="174"/>
        <v>1.5993643408247091E-2</v>
      </c>
      <c r="AP964" s="15">
        <v>7013243</v>
      </c>
      <c r="AQ964" s="18">
        <f t="shared" si="175"/>
        <v>1.6419935827120206E-2</v>
      </c>
      <c r="AR964" s="23">
        <v>46195</v>
      </c>
      <c r="AS964" s="14" t="s">
        <v>79</v>
      </c>
    </row>
    <row r="965" spans="1:45" x14ac:dyDescent="0.25">
      <c r="A965" s="14" t="s">
        <v>3018</v>
      </c>
      <c r="B965" s="14" t="s">
        <v>3019</v>
      </c>
      <c r="C965" s="14">
        <v>9855579708</v>
      </c>
      <c r="D965" s="15"/>
      <c r="E965" s="14">
        <v>38</v>
      </c>
      <c r="F965" s="14" t="s">
        <v>89</v>
      </c>
      <c r="G965" s="14" t="s">
        <v>417</v>
      </c>
      <c r="H965" s="14" t="s">
        <v>84</v>
      </c>
      <c r="I965" s="14" t="s">
        <v>74</v>
      </c>
      <c r="J965" s="15">
        <v>1599004</v>
      </c>
      <c r="K965" s="14">
        <v>2</v>
      </c>
      <c r="L965" s="14" t="s">
        <v>76</v>
      </c>
      <c r="M965" s="14" t="s">
        <v>75</v>
      </c>
      <c r="N965" s="14" t="s">
        <v>76</v>
      </c>
      <c r="O965" s="14" t="s">
        <v>75</v>
      </c>
      <c r="P965" s="14">
        <v>474</v>
      </c>
      <c r="Q965" s="15"/>
      <c r="R965" s="15">
        <v>35681.01</v>
      </c>
      <c r="S965" s="14" t="s">
        <v>23</v>
      </c>
      <c r="T965" s="15">
        <v>2805531</v>
      </c>
      <c r="U965" s="16">
        <f t="shared" si="165"/>
        <v>0.26777426447963859</v>
      </c>
      <c r="V965" s="14">
        <v>3</v>
      </c>
      <c r="W965" s="17">
        <v>37.6</v>
      </c>
      <c r="X965" s="14">
        <v>9.9</v>
      </c>
      <c r="Y965" s="18">
        <f t="shared" si="166"/>
        <v>52.2</v>
      </c>
      <c r="Z965" s="18" t="str">
        <f t="shared" si="167"/>
        <v>Medium</v>
      </c>
      <c r="AA965" s="19" t="str">
        <f t="shared" si="168"/>
        <v>Not Eligible</v>
      </c>
      <c r="AB965" s="14" t="s">
        <v>85</v>
      </c>
      <c r="AC965" s="14">
        <v>1</v>
      </c>
      <c r="AD965" s="14" t="s">
        <v>78</v>
      </c>
      <c r="AE965" s="17">
        <v>9.8000000000000007</v>
      </c>
      <c r="AF965" s="15">
        <v>0</v>
      </c>
      <c r="AG965" s="20">
        <f t="shared" si="169"/>
        <v>1599004</v>
      </c>
      <c r="AH965" s="14">
        <v>0</v>
      </c>
      <c r="AI965" s="14" t="s">
        <v>75</v>
      </c>
      <c r="AJ965" s="14">
        <v>240</v>
      </c>
      <c r="AK965" s="21">
        <f t="shared" si="170"/>
        <v>0.1</v>
      </c>
      <c r="AL965" s="20">
        <f t="shared" si="171"/>
        <v>27073.981409261261</v>
      </c>
      <c r="AM965" s="22">
        <f t="shared" si="172"/>
        <v>1.7545490818034226</v>
      </c>
      <c r="AN965" s="20">
        <f t="shared" si="173"/>
        <v>62754.99140926126</v>
      </c>
      <c r="AO965" s="16">
        <f t="shared" si="174"/>
        <v>0.47095560543384207</v>
      </c>
      <c r="AP965" s="15">
        <v>8329964</v>
      </c>
      <c r="AQ965" s="18">
        <f t="shared" si="175"/>
        <v>0.33679989493351953</v>
      </c>
      <c r="AR965" s="23">
        <v>46191</v>
      </c>
      <c r="AS965" s="14" t="s">
        <v>79</v>
      </c>
    </row>
    <row r="966" spans="1:45" x14ac:dyDescent="0.25">
      <c r="A966" s="14" t="s">
        <v>3021</v>
      </c>
      <c r="B966" s="14" t="s">
        <v>228</v>
      </c>
      <c r="C966" s="14">
        <v>9750683028</v>
      </c>
      <c r="D966" s="15" t="s">
        <v>3044</v>
      </c>
      <c r="E966" s="14">
        <v>61</v>
      </c>
      <c r="F966" s="14" t="s">
        <v>71</v>
      </c>
      <c r="G966" s="14" t="s">
        <v>417</v>
      </c>
      <c r="H966" s="14" t="s">
        <v>99</v>
      </c>
      <c r="I966" s="14" t="s">
        <v>74</v>
      </c>
      <c r="J966" s="15">
        <v>1826199</v>
      </c>
      <c r="K966" s="14">
        <v>1</v>
      </c>
      <c r="L966" s="14" t="s">
        <v>76</v>
      </c>
      <c r="M966" s="14" t="s">
        <v>75</v>
      </c>
      <c r="N966" s="14" t="s">
        <v>75</v>
      </c>
      <c r="O966" s="14" t="s">
        <v>75</v>
      </c>
      <c r="P966" s="14">
        <v>808</v>
      </c>
      <c r="Q966" s="15">
        <v>298464</v>
      </c>
      <c r="R966" s="15">
        <v>6693.34</v>
      </c>
      <c r="S966" s="14" t="s">
        <v>20</v>
      </c>
      <c r="T966" s="15"/>
      <c r="U966" s="16">
        <f t="shared" si="165"/>
        <v>4.3982107097857354E-2</v>
      </c>
      <c r="V966" s="14">
        <v>1</v>
      </c>
      <c r="W966" s="17">
        <v>34.4</v>
      </c>
      <c r="X966" s="14">
        <v>12.4</v>
      </c>
      <c r="Y966" s="18">
        <f t="shared" si="166"/>
        <v>14.9</v>
      </c>
      <c r="Z966" s="18" t="str">
        <f t="shared" si="167"/>
        <v>Low</v>
      </c>
      <c r="AA966" s="19" t="str">
        <f t="shared" si="168"/>
        <v>Eligible</v>
      </c>
      <c r="AB966" s="14" t="s">
        <v>161</v>
      </c>
      <c r="AC966" s="14">
        <v>2</v>
      </c>
      <c r="AD966" s="14" t="s">
        <v>93</v>
      </c>
      <c r="AE966" s="17">
        <v>28.7</v>
      </c>
      <c r="AF966" s="15">
        <v>897059</v>
      </c>
      <c r="AG966" s="20">
        <f t="shared" si="169"/>
        <v>2723258</v>
      </c>
      <c r="AH966" s="14">
        <v>1</v>
      </c>
      <c r="AI966" s="14" t="s">
        <v>75</v>
      </c>
      <c r="AJ966" s="14">
        <v>36</v>
      </c>
      <c r="AK966" s="21">
        <f t="shared" si="170"/>
        <v>0.36</v>
      </c>
      <c r="AL966" s="20">
        <f t="shared" si="171"/>
        <v>0</v>
      </c>
      <c r="AM966" s="22">
        <f t="shared" si="172"/>
        <v>0</v>
      </c>
      <c r="AN966" s="20">
        <f t="shared" si="173"/>
        <v>6693.34</v>
      </c>
      <c r="AO966" s="16">
        <f t="shared" si="174"/>
        <v>4.3982107097857354E-2</v>
      </c>
      <c r="AP966" s="15">
        <v>0</v>
      </c>
      <c r="AQ966" s="18" t="str">
        <f t="shared" si="175"/>
        <v>N/A</v>
      </c>
      <c r="AR966" s="23">
        <v>46133</v>
      </c>
      <c r="AS966" s="14" t="s">
        <v>94</v>
      </c>
    </row>
    <row r="967" spans="1:45" x14ac:dyDescent="0.25">
      <c r="A967" s="14" t="s">
        <v>3024</v>
      </c>
      <c r="B967" s="14" t="s">
        <v>3025</v>
      </c>
      <c r="C967" s="14">
        <v>9653992744</v>
      </c>
      <c r="D967" s="15" t="s">
        <v>3046</v>
      </c>
      <c r="E967" s="14">
        <v>41</v>
      </c>
      <c r="F967" s="14" t="s">
        <v>71</v>
      </c>
      <c r="G967" s="14" t="s">
        <v>127</v>
      </c>
      <c r="H967" s="14" t="s">
        <v>107</v>
      </c>
      <c r="I967" s="14" t="s">
        <v>92</v>
      </c>
      <c r="J967" s="15">
        <v>2430123</v>
      </c>
      <c r="K967" s="14">
        <v>2</v>
      </c>
      <c r="L967" s="14" t="s">
        <v>76</v>
      </c>
      <c r="M967" s="14" t="s">
        <v>75</v>
      </c>
      <c r="N967" s="14" t="s">
        <v>76</v>
      </c>
      <c r="O967" s="14" t="s">
        <v>75</v>
      </c>
      <c r="P967" s="14">
        <v>813</v>
      </c>
      <c r="Q967" s="15"/>
      <c r="R967" s="15">
        <v>39069.919999999998</v>
      </c>
      <c r="S967" s="14" t="s">
        <v>21</v>
      </c>
      <c r="T967" s="15">
        <v>434435</v>
      </c>
      <c r="U967" s="16">
        <f t="shared" si="165"/>
        <v>0.19292811104623098</v>
      </c>
      <c r="V967" s="14">
        <v>0</v>
      </c>
      <c r="W967" s="17">
        <v>60.3</v>
      </c>
      <c r="X967" s="14">
        <v>9.1</v>
      </c>
      <c r="Y967" s="18">
        <f t="shared" si="166"/>
        <v>17.600000000000001</v>
      </c>
      <c r="Z967" s="18" t="str">
        <f t="shared" si="167"/>
        <v>Low</v>
      </c>
      <c r="AA967" s="19" t="str">
        <f t="shared" si="168"/>
        <v>Eligible</v>
      </c>
      <c r="AB967" s="14" t="s">
        <v>85</v>
      </c>
      <c r="AC967" s="14">
        <v>2</v>
      </c>
      <c r="AD967" s="14" t="s">
        <v>93</v>
      </c>
      <c r="AE967" s="17">
        <v>1.2</v>
      </c>
      <c r="AF967" s="15">
        <v>215249</v>
      </c>
      <c r="AG967" s="20">
        <f t="shared" si="169"/>
        <v>2645372</v>
      </c>
      <c r="AH967" s="14">
        <v>3</v>
      </c>
      <c r="AI967" s="14" t="s">
        <v>75</v>
      </c>
      <c r="AJ967" s="14">
        <v>48</v>
      </c>
      <c r="AK967" s="21">
        <f t="shared" si="170"/>
        <v>0.14000000000000001</v>
      </c>
      <c r="AL967" s="20">
        <f t="shared" si="171"/>
        <v>11871.577816125706</v>
      </c>
      <c r="AM967" s="22">
        <f t="shared" si="172"/>
        <v>0.17877078649928418</v>
      </c>
      <c r="AN967" s="20">
        <f t="shared" si="173"/>
        <v>50941.497816125702</v>
      </c>
      <c r="AO967" s="16">
        <f t="shared" si="174"/>
        <v>0.25155021938951588</v>
      </c>
      <c r="AP967" s="15">
        <v>0</v>
      </c>
      <c r="AQ967" s="18" t="str">
        <f t="shared" si="175"/>
        <v>N/A</v>
      </c>
      <c r="AR967" s="23">
        <v>46056</v>
      </c>
      <c r="AS967" s="14" t="s">
        <v>79</v>
      </c>
    </row>
    <row r="968" spans="1:45" x14ac:dyDescent="0.25">
      <c r="A968" s="14" t="s">
        <v>3027</v>
      </c>
      <c r="B968" s="14" t="s">
        <v>3028</v>
      </c>
      <c r="C968" s="14">
        <v>9190989760</v>
      </c>
      <c r="D968" s="15" t="s">
        <v>3049</v>
      </c>
      <c r="E968" s="14">
        <v>28</v>
      </c>
      <c r="F968" s="14" t="s">
        <v>89</v>
      </c>
      <c r="G968" s="14" t="s">
        <v>417</v>
      </c>
      <c r="H968" s="14" t="s">
        <v>132</v>
      </c>
      <c r="I968" s="14" t="s">
        <v>92</v>
      </c>
      <c r="J968" s="15">
        <v>1400928</v>
      </c>
      <c r="K968" s="14">
        <v>3</v>
      </c>
      <c r="L968" s="14" t="s">
        <v>75</v>
      </c>
      <c r="M968" s="14" t="s">
        <v>76</v>
      </c>
      <c r="N968" s="14" t="s">
        <v>76</v>
      </c>
      <c r="O968" s="14" t="s">
        <v>76</v>
      </c>
      <c r="P968" s="14">
        <v>574</v>
      </c>
      <c r="Q968" s="15">
        <v>1164809</v>
      </c>
      <c r="R968" s="15">
        <v>25325.53</v>
      </c>
      <c r="S968" s="14" t="s">
        <v>22</v>
      </c>
      <c r="T968" s="15">
        <v>5576015</v>
      </c>
      <c r="U968" s="16">
        <f t="shared" si="165"/>
        <v>0.21693217638593845</v>
      </c>
      <c r="V968" s="14">
        <v>3</v>
      </c>
      <c r="W968" s="17">
        <v>36.299999999999997</v>
      </c>
      <c r="X968" s="14">
        <v>0.7</v>
      </c>
      <c r="Y968" s="18">
        <f t="shared" si="166"/>
        <v>43.9</v>
      </c>
      <c r="Z968" s="18" t="str">
        <f t="shared" si="167"/>
        <v>Medium</v>
      </c>
      <c r="AA968" s="19" t="str">
        <f t="shared" si="168"/>
        <v>Review</v>
      </c>
      <c r="AB968" s="14" t="s">
        <v>85</v>
      </c>
      <c r="AC968" s="14">
        <v>1</v>
      </c>
      <c r="AD968" s="14" t="s">
        <v>78</v>
      </c>
      <c r="AE968" s="17">
        <v>5</v>
      </c>
      <c r="AF968" s="15">
        <v>0</v>
      </c>
      <c r="AG968" s="20">
        <f t="shared" si="169"/>
        <v>1400928</v>
      </c>
      <c r="AH968" s="14">
        <v>0</v>
      </c>
      <c r="AI968" s="14" t="s">
        <v>76</v>
      </c>
      <c r="AJ968" s="14">
        <v>24</v>
      </c>
      <c r="AK968" s="21">
        <f t="shared" si="170"/>
        <v>0.105</v>
      </c>
      <c r="AL968" s="20">
        <f t="shared" si="171"/>
        <v>258593.50382176088</v>
      </c>
      <c r="AM968" s="22">
        <f t="shared" si="172"/>
        <v>3.9802295335663218</v>
      </c>
      <c r="AN968" s="20">
        <f t="shared" si="173"/>
        <v>283919.03382176091</v>
      </c>
      <c r="AO968" s="16">
        <f t="shared" si="174"/>
        <v>2.4319796633810808</v>
      </c>
      <c r="AP968" s="15">
        <v>1258128</v>
      </c>
      <c r="AQ968" s="18">
        <f t="shared" si="175"/>
        <v>4.4319934060763293</v>
      </c>
      <c r="AR968" s="23">
        <v>45953</v>
      </c>
      <c r="AS968" s="14" t="s">
        <v>79</v>
      </c>
    </row>
    <row r="969" spans="1:45" x14ac:dyDescent="0.25">
      <c r="A969" s="14" t="s">
        <v>3031</v>
      </c>
      <c r="B969" s="14" t="s">
        <v>3032</v>
      </c>
      <c r="C969" s="14">
        <v>9507277898</v>
      </c>
      <c r="D969" s="15"/>
      <c r="E969" s="14">
        <v>37</v>
      </c>
      <c r="F969" s="14" t="s">
        <v>89</v>
      </c>
      <c r="G969" s="14" t="s">
        <v>215</v>
      </c>
      <c r="H969" s="14" t="s">
        <v>107</v>
      </c>
      <c r="I969" s="14" t="s">
        <v>92</v>
      </c>
      <c r="J969" s="15">
        <v>1942606</v>
      </c>
      <c r="K969" s="14">
        <v>2</v>
      </c>
      <c r="L969" s="14" t="s">
        <v>76</v>
      </c>
      <c r="M969" s="14" t="s">
        <v>76</v>
      </c>
      <c r="N969" s="14" t="s">
        <v>75</v>
      </c>
      <c r="O969" s="14" t="s">
        <v>75</v>
      </c>
      <c r="P969" s="14">
        <v>395</v>
      </c>
      <c r="Q969" s="15">
        <v>16149.42</v>
      </c>
      <c r="R969" s="15">
        <v>53091.53</v>
      </c>
      <c r="S969" s="14" t="s">
        <v>23</v>
      </c>
      <c r="T969" s="15"/>
      <c r="U969" s="16">
        <f t="shared" si="165"/>
        <v>0.32796066726860723</v>
      </c>
      <c r="V969" s="14">
        <v>2</v>
      </c>
      <c r="W969" s="17">
        <v>79.599999999999994</v>
      </c>
      <c r="X969" s="14">
        <v>12.7</v>
      </c>
      <c r="Y969" s="18">
        <f t="shared" si="166"/>
        <v>59.5</v>
      </c>
      <c r="Z969" s="18" t="str">
        <f t="shared" si="167"/>
        <v>Medium</v>
      </c>
      <c r="AA969" s="19" t="str">
        <f t="shared" si="168"/>
        <v>Not Eligible</v>
      </c>
      <c r="AB969" s="14" t="s">
        <v>85</v>
      </c>
      <c r="AC969" s="14">
        <v>1</v>
      </c>
      <c r="AD969" s="14" t="s">
        <v>78</v>
      </c>
      <c r="AE969" s="17">
        <v>14.5</v>
      </c>
      <c r="AF969" s="15">
        <v>262070</v>
      </c>
      <c r="AG969" s="20">
        <f t="shared" si="169"/>
        <v>2204676</v>
      </c>
      <c r="AH969" s="14">
        <v>3</v>
      </c>
      <c r="AI969" s="14" t="s">
        <v>75</v>
      </c>
      <c r="AJ969" s="14">
        <v>120</v>
      </c>
      <c r="AK969" s="21">
        <f t="shared" si="170"/>
        <v>0.1</v>
      </c>
      <c r="AL969" s="20">
        <f t="shared" si="171"/>
        <v>0</v>
      </c>
      <c r="AM969" s="22">
        <f t="shared" si="172"/>
        <v>0</v>
      </c>
      <c r="AN969" s="20">
        <f t="shared" si="173"/>
        <v>53091.53</v>
      </c>
      <c r="AO969" s="16">
        <f t="shared" si="174"/>
        <v>0.32796066726860723</v>
      </c>
      <c r="AP969" s="15">
        <v>8910472</v>
      </c>
      <c r="AQ969" s="18">
        <f t="shared" si="175"/>
        <v>0</v>
      </c>
      <c r="AR969" s="23">
        <v>46046</v>
      </c>
      <c r="AS969" s="14" t="s">
        <v>79</v>
      </c>
    </row>
    <row r="970" spans="1:45" x14ac:dyDescent="0.25">
      <c r="A970" s="14" t="s">
        <v>3034</v>
      </c>
      <c r="B970" s="14" t="s">
        <v>1919</v>
      </c>
      <c r="C970" s="14">
        <v>9187948464</v>
      </c>
      <c r="D970" s="15" t="s">
        <v>3054</v>
      </c>
      <c r="E970" s="14">
        <v>37</v>
      </c>
      <c r="F970" s="14" t="s">
        <v>89</v>
      </c>
      <c r="G970" s="14" t="s">
        <v>106</v>
      </c>
      <c r="H970" s="14" t="s">
        <v>103</v>
      </c>
      <c r="I970" s="14" t="s">
        <v>74</v>
      </c>
      <c r="J970" s="15">
        <v>1726522</v>
      </c>
      <c r="K970" s="14">
        <v>1</v>
      </c>
      <c r="L970" s="14" t="s">
        <v>75</v>
      </c>
      <c r="M970" s="14" t="s">
        <v>76</v>
      </c>
      <c r="N970" s="14" t="s">
        <v>75</v>
      </c>
      <c r="O970" s="14" t="s">
        <v>75</v>
      </c>
      <c r="P970" s="14">
        <v>640</v>
      </c>
      <c r="Q970" s="15">
        <v>91417.81</v>
      </c>
      <c r="R970" s="15">
        <v>10327.91</v>
      </c>
      <c r="S970" s="14" t="s">
        <v>23</v>
      </c>
      <c r="T970" s="15"/>
      <c r="U970" s="16">
        <f t="shared" si="165"/>
        <v>7.178299494590859E-2</v>
      </c>
      <c r="V970" s="14">
        <v>2</v>
      </c>
      <c r="W970" s="17">
        <v>62.5</v>
      </c>
      <c r="X970" s="14">
        <v>10.1</v>
      </c>
      <c r="Y970" s="18">
        <f t="shared" si="166"/>
        <v>33.700000000000003</v>
      </c>
      <c r="Z970" s="18" t="str">
        <f t="shared" si="167"/>
        <v>Medium</v>
      </c>
      <c r="AA970" s="19" t="str">
        <f t="shared" si="168"/>
        <v>Review</v>
      </c>
      <c r="AB970" s="14" t="s">
        <v>77</v>
      </c>
      <c r="AC970" s="14">
        <v>0</v>
      </c>
      <c r="AD970" s="14" t="s">
        <v>93</v>
      </c>
      <c r="AE970" s="17">
        <v>8</v>
      </c>
      <c r="AF970" s="15">
        <v>0</v>
      </c>
      <c r="AG970" s="20">
        <f t="shared" si="169"/>
        <v>1726522</v>
      </c>
      <c r="AH970" s="14">
        <v>0</v>
      </c>
      <c r="AI970" s="14" t="s">
        <v>75</v>
      </c>
      <c r="AJ970" s="14">
        <v>120</v>
      </c>
      <c r="AK970" s="21">
        <f t="shared" si="170"/>
        <v>0.1</v>
      </c>
      <c r="AL970" s="20">
        <f t="shared" si="171"/>
        <v>0</v>
      </c>
      <c r="AM970" s="22">
        <f t="shared" si="172"/>
        <v>0</v>
      </c>
      <c r="AN970" s="20">
        <f t="shared" si="173"/>
        <v>10327.91</v>
      </c>
      <c r="AO970" s="16">
        <f t="shared" si="174"/>
        <v>7.178299494590859E-2</v>
      </c>
      <c r="AP970" s="15">
        <v>6793007</v>
      </c>
      <c r="AQ970" s="18">
        <f t="shared" si="175"/>
        <v>0</v>
      </c>
      <c r="AR970" s="23">
        <v>46105</v>
      </c>
      <c r="AS970" s="14" t="s">
        <v>79</v>
      </c>
    </row>
    <row r="971" spans="1:45" x14ac:dyDescent="0.25">
      <c r="A971" s="14" t="s">
        <v>3035</v>
      </c>
      <c r="B971" s="14" t="s">
        <v>117</v>
      </c>
      <c r="C971" s="14">
        <v>9405171866</v>
      </c>
      <c r="D971" s="15" t="s">
        <v>3057</v>
      </c>
      <c r="E971" s="14">
        <v>46</v>
      </c>
      <c r="F971" s="14" t="s">
        <v>89</v>
      </c>
      <c r="G971" s="14" t="s">
        <v>72</v>
      </c>
      <c r="H971" s="14" t="s">
        <v>99</v>
      </c>
      <c r="I971" s="14" t="s">
        <v>74</v>
      </c>
      <c r="J971" s="15">
        <v>372863</v>
      </c>
      <c r="K971" s="14">
        <v>2</v>
      </c>
      <c r="L971" s="14" t="s">
        <v>76</v>
      </c>
      <c r="M971" s="14" t="s">
        <v>75</v>
      </c>
      <c r="N971" s="14" t="s">
        <v>76</v>
      </c>
      <c r="O971" s="14" t="s">
        <v>75</v>
      </c>
      <c r="P971" s="14">
        <v>683</v>
      </c>
      <c r="Q971" s="15">
        <v>957014</v>
      </c>
      <c r="R971" s="15">
        <v>3859.73</v>
      </c>
      <c r="S971" s="14" t="s">
        <v>20</v>
      </c>
      <c r="T971" s="15">
        <v>7720644</v>
      </c>
      <c r="U971" s="16">
        <f t="shared" si="165"/>
        <v>0.12421924406551468</v>
      </c>
      <c r="V971" s="14">
        <v>0</v>
      </c>
      <c r="W971" s="17">
        <v>78.5</v>
      </c>
      <c r="X971" s="14">
        <v>0.7</v>
      </c>
      <c r="Y971" s="18">
        <f t="shared" si="166"/>
        <v>26</v>
      </c>
      <c r="Z971" s="18" t="str">
        <f t="shared" si="167"/>
        <v>Low</v>
      </c>
      <c r="AA971" s="19" t="str">
        <f t="shared" si="168"/>
        <v>Eligible</v>
      </c>
      <c r="AB971" s="14" t="s">
        <v>77</v>
      </c>
      <c r="AC971" s="14">
        <v>3</v>
      </c>
      <c r="AD971" s="14" t="s">
        <v>78</v>
      </c>
      <c r="AE971" s="17">
        <v>18.100000000000001</v>
      </c>
      <c r="AF971" s="15">
        <v>0</v>
      </c>
      <c r="AG971" s="20">
        <f t="shared" si="169"/>
        <v>372863</v>
      </c>
      <c r="AH971" s="14">
        <v>1</v>
      </c>
      <c r="AI971" s="14" t="s">
        <v>75</v>
      </c>
      <c r="AJ971" s="14">
        <v>12</v>
      </c>
      <c r="AK971" s="21">
        <f t="shared" si="170"/>
        <v>0.36</v>
      </c>
      <c r="AL971" s="20">
        <f t="shared" si="171"/>
        <v>775631.99743431911</v>
      </c>
      <c r="AM971" s="22">
        <f t="shared" si="172"/>
        <v>20.706382773297431</v>
      </c>
      <c r="AN971" s="20">
        <f t="shared" si="173"/>
        <v>779491.72743431909</v>
      </c>
      <c r="AO971" s="16">
        <f t="shared" si="174"/>
        <v>25.086695996148261</v>
      </c>
      <c r="AP971" s="15">
        <v>0</v>
      </c>
      <c r="AQ971" s="18" t="str">
        <f t="shared" si="175"/>
        <v>N/A</v>
      </c>
      <c r="AR971" s="23">
        <v>46001</v>
      </c>
      <c r="AS971" s="14" t="s">
        <v>79</v>
      </c>
    </row>
    <row r="972" spans="1:45" x14ac:dyDescent="0.25">
      <c r="A972" s="14" t="s">
        <v>3037</v>
      </c>
      <c r="B972" s="14" t="s">
        <v>368</v>
      </c>
      <c r="C972" s="14"/>
      <c r="D972" s="15" t="s">
        <v>3059</v>
      </c>
      <c r="E972" s="14">
        <v>50</v>
      </c>
      <c r="F972" s="14" t="s">
        <v>89</v>
      </c>
      <c r="G972" s="14" t="s">
        <v>115</v>
      </c>
      <c r="H972" s="14" t="s">
        <v>132</v>
      </c>
      <c r="I972" s="14" t="s">
        <v>92</v>
      </c>
      <c r="J972" s="15">
        <v>780269</v>
      </c>
      <c r="K972" s="14">
        <v>1</v>
      </c>
      <c r="L972" s="14" t="s">
        <v>76</v>
      </c>
      <c r="M972" s="14" t="s">
        <v>75</v>
      </c>
      <c r="N972" s="14" t="s">
        <v>75</v>
      </c>
      <c r="O972" s="14" t="s">
        <v>75</v>
      </c>
      <c r="P972" s="14">
        <v>543</v>
      </c>
      <c r="Q972" s="15">
        <v>190459.31</v>
      </c>
      <c r="R972" s="15">
        <v>13593.05</v>
      </c>
      <c r="S972" s="14" t="s">
        <v>20</v>
      </c>
      <c r="T972" s="15">
        <v>394650</v>
      </c>
      <c r="U972" s="16">
        <f t="shared" si="165"/>
        <v>0.20905175010156751</v>
      </c>
      <c r="V972" s="14">
        <v>1</v>
      </c>
      <c r="W972" s="17">
        <v>59.9</v>
      </c>
      <c r="X972" s="14">
        <v>5.8</v>
      </c>
      <c r="Y972" s="18">
        <f t="shared" si="166"/>
        <v>40.1</v>
      </c>
      <c r="Z972" s="18" t="str">
        <f t="shared" si="167"/>
        <v>Medium</v>
      </c>
      <c r="AA972" s="19" t="str">
        <f t="shared" si="168"/>
        <v>Not Eligible</v>
      </c>
      <c r="AB972" s="14" t="s">
        <v>77</v>
      </c>
      <c r="AC972" s="14">
        <v>0</v>
      </c>
      <c r="AD972" s="14" t="s">
        <v>78</v>
      </c>
      <c r="AE972" s="17">
        <v>10</v>
      </c>
      <c r="AF972" s="15">
        <v>213780</v>
      </c>
      <c r="AG972" s="20">
        <f t="shared" si="169"/>
        <v>994049</v>
      </c>
      <c r="AH972" s="14">
        <v>0</v>
      </c>
      <c r="AI972" s="14" t="s">
        <v>75</v>
      </c>
      <c r="AJ972" s="14">
        <v>12</v>
      </c>
      <c r="AK972" s="21">
        <f t="shared" si="170"/>
        <v>0.375</v>
      </c>
      <c r="AL972" s="20">
        <f t="shared" si="171"/>
        <v>39943.779507400948</v>
      </c>
      <c r="AM972" s="22">
        <f t="shared" si="172"/>
        <v>0.50578710675420913</v>
      </c>
      <c r="AN972" s="20">
        <f t="shared" si="173"/>
        <v>53536.829507400951</v>
      </c>
      <c r="AO972" s="16">
        <f t="shared" si="174"/>
        <v>0.82335957738781296</v>
      </c>
      <c r="AP972" s="15">
        <v>0</v>
      </c>
      <c r="AQ972" s="18" t="str">
        <f t="shared" si="175"/>
        <v>N/A</v>
      </c>
      <c r="AR972" s="23">
        <v>46181</v>
      </c>
      <c r="AS972" s="14" t="s">
        <v>79</v>
      </c>
    </row>
    <row r="973" spans="1:45" x14ac:dyDescent="0.25">
      <c r="A973" s="14" t="s">
        <v>3039</v>
      </c>
      <c r="B973" s="14" t="s">
        <v>1956</v>
      </c>
      <c r="C973" s="14">
        <v>9160938864</v>
      </c>
      <c r="D973" s="15"/>
      <c r="E973" s="14">
        <v>49</v>
      </c>
      <c r="F973" s="14" t="s">
        <v>89</v>
      </c>
      <c r="G973" s="14" t="s">
        <v>98</v>
      </c>
      <c r="H973" s="14" t="s">
        <v>107</v>
      </c>
      <c r="I973" s="14" t="s">
        <v>92</v>
      </c>
      <c r="J973" s="15">
        <v>527084</v>
      </c>
      <c r="K973" s="14">
        <v>1</v>
      </c>
      <c r="L973" s="14" t="s">
        <v>76</v>
      </c>
      <c r="M973" s="14" t="s">
        <v>75</v>
      </c>
      <c r="N973" s="14" t="s">
        <v>75</v>
      </c>
      <c r="O973" s="14" t="s">
        <v>75</v>
      </c>
      <c r="P973" s="14">
        <v>848</v>
      </c>
      <c r="Q973" s="15">
        <v>120553.43</v>
      </c>
      <c r="R973" s="15">
        <v>12781.38</v>
      </c>
      <c r="S973" s="14" t="s">
        <v>21</v>
      </c>
      <c r="T973" s="15">
        <v>147277</v>
      </c>
      <c r="U973" s="16">
        <f t="shared" si="165"/>
        <v>0.29099073392476343</v>
      </c>
      <c r="V973" s="14">
        <v>0</v>
      </c>
      <c r="W973" s="17">
        <v>19.3</v>
      </c>
      <c r="X973" s="14">
        <v>10.5</v>
      </c>
      <c r="Y973" s="18">
        <f t="shared" si="166"/>
        <v>14.1</v>
      </c>
      <c r="Z973" s="18" t="str">
        <f t="shared" si="167"/>
        <v>Low</v>
      </c>
      <c r="AA973" s="19" t="str">
        <f t="shared" si="168"/>
        <v>Eligible</v>
      </c>
      <c r="AB973" s="14" t="s">
        <v>85</v>
      </c>
      <c r="AC973" s="14">
        <v>2</v>
      </c>
      <c r="AD973" s="14" t="s">
        <v>93</v>
      </c>
      <c r="AE973" s="17">
        <v>26.9</v>
      </c>
      <c r="AF973" s="15">
        <v>0</v>
      </c>
      <c r="AG973" s="20">
        <f t="shared" si="169"/>
        <v>527084</v>
      </c>
      <c r="AH973" s="14">
        <v>0</v>
      </c>
      <c r="AI973" s="14" t="s">
        <v>76</v>
      </c>
      <c r="AJ973" s="14">
        <v>60</v>
      </c>
      <c r="AK973" s="21">
        <f t="shared" si="170"/>
        <v>0.14000000000000001</v>
      </c>
      <c r="AL973" s="20">
        <f t="shared" si="171"/>
        <v>3426.8781803452721</v>
      </c>
      <c r="AM973" s="22">
        <f t="shared" si="172"/>
        <v>0.27941846081459504</v>
      </c>
      <c r="AN973" s="20">
        <f t="shared" si="173"/>
        <v>16208.25818034527</v>
      </c>
      <c r="AO973" s="16">
        <f t="shared" si="174"/>
        <v>0.36900967998296902</v>
      </c>
      <c r="AP973" s="15">
        <v>0</v>
      </c>
      <c r="AQ973" s="18" t="str">
        <f t="shared" si="175"/>
        <v>N/A</v>
      </c>
      <c r="AR973" s="23">
        <v>45922</v>
      </c>
      <c r="AS973" s="14" t="s">
        <v>79</v>
      </c>
    </row>
    <row r="974" spans="1:45" x14ac:dyDescent="0.25">
      <c r="A974" s="14" t="s">
        <v>3041</v>
      </c>
      <c r="B974" s="14" t="s">
        <v>3042</v>
      </c>
      <c r="C974" s="14">
        <v>9384216486</v>
      </c>
      <c r="D974" s="15" t="s">
        <v>3064</v>
      </c>
      <c r="E974" s="14">
        <v>53</v>
      </c>
      <c r="F974" s="14" t="s">
        <v>89</v>
      </c>
      <c r="G974" s="14" t="s">
        <v>72</v>
      </c>
      <c r="H974" s="14" t="s">
        <v>84</v>
      </c>
      <c r="I974" s="14" t="s">
        <v>74</v>
      </c>
      <c r="J974" s="15">
        <v>2359695</v>
      </c>
      <c r="K974" s="14">
        <v>1</v>
      </c>
      <c r="L974" s="14" t="s">
        <v>76</v>
      </c>
      <c r="M974" s="14" t="s">
        <v>75</v>
      </c>
      <c r="N974" s="14" t="s">
        <v>75</v>
      </c>
      <c r="O974" s="14" t="s">
        <v>75</v>
      </c>
      <c r="P974" s="14">
        <v>319</v>
      </c>
      <c r="Q974" s="15">
        <v>889673.74</v>
      </c>
      <c r="R974" s="15">
        <v>32701.95</v>
      </c>
      <c r="S974" s="14" t="s">
        <v>23</v>
      </c>
      <c r="T974" s="15">
        <v>396575</v>
      </c>
      <c r="U974" s="16">
        <f t="shared" si="165"/>
        <v>0.16630259419119844</v>
      </c>
      <c r="V974" s="14">
        <v>2</v>
      </c>
      <c r="W974" s="17">
        <v>29.4</v>
      </c>
      <c r="X974" s="14">
        <v>12.3</v>
      </c>
      <c r="Y974" s="18">
        <f t="shared" si="166"/>
        <v>54.7</v>
      </c>
      <c r="Z974" s="18" t="str">
        <f t="shared" si="167"/>
        <v>Medium</v>
      </c>
      <c r="AA974" s="19" t="str">
        <f t="shared" si="168"/>
        <v>Not Eligible</v>
      </c>
      <c r="AB974" s="14" t="s">
        <v>85</v>
      </c>
      <c r="AC974" s="14">
        <v>1</v>
      </c>
      <c r="AD974" s="14" t="s">
        <v>78</v>
      </c>
      <c r="AE974" s="17">
        <v>16.600000000000001</v>
      </c>
      <c r="AF974" s="15">
        <v>0</v>
      </c>
      <c r="AG974" s="20">
        <f t="shared" si="169"/>
        <v>2359695</v>
      </c>
      <c r="AH974" s="14">
        <v>0</v>
      </c>
      <c r="AI974" s="14" t="s">
        <v>75</v>
      </c>
      <c r="AJ974" s="14">
        <v>360</v>
      </c>
      <c r="AK974" s="21">
        <f t="shared" si="170"/>
        <v>0.1</v>
      </c>
      <c r="AL974" s="20">
        <f t="shared" si="171"/>
        <v>3480.2294540796538</v>
      </c>
      <c r="AM974" s="22">
        <f t="shared" si="172"/>
        <v>0.16806197411106097</v>
      </c>
      <c r="AN974" s="20">
        <f t="shared" si="173"/>
        <v>36182.179454079655</v>
      </c>
      <c r="AO974" s="16">
        <f t="shared" si="174"/>
        <v>0.18400096345034248</v>
      </c>
      <c r="AP974" s="15">
        <v>3409331</v>
      </c>
      <c r="AQ974" s="18">
        <f t="shared" si="175"/>
        <v>0.11632047460337526</v>
      </c>
      <c r="AR974" s="23">
        <v>46121</v>
      </c>
      <c r="AS974" s="14" t="s">
        <v>79</v>
      </c>
    </row>
    <row r="975" spans="1:45" x14ac:dyDescent="0.25">
      <c r="A975" s="14" t="s">
        <v>3043</v>
      </c>
      <c r="B975" s="14" t="s">
        <v>1159</v>
      </c>
      <c r="C975" s="14">
        <v>9211340208</v>
      </c>
      <c r="D975" s="15" t="s">
        <v>3067</v>
      </c>
      <c r="E975" s="14">
        <v>41</v>
      </c>
      <c r="F975" s="14" t="s">
        <v>89</v>
      </c>
      <c r="G975" s="14" t="s">
        <v>417</v>
      </c>
      <c r="H975" s="14" t="s">
        <v>107</v>
      </c>
      <c r="I975" s="14" t="s">
        <v>92</v>
      </c>
      <c r="J975" s="15">
        <v>521701</v>
      </c>
      <c r="K975" s="14">
        <v>1</v>
      </c>
      <c r="L975" s="14" t="s">
        <v>75</v>
      </c>
      <c r="M975" s="14" t="s">
        <v>76</v>
      </c>
      <c r="N975" s="14" t="s">
        <v>75</v>
      </c>
      <c r="O975" s="14" t="s">
        <v>75</v>
      </c>
      <c r="P975" s="14">
        <v>764</v>
      </c>
      <c r="Q975" s="15">
        <v>289066</v>
      </c>
      <c r="R975" s="15">
        <v>14212.56</v>
      </c>
      <c r="S975" s="14" t="s">
        <v>22</v>
      </c>
      <c r="T975" s="15">
        <v>494410</v>
      </c>
      <c r="U975" s="16">
        <f t="shared" si="165"/>
        <v>0.32691277187507789</v>
      </c>
      <c r="V975" s="14">
        <v>0</v>
      </c>
      <c r="W975" s="17">
        <v>10.8</v>
      </c>
      <c r="X975" s="14">
        <v>9.1</v>
      </c>
      <c r="Y975" s="18">
        <f t="shared" si="166"/>
        <v>20</v>
      </c>
      <c r="Z975" s="18" t="str">
        <f t="shared" si="167"/>
        <v>Low</v>
      </c>
      <c r="AA975" s="19" t="str">
        <f t="shared" si="168"/>
        <v>Eligible</v>
      </c>
      <c r="AB975" s="14" t="s">
        <v>85</v>
      </c>
      <c r="AC975" s="14">
        <v>4</v>
      </c>
      <c r="AD975" s="14" t="s">
        <v>93</v>
      </c>
      <c r="AE975" s="17">
        <v>13.8</v>
      </c>
      <c r="AF975" s="15">
        <v>632926</v>
      </c>
      <c r="AG975" s="20">
        <f t="shared" si="169"/>
        <v>1154627</v>
      </c>
      <c r="AH975" s="14">
        <v>0</v>
      </c>
      <c r="AI975" s="14" t="s">
        <v>75</v>
      </c>
      <c r="AJ975" s="14">
        <v>24</v>
      </c>
      <c r="AK975" s="21">
        <f t="shared" si="170"/>
        <v>0.09</v>
      </c>
      <c r="AL975" s="20">
        <f t="shared" si="171"/>
        <v>22586.99343024597</v>
      </c>
      <c r="AM975" s="22">
        <f t="shared" si="172"/>
        <v>0.94768842689586563</v>
      </c>
      <c r="AN975" s="20">
        <f t="shared" si="173"/>
        <v>36799.553430245971</v>
      </c>
      <c r="AO975" s="16">
        <f t="shared" si="174"/>
        <v>0.846451590399389</v>
      </c>
      <c r="AP975" s="15">
        <v>656614</v>
      </c>
      <c r="AQ975" s="18">
        <f t="shared" si="175"/>
        <v>0.75296901985032305</v>
      </c>
      <c r="AR975" s="23">
        <v>45995</v>
      </c>
      <c r="AS975" s="14" t="s">
        <v>79</v>
      </c>
    </row>
    <row r="976" spans="1:45" x14ac:dyDescent="0.25">
      <c r="A976" s="14" t="s">
        <v>3045</v>
      </c>
      <c r="B976" s="14" t="s">
        <v>211</v>
      </c>
      <c r="C976" s="14">
        <v>9585244416</v>
      </c>
      <c r="D976" s="15" t="s">
        <v>3069</v>
      </c>
      <c r="E976" s="14">
        <v>23</v>
      </c>
      <c r="F976" s="14" t="s">
        <v>89</v>
      </c>
      <c r="G976" s="14" t="s">
        <v>153</v>
      </c>
      <c r="H976" s="14" t="s">
        <v>99</v>
      </c>
      <c r="I976" s="14" t="s">
        <v>74</v>
      </c>
      <c r="J976" s="15">
        <v>2461371</v>
      </c>
      <c r="K976" s="14">
        <v>2</v>
      </c>
      <c r="L976" s="14" t="s">
        <v>76</v>
      </c>
      <c r="M976" s="14" t="s">
        <v>76</v>
      </c>
      <c r="N976" s="14" t="s">
        <v>75</v>
      </c>
      <c r="O976" s="14" t="s">
        <v>75</v>
      </c>
      <c r="P976" s="14">
        <v>711</v>
      </c>
      <c r="Q976" s="15">
        <v>195821.32</v>
      </c>
      <c r="R976" s="15">
        <v>13291.36</v>
      </c>
      <c r="S976" s="14" t="s">
        <v>22</v>
      </c>
      <c r="T976" s="15">
        <v>1212186</v>
      </c>
      <c r="U976" s="16">
        <f t="shared" si="165"/>
        <v>6.4799788410605311E-2</v>
      </c>
      <c r="V976" s="14">
        <v>0</v>
      </c>
      <c r="W976" s="17">
        <v>60.4</v>
      </c>
      <c r="X976" s="14">
        <v>3</v>
      </c>
      <c r="Y976" s="18">
        <f t="shared" si="166"/>
        <v>20.6</v>
      </c>
      <c r="Z976" s="18" t="str">
        <f t="shared" si="167"/>
        <v>Low</v>
      </c>
      <c r="AA976" s="19" t="str">
        <f t="shared" si="168"/>
        <v>Eligible</v>
      </c>
      <c r="AB976" s="14" t="s">
        <v>85</v>
      </c>
      <c r="AC976" s="14">
        <v>0</v>
      </c>
      <c r="AD976" s="14" t="s">
        <v>93</v>
      </c>
      <c r="AE976" s="17">
        <v>0.7</v>
      </c>
      <c r="AF976" s="15">
        <v>0</v>
      </c>
      <c r="AG976" s="20">
        <f t="shared" si="169"/>
        <v>2461371</v>
      </c>
      <c r="AH976" s="14">
        <v>0</v>
      </c>
      <c r="AI976" s="14" t="s">
        <v>76</v>
      </c>
      <c r="AJ976" s="14">
        <v>84</v>
      </c>
      <c r="AK976" s="21">
        <f t="shared" si="170"/>
        <v>0.09</v>
      </c>
      <c r="AL976" s="20">
        <f t="shared" si="171"/>
        <v>19502.955419723086</v>
      </c>
      <c r="AM976" s="22">
        <f t="shared" si="172"/>
        <v>0.49248406680666995</v>
      </c>
      <c r="AN976" s="20">
        <f t="shared" si="173"/>
        <v>32794.315419723091</v>
      </c>
      <c r="AO976" s="16">
        <f t="shared" si="174"/>
        <v>0.15988316472270012</v>
      </c>
      <c r="AP976" s="15">
        <v>515733</v>
      </c>
      <c r="AQ976" s="18">
        <f t="shared" si="175"/>
        <v>2.3504138769479557</v>
      </c>
      <c r="AR976" s="23">
        <v>45937</v>
      </c>
      <c r="AS976" s="14" t="s">
        <v>79</v>
      </c>
    </row>
    <row r="977" spans="1:45" x14ac:dyDescent="0.25">
      <c r="A977" s="14" t="s">
        <v>3047</v>
      </c>
      <c r="B977" s="14" t="s">
        <v>3048</v>
      </c>
      <c r="C977" s="14">
        <v>9871770122</v>
      </c>
      <c r="D977" s="15" t="s">
        <v>3073</v>
      </c>
      <c r="E977" s="14">
        <v>26</v>
      </c>
      <c r="F977" s="14" t="s">
        <v>89</v>
      </c>
      <c r="G977" s="14" t="s">
        <v>83</v>
      </c>
      <c r="H977" s="14" t="s">
        <v>166</v>
      </c>
      <c r="I977" s="14" t="s">
        <v>74</v>
      </c>
      <c r="J977" s="15">
        <v>2490682</v>
      </c>
      <c r="K977" s="14">
        <v>3</v>
      </c>
      <c r="L977" s="14" t="s">
        <v>76</v>
      </c>
      <c r="M977" s="14" t="s">
        <v>75</v>
      </c>
      <c r="N977" s="14" t="s">
        <v>76</v>
      </c>
      <c r="O977" s="14" t="s">
        <v>76</v>
      </c>
      <c r="P977" s="14">
        <v>826</v>
      </c>
      <c r="Q977" s="15">
        <v>175119</v>
      </c>
      <c r="R977" s="15">
        <v>21178.35</v>
      </c>
      <c r="S977" s="14" t="s">
        <v>23</v>
      </c>
      <c r="T977" s="15">
        <v>1736750</v>
      </c>
      <c r="U977" s="16">
        <f t="shared" si="165"/>
        <v>0.10203639003293073</v>
      </c>
      <c r="V977" s="14">
        <v>4</v>
      </c>
      <c r="W977" s="17">
        <v>14.8</v>
      </c>
      <c r="X977" s="14">
        <v>2.7</v>
      </c>
      <c r="Y977" s="18">
        <f t="shared" si="166"/>
        <v>25.5</v>
      </c>
      <c r="Z977" s="18" t="str">
        <f t="shared" si="167"/>
        <v>Low</v>
      </c>
      <c r="AA977" s="19" t="str">
        <f t="shared" si="168"/>
        <v>Review</v>
      </c>
      <c r="AB977" s="14" t="s">
        <v>85</v>
      </c>
      <c r="AC977" s="14">
        <v>2</v>
      </c>
      <c r="AD977" s="14" t="s">
        <v>93</v>
      </c>
      <c r="AE977" s="17">
        <v>0.6</v>
      </c>
      <c r="AF977" s="15">
        <v>0</v>
      </c>
      <c r="AG977" s="20">
        <f t="shared" si="169"/>
        <v>2490682</v>
      </c>
      <c r="AH977" s="14">
        <v>0</v>
      </c>
      <c r="AI977" s="14" t="s">
        <v>75</v>
      </c>
      <c r="AJ977" s="14">
        <v>300</v>
      </c>
      <c r="AK977" s="21">
        <f t="shared" si="170"/>
        <v>8.5000000000000006E-2</v>
      </c>
      <c r="AL977" s="20">
        <f t="shared" si="171"/>
        <v>13984.781372028565</v>
      </c>
      <c r="AM977" s="22">
        <f t="shared" si="172"/>
        <v>0.69729897273116359</v>
      </c>
      <c r="AN977" s="20">
        <f t="shared" si="173"/>
        <v>35163.131372028562</v>
      </c>
      <c r="AO977" s="16">
        <f t="shared" si="174"/>
        <v>0.16941447220654535</v>
      </c>
      <c r="AP977" s="15">
        <v>7771629</v>
      </c>
      <c r="AQ977" s="18">
        <f t="shared" si="175"/>
        <v>0.22347309682435948</v>
      </c>
      <c r="AR977" s="23">
        <v>46191</v>
      </c>
      <c r="AS977" s="14" t="s">
        <v>79</v>
      </c>
    </row>
    <row r="978" spans="1:45" x14ac:dyDescent="0.25">
      <c r="A978" s="14" t="s">
        <v>3050</v>
      </c>
      <c r="B978" s="14" t="s">
        <v>3051</v>
      </c>
      <c r="C978" s="14">
        <v>9798541955</v>
      </c>
      <c r="D978" s="15" t="s">
        <v>3077</v>
      </c>
      <c r="E978" s="14">
        <v>62</v>
      </c>
      <c r="F978" s="14" t="s">
        <v>89</v>
      </c>
      <c r="G978" s="14" t="s">
        <v>174</v>
      </c>
      <c r="H978" s="14" t="s">
        <v>73</v>
      </c>
      <c r="I978" s="14" t="s">
        <v>74</v>
      </c>
      <c r="J978" s="15">
        <v>525270</v>
      </c>
      <c r="K978" s="14">
        <v>3</v>
      </c>
      <c r="L978" s="14" t="s">
        <v>76</v>
      </c>
      <c r="M978" s="14" t="s">
        <v>76</v>
      </c>
      <c r="N978" s="14" t="s">
        <v>76</v>
      </c>
      <c r="O978" s="14" t="s">
        <v>75</v>
      </c>
      <c r="P978" s="14">
        <v>300</v>
      </c>
      <c r="Q978" s="15"/>
      <c r="R978" s="15">
        <v>384.51</v>
      </c>
      <c r="S978" s="14" t="s">
        <v>20</v>
      </c>
      <c r="T978" s="15">
        <v>620012</v>
      </c>
      <c r="U978" s="16">
        <f t="shared" si="165"/>
        <v>8.7842823690673366E-3</v>
      </c>
      <c r="V978" s="14">
        <v>0</v>
      </c>
      <c r="W978" s="17">
        <v>57.8</v>
      </c>
      <c r="X978" s="14">
        <v>5.6</v>
      </c>
      <c r="Y978" s="18">
        <f t="shared" si="166"/>
        <v>46</v>
      </c>
      <c r="Z978" s="18" t="str">
        <f t="shared" si="167"/>
        <v>Medium</v>
      </c>
      <c r="AA978" s="19" t="str">
        <f t="shared" si="168"/>
        <v>Not Eligible</v>
      </c>
      <c r="AB978" s="14" t="s">
        <v>77</v>
      </c>
      <c r="AC978" s="14">
        <v>0</v>
      </c>
      <c r="AD978" s="14" t="s">
        <v>78</v>
      </c>
      <c r="AE978" s="17">
        <v>10.6</v>
      </c>
      <c r="AF978" s="15">
        <v>505167</v>
      </c>
      <c r="AG978" s="20">
        <f t="shared" si="169"/>
        <v>1030437</v>
      </c>
      <c r="AH978" s="14">
        <v>1</v>
      </c>
      <c r="AI978" s="14" t="s">
        <v>76</v>
      </c>
      <c r="AJ978" s="14">
        <v>18</v>
      </c>
      <c r="AK978" s="21">
        <f t="shared" si="170"/>
        <v>0.375</v>
      </c>
      <c r="AL978" s="20">
        <f t="shared" si="171"/>
        <v>45558.022201429427</v>
      </c>
      <c r="AM978" s="22">
        <f t="shared" si="172"/>
        <v>1.1803681915967026</v>
      </c>
      <c r="AN978" s="20">
        <f t="shared" si="173"/>
        <v>45942.532201429429</v>
      </c>
      <c r="AO978" s="16">
        <f t="shared" si="174"/>
        <v>1.0495752401948582</v>
      </c>
      <c r="AP978" s="15">
        <v>0</v>
      </c>
      <c r="AQ978" s="18" t="str">
        <f t="shared" si="175"/>
        <v>N/A</v>
      </c>
      <c r="AR978" s="23">
        <v>46255</v>
      </c>
      <c r="AS978" s="14" t="s">
        <v>79</v>
      </c>
    </row>
    <row r="979" spans="1:45" x14ac:dyDescent="0.25">
      <c r="A979" s="14" t="s">
        <v>3053</v>
      </c>
      <c r="B979" s="14" t="s">
        <v>1818</v>
      </c>
      <c r="C979" s="14">
        <v>9651473196</v>
      </c>
      <c r="D979" s="15" t="s">
        <v>3080</v>
      </c>
      <c r="E979" s="14">
        <v>60</v>
      </c>
      <c r="F979" s="14" t="s">
        <v>89</v>
      </c>
      <c r="G979" s="14" t="s">
        <v>106</v>
      </c>
      <c r="H979" s="14" t="s">
        <v>107</v>
      </c>
      <c r="I979" s="14" t="s">
        <v>92</v>
      </c>
      <c r="J979" s="15">
        <v>1428395</v>
      </c>
      <c r="K979" s="14">
        <v>0</v>
      </c>
      <c r="L979" s="14" t="s">
        <v>75</v>
      </c>
      <c r="M979" s="14" t="s">
        <v>75</v>
      </c>
      <c r="N979" s="14" t="s">
        <v>75</v>
      </c>
      <c r="O979" s="14" t="s">
        <v>75</v>
      </c>
      <c r="P979" s="14">
        <v>641</v>
      </c>
      <c r="Q979" s="15"/>
      <c r="R979" s="15">
        <v>1828.36</v>
      </c>
      <c r="S979" s="14" t="s">
        <v>23</v>
      </c>
      <c r="T979" s="15">
        <v>109839</v>
      </c>
      <c r="U979" s="16">
        <f t="shared" si="165"/>
        <v>1.5360120974940404E-2</v>
      </c>
      <c r="V979" s="14">
        <v>1</v>
      </c>
      <c r="W979" s="17">
        <v>76.099999999999994</v>
      </c>
      <c r="X979" s="14">
        <v>6.9</v>
      </c>
      <c r="Y979" s="18">
        <f t="shared" si="166"/>
        <v>29.3</v>
      </c>
      <c r="Z979" s="18" t="str">
        <f t="shared" si="167"/>
        <v>Low</v>
      </c>
      <c r="AA979" s="19" t="str">
        <f t="shared" si="168"/>
        <v>Review</v>
      </c>
      <c r="AB979" s="14" t="s">
        <v>85</v>
      </c>
      <c r="AC979" s="14">
        <v>3</v>
      </c>
      <c r="AD979" s="14" t="s">
        <v>78</v>
      </c>
      <c r="AE979" s="17">
        <v>4.8</v>
      </c>
      <c r="AF979" s="15">
        <v>0</v>
      </c>
      <c r="AG979" s="20">
        <f t="shared" si="169"/>
        <v>1428395</v>
      </c>
      <c r="AH979" s="14">
        <v>1</v>
      </c>
      <c r="AI979" s="14" t="s">
        <v>75</v>
      </c>
      <c r="AJ979" s="14">
        <v>240</v>
      </c>
      <c r="AK979" s="21">
        <f t="shared" si="170"/>
        <v>8.5000000000000006E-2</v>
      </c>
      <c r="AL979" s="20">
        <f t="shared" si="171"/>
        <v>953.20836129636882</v>
      </c>
      <c r="AM979" s="22">
        <f t="shared" si="172"/>
        <v>7.6896796754399172E-2</v>
      </c>
      <c r="AN979" s="20">
        <f t="shared" si="173"/>
        <v>2781.5683612963685</v>
      </c>
      <c r="AO979" s="16">
        <f t="shared" si="174"/>
        <v>2.3368060190322996E-2</v>
      </c>
      <c r="AP979" s="15">
        <v>5526054</v>
      </c>
      <c r="AQ979" s="18">
        <f t="shared" si="175"/>
        <v>1.9876570152951818E-2</v>
      </c>
      <c r="AR979" s="23">
        <v>45979</v>
      </c>
      <c r="AS979" s="14" t="s">
        <v>79</v>
      </c>
    </row>
    <row r="980" spans="1:45" x14ac:dyDescent="0.25">
      <c r="A980" s="14" t="s">
        <v>3055</v>
      </c>
      <c r="B980" s="14" t="s">
        <v>3056</v>
      </c>
      <c r="C980" s="14">
        <v>9843758464</v>
      </c>
      <c r="D980" s="15" t="s">
        <v>3082</v>
      </c>
      <c r="E980" s="14">
        <v>34</v>
      </c>
      <c r="F980" s="14" t="s">
        <v>89</v>
      </c>
      <c r="G980" s="14" t="s">
        <v>143</v>
      </c>
      <c r="H980" s="14" t="s">
        <v>166</v>
      </c>
      <c r="I980" s="14" t="s">
        <v>74</v>
      </c>
      <c r="J980" s="15">
        <v>1836742</v>
      </c>
      <c r="K980" s="14">
        <v>2</v>
      </c>
      <c r="L980" s="14" t="s">
        <v>76</v>
      </c>
      <c r="M980" s="14" t="s">
        <v>75</v>
      </c>
      <c r="N980" s="14" t="s">
        <v>76</v>
      </c>
      <c r="O980" s="14" t="s">
        <v>75</v>
      </c>
      <c r="P980" s="14">
        <v>535</v>
      </c>
      <c r="Q980" s="15">
        <v>315430</v>
      </c>
      <c r="R980" s="15">
        <v>24538.82</v>
      </c>
      <c r="S980" s="14" t="s">
        <v>23</v>
      </c>
      <c r="T980" s="15">
        <v>435587</v>
      </c>
      <c r="U980" s="16">
        <f t="shared" si="165"/>
        <v>0.16031965295071379</v>
      </c>
      <c r="V980" s="14">
        <v>1</v>
      </c>
      <c r="W980" s="17">
        <v>79.400000000000006</v>
      </c>
      <c r="X980" s="14">
        <v>9.1999999999999993</v>
      </c>
      <c r="Y980" s="18">
        <f t="shared" si="166"/>
        <v>41.1</v>
      </c>
      <c r="Z980" s="18" t="str">
        <f t="shared" si="167"/>
        <v>Medium</v>
      </c>
      <c r="AA980" s="19" t="str">
        <f t="shared" si="168"/>
        <v>Not Eligible</v>
      </c>
      <c r="AB980" s="14" t="s">
        <v>85</v>
      </c>
      <c r="AC980" s="14">
        <v>0</v>
      </c>
      <c r="AD980" s="14" t="s">
        <v>93</v>
      </c>
      <c r="AE980" s="17">
        <v>5.0999999999999996</v>
      </c>
      <c r="AF980" s="15">
        <v>0</v>
      </c>
      <c r="AG980" s="20">
        <f t="shared" si="169"/>
        <v>1836742</v>
      </c>
      <c r="AH980" s="14">
        <v>2</v>
      </c>
      <c r="AI980" s="14" t="s">
        <v>75</v>
      </c>
      <c r="AJ980" s="14">
        <v>300</v>
      </c>
      <c r="AK980" s="21">
        <f t="shared" si="170"/>
        <v>0.1</v>
      </c>
      <c r="AL980" s="20">
        <f t="shared" si="171"/>
        <v>3958.1823164755833</v>
      </c>
      <c r="AM980" s="22">
        <f t="shared" si="172"/>
        <v>0.23715197888435066</v>
      </c>
      <c r="AN980" s="20">
        <f t="shared" si="173"/>
        <v>28497.002316475584</v>
      </c>
      <c r="AO980" s="16">
        <f t="shared" si="174"/>
        <v>0.18617967455293505</v>
      </c>
      <c r="AP980" s="15">
        <v>10358830</v>
      </c>
      <c r="AQ980" s="18">
        <f t="shared" si="175"/>
        <v>4.2049826090398243E-2</v>
      </c>
      <c r="AR980" s="23">
        <v>46129</v>
      </c>
      <c r="AS980" s="14" t="s">
        <v>79</v>
      </c>
    </row>
    <row r="981" spans="1:45" x14ac:dyDescent="0.25">
      <c r="A981" s="14" t="s">
        <v>3058</v>
      </c>
      <c r="B981" s="14" t="s">
        <v>1124</v>
      </c>
      <c r="C981" s="14"/>
      <c r="D981" s="15" t="s">
        <v>3085</v>
      </c>
      <c r="E981" s="14">
        <v>40</v>
      </c>
      <c r="F981" s="14" t="s">
        <v>89</v>
      </c>
      <c r="G981" s="14" t="s">
        <v>314</v>
      </c>
      <c r="H981" s="14" t="s">
        <v>144</v>
      </c>
      <c r="I981" s="14" t="s">
        <v>92</v>
      </c>
      <c r="J981" s="15">
        <v>630682</v>
      </c>
      <c r="K981" s="14">
        <v>3</v>
      </c>
      <c r="L981" s="14" t="s">
        <v>76</v>
      </c>
      <c r="M981" s="14" t="s">
        <v>75</v>
      </c>
      <c r="N981" s="14" t="s">
        <v>76</v>
      </c>
      <c r="O981" s="14" t="s">
        <v>76</v>
      </c>
      <c r="P981" s="14">
        <v>645</v>
      </c>
      <c r="Q981" s="15">
        <v>1336448.19</v>
      </c>
      <c r="R981" s="15">
        <v>8657.24</v>
      </c>
      <c r="S981" s="14" t="s">
        <v>22</v>
      </c>
      <c r="T981" s="15"/>
      <c r="U981" s="16">
        <f t="shared" si="165"/>
        <v>0.1647214919721825</v>
      </c>
      <c r="V981" s="14">
        <v>2</v>
      </c>
      <c r="W981" s="17">
        <v>47.2</v>
      </c>
      <c r="X981" s="14">
        <v>4.0999999999999996</v>
      </c>
      <c r="Y981" s="18">
        <f t="shared" si="166"/>
        <v>34.700000000000003</v>
      </c>
      <c r="Z981" s="18" t="str">
        <f t="shared" si="167"/>
        <v>Medium</v>
      </c>
      <c r="AA981" s="19" t="str">
        <f t="shared" si="168"/>
        <v>Review</v>
      </c>
      <c r="AB981" s="14" t="s">
        <v>85</v>
      </c>
      <c r="AC981" s="14">
        <v>2</v>
      </c>
      <c r="AD981" s="14" t="s">
        <v>93</v>
      </c>
      <c r="AE981" s="17">
        <v>4.2</v>
      </c>
      <c r="AF981" s="15">
        <v>723639</v>
      </c>
      <c r="AG981" s="20">
        <f t="shared" si="169"/>
        <v>1354321</v>
      </c>
      <c r="AH981" s="14">
        <v>0</v>
      </c>
      <c r="AI981" s="14" t="s">
        <v>76</v>
      </c>
      <c r="AJ981" s="14">
        <v>84</v>
      </c>
      <c r="AK981" s="21">
        <f t="shared" si="170"/>
        <v>0.105</v>
      </c>
      <c r="AL981" s="20">
        <f t="shared" si="171"/>
        <v>0</v>
      </c>
      <c r="AM981" s="22">
        <f t="shared" si="172"/>
        <v>0</v>
      </c>
      <c r="AN981" s="20">
        <f t="shared" si="173"/>
        <v>8657.24</v>
      </c>
      <c r="AO981" s="16">
        <f t="shared" si="174"/>
        <v>0.1647214919721825</v>
      </c>
      <c r="AP981" s="15">
        <v>461043</v>
      </c>
      <c r="AQ981" s="18">
        <f t="shared" si="175"/>
        <v>0</v>
      </c>
      <c r="AR981" s="23">
        <v>45944</v>
      </c>
      <c r="AS981" s="14" t="s">
        <v>79</v>
      </c>
    </row>
    <row r="982" spans="1:45" x14ac:dyDescent="0.25">
      <c r="A982" s="14" t="s">
        <v>3060</v>
      </c>
      <c r="B982" s="14" t="s">
        <v>3061</v>
      </c>
      <c r="C982" s="14">
        <v>9798333855</v>
      </c>
      <c r="D982" s="15" t="s">
        <v>3088</v>
      </c>
      <c r="E982" s="14">
        <v>44</v>
      </c>
      <c r="F982" s="14" t="s">
        <v>71</v>
      </c>
      <c r="G982" s="14" t="s">
        <v>83</v>
      </c>
      <c r="H982" s="14" t="s">
        <v>84</v>
      </c>
      <c r="I982" s="14" t="s">
        <v>74</v>
      </c>
      <c r="J982" s="15">
        <v>2021168</v>
      </c>
      <c r="K982" s="14">
        <v>0</v>
      </c>
      <c r="L982" s="14" t="s">
        <v>75</v>
      </c>
      <c r="M982" s="14" t="s">
        <v>75</v>
      </c>
      <c r="N982" s="14" t="s">
        <v>75</v>
      </c>
      <c r="O982" s="14" t="s">
        <v>75</v>
      </c>
      <c r="P982" s="14">
        <v>629</v>
      </c>
      <c r="Q982" s="15">
        <v>952779.42</v>
      </c>
      <c r="R982" s="15">
        <v>5479.7</v>
      </c>
      <c r="S982" s="14" t="s">
        <v>20</v>
      </c>
      <c r="T982" s="15">
        <v>831675</v>
      </c>
      <c r="U982" s="16">
        <f t="shared" si="165"/>
        <v>3.2533861608733165E-2</v>
      </c>
      <c r="V982" s="14">
        <v>0</v>
      </c>
      <c r="W982" s="17">
        <v>59.8</v>
      </c>
      <c r="X982" s="14">
        <v>1.9</v>
      </c>
      <c r="Y982" s="18">
        <f t="shared" si="166"/>
        <v>25</v>
      </c>
      <c r="Z982" s="18" t="str">
        <f t="shared" si="167"/>
        <v>Low</v>
      </c>
      <c r="AA982" s="19" t="str">
        <f t="shared" si="168"/>
        <v>Review</v>
      </c>
      <c r="AB982" s="14" t="s">
        <v>77</v>
      </c>
      <c r="AC982" s="14">
        <v>0</v>
      </c>
      <c r="AD982" s="14" t="s">
        <v>93</v>
      </c>
      <c r="AE982" s="17">
        <v>16.7</v>
      </c>
      <c r="AF982" s="15">
        <v>356249</v>
      </c>
      <c r="AG982" s="20">
        <f t="shared" si="169"/>
        <v>2377417</v>
      </c>
      <c r="AH982" s="14">
        <v>3</v>
      </c>
      <c r="AI982" s="14" t="s">
        <v>75</v>
      </c>
      <c r="AJ982" s="14">
        <v>12</v>
      </c>
      <c r="AK982" s="21">
        <f t="shared" si="170"/>
        <v>0.36</v>
      </c>
      <c r="AL982" s="20">
        <f t="shared" si="171"/>
        <v>83551.804935726512</v>
      </c>
      <c r="AM982" s="22">
        <f t="shared" si="172"/>
        <v>0.41148237058967885</v>
      </c>
      <c r="AN982" s="20">
        <f t="shared" si="173"/>
        <v>89031.504935726509</v>
      </c>
      <c r="AO982" s="16">
        <f t="shared" si="174"/>
        <v>0.5285943866263062</v>
      </c>
      <c r="AP982" s="15">
        <v>0</v>
      </c>
      <c r="AQ982" s="18" t="str">
        <f t="shared" si="175"/>
        <v>N/A</v>
      </c>
      <c r="AR982" s="23">
        <v>45974</v>
      </c>
      <c r="AS982" s="14" t="s">
        <v>79</v>
      </c>
    </row>
    <row r="983" spans="1:45" x14ac:dyDescent="0.25">
      <c r="A983" s="14" t="s">
        <v>3062</v>
      </c>
      <c r="B983" s="14" t="s">
        <v>3063</v>
      </c>
      <c r="C983" s="14">
        <v>9540818891</v>
      </c>
      <c r="D983" s="15" t="s">
        <v>3092</v>
      </c>
      <c r="E983" s="14">
        <v>60</v>
      </c>
      <c r="F983" s="14" t="s">
        <v>89</v>
      </c>
      <c r="G983" s="14" t="s">
        <v>72</v>
      </c>
      <c r="H983" s="14" t="s">
        <v>166</v>
      </c>
      <c r="I983" s="14" t="s">
        <v>74</v>
      </c>
      <c r="J983" s="15">
        <v>1704867</v>
      </c>
      <c r="K983" s="14">
        <v>1</v>
      </c>
      <c r="L983" s="14" t="s">
        <v>75</v>
      </c>
      <c r="M983" s="14" t="s">
        <v>76</v>
      </c>
      <c r="N983" s="14" t="s">
        <v>75</v>
      </c>
      <c r="O983" s="14" t="s">
        <v>75</v>
      </c>
      <c r="P983" s="14">
        <v>829</v>
      </c>
      <c r="Q983" s="15">
        <v>99753.27</v>
      </c>
      <c r="R983" s="15">
        <v>21182.71</v>
      </c>
      <c r="S983" s="14" t="s">
        <v>20</v>
      </c>
      <c r="T983" s="15"/>
      <c r="U983" s="16">
        <f t="shared" si="165"/>
        <v>0.14909815252450778</v>
      </c>
      <c r="V983" s="14">
        <v>1</v>
      </c>
      <c r="W983" s="17">
        <v>97</v>
      </c>
      <c r="X983" s="14">
        <v>12.8</v>
      </c>
      <c r="Y983" s="18">
        <f t="shared" si="166"/>
        <v>22.9</v>
      </c>
      <c r="Z983" s="18" t="str">
        <f t="shared" si="167"/>
        <v>Low</v>
      </c>
      <c r="AA983" s="19" t="str">
        <f t="shared" si="168"/>
        <v>Eligible</v>
      </c>
      <c r="AB983" s="14" t="s">
        <v>77</v>
      </c>
      <c r="AC983" s="14">
        <v>1</v>
      </c>
      <c r="AD983" s="14" t="s">
        <v>93</v>
      </c>
      <c r="AE983" s="17">
        <v>18.399999999999999</v>
      </c>
      <c r="AF983" s="15">
        <v>0</v>
      </c>
      <c r="AG983" s="20">
        <f t="shared" si="169"/>
        <v>1704867</v>
      </c>
      <c r="AH983" s="14">
        <v>0</v>
      </c>
      <c r="AI983" s="14" t="s">
        <v>75</v>
      </c>
      <c r="AJ983" s="14">
        <v>24</v>
      </c>
      <c r="AK983" s="21">
        <f t="shared" si="170"/>
        <v>0.36</v>
      </c>
      <c r="AL983" s="20">
        <f t="shared" si="171"/>
        <v>0</v>
      </c>
      <c r="AM983" s="22">
        <f t="shared" si="172"/>
        <v>0</v>
      </c>
      <c r="AN983" s="20">
        <f t="shared" si="173"/>
        <v>21182.71</v>
      </c>
      <c r="AO983" s="16">
        <f t="shared" si="174"/>
        <v>0.14909815252450778</v>
      </c>
      <c r="AP983" s="15">
        <v>0</v>
      </c>
      <c r="AQ983" s="18" t="str">
        <f t="shared" si="175"/>
        <v>N/A</v>
      </c>
      <c r="AR983" s="23">
        <v>45984</v>
      </c>
      <c r="AS983" s="14" t="s">
        <v>79</v>
      </c>
    </row>
    <row r="984" spans="1:45" x14ac:dyDescent="0.25">
      <c r="A984" s="14" t="s">
        <v>3065</v>
      </c>
      <c r="B984" s="14" t="s">
        <v>3066</v>
      </c>
      <c r="C984" s="14">
        <v>9901130413</v>
      </c>
      <c r="D984" s="15" t="s">
        <v>3094</v>
      </c>
      <c r="E984" s="14">
        <v>37</v>
      </c>
      <c r="F984" s="14" t="s">
        <v>89</v>
      </c>
      <c r="G984" s="14" t="s">
        <v>98</v>
      </c>
      <c r="H984" s="14" t="s">
        <v>73</v>
      </c>
      <c r="I984" s="14" t="s">
        <v>74</v>
      </c>
      <c r="J984" s="15">
        <v>1399958</v>
      </c>
      <c r="K984" s="14">
        <v>1</v>
      </c>
      <c r="L984" s="14" t="s">
        <v>76</v>
      </c>
      <c r="M984" s="14" t="s">
        <v>75</v>
      </c>
      <c r="N984" s="14" t="s">
        <v>75</v>
      </c>
      <c r="O984" s="14" t="s">
        <v>75</v>
      </c>
      <c r="P984" s="14">
        <v>577</v>
      </c>
      <c r="Q984" s="15">
        <v>25911</v>
      </c>
      <c r="R984" s="15">
        <v>13765.07</v>
      </c>
      <c r="S984" s="14" t="s">
        <v>21</v>
      </c>
      <c r="T984" s="15"/>
      <c r="U984" s="16">
        <f t="shared" si="165"/>
        <v>0.11798985398133373</v>
      </c>
      <c r="V984" s="14">
        <v>0</v>
      </c>
      <c r="W984" s="17">
        <v>94.6</v>
      </c>
      <c r="X984" s="14">
        <v>6.5</v>
      </c>
      <c r="Y984" s="18">
        <f t="shared" si="166"/>
        <v>34.5</v>
      </c>
      <c r="Z984" s="18" t="str">
        <f t="shared" si="167"/>
        <v>Medium</v>
      </c>
      <c r="AA984" s="19" t="str">
        <f t="shared" si="168"/>
        <v>Review</v>
      </c>
      <c r="AB984" s="14" t="s">
        <v>77</v>
      </c>
      <c r="AC984" s="14">
        <v>2</v>
      </c>
      <c r="AD984" s="14" t="s">
        <v>93</v>
      </c>
      <c r="AE984" s="17">
        <v>9.6</v>
      </c>
      <c r="AF984" s="15">
        <v>0</v>
      </c>
      <c r="AG984" s="20">
        <f t="shared" si="169"/>
        <v>1399958</v>
      </c>
      <c r="AH984" s="14">
        <v>0</v>
      </c>
      <c r="AI984" s="14" t="s">
        <v>75</v>
      </c>
      <c r="AJ984" s="14">
        <v>36</v>
      </c>
      <c r="AK984" s="21">
        <f t="shared" si="170"/>
        <v>0.15500000000000003</v>
      </c>
      <c r="AL984" s="20">
        <f t="shared" si="171"/>
        <v>0</v>
      </c>
      <c r="AM984" s="22">
        <f t="shared" si="172"/>
        <v>0</v>
      </c>
      <c r="AN984" s="20">
        <f t="shared" si="173"/>
        <v>13765.07</v>
      </c>
      <c r="AO984" s="16">
        <f t="shared" si="174"/>
        <v>0.11798985398133373</v>
      </c>
      <c r="AP984" s="15">
        <v>0</v>
      </c>
      <c r="AQ984" s="18" t="str">
        <f t="shared" si="175"/>
        <v>N/A</v>
      </c>
      <c r="AR984" s="23">
        <v>46037</v>
      </c>
      <c r="AS984" s="14" t="s">
        <v>79</v>
      </c>
    </row>
    <row r="985" spans="1:45" x14ac:dyDescent="0.25">
      <c r="A985" s="14" t="s">
        <v>3068</v>
      </c>
      <c r="B985" s="14" t="s">
        <v>555</v>
      </c>
      <c r="C985" s="14"/>
      <c r="D985" s="15" t="s">
        <v>3096</v>
      </c>
      <c r="E985" s="14">
        <v>25</v>
      </c>
      <c r="F985" s="14" t="s">
        <v>71</v>
      </c>
      <c r="G985" s="14" t="s">
        <v>215</v>
      </c>
      <c r="H985" s="14" t="s">
        <v>166</v>
      </c>
      <c r="I985" s="14" t="s">
        <v>74</v>
      </c>
      <c r="J985" s="15">
        <v>784637</v>
      </c>
      <c r="K985" s="14">
        <v>1</v>
      </c>
      <c r="L985" s="14" t="s">
        <v>75</v>
      </c>
      <c r="M985" s="14" t="s">
        <v>75</v>
      </c>
      <c r="N985" s="14" t="s">
        <v>76</v>
      </c>
      <c r="O985" s="14" t="s">
        <v>75</v>
      </c>
      <c r="P985" s="14">
        <v>518</v>
      </c>
      <c r="Q985" s="15"/>
      <c r="R985" s="15">
        <v>16318.44</v>
      </c>
      <c r="S985" s="14" t="s">
        <v>22</v>
      </c>
      <c r="T985" s="15">
        <v>188017</v>
      </c>
      <c r="U985" s="16">
        <f t="shared" si="165"/>
        <v>0.24956926578787389</v>
      </c>
      <c r="V985" s="14">
        <v>0</v>
      </c>
      <c r="W985" s="17">
        <v>48.1</v>
      </c>
      <c r="X985" s="14">
        <v>10</v>
      </c>
      <c r="Y985" s="18">
        <f t="shared" si="166"/>
        <v>37.799999999999997</v>
      </c>
      <c r="Z985" s="18" t="str">
        <f t="shared" si="167"/>
        <v>Medium</v>
      </c>
      <c r="AA985" s="19" t="str">
        <f t="shared" si="168"/>
        <v>Not Eligible</v>
      </c>
      <c r="AB985" s="14" t="s">
        <v>85</v>
      </c>
      <c r="AC985" s="14">
        <v>2</v>
      </c>
      <c r="AD985" s="14" t="s">
        <v>78</v>
      </c>
      <c r="AE985" s="17">
        <v>1.7</v>
      </c>
      <c r="AF985" s="15">
        <v>602108</v>
      </c>
      <c r="AG985" s="20">
        <f t="shared" si="169"/>
        <v>1386745</v>
      </c>
      <c r="AH985" s="14">
        <v>0</v>
      </c>
      <c r="AI985" s="14" t="s">
        <v>75</v>
      </c>
      <c r="AJ985" s="14">
        <v>72</v>
      </c>
      <c r="AK985" s="21">
        <f t="shared" si="170"/>
        <v>0.105</v>
      </c>
      <c r="AL985" s="20">
        <f t="shared" si="171"/>
        <v>3530.7655967177743</v>
      </c>
      <c r="AM985" s="22">
        <f t="shared" si="172"/>
        <v>0.2396229084277188</v>
      </c>
      <c r="AN985" s="20">
        <f t="shared" si="173"/>
        <v>19849.205596717773</v>
      </c>
      <c r="AO985" s="16">
        <f t="shared" si="174"/>
        <v>0.30356772260371773</v>
      </c>
      <c r="AP985" s="15">
        <v>1342215</v>
      </c>
      <c r="AQ985" s="18">
        <f t="shared" si="175"/>
        <v>0.14007964446828564</v>
      </c>
      <c r="AR985" s="23">
        <v>46045</v>
      </c>
      <c r="AS985" s="14" t="s">
        <v>79</v>
      </c>
    </row>
    <row r="986" spans="1:45" x14ac:dyDescent="0.25">
      <c r="A986" s="14" t="s">
        <v>3070</v>
      </c>
      <c r="B986" s="14" t="s">
        <v>3071</v>
      </c>
      <c r="C986" s="14">
        <v>9583024678</v>
      </c>
      <c r="D986" s="15" t="s">
        <v>3100</v>
      </c>
      <c r="E986" s="14">
        <v>47</v>
      </c>
      <c r="F986" s="14" t="s">
        <v>71</v>
      </c>
      <c r="G986" s="14" t="s">
        <v>120</v>
      </c>
      <c r="H986" s="14" t="s">
        <v>103</v>
      </c>
      <c r="I986" s="14" t="s">
        <v>74</v>
      </c>
      <c r="J986" s="15">
        <v>2017942</v>
      </c>
      <c r="K986" s="14">
        <v>0</v>
      </c>
      <c r="L986" s="14" t="s">
        <v>75</v>
      </c>
      <c r="M986" s="14" t="s">
        <v>75</v>
      </c>
      <c r="N986" s="14" t="s">
        <v>75</v>
      </c>
      <c r="O986" s="14" t="s">
        <v>75</v>
      </c>
      <c r="P986" s="14">
        <v>545</v>
      </c>
      <c r="Q986" s="15">
        <v>760438</v>
      </c>
      <c r="R986" s="15">
        <v>11674.62</v>
      </c>
      <c r="S986" s="14" t="s">
        <v>23</v>
      </c>
      <c r="T986" s="15"/>
      <c r="U986" s="16">
        <f t="shared" si="165"/>
        <v>6.942490914010413E-2</v>
      </c>
      <c r="V986" s="14">
        <v>2</v>
      </c>
      <c r="W986" s="17">
        <v>36.9</v>
      </c>
      <c r="X986" s="14">
        <v>3.9</v>
      </c>
      <c r="Y986" s="18">
        <f t="shared" si="166"/>
        <v>37.4</v>
      </c>
      <c r="Z986" s="18" t="str">
        <f t="shared" si="167"/>
        <v>Medium</v>
      </c>
      <c r="AA986" s="19" t="str">
        <f t="shared" si="168"/>
        <v>Not Eligible</v>
      </c>
      <c r="AB986" s="14" t="s">
        <v>85</v>
      </c>
      <c r="AC986" s="14">
        <v>1</v>
      </c>
      <c r="AD986" s="14" t="s">
        <v>78</v>
      </c>
      <c r="AE986" s="17">
        <v>10</v>
      </c>
      <c r="AF986" s="15">
        <v>247902</v>
      </c>
      <c r="AG986" s="20">
        <f t="shared" si="169"/>
        <v>2265844</v>
      </c>
      <c r="AH986" s="14">
        <v>1</v>
      </c>
      <c r="AI986" s="14" t="s">
        <v>75</v>
      </c>
      <c r="AJ986" s="14">
        <v>180</v>
      </c>
      <c r="AK986" s="21">
        <f t="shared" si="170"/>
        <v>0.1</v>
      </c>
      <c r="AL986" s="20">
        <f t="shared" si="171"/>
        <v>0</v>
      </c>
      <c r="AM986" s="22">
        <f t="shared" si="172"/>
        <v>0</v>
      </c>
      <c r="AN986" s="20">
        <f t="shared" si="173"/>
        <v>11674.62</v>
      </c>
      <c r="AO986" s="16">
        <f t="shared" si="174"/>
        <v>6.942490914010413E-2</v>
      </c>
      <c r="AP986" s="15">
        <v>2020213</v>
      </c>
      <c r="AQ986" s="18">
        <f t="shared" si="175"/>
        <v>0</v>
      </c>
      <c r="AR986" s="23">
        <v>46120</v>
      </c>
      <c r="AS986" s="14" t="s">
        <v>94</v>
      </c>
    </row>
    <row r="987" spans="1:45" x14ac:dyDescent="0.25">
      <c r="A987" s="14" t="s">
        <v>3074</v>
      </c>
      <c r="B987" s="14" t="s">
        <v>3075</v>
      </c>
      <c r="C987" s="14">
        <v>9407331728</v>
      </c>
      <c r="D987" s="15" t="s">
        <v>3102</v>
      </c>
      <c r="E987" s="14">
        <v>25</v>
      </c>
      <c r="F987" s="14" t="s">
        <v>89</v>
      </c>
      <c r="G987" s="14" t="s">
        <v>98</v>
      </c>
      <c r="H987" s="14" t="s">
        <v>84</v>
      </c>
      <c r="I987" s="14" t="s">
        <v>74</v>
      </c>
      <c r="J987" s="15">
        <v>1550957</v>
      </c>
      <c r="K987" s="14">
        <v>1</v>
      </c>
      <c r="L987" s="14" t="s">
        <v>76</v>
      </c>
      <c r="M987" s="14" t="s">
        <v>75</v>
      </c>
      <c r="N987" s="14" t="s">
        <v>75</v>
      </c>
      <c r="O987" s="14" t="s">
        <v>75</v>
      </c>
      <c r="P987" s="14">
        <v>407</v>
      </c>
      <c r="Q987" s="15">
        <v>911819.05</v>
      </c>
      <c r="R987" s="15">
        <v>7564.32</v>
      </c>
      <c r="S987" s="14" t="s">
        <v>21</v>
      </c>
      <c r="T987" s="15"/>
      <c r="U987" s="16">
        <f t="shared" si="165"/>
        <v>5.8526342122960207E-2</v>
      </c>
      <c r="V987" s="14">
        <v>2</v>
      </c>
      <c r="W987" s="17">
        <v>51.7</v>
      </c>
      <c r="X987" s="14">
        <v>12.7</v>
      </c>
      <c r="Y987" s="18">
        <f t="shared" si="166"/>
        <v>47.8</v>
      </c>
      <c r="Z987" s="18" t="str">
        <f t="shared" si="167"/>
        <v>Medium</v>
      </c>
      <c r="AA987" s="19" t="str">
        <f t="shared" si="168"/>
        <v>Not Eligible</v>
      </c>
      <c r="AB987" s="14" t="s">
        <v>85</v>
      </c>
      <c r="AC987" s="14">
        <v>1</v>
      </c>
      <c r="AD987" s="14" t="s">
        <v>93</v>
      </c>
      <c r="AE987" s="17">
        <v>0.5</v>
      </c>
      <c r="AF987" s="15">
        <v>0</v>
      </c>
      <c r="AG987" s="20">
        <f t="shared" si="169"/>
        <v>1550957</v>
      </c>
      <c r="AH987" s="14">
        <v>0</v>
      </c>
      <c r="AI987" s="14" t="s">
        <v>75</v>
      </c>
      <c r="AJ987" s="14">
        <v>36</v>
      </c>
      <c r="AK987" s="21">
        <f t="shared" si="170"/>
        <v>0.15500000000000003</v>
      </c>
      <c r="AL987" s="20">
        <f t="shared" si="171"/>
        <v>0</v>
      </c>
      <c r="AM987" s="22">
        <f t="shared" si="172"/>
        <v>0</v>
      </c>
      <c r="AN987" s="20">
        <f t="shared" si="173"/>
        <v>7564.32</v>
      </c>
      <c r="AO987" s="16">
        <f t="shared" si="174"/>
        <v>5.8526342122960207E-2</v>
      </c>
      <c r="AP987" s="15">
        <v>0</v>
      </c>
      <c r="AQ987" s="18" t="str">
        <f t="shared" si="175"/>
        <v>N/A</v>
      </c>
      <c r="AR987" s="23">
        <v>46072</v>
      </c>
      <c r="AS987" s="14" t="s">
        <v>79</v>
      </c>
    </row>
    <row r="988" spans="1:45" x14ac:dyDescent="0.25">
      <c r="A988" s="14" t="s">
        <v>3078</v>
      </c>
      <c r="B988" s="14" t="s">
        <v>3079</v>
      </c>
      <c r="C988" s="14">
        <v>9143336417</v>
      </c>
      <c r="D988" s="15" t="s">
        <v>3106</v>
      </c>
      <c r="E988" s="14">
        <v>35</v>
      </c>
      <c r="F988" s="14" t="s">
        <v>89</v>
      </c>
      <c r="G988" s="14" t="s">
        <v>174</v>
      </c>
      <c r="H988" s="14" t="s">
        <v>103</v>
      </c>
      <c r="I988" s="14" t="s">
        <v>74</v>
      </c>
      <c r="J988" s="15">
        <v>1543408</v>
      </c>
      <c r="K988" s="14">
        <v>2</v>
      </c>
      <c r="L988" s="14" t="s">
        <v>76</v>
      </c>
      <c r="M988" s="14" t="s">
        <v>75</v>
      </c>
      <c r="N988" s="14" t="s">
        <v>76</v>
      </c>
      <c r="O988" s="14" t="s">
        <v>75</v>
      </c>
      <c r="P988" s="14">
        <v>834</v>
      </c>
      <c r="Q988" s="15">
        <v>130019</v>
      </c>
      <c r="R988" s="15">
        <v>8150.15</v>
      </c>
      <c r="S988" s="14" t="s">
        <v>20</v>
      </c>
      <c r="T988" s="15">
        <v>807452</v>
      </c>
      <c r="U988" s="16">
        <f t="shared" si="165"/>
        <v>6.3367431035733904E-2</v>
      </c>
      <c r="V988" s="14">
        <v>5</v>
      </c>
      <c r="W988" s="17">
        <v>54.7</v>
      </c>
      <c r="X988" s="14">
        <v>8.1999999999999993</v>
      </c>
      <c r="Y988" s="18">
        <f t="shared" si="166"/>
        <v>31.8</v>
      </c>
      <c r="Z988" s="18" t="str">
        <f t="shared" si="167"/>
        <v>Medium</v>
      </c>
      <c r="AA988" s="19" t="str">
        <f t="shared" si="168"/>
        <v>Not Eligible</v>
      </c>
      <c r="AB988" s="14" t="s">
        <v>85</v>
      </c>
      <c r="AC988" s="14">
        <v>0</v>
      </c>
      <c r="AD988" s="14" t="s">
        <v>194</v>
      </c>
      <c r="AE988" s="17">
        <v>11.7</v>
      </c>
      <c r="AF988" s="15">
        <v>0</v>
      </c>
      <c r="AG988" s="20">
        <f t="shared" si="169"/>
        <v>1543408</v>
      </c>
      <c r="AH988" s="14">
        <v>0</v>
      </c>
      <c r="AI988" s="14" t="s">
        <v>76</v>
      </c>
      <c r="AJ988" s="14">
        <v>24</v>
      </c>
      <c r="AK988" s="21">
        <f t="shared" si="170"/>
        <v>0.375</v>
      </c>
      <c r="AL988" s="20">
        <f t="shared" si="171"/>
        <v>48322.239127166315</v>
      </c>
      <c r="AM988" s="22">
        <f t="shared" si="172"/>
        <v>0.52316173040440372</v>
      </c>
      <c r="AN988" s="20">
        <f t="shared" si="173"/>
        <v>56472.389127166316</v>
      </c>
      <c r="AO988" s="16">
        <f t="shared" si="174"/>
        <v>0.43907292791406799</v>
      </c>
      <c r="AP988" s="15">
        <v>0</v>
      </c>
      <c r="AQ988" s="18" t="str">
        <f t="shared" si="175"/>
        <v>N/A</v>
      </c>
      <c r="AR988" s="23">
        <v>45984</v>
      </c>
      <c r="AS988" s="14" t="s">
        <v>79</v>
      </c>
    </row>
    <row r="989" spans="1:45" x14ac:dyDescent="0.25">
      <c r="A989" s="14" t="s">
        <v>3081</v>
      </c>
      <c r="B989" s="14" t="s">
        <v>1804</v>
      </c>
      <c r="C989" s="14">
        <v>9718340557</v>
      </c>
      <c r="D989" s="15" t="s">
        <v>3109</v>
      </c>
      <c r="E989" s="14">
        <v>39</v>
      </c>
      <c r="F989" s="14" t="s">
        <v>89</v>
      </c>
      <c r="G989" s="14" t="s">
        <v>90</v>
      </c>
      <c r="H989" s="14" t="s">
        <v>103</v>
      </c>
      <c r="I989" s="14" t="s">
        <v>74</v>
      </c>
      <c r="J989" s="15">
        <v>946406</v>
      </c>
      <c r="K989" s="14">
        <v>3</v>
      </c>
      <c r="L989" s="14" t="s">
        <v>76</v>
      </c>
      <c r="M989" s="14" t="s">
        <v>76</v>
      </c>
      <c r="N989" s="14" t="s">
        <v>76</v>
      </c>
      <c r="O989" s="14" t="s">
        <v>75</v>
      </c>
      <c r="P989" s="14">
        <v>853</v>
      </c>
      <c r="Q989" s="15">
        <v>103242.73</v>
      </c>
      <c r="R989" s="15">
        <v>7693.42</v>
      </c>
      <c r="S989" s="14" t="s">
        <v>20</v>
      </c>
      <c r="T989" s="15">
        <v>168013</v>
      </c>
      <c r="U989" s="16">
        <f t="shared" si="165"/>
        <v>9.7549085698949503E-2</v>
      </c>
      <c r="V989" s="14">
        <v>2</v>
      </c>
      <c r="W989" s="17">
        <v>87.2</v>
      </c>
      <c r="X989" s="14">
        <v>3.3</v>
      </c>
      <c r="Y989" s="18">
        <f t="shared" si="166"/>
        <v>22.8</v>
      </c>
      <c r="Z989" s="18" t="str">
        <f t="shared" si="167"/>
        <v>Low</v>
      </c>
      <c r="AA989" s="19" t="str">
        <f t="shared" si="168"/>
        <v>Eligible</v>
      </c>
      <c r="AB989" s="14" t="s">
        <v>85</v>
      </c>
      <c r="AC989" s="14">
        <v>0</v>
      </c>
      <c r="AD989" s="14" t="s">
        <v>93</v>
      </c>
      <c r="AE989" s="17">
        <v>17</v>
      </c>
      <c r="AF989" s="15">
        <v>0</v>
      </c>
      <c r="AG989" s="20">
        <f t="shared" si="169"/>
        <v>946406</v>
      </c>
      <c r="AH989" s="14">
        <v>3</v>
      </c>
      <c r="AI989" s="14" t="s">
        <v>75</v>
      </c>
      <c r="AJ989" s="14">
        <v>36</v>
      </c>
      <c r="AK989" s="21">
        <f t="shared" si="170"/>
        <v>0.36</v>
      </c>
      <c r="AL989" s="20">
        <f t="shared" si="171"/>
        <v>7695.6328722627804</v>
      </c>
      <c r="AM989" s="22">
        <f t="shared" si="172"/>
        <v>0.17752740367241965</v>
      </c>
      <c r="AN989" s="20">
        <f t="shared" si="173"/>
        <v>15389.052872262781</v>
      </c>
      <c r="AO989" s="16">
        <f t="shared" si="174"/>
        <v>0.19512622961726084</v>
      </c>
      <c r="AP989" s="15">
        <v>0</v>
      </c>
      <c r="AQ989" s="18" t="str">
        <f t="shared" si="175"/>
        <v>N/A</v>
      </c>
      <c r="AR989" s="23">
        <v>46141</v>
      </c>
      <c r="AS989" s="14" t="s">
        <v>79</v>
      </c>
    </row>
    <row r="990" spans="1:45" x14ac:dyDescent="0.25">
      <c r="A990" s="14" t="s">
        <v>3083</v>
      </c>
      <c r="B990" s="14" t="s">
        <v>3084</v>
      </c>
      <c r="C990" s="14">
        <v>9883682170</v>
      </c>
      <c r="D990" s="15" t="s">
        <v>3112</v>
      </c>
      <c r="E990" s="14">
        <v>32</v>
      </c>
      <c r="F990" s="14" t="s">
        <v>89</v>
      </c>
      <c r="G990" s="14" t="s">
        <v>72</v>
      </c>
      <c r="H990" s="14" t="s">
        <v>144</v>
      </c>
      <c r="I990" s="14" t="s">
        <v>92</v>
      </c>
      <c r="J990" s="15">
        <v>2240991</v>
      </c>
      <c r="K990" s="14">
        <v>1</v>
      </c>
      <c r="L990" s="14" t="s">
        <v>75</v>
      </c>
      <c r="M990" s="14" t="s">
        <v>75</v>
      </c>
      <c r="N990" s="14" t="s">
        <v>75</v>
      </c>
      <c r="O990" s="14" t="s">
        <v>76</v>
      </c>
      <c r="P990" s="14">
        <v>817</v>
      </c>
      <c r="Q990" s="15">
        <v>294421</v>
      </c>
      <c r="R990" s="15">
        <v>31820.19</v>
      </c>
      <c r="S990" s="14" t="s">
        <v>23</v>
      </c>
      <c r="T990" s="15"/>
      <c r="U990" s="16">
        <f t="shared" si="165"/>
        <v>0.17038992124466362</v>
      </c>
      <c r="V990" s="14">
        <v>0</v>
      </c>
      <c r="W990" s="17">
        <v>30.5</v>
      </c>
      <c r="X990" s="14">
        <v>14.6</v>
      </c>
      <c r="Y990" s="18">
        <f t="shared" si="166"/>
        <v>13.7</v>
      </c>
      <c r="Z990" s="18" t="str">
        <f t="shared" si="167"/>
        <v>Low</v>
      </c>
      <c r="AA990" s="19" t="str">
        <f t="shared" si="168"/>
        <v>Eligible</v>
      </c>
      <c r="AB990" s="14" t="s">
        <v>161</v>
      </c>
      <c r="AC990" s="14">
        <v>0</v>
      </c>
      <c r="AD990" s="14" t="s">
        <v>78</v>
      </c>
      <c r="AE990" s="17">
        <v>6</v>
      </c>
      <c r="AF990" s="15">
        <v>0</v>
      </c>
      <c r="AG990" s="20">
        <f t="shared" si="169"/>
        <v>2240991</v>
      </c>
      <c r="AH990" s="14">
        <v>0</v>
      </c>
      <c r="AI990" s="14" t="s">
        <v>75</v>
      </c>
      <c r="AJ990" s="14">
        <v>240</v>
      </c>
      <c r="AK990" s="21">
        <f t="shared" si="170"/>
        <v>8.5000000000000006E-2</v>
      </c>
      <c r="AL990" s="20">
        <f t="shared" si="171"/>
        <v>0</v>
      </c>
      <c r="AM990" s="22">
        <f t="shared" si="172"/>
        <v>0</v>
      </c>
      <c r="AN990" s="20">
        <f t="shared" si="173"/>
        <v>31820.19</v>
      </c>
      <c r="AO990" s="16">
        <f t="shared" si="174"/>
        <v>0.17038992124466362</v>
      </c>
      <c r="AP990" s="15">
        <v>7882562</v>
      </c>
      <c r="AQ990" s="18">
        <f t="shared" si="175"/>
        <v>0</v>
      </c>
      <c r="AR990" s="23">
        <v>46070</v>
      </c>
      <c r="AS990" s="14" t="s">
        <v>79</v>
      </c>
    </row>
    <row r="991" spans="1:45" x14ac:dyDescent="0.25">
      <c r="A991" s="14" t="s">
        <v>3086</v>
      </c>
      <c r="B991" s="14" t="s">
        <v>2169</v>
      </c>
      <c r="C991" s="14">
        <v>9427829893</v>
      </c>
      <c r="D991" s="15" t="s">
        <v>3115</v>
      </c>
      <c r="E991" s="14">
        <v>52</v>
      </c>
      <c r="F991" s="14" t="s">
        <v>71</v>
      </c>
      <c r="G991" s="14" t="s">
        <v>90</v>
      </c>
      <c r="H991" s="14" t="s">
        <v>84</v>
      </c>
      <c r="I991" s="14" t="s">
        <v>74</v>
      </c>
      <c r="J991" s="15">
        <v>1686601</v>
      </c>
      <c r="K991" s="14">
        <v>1</v>
      </c>
      <c r="L991" s="14" t="s">
        <v>76</v>
      </c>
      <c r="M991" s="14" t="s">
        <v>75</v>
      </c>
      <c r="N991" s="14" t="s">
        <v>75</v>
      </c>
      <c r="O991" s="14" t="s">
        <v>75</v>
      </c>
      <c r="P991" s="14">
        <v>362</v>
      </c>
      <c r="Q991" s="15"/>
      <c r="R991" s="15">
        <v>23238.52</v>
      </c>
      <c r="S991" s="14" t="s">
        <v>21</v>
      </c>
      <c r="T991" s="15">
        <v>374471</v>
      </c>
      <c r="U991" s="16">
        <f t="shared" si="165"/>
        <v>0.16533978101518973</v>
      </c>
      <c r="V991" s="14">
        <v>1</v>
      </c>
      <c r="W991" s="17">
        <v>83.4</v>
      </c>
      <c r="X991" s="14">
        <v>2.7</v>
      </c>
      <c r="Y991" s="18">
        <f t="shared" si="166"/>
        <v>53.2</v>
      </c>
      <c r="Z991" s="18" t="str">
        <f t="shared" si="167"/>
        <v>Medium</v>
      </c>
      <c r="AA991" s="19" t="str">
        <f t="shared" si="168"/>
        <v>Not Eligible</v>
      </c>
      <c r="AB991" s="14" t="s">
        <v>85</v>
      </c>
      <c r="AC991" s="14">
        <v>3</v>
      </c>
      <c r="AD991" s="14" t="s">
        <v>78</v>
      </c>
      <c r="AE991" s="17">
        <v>27.4</v>
      </c>
      <c r="AF991" s="15">
        <v>272413</v>
      </c>
      <c r="AG991" s="20">
        <f t="shared" si="169"/>
        <v>1959014</v>
      </c>
      <c r="AH991" s="14">
        <v>0</v>
      </c>
      <c r="AI991" s="14" t="s">
        <v>75</v>
      </c>
      <c r="AJ991" s="14">
        <v>24</v>
      </c>
      <c r="AK991" s="21">
        <f t="shared" si="170"/>
        <v>0.15500000000000003</v>
      </c>
      <c r="AL991" s="20">
        <f t="shared" si="171"/>
        <v>18245.928146488124</v>
      </c>
      <c r="AM991" s="22">
        <f t="shared" si="172"/>
        <v>0.22202702358174814</v>
      </c>
      <c r="AN991" s="20">
        <f t="shared" si="173"/>
        <v>41484.448146488125</v>
      </c>
      <c r="AO991" s="16">
        <f t="shared" si="174"/>
        <v>0.29515776271795019</v>
      </c>
      <c r="AP991" s="15">
        <v>0</v>
      </c>
      <c r="AQ991" s="18" t="str">
        <f t="shared" si="175"/>
        <v>N/A</v>
      </c>
      <c r="AR991" s="23">
        <v>46064</v>
      </c>
      <c r="AS991" s="14" t="s">
        <v>79</v>
      </c>
    </row>
    <row r="992" spans="1:45" x14ac:dyDescent="0.25">
      <c r="A992" s="14" t="s">
        <v>3089</v>
      </c>
      <c r="B992" s="14" t="s">
        <v>3090</v>
      </c>
      <c r="C992" s="14">
        <v>9772200292</v>
      </c>
      <c r="D992" s="15" t="s">
        <v>3117</v>
      </c>
      <c r="E992" s="14">
        <v>65</v>
      </c>
      <c r="F992" s="14" t="s">
        <v>71</v>
      </c>
      <c r="G992" s="14" t="s">
        <v>417</v>
      </c>
      <c r="H992" s="14" t="s">
        <v>107</v>
      </c>
      <c r="I992" s="14" t="s">
        <v>92</v>
      </c>
      <c r="J992" s="15">
        <v>462225</v>
      </c>
      <c r="K992" s="14">
        <v>2</v>
      </c>
      <c r="L992" s="14" t="s">
        <v>76</v>
      </c>
      <c r="M992" s="14" t="s">
        <v>76</v>
      </c>
      <c r="N992" s="14" t="s">
        <v>75</v>
      </c>
      <c r="O992" s="14" t="s">
        <v>75</v>
      </c>
      <c r="P992" s="14">
        <v>370</v>
      </c>
      <c r="Q992" s="15"/>
      <c r="R992" s="15">
        <v>2035.78</v>
      </c>
      <c r="S992" s="14" t="s">
        <v>23</v>
      </c>
      <c r="T992" s="15">
        <v>3937412</v>
      </c>
      <c r="U992" s="16">
        <f t="shared" si="165"/>
        <v>5.2851663151062794E-2</v>
      </c>
      <c r="V992" s="14">
        <v>3</v>
      </c>
      <c r="W992" s="17">
        <v>32.1</v>
      </c>
      <c r="X992" s="14">
        <v>13.1</v>
      </c>
      <c r="Y992" s="18">
        <f t="shared" si="166"/>
        <v>52.1</v>
      </c>
      <c r="Z992" s="18" t="str">
        <f t="shared" si="167"/>
        <v>Medium</v>
      </c>
      <c r="AA992" s="19" t="str">
        <f t="shared" si="168"/>
        <v>Not Eligible</v>
      </c>
      <c r="AB992" s="14" t="s">
        <v>85</v>
      </c>
      <c r="AC992" s="14">
        <v>2</v>
      </c>
      <c r="AD992" s="14" t="s">
        <v>93</v>
      </c>
      <c r="AE992" s="17">
        <v>29.6</v>
      </c>
      <c r="AF992" s="15">
        <v>606542</v>
      </c>
      <c r="AG992" s="20">
        <f t="shared" si="169"/>
        <v>1068767</v>
      </c>
      <c r="AH992" s="14">
        <v>0</v>
      </c>
      <c r="AI992" s="14" t="s">
        <v>76</v>
      </c>
      <c r="AJ992" s="14">
        <v>360</v>
      </c>
      <c r="AK992" s="21">
        <f t="shared" si="170"/>
        <v>0.1</v>
      </c>
      <c r="AL992" s="20">
        <f t="shared" si="171"/>
        <v>34553.608309264775</v>
      </c>
      <c r="AM992" s="22">
        <f t="shared" si="172"/>
        <v>8.5183882308399586</v>
      </c>
      <c r="AN992" s="20">
        <f t="shared" si="173"/>
        <v>36589.388309264774</v>
      </c>
      <c r="AO992" s="16">
        <f t="shared" si="174"/>
        <v>0.94991110327476291</v>
      </c>
      <c r="AP992" s="15">
        <v>9025411</v>
      </c>
      <c r="AQ992" s="18">
        <f t="shared" si="175"/>
        <v>0.43625847066687601</v>
      </c>
      <c r="AR992" s="23">
        <v>46030</v>
      </c>
      <c r="AS992" s="14" t="s">
        <v>79</v>
      </c>
    </row>
    <row r="993" spans="1:45" x14ac:dyDescent="0.25">
      <c r="A993" s="14" t="s">
        <v>3093</v>
      </c>
      <c r="B993" s="14" t="s">
        <v>155</v>
      </c>
      <c r="C993" s="14"/>
      <c r="D993" s="15"/>
      <c r="E993" s="14">
        <v>32</v>
      </c>
      <c r="F993" s="14" t="s">
        <v>71</v>
      </c>
      <c r="G993" s="14" t="s">
        <v>120</v>
      </c>
      <c r="H993" s="14" t="s">
        <v>132</v>
      </c>
      <c r="I993" s="14" t="s">
        <v>92</v>
      </c>
      <c r="J993" s="15">
        <v>1488764</v>
      </c>
      <c r="K993" s="14">
        <v>1</v>
      </c>
      <c r="L993" s="14" t="s">
        <v>76</v>
      </c>
      <c r="M993" s="14" t="s">
        <v>75</v>
      </c>
      <c r="N993" s="14" t="s">
        <v>75</v>
      </c>
      <c r="O993" s="14" t="s">
        <v>75</v>
      </c>
      <c r="P993" s="14">
        <v>748</v>
      </c>
      <c r="Q993" s="15"/>
      <c r="R993" s="15">
        <v>479.84</v>
      </c>
      <c r="S993" s="14" t="s">
        <v>23</v>
      </c>
      <c r="T993" s="15"/>
      <c r="U993" s="16">
        <f t="shared" si="165"/>
        <v>3.8676915884586138E-3</v>
      </c>
      <c r="V993" s="14">
        <v>0</v>
      </c>
      <c r="W993" s="17">
        <v>63.4</v>
      </c>
      <c r="X993" s="14">
        <v>14.1</v>
      </c>
      <c r="Y993" s="18">
        <f t="shared" si="166"/>
        <v>16.600000000000001</v>
      </c>
      <c r="Z993" s="18" t="str">
        <f t="shared" si="167"/>
        <v>Low</v>
      </c>
      <c r="AA993" s="19" t="str">
        <f t="shared" si="168"/>
        <v>Eligible</v>
      </c>
      <c r="AB993" s="14" t="s">
        <v>85</v>
      </c>
      <c r="AC993" s="14">
        <v>2</v>
      </c>
      <c r="AD993" s="14" t="s">
        <v>93</v>
      </c>
      <c r="AE993" s="17">
        <v>10.6</v>
      </c>
      <c r="AF993" s="15">
        <v>0</v>
      </c>
      <c r="AG993" s="20">
        <f t="shared" si="169"/>
        <v>1488764</v>
      </c>
      <c r="AH993" s="14">
        <v>0</v>
      </c>
      <c r="AI993" s="14" t="s">
        <v>75</v>
      </c>
      <c r="AJ993" s="14">
        <v>360</v>
      </c>
      <c r="AK993" s="21">
        <f t="shared" si="170"/>
        <v>8.5000000000000006E-2</v>
      </c>
      <c r="AL993" s="20">
        <f t="shared" si="171"/>
        <v>0</v>
      </c>
      <c r="AM993" s="22">
        <f t="shared" si="172"/>
        <v>0</v>
      </c>
      <c r="AN993" s="20">
        <f t="shared" si="173"/>
        <v>479.84</v>
      </c>
      <c r="AO993" s="16">
        <f t="shared" si="174"/>
        <v>3.8676915884586138E-3</v>
      </c>
      <c r="AP993" s="15">
        <v>3709333</v>
      </c>
      <c r="AQ993" s="18">
        <f t="shared" si="175"/>
        <v>0</v>
      </c>
      <c r="AR993" s="23">
        <v>46000</v>
      </c>
      <c r="AS993" s="14" t="s">
        <v>79</v>
      </c>
    </row>
    <row r="994" spans="1:45" x14ac:dyDescent="0.25">
      <c r="A994" s="14" t="s">
        <v>3095</v>
      </c>
      <c r="B994" s="14" t="s">
        <v>380</v>
      </c>
      <c r="C994" s="14"/>
      <c r="D994" s="15"/>
      <c r="E994" s="14">
        <v>57</v>
      </c>
      <c r="F994" s="14" t="s">
        <v>71</v>
      </c>
      <c r="G994" s="14" t="s">
        <v>139</v>
      </c>
      <c r="H994" s="14" t="s">
        <v>91</v>
      </c>
      <c r="I994" s="14" t="s">
        <v>92</v>
      </c>
      <c r="J994" s="15">
        <v>2416255</v>
      </c>
      <c r="K994" s="14">
        <v>1</v>
      </c>
      <c r="L994" s="14" t="s">
        <v>76</v>
      </c>
      <c r="M994" s="14" t="s">
        <v>75</v>
      </c>
      <c r="N994" s="14" t="s">
        <v>75</v>
      </c>
      <c r="O994" s="14" t="s">
        <v>75</v>
      </c>
      <c r="P994" s="14">
        <v>553</v>
      </c>
      <c r="Q994" s="15"/>
      <c r="R994" s="15">
        <v>10976.6</v>
      </c>
      <c r="S994" s="14" t="s">
        <v>20</v>
      </c>
      <c r="T994" s="15"/>
      <c r="U994" s="16">
        <f t="shared" si="165"/>
        <v>5.4513782692637992E-2</v>
      </c>
      <c r="V994" s="14">
        <v>4</v>
      </c>
      <c r="W994" s="17">
        <v>57.1</v>
      </c>
      <c r="X994" s="14">
        <v>15</v>
      </c>
      <c r="Y994" s="18">
        <f t="shared" si="166"/>
        <v>46.5</v>
      </c>
      <c r="Z994" s="18" t="str">
        <f t="shared" si="167"/>
        <v>Medium</v>
      </c>
      <c r="AA994" s="19" t="str">
        <f t="shared" si="168"/>
        <v>Review</v>
      </c>
      <c r="AB994" s="14" t="s">
        <v>85</v>
      </c>
      <c r="AC994" s="14">
        <v>2</v>
      </c>
      <c r="AD994" s="14" t="s">
        <v>194</v>
      </c>
      <c r="AE994" s="17">
        <v>11.2</v>
      </c>
      <c r="AF994" s="15">
        <v>492776</v>
      </c>
      <c r="AG994" s="20">
        <f t="shared" si="169"/>
        <v>2909031</v>
      </c>
      <c r="AH994" s="14">
        <v>2</v>
      </c>
      <c r="AI994" s="14" t="s">
        <v>75</v>
      </c>
      <c r="AJ994" s="14">
        <v>36</v>
      </c>
      <c r="AK994" s="21">
        <f t="shared" si="170"/>
        <v>0.375</v>
      </c>
      <c r="AL994" s="20">
        <f t="shared" si="171"/>
        <v>0</v>
      </c>
      <c r="AM994" s="22">
        <f t="shared" si="172"/>
        <v>0</v>
      </c>
      <c r="AN994" s="20">
        <f t="shared" si="173"/>
        <v>10976.6</v>
      </c>
      <c r="AO994" s="16">
        <f t="shared" si="174"/>
        <v>5.4513782692637992E-2</v>
      </c>
      <c r="AP994" s="15">
        <v>0</v>
      </c>
      <c r="AQ994" s="18" t="str">
        <f t="shared" si="175"/>
        <v>N/A</v>
      </c>
      <c r="AR994" s="23">
        <v>46129</v>
      </c>
      <c r="AS994" s="14" t="s">
        <v>79</v>
      </c>
    </row>
    <row r="995" spans="1:45" x14ac:dyDescent="0.25">
      <c r="A995" s="14" t="s">
        <v>3097</v>
      </c>
      <c r="B995" s="14" t="s">
        <v>3098</v>
      </c>
      <c r="C995" s="14"/>
      <c r="D995" s="15"/>
      <c r="E995" s="14">
        <v>53</v>
      </c>
      <c r="F995" s="14" t="s">
        <v>89</v>
      </c>
      <c r="G995" s="14" t="s">
        <v>120</v>
      </c>
      <c r="H995" s="14" t="s">
        <v>103</v>
      </c>
      <c r="I995" s="14" t="s">
        <v>74</v>
      </c>
      <c r="J995" s="15">
        <v>1897910</v>
      </c>
      <c r="K995" s="14">
        <v>1</v>
      </c>
      <c r="L995" s="14" t="s">
        <v>76</v>
      </c>
      <c r="M995" s="14" t="s">
        <v>75</v>
      </c>
      <c r="N995" s="14" t="s">
        <v>75</v>
      </c>
      <c r="O995" s="14" t="s">
        <v>75</v>
      </c>
      <c r="P995" s="14">
        <v>895</v>
      </c>
      <c r="Q995" s="15"/>
      <c r="R995" s="15">
        <v>25347.95</v>
      </c>
      <c r="S995" s="14" t="s">
        <v>22</v>
      </c>
      <c r="T995" s="15"/>
      <c r="U995" s="16">
        <f t="shared" si="165"/>
        <v>0.16026861126186173</v>
      </c>
      <c r="V995" s="14">
        <v>0</v>
      </c>
      <c r="W995" s="17">
        <v>37.6</v>
      </c>
      <c r="X995" s="14">
        <v>8.6</v>
      </c>
      <c r="Y995" s="18">
        <f t="shared" si="166"/>
        <v>8.9</v>
      </c>
      <c r="Z995" s="18" t="str">
        <f t="shared" si="167"/>
        <v>Low</v>
      </c>
      <c r="AA995" s="19" t="str">
        <f t="shared" si="168"/>
        <v>Eligible</v>
      </c>
      <c r="AB995" s="14" t="s">
        <v>161</v>
      </c>
      <c r="AC995" s="14">
        <v>0</v>
      </c>
      <c r="AD995" s="14" t="s">
        <v>78</v>
      </c>
      <c r="AE995" s="17">
        <v>26.9</v>
      </c>
      <c r="AF995" s="15">
        <v>621895</v>
      </c>
      <c r="AG995" s="20">
        <f t="shared" si="169"/>
        <v>2519805</v>
      </c>
      <c r="AH995" s="14">
        <v>0</v>
      </c>
      <c r="AI995" s="14" t="s">
        <v>75</v>
      </c>
      <c r="AJ995" s="14">
        <v>24</v>
      </c>
      <c r="AK995" s="21">
        <f t="shared" si="170"/>
        <v>0.09</v>
      </c>
      <c r="AL995" s="20">
        <f t="shared" si="171"/>
        <v>0</v>
      </c>
      <c r="AM995" s="22">
        <f t="shared" si="172"/>
        <v>0</v>
      </c>
      <c r="AN995" s="20">
        <f t="shared" si="173"/>
        <v>25347.95</v>
      </c>
      <c r="AO995" s="16">
        <f t="shared" si="174"/>
        <v>0.16026861126186173</v>
      </c>
      <c r="AP995" s="15">
        <v>1522712</v>
      </c>
      <c r="AQ995" s="18">
        <f t="shared" si="175"/>
        <v>0</v>
      </c>
      <c r="AR995" s="23">
        <v>46048</v>
      </c>
      <c r="AS995" s="14" t="s">
        <v>79</v>
      </c>
    </row>
    <row r="996" spans="1:45" x14ac:dyDescent="0.25">
      <c r="A996" s="14" t="s">
        <v>3101</v>
      </c>
      <c r="B996" s="14" t="s">
        <v>1945</v>
      </c>
      <c r="C996" s="14"/>
      <c r="D996" s="15"/>
      <c r="E996" s="14">
        <v>56</v>
      </c>
      <c r="F996" s="14" t="s">
        <v>71</v>
      </c>
      <c r="G996" s="14" t="s">
        <v>106</v>
      </c>
      <c r="H996" s="14" t="s">
        <v>132</v>
      </c>
      <c r="I996" s="14" t="s">
        <v>92</v>
      </c>
      <c r="J996" s="15">
        <v>1612576</v>
      </c>
      <c r="K996" s="14">
        <v>2</v>
      </c>
      <c r="L996" s="14" t="s">
        <v>76</v>
      </c>
      <c r="M996" s="14" t="s">
        <v>75</v>
      </c>
      <c r="N996" s="14" t="s">
        <v>75</v>
      </c>
      <c r="O996" s="14" t="s">
        <v>76</v>
      </c>
      <c r="P996" s="14">
        <v>363</v>
      </c>
      <c r="Q996" s="15"/>
      <c r="R996" s="15">
        <v>16885.54</v>
      </c>
      <c r="S996" s="14" t="s">
        <v>21</v>
      </c>
      <c r="T996" s="15"/>
      <c r="U996" s="16">
        <f t="shared" si="165"/>
        <v>0.12565391026531464</v>
      </c>
      <c r="V996" s="14">
        <v>2</v>
      </c>
      <c r="W996" s="17">
        <v>42.5</v>
      </c>
      <c r="X996" s="14">
        <v>4.8</v>
      </c>
      <c r="Y996" s="18">
        <f t="shared" si="166"/>
        <v>51.8</v>
      </c>
      <c r="Z996" s="18" t="str">
        <f t="shared" si="167"/>
        <v>Medium</v>
      </c>
      <c r="AA996" s="19" t="str">
        <f t="shared" si="168"/>
        <v>Not Eligible</v>
      </c>
      <c r="AB996" s="14" t="s">
        <v>77</v>
      </c>
      <c r="AC996" s="14">
        <v>2</v>
      </c>
      <c r="AD996" s="14" t="s">
        <v>93</v>
      </c>
      <c r="AE996" s="17">
        <v>3</v>
      </c>
      <c r="AF996" s="15">
        <v>0</v>
      </c>
      <c r="AG996" s="20">
        <f t="shared" si="169"/>
        <v>1612576</v>
      </c>
      <c r="AH996" s="14">
        <v>0</v>
      </c>
      <c r="AI996" s="14" t="s">
        <v>75</v>
      </c>
      <c r="AJ996" s="14">
        <v>36</v>
      </c>
      <c r="AK996" s="21">
        <f t="shared" si="170"/>
        <v>0.15500000000000003</v>
      </c>
      <c r="AL996" s="20">
        <f t="shared" si="171"/>
        <v>0</v>
      </c>
      <c r="AM996" s="22">
        <f t="shared" si="172"/>
        <v>0</v>
      </c>
      <c r="AN996" s="20">
        <f t="shared" si="173"/>
        <v>16885.54</v>
      </c>
      <c r="AO996" s="16">
        <f t="shared" si="174"/>
        <v>0.12565391026531464</v>
      </c>
      <c r="AP996" s="15">
        <v>0</v>
      </c>
      <c r="AQ996" s="18" t="str">
        <f t="shared" si="175"/>
        <v>N/A</v>
      </c>
      <c r="AR996" s="23">
        <v>46058</v>
      </c>
      <c r="AS996" s="14" t="s">
        <v>79</v>
      </c>
    </row>
    <row r="997" spans="1:45" x14ac:dyDescent="0.25">
      <c r="A997" s="14" t="s">
        <v>3103</v>
      </c>
      <c r="B997" s="14" t="s">
        <v>3104</v>
      </c>
      <c r="C997" s="14"/>
      <c r="D997" s="15"/>
      <c r="E997" s="14">
        <v>51</v>
      </c>
      <c r="F997" s="14" t="s">
        <v>89</v>
      </c>
      <c r="G997" s="14" t="s">
        <v>215</v>
      </c>
      <c r="H997" s="14" t="s">
        <v>107</v>
      </c>
      <c r="I997" s="14" t="s">
        <v>92</v>
      </c>
      <c r="J997" s="15">
        <v>1149267</v>
      </c>
      <c r="K997" s="14">
        <v>1</v>
      </c>
      <c r="L997" s="14" t="s">
        <v>76</v>
      </c>
      <c r="M997" s="14" t="s">
        <v>75</v>
      </c>
      <c r="N997" s="14" t="s">
        <v>75</v>
      </c>
      <c r="O997" s="14" t="s">
        <v>75</v>
      </c>
      <c r="P997" s="14">
        <v>358</v>
      </c>
      <c r="Q997" s="15"/>
      <c r="R997" s="15">
        <v>2241.6999999999998</v>
      </c>
      <c r="S997" s="14" t="s">
        <v>22</v>
      </c>
      <c r="T997" s="15"/>
      <c r="U997" s="16">
        <f t="shared" si="165"/>
        <v>2.340657131893633E-2</v>
      </c>
      <c r="V997" s="14">
        <v>0</v>
      </c>
      <c r="W997" s="17">
        <v>94</v>
      </c>
      <c r="X997" s="14">
        <v>11.8</v>
      </c>
      <c r="Y997" s="18">
        <f t="shared" si="166"/>
        <v>46.2</v>
      </c>
      <c r="Z997" s="18" t="str">
        <f t="shared" si="167"/>
        <v>Medium</v>
      </c>
      <c r="AA997" s="19" t="str">
        <f t="shared" si="168"/>
        <v>Not Eligible</v>
      </c>
      <c r="AB997" s="14" t="s">
        <v>77</v>
      </c>
      <c r="AC997" s="14">
        <v>1</v>
      </c>
      <c r="AD997" s="14" t="s">
        <v>194</v>
      </c>
      <c r="AE997" s="17">
        <v>0.6</v>
      </c>
      <c r="AF997" s="15">
        <v>0</v>
      </c>
      <c r="AG997" s="20">
        <f t="shared" si="169"/>
        <v>1149267</v>
      </c>
      <c r="AH997" s="14">
        <v>1</v>
      </c>
      <c r="AI997" s="14" t="s">
        <v>76</v>
      </c>
      <c r="AJ997" s="14">
        <v>60</v>
      </c>
      <c r="AK997" s="21">
        <f t="shared" si="170"/>
        <v>0.105</v>
      </c>
      <c r="AL997" s="20">
        <f t="shared" si="171"/>
        <v>0</v>
      </c>
      <c r="AM997" s="22">
        <f t="shared" si="172"/>
        <v>0</v>
      </c>
      <c r="AN997" s="20">
        <f t="shared" si="173"/>
        <v>2241.6999999999998</v>
      </c>
      <c r="AO997" s="16">
        <f t="shared" si="174"/>
        <v>2.340657131893633E-2</v>
      </c>
      <c r="AP997" s="15">
        <v>885541</v>
      </c>
      <c r="AQ997" s="18">
        <f t="shared" si="175"/>
        <v>0</v>
      </c>
      <c r="AR997" s="23">
        <v>46224</v>
      </c>
      <c r="AS997" s="14" t="s">
        <v>79</v>
      </c>
    </row>
    <row r="998" spans="1:45" x14ac:dyDescent="0.25">
      <c r="A998" s="14" t="s">
        <v>3107</v>
      </c>
      <c r="B998" s="14" t="s">
        <v>3048</v>
      </c>
      <c r="C998" s="14"/>
      <c r="D998" s="15"/>
      <c r="E998" s="14">
        <v>32</v>
      </c>
      <c r="F998" s="14" t="s">
        <v>71</v>
      </c>
      <c r="G998" s="14" t="s">
        <v>83</v>
      </c>
      <c r="H998" s="14" t="s">
        <v>166</v>
      </c>
      <c r="I998" s="14" t="s">
        <v>74</v>
      </c>
      <c r="J998" s="15">
        <v>1817068</v>
      </c>
      <c r="K998" s="14">
        <v>0</v>
      </c>
      <c r="L998" s="14" t="s">
        <v>75</v>
      </c>
      <c r="M998" s="14" t="s">
        <v>75</v>
      </c>
      <c r="N998" s="14" t="s">
        <v>75</v>
      </c>
      <c r="O998" s="14" t="s">
        <v>75</v>
      </c>
      <c r="P998" s="14">
        <v>896</v>
      </c>
      <c r="Q998" s="15"/>
      <c r="R998" s="15">
        <v>1811.28</v>
      </c>
      <c r="S998" s="14" t="s">
        <v>20</v>
      </c>
      <c r="T998" s="15"/>
      <c r="U998" s="16">
        <f t="shared" si="165"/>
        <v>1.1961775783845184E-2</v>
      </c>
      <c r="V998" s="14">
        <v>5</v>
      </c>
      <c r="W998" s="17">
        <v>50.5</v>
      </c>
      <c r="X998" s="14">
        <v>13.7</v>
      </c>
      <c r="Y998" s="18">
        <f t="shared" si="166"/>
        <v>25.7</v>
      </c>
      <c r="Z998" s="18" t="str">
        <f t="shared" si="167"/>
        <v>Low</v>
      </c>
      <c r="AA998" s="19" t="str">
        <f t="shared" si="168"/>
        <v>Not Eligible</v>
      </c>
      <c r="AB998" s="14" t="s">
        <v>85</v>
      </c>
      <c r="AC998" s="14">
        <v>3</v>
      </c>
      <c r="AD998" s="14" t="s">
        <v>93</v>
      </c>
      <c r="AE998" s="17">
        <v>10</v>
      </c>
      <c r="AF998" s="15">
        <v>454977</v>
      </c>
      <c r="AG998" s="20">
        <f t="shared" si="169"/>
        <v>2272045</v>
      </c>
      <c r="AH998" s="14">
        <v>0</v>
      </c>
      <c r="AI998" s="14" t="s">
        <v>76</v>
      </c>
      <c r="AJ998" s="14">
        <v>12</v>
      </c>
      <c r="AK998" s="21">
        <f t="shared" si="170"/>
        <v>0.36</v>
      </c>
      <c r="AL998" s="20">
        <f t="shared" si="171"/>
        <v>0</v>
      </c>
      <c r="AM998" s="22">
        <f t="shared" si="172"/>
        <v>0</v>
      </c>
      <c r="AN998" s="20">
        <f t="shared" si="173"/>
        <v>1811.28</v>
      </c>
      <c r="AO998" s="16">
        <f t="shared" si="174"/>
        <v>1.1961775783845184E-2</v>
      </c>
      <c r="AP998" s="15">
        <v>0</v>
      </c>
      <c r="AQ998" s="18" t="str">
        <f t="shared" si="175"/>
        <v>N/A</v>
      </c>
      <c r="AR998" s="23">
        <v>45953</v>
      </c>
      <c r="AS998" s="14" t="s">
        <v>79</v>
      </c>
    </row>
    <row r="999" spans="1:45" x14ac:dyDescent="0.25">
      <c r="A999" s="14" t="s">
        <v>3110</v>
      </c>
      <c r="B999" s="14" t="s">
        <v>316</v>
      </c>
      <c r="C999" s="14"/>
      <c r="D999" s="15"/>
      <c r="E999" s="14">
        <v>53</v>
      </c>
      <c r="F999" s="14" t="s">
        <v>89</v>
      </c>
      <c r="G999" s="14" t="s">
        <v>115</v>
      </c>
      <c r="H999" s="14" t="s">
        <v>73</v>
      </c>
      <c r="I999" s="14" t="s">
        <v>74</v>
      </c>
      <c r="J999" s="15">
        <v>1147788</v>
      </c>
      <c r="K999" s="14">
        <v>1</v>
      </c>
      <c r="L999" s="14" t="s">
        <v>76</v>
      </c>
      <c r="M999" s="14" t="s">
        <v>75</v>
      </c>
      <c r="N999" s="14" t="s">
        <v>75</v>
      </c>
      <c r="O999" s="14" t="s">
        <v>75</v>
      </c>
      <c r="P999" s="14">
        <v>772</v>
      </c>
      <c r="Q999" s="15"/>
      <c r="R999" s="15">
        <v>7747.91</v>
      </c>
      <c r="S999" s="14" t="s">
        <v>20</v>
      </c>
      <c r="T999" s="15"/>
      <c r="U999" s="16">
        <f t="shared" si="165"/>
        <v>8.1003565118297108E-2</v>
      </c>
      <c r="V999" s="14">
        <v>1</v>
      </c>
      <c r="W999" s="17">
        <v>32.6</v>
      </c>
      <c r="X999" s="14">
        <v>2.1</v>
      </c>
      <c r="Y999" s="18">
        <f t="shared" si="166"/>
        <v>18.2</v>
      </c>
      <c r="Z999" s="18" t="str">
        <f t="shared" si="167"/>
        <v>Low</v>
      </c>
      <c r="AA999" s="19" t="str">
        <f t="shared" si="168"/>
        <v>Eligible</v>
      </c>
      <c r="AB999" s="14" t="s">
        <v>77</v>
      </c>
      <c r="AC999" s="14">
        <v>0</v>
      </c>
      <c r="AD999" s="14" t="s">
        <v>93</v>
      </c>
      <c r="AE999" s="17">
        <v>18.7</v>
      </c>
      <c r="AF999" s="15">
        <v>0</v>
      </c>
      <c r="AG999" s="20">
        <f t="shared" si="169"/>
        <v>1147788</v>
      </c>
      <c r="AH999" s="14">
        <v>1</v>
      </c>
      <c r="AI999" s="14" t="s">
        <v>75</v>
      </c>
      <c r="AJ999" s="14">
        <v>18</v>
      </c>
      <c r="AK999" s="21">
        <f t="shared" si="170"/>
        <v>0.36</v>
      </c>
      <c r="AL999" s="20">
        <f t="shared" si="171"/>
        <v>0</v>
      </c>
      <c r="AM999" s="22">
        <f t="shared" si="172"/>
        <v>0</v>
      </c>
      <c r="AN999" s="20">
        <f t="shared" si="173"/>
        <v>7747.91</v>
      </c>
      <c r="AO999" s="16">
        <f t="shared" si="174"/>
        <v>8.1003565118297108E-2</v>
      </c>
      <c r="AP999" s="15">
        <v>0</v>
      </c>
      <c r="AQ999" s="18" t="str">
        <f t="shared" si="175"/>
        <v>N/A</v>
      </c>
      <c r="AR999" s="23">
        <v>45915</v>
      </c>
      <c r="AS999" s="14" t="s">
        <v>79</v>
      </c>
    </row>
    <row r="1000" spans="1:45" x14ac:dyDescent="0.25">
      <c r="A1000" s="14" t="s">
        <v>3113</v>
      </c>
      <c r="B1000" s="14" t="s">
        <v>3114</v>
      </c>
      <c r="C1000" s="14"/>
      <c r="D1000" s="15"/>
      <c r="E1000" s="14">
        <v>31</v>
      </c>
      <c r="F1000" s="14" t="s">
        <v>71</v>
      </c>
      <c r="G1000" s="14" t="s">
        <v>83</v>
      </c>
      <c r="H1000" s="14" t="s">
        <v>144</v>
      </c>
      <c r="I1000" s="14" t="s">
        <v>92</v>
      </c>
      <c r="J1000" s="15">
        <v>594589</v>
      </c>
      <c r="K1000" s="14">
        <v>0</v>
      </c>
      <c r="L1000" s="14" t="s">
        <v>75</v>
      </c>
      <c r="M1000" s="14" t="s">
        <v>75</v>
      </c>
      <c r="N1000" s="14" t="s">
        <v>75</v>
      </c>
      <c r="O1000" s="14" t="s">
        <v>75</v>
      </c>
      <c r="P1000" s="14">
        <v>492</v>
      </c>
      <c r="Q1000" s="15"/>
      <c r="R1000" s="15">
        <v>144.94999999999999</v>
      </c>
      <c r="S1000" s="14" t="s">
        <v>20</v>
      </c>
      <c r="T1000" s="15"/>
      <c r="U1000" s="16">
        <f t="shared" si="165"/>
        <v>2.9253820706403918E-3</v>
      </c>
      <c r="V1000" s="14">
        <v>1</v>
      </c>
      <c r="W1000" s="17">
        <v>61.1</v>
      </c>
      <c r="X1000" s="14">
        <v>7.8</v>
      </c>
      <c r="Y1000" s="18">
        <f t="shared" si="166"/>
        <v>37.4</v>
      </c>
      <c r="Z1000" s="18" t="str">
        <f t="shared" si="167"/>
        <v>Medium</v>
      </c>
      <c r="AA1000" s="19" t="str">
        <f t="shared" si="168"/>
        <v>Not Eligible</v>
      </c>
      <c r="AB1000" s="14" t="s">
        <v>85</v>
      </c>
      <c r="AC1000" s="14">
        <v>0</v>
      </c>
      <c r="AD1000" s="14" t="s">
        <v>78</v>
      </c>
      <c r="AE1000" s="17">
        <v>9.6999999999999993</v>
      </c>
      <c r="AF1000" s="15">
        <v>0</v>
      </c>
      <c r="AG1000" s="20">
        <f t="shared" si="169"/>
        <v>594589</v>
      </c>
      <c r="AH1000" s="14">
        <v>1</v>
      </c>
      <c r="AI1000" s="14" t="s">
        <v>75</v>
      </c>
      <c r="AJ1000" s="14">
        <v>18</v>
      </c>
      <c r="AK1000" s="21">
        <f t="shared" si="170"/>
        <v>0.375</v>
      </c>
      <c r="AL1000" s="20">
        <f t="shared" si="171"/>
        <v>0</v>
      </c>
      <c r="AM1000" s="22">
        <f t="shared" si="172"/>
        <v>0</v>
      </c>
      <c r="AN1000" s="20">
        <f t="shared" si="173"/>
        <v>144.94999999999999</v>
      </c>
      <c r="AO1000" s="16">
        <f t="shared" si="174"/>
        <v>2.9253820706403918E-3</v>
      </c>
      <c r="AP1000" s="15">
        <v>0</v>
      </c>
      <c r="AQ1000" s="18" t="str">
        <f t="shared" si="175"/>
        <v>N/A</v>
      </c>
      <c r="AR1000" s="23">
        <v>46014</v>
      </c>
      <c r="AS1000" s="14" t="s">
        <v>79</v>
      </c>
    </row>
    <row r="1001" spans="1:45" x14ac:dyDescent="0.25">
      <c r="A1001" s="14" t="s">
        <v>3116</v>
      </c>
      <c r="B1001" s="14" t="s">
        <v>1247</v>
      </c>
      <c r="C1001" s="14"/>
      <c r="D1001" s="15"/>
      <c r="E1001" s="14">
        <v>24</v>
      </c>
      <c r="F1001" s="14" t="s">
        <v>89</v>
      </c>
      <c r="G1001" s="14" t="s">
        <v>120</v>
      </c>
      <c r="H1001" s="14" t="s">
        <v>107</v>
      </c>
      <c r="I1001" s="14" t="s">
        <v>92</v>
      </c>
      <c r="J1001" s="15">
        <v>656835</v>
      </c>
      <c r="K1001" s="14">
        <v>1</v>
      </c>
      <c r="L1001" s="14" t="s">
        <v>76</v>
      </c>
      <c r="M1001" s="14" t="s">
        <v>75</v>
      </c>
      <c r="N1001" s="14" t="s">
        <v>75</v>
      </c>
      <c r="O1001" s="14" t="s">
        <v>75</v>
      </c>
      <c r="P1001" s="14">
        <v>394</v>
      </c>
      <c r="Q1001" s="15"/>
      <c r="R1001" s="15">
        <v>5538.74</v>
      </c>
      <c r="S1001" s="14" t="s">
        <v>23</v>
      </c>
      <c r="T1001" s="15"/>
      <c r="U1001" s="16">
        <f t="shared" si="165"/>
        <v>0.10118961382995731</v>
      </c>
      <c r="V1001" s="14">
        <v>0</v>
      </c>
      <c r="W1001" s="17">
        <v>82.2</v>
      </c>
      <c r="X1001" s="14">
        <v>0.6</v>
      </c>
      <c r="Y1001" s="18">
        <f t="shared" si="166"/>
        <v>45</v>
      </c>
      <c r="Z1001" s="18" t="str">
        <f t="shared" si="167"/>
        <v>Medium</v>
      </c>
      <c r="AA1001" s="19" t="str">
        <f t="shared" si="168"/>
        <v>Not Eligible</v>
      </c>
      <c r="AB1001" s="14" t="s">
        <v>85</v>
      </c>
      <c r="AC1001" s="14">
        <v>0</v>
      </c>
      <c r="AD1001" s="14" t="s">
        <v>78</v>
      </c>
      <c r="AE1001" s="17">
        <v>2.4</v>
      </c>
      <c r="AF1001" s="15">
        <v>0</v>
      </c>
      <c r="AG1001" s="20">
        <f t="shared" si="169"/>
        <v>656835</v>
      </c>
      <c r="AH1001" s="14">
        <v>0</v>
      </c>
      <c r="AI1001" s="14" t="s">
        <v>75</v>
      </c>
      <c r="AJ1001" s="14">
        <v>360</v>
      </c>
      <c r="AK1001" s="21">
        <f t="shared" si="170"/>
        <v>0.1</v>
      </c>
      <c r="AL1001" s="20">
        <f t="shared" si="171"/>
        <v>0</v>
      </c>
      <c r="AM1001" s="22">
        <f t="shared" si="172"/>
        <v>0</v>
      </c>
      <c r="AN1001" s="20">
        <f t="shared" si="173"/>
        <v>5538.74</v>
      </c>
      <c r="AO1001" s="16">
        <f t="shared" si="174"/>
        <v>0.10118961382995731</v>
      </c>
      <c r="AP1001" s="15">
        <v>4890147</v>
      </c>
      <c r="AQ1001" s="18">
        <f t="shared" si="175"/>
        <v>0</v>
      </c>
      <c r="AR1001" s="23">
        <v>45909</v>
      </c>
      <c r="AS1001" s="14" t="s">
        <v>94</v>
      </c>
    </row>
    <row r="1004" spans="1:45" ht="20.25" x14ac:dyDescent="0.3">
      <c r="A1004" s="26" t="s">
        <v>3118</v>
      </c>
    </row>
    <row r="1005" spans="1:45" x14ac:dyDescent="0.25">
      <c r="A1005" s="25" t="s">
        <v>3119</v>
      </c>
      <c r="B1005" s="25"/>
      <c r="C1005" s="25"/>
      <c r="D1005" s="25"/>
      <c r="E1005" s="25"/>
      <c r="F1005" s="25"/>
      <c r="G1005" s="25"/>
      <c r="H1005" s="25"/>
      <c r="I1005" s="25"/>
      <c r="J1005" s="25"/>
    </row>
    <row r="1006" spans="1:45" x14ac:dyDescent="0.25">
      <c r="A1006" s="25" t="s">
        <v>3120</v>
      </c>
      <c r="B1006" s="25"/>
      <c r="C1006" s="25"/>
      <c r="D1006" s="25"/>
      <c r="E1006" s="25"/>
      <c r="F1006" s="25"/>
      <c r="G1006" s="25"/>
      <c r="H1006" s="25"/>
      <c r="I1006" s="25"/>
      <c r="J1006" s="25"/>
    </row>
    <row r="1007" spans="1:45" x14ac:dyDescent="0.25">
      <c r="A1007" s="25" t="s">
        <v>3121</v>
      </c>
      <c r="B1007" s="25"/>
      <c r="C1007" s="25"/>
      <c r="D1007" s="25"/>
      <c r="E1007" s="25"/>
      <c r="F1007" s="25"/>
      <c r="G1007" s="25"/>
      <c r="H1007" s="25"/>
      <c r="I1007" s="25"/>
      <c r="J1007" s="25"/>
    </row>
    <row r="1008" spans="1:45" x14ac:dyDescent="0.25">
      <c r="A1008" s="25" t="s">
        <v>3122</v>
      </c>
      <c r="B1008" s="25"/>
      <c r="C1008" s="25"/>
      <c r="D1008" s="25"/>
      <c r="E1008" s="25"/>
      <c r="F1008" s="25"/>
      <c r="G1008" s="25"/>
      <c r="H1008" s="25"/>
      <c r="I1008" s="25"/>
      <c r="J1008" s="25"/>
    </row>
    <row r="1009" spans="1:10" x14ac:dyDescent="0.25">
      <c r="A1009" s="25" t="s">
        <v>3123</v>
      </c>
      <c r="B1009" s="25"/>
      <c r="C1009" s="25"/>
      <c r="D1009" s="25"/>
      <c r="E1009" s="25"/>
      <c r="F1009" s="25"/>
      <c r="G1009" s="25"/>
      <c r="H1009" s="25"/>
      <c r="I1009" s="25"/>
      <c r="J1009" s="25"/>
    </row>
    <row r="1010" spans="1:10" x14ac:dyDescent="0.25">
      <c r="A1010" s="25" t="s">
        <v>3124</v>
      </c>
      <c r="B1010" s="25"/>
      <c r="C1010" s="25"/>
      <c r="D1010" s="25"/>
      <c r="E1010" s="25"/>
      <c r="F1010" s="25"/>
      <c r="G1010" s="25"/>
      <c r="H1010" s="25"/>
      <c r="I1010" s="25"/>
      <c r="J1010" s="25"/>
    </row>
    <row r="1011" spans="1:10" x14ac:dyDescent="0.25">
      <c r="A1011" s="25" t="s">
        <v>3125</v>
      </c>
      <c r="B1011" s="25"/>
      <c r="C1011" s="25"/>
      <c r="D1011" s="25"/>
      <c r="E1011" s="25"/>
      <c r="F1011" s="25"/>
      <c r="G1011" s="25"/>
      <c r="H1011" s="25"/>
      <c r="I1011" s="25"/>
      <c r="J1011" s="25"/>
    </row>
    <row r="1012" spans="1:10" x14ac:dyDescent="0.25">
      <c r="A1012" s="25" t="s">
        <v>3126</v>
      </c>
      <c r="B1012" s="25"/>
      <c r="C1012" s="25"/>
      <c r="D1012" s="25"/>
      <c r="E1012" s="25"/>
      <c r="F1012" s="25"/>
      <c r="G1012" s="25"/>
      <c r="H1012" s="25"/>
      <c r="I1012" s="25"/>
      <c r="J1012" s="25"/>
    </row>
  </sheetData>
  <autoFilter ref="A1:AS1001" xr:uid="{00000000-0009-0000-0000-000001000000}"/>
  <mergeCells count="8">
    <mergeCell ref="A1010:J1010"/>
    <mergeCell ref="A1011:J1011"/>
    <mergeCell ref="A1012:J1012"/>
    <mergeCell ref="A1005:J1005"/>
    <mergeCell ref="A1006:J1006"/>
    <mergeCell ref="A1007:J1007"/>
    <mergeCell ref="A1008:J1008"/>
    <mergeCell ref="A1009:J1009"/>
  </mergeCells>
  <conditionalFormatting sqref="AA2:AA1001">
    <cfRule type="cellIs" dxfId="2" priority="2" operator="equal">
      <formula>"Eligible"</formula>
    </cfRule>
    <cfRule type="cellIs" dxfId="1" priority="3" operator="equal">
      <formula>"Review"</formula>
    </cfRule>
    <cfRule type="cellIs" dxfId="0" priority="4" operator="equal">
      <formula>"Not Eligible"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51"/>
  <sheetViews>
    <sheetView zoomScaleNormal="100" workbookViewId="0">
      <pane ySplit="1" topLeftCell="A1033" activePane="bottomLeft" state="frozen"/>
      <selection pane="bottomLeft"/>
    </sheetView>
  </sheetViews>
  <sheetFormatPr defaultColWidth="8.7109375" defaultRowHeight="15" x14ac:dyDescent="0.25"/>
  <cols>
    <col min="1" max="34" width="16" customWidth="1"/>
  </cols>
  <sheetData>
    <row r="1" spans="1:34" ht="30" customHeight="1" x14ac:dyDescent="0.25">
      <c r="A1" s="24" t="s">
        <v>25</v>
      </c>
      <c r="B1" s="24" t="s">
        <v>26</v>
      </c>
      <c r="C1" s="24" t="s">
        <v>27</v>
      </c>
      <c r="D1" s="24" t="s">
        <v>28</v>
      </c>
      <c r="E1" s="24" t="s">
        <v>29</v>
      </c>
      <c r="F1" s="24" t="s">
        <v>30</v>
      </c>
      <c r="G1" s="24" t="s">
        <v>31</v>
      </c>
      <c r="H1" s="24" t="s">
        <v>32</v>
      </c>
      <c r="I1" s="24" t="s">
        <v>33</v>
      </c>
      <c r="J1" s="24" t="s">
        <v>3127</v>
      </c>
      <c r="K1" s="24" t="s">
        <v>35</v>
      </c>
      <c r="L1" s="24" t="s">
        <v>36</v>
      </c>
      <c r="M1" s="24" t="s">
        <v>37</v>
      </c>
      <c r="N1" s="24" t="s">
        <v>38</v>
      </c>
      <c r="O1" s="24" t="s">
        <v>39</v>
      </c>
      <c r="P1" s="24" t="s">
        <v>3128</v>
      </c>
      <c r="Q1" s="24" t="s">
        <v>3129</v>
      </c>
      <c r="R1" s="24" t="s">
        <v>3130</v>
      </c>
      <c r="S1" s="24" t="s">
        <v>3131</v>
      </c>
      <c r="T1" s="24" t="s">
        <v>3132</v>
      </c>
      <c r="U1" s="24" t="s">
        <v>44</v>
      </c>
      <c r="V1" s="24" t="s">
        <v>45</v>
      </c>
      <c r="W1" s="24" t="s">
        <v>46</v>
      </c>
      <c r="X1" s="24" t="s">
        <v>50</v>
      </c>
      <c r="Y1" s="24" t="s">
        <v>51</v>
      </c>
      <c r="Z1" s="24" t="s">
        <v>52</v>
      </c>
      <c r="AA1" s="24" t="s">
        <v>53</v>
      </c>
      <c r="AB1" s="24" t="s">
        <v>3133</v>
      </c>
      <c r="AC1" s="24" t="s">
        <v>56</v>
      </c>
      <c r="AD1" s="24" t="s">
        <v>57</v>
      </c>
      <c r="AE1" s="24" t="s">
        <v>58</v>
      </c>
      <c r="AF1" s="24" t="s">
        <v>3134</v>
      </c>
      <c r="AG1" s="24" t="s">
        <v>66</v>
      </c>
      <c r="AH1" s="24" t="s">
        <v>67</v>
      </c>
    </row>
    <row r="2" spans="1:34" x14ac:dyDescent="0.25">
      <c r="A2" s="6" t="s">
        <v>68</v>
      </c>
      <c r="B2" s="6" t="s">
        <v>3135</v>
      </c>
      <c r="C2" s="6"/>
      <c r="D2" s="6" t="s">
        <v>70</v>
      </c>
      <c r="E2" s="6" t="s">
        <v>3136</v>
      </c>
      <c r="F2" s="6" t="s">
        <v>3137</v>
      </c>
      <c r="G2" s="6" t="s">
        <v>72</v>
      </c>
      <c r="H2" s="6" t="s">
        <v>3138</v>
      </c>
      <c r="I2" s="6" t="s">
        <v>74</v>
      </c>
      <c r="J2" s="6" t="s">
        <v>3139</v>
      </c>
      <c r="K2" s="6" t="s">
        <v>3140</v>
      </c>
      <c r="L2" s="6" t="s">
        <v>3141</v>
      </c>
      <c r="M2" s="6" t="s">
        <v>76</v>
      </c>
      <c r="N2" s="6" t="s">
        <v>3142</v>
      </c>
      <c r="O2" s="6" t="s">
        <v>3143</v>
      </c>
      <c r="P2" s="6" t="s">
        <v>3144</v>
      </c>
      <c r="Q2" s="6" t="s">
        <v>3145</v>
      </c>
      <c r="R2" s="6" t="s">
        <v>3146</v>
      </c>
      <c r="S2" s="6" t="s">
        <v>23</v>
      </c>
      <c r="T2" s="6" t="s">
        <v>3147</v>
      </c>
      <c r="U2" s="6" t="s">
        <v>3141</v>
      </c>
      <c r="V2" s="6" t="s">
        <v>3148</v>
      </c>
      <c r="W2" s="6" t="s">
        <v>3149</v>
      </c>
      <c r="X2" s="6" t="s">
        <v>77</v>
      </c>
      <c r="Y2" s="6" t="s">
        <v>3141</v>
      </c>
      <c r="Z2" s="6" t="s">
        <v>78</v>
      </c>
      <c r="AA2" s="6" t="s">
        <v>3150</v>
      </c>
      <c r="AB2" s="6" t="s">
        <v>3151</v>
      </c>
      <c r="AC2" s="6" t="s">
        <v>3141</v>
      </c>
      <c r="AD2" s="6" t="s">
        <v>3152</v>
      </c>
      <c r="AE2" s="6" t="s">
        <v>3153</v>
      </c>
      <c r="AF2" s="6" t="s">
        <v>3154</v>
      </c>
      <c r="AG2" s="6" t="s">
        <v>3155</v>
      </c>
      <c r="AH2" s="6" t="s">
        <v>79</v>
      </c>
    </row>
    <row r="3" spans="1:34" x14ac:dyDescent="0.25">
      <c r="A3" s="6" t="s">
        <v>80</v>
      </c>
      <c r="B3" s="6" t="s">
        <v>81</v>
      </c>
      <c r="C3" s="6" t="s">
        <v>3156</v>
      </c>
      <c r="D3" s="6" t="s">
        <v>82</v>
      </c>
      <c r="E3" s="6" t="s">
        <v>3157</v>
      </c>
      <c r="F3" s="6" t="s">
        <v>3137</v>
      </c>
      <c r="G3" s="6" t="s">
        <v>83</v>
      </c>
      <c r="H3" s="6" t="s">
        <v>84</v>
      </c>
      <c r="I3" s="6" t="s">
        <v>74</v>
      </c>
      <c r="J3" s="6" t="s">
        <v>3158</v>
      </c>
      <c r="K3" s="6" t="s">
        <v>3159</v>
      </c>
      <c r="L3" s="6" t="s">
        <v>3152</v>
      </c>
      <c r="M3" s="6" t="s">
        <v>3160</v>
      </c>
      <c r="N3" s="6" t="s">
        <v>3159</v>
      </c>
      <c r="O3" s="6" t="s">
        <v>3160</v>
      </c>
      <c r="P3" s="6" t="s">
        <v>3161</v>
      </c>
      <c r="Q3" s="6" t="s">
        <v>3162</v>
      </c>
      <c r="R3" s="6" t="s">
        <v>3163</v>
      </c>
      <c r="S3" s="6" t="s">
        <v>20</v>
      </c>
      <c r="T3" s="6" t="s">
        <v>3164</v>
      </c>
      <c r="U3" s="6" t="s">
        <v>3141</v>
      </c>
      <c r="V3" s="6" t="s">
        <v>3165</v>
      </c>
      <c r="W3" s="6" t="s">
        <v>3166</v>
      </c>
      <c r="X3" s="6" t="s">
        <v>3167</v>
      </c>
      <c r="Y3" s="6" t="s">
        <v>3141</v>
      </c>
      <c r="Z3" s="6" t="s">
        <v>78</v>
      </c>
      <c r="AA3" s="6" t="s">
        <v>3168</v>
      </c>
      <c r="AB3" s="6"/>
      <c r="AC3" s="6" t="s">
        <v>3159</v>
      </c>
      <c r="AD3" s="6" t="s">
        <v>3152</v>
      </c>
      <c r="AE3" s="6" t="s">
        <v>3169</v>
      </c>
      <c r="AF3" s="6"/>
      <c r="AG3" s="6"/>
      <c r="AH3" s="6" t="s">
        <v>79</v>
      </c>
    </row>
    <row r="4" spans="1:34" x14ac:dyDescent="0.25">
      <c r="A4" s="6" t="s">
        <v>86</v>
      </c>
      <c r="B4" s="6" t="s">
        <v>87</v>
      </c>
      <c r="C4" s="6"/>
      <c r="D4" s="6" t="s">
        <v>88</v>
      </c>
      <c r="E4" s="6" t="s">
        <v>3170</v>
      </c>
      <c r="F4" s="6" t="s">
        <v>89</v>
      </c>
      <c r="G4" s="6" t="s">
        <v>3171</v>
      </c>
      <c r="H4" s="6" t="s">
        <v>91</v>
      </c>
      <c r="I4" s="6" t="s">
        <v>92</v>
      </c>
      <c r="J4" s="6" t="s">
        <v>3172</v>
      </c>
      <c r="K4" s="6" t="s">
        <v>3159</v>
      </c>
      <c r="L4" s="6" t="s">
        <v>3152</v>
      </c>
      <c r="M4" s="6" t="s">
        <v>3143</v>
      </c>
      <c r="N4" s="6" t="s">
        <v>3173</v>
      </c>
      <c r="O4" s="6" t="s">
        <v>3141</v>
      </c>
      <c r="P4" s="6" t="s">
        <v>3174</v>
      </c>
      <c r="Q4" s="6" t="s">
        <v>3175</v>
      </c>
      <c r="R4" s="6" t="s">
        <v>3176</v>
      </c>
      <c r="S4" s="6" t="s">
        <v>3177</v>
      </c>
      <c r="T4" s="6" t="s">
        <v>3178</v>
      </c>
      <c r="U4" s="6" t="s">
        <v>3159</v>
      </c>
      <c r="V4" s="6" t="s">
        <v>3179</v>
      </c>
      <c r="W4" s="6" t="s">
        <v>3180</v>
      </c>
      <c r="X4" s="6" t="s">
        <v>85</v>
      </c>
      <c r="Y4" s="6" t="s">
        <v>3141</v>
      </c>
      <c r="Z4" s="6" t="s">
        <v>93</v>
      </c>
      <c r="AA4" s="6" t="s">
        <v>3181</v>
      </c>
      <c r="AB4" s="6"/>
      <c r="AC4" s="6" t="s">
        <v>3141</v>
      </c>
      <c r="AD4" s="6" t="s">
        <v>3152</v>
      </c>
      <c r="AE4" s="6" t="s">
        <v>3136</v>
      </c>
      <c r="AF4" s="6"/>
      <c r="AG4" s="6" t="s">
        <v>3182</v>
      </c>
      <c r="AH4" s="6" t="s">
        <v>94</v>
      </c>
    </row>
    <row r="5" spans="1:34" x14ac:dyDescent="0.25">
      <c r="A5" s="6" t="s">
        <v>95</v>
      </c>
      <c r="B5" s="6" t="s">
        <v>96</v>
      </c>
      <c r="C5" s="6" t="s">
        <v>3183</v>
      </c>
      <c r="D5" s="6" t="s">
        <v>3184</v>
      </c>
      <c r="E5" s="6" t="s">
        <v>3185</v>
      </c>
      <c r="F5" s="6" t="s">
        <v>71</v>
      </c>
      <c r="G5" s="6" t="s">
        <v>3186</v>
      </c>
      <c r="H5" s="6" t="s">
        <v>99</v>
      </c>
      <c r="I5" s="6" t="s">
        <v>74</v>
      </c>
      <c r="J5" s="6" t="s">
        <v>3187</v>
      </c>
      <c r="K5" s="6" t="s">
        <v>3159</v>
      </c>
      <c r="L5" s="6" t="s">
        <v>3188</v>
      </c>
      <c r="M5" s="6" t="s">
        <v>3160</v>
      </c>
      <c r="N5" s="6" t="s">
        <v>3160</v>
      </c>
      <c r="O5" s="6" t="s">
        <v>75</v>
      </c>
      <c r="P5" s="6" t="s">
        <v>3189</v>
      </c>
      <c r="Q5" s="6" t="s">
        <v>3190</v>
      </c>
      <c r="R5" s="6" t="s">
        <v>3191</v>
      </c>
      <c r="S5" s="6" t="s">
        <v>20</v>
      </c>
      <c r="T5" s="6"/>
      <c r="U5" s="6" t="s">
        <v>3192</v>
      </c>
      <c r="V5" s="6" t="s">
        <v>3193</v>
      </c>
      <c r="W5" s="6" t="s">
        <v>3194</v>
      </c>
      <c r="X5" s="6" t="s">
        <v>85</v>
      </c>
      <c r="Y5" s="6" t="s">
        <v>3159</v>
      </c>
      <c r="Z5" s="6" t="s">
        <v>78</v>
      </c>
      <c r="AA5" s="6" t="s">
        <v>3195</v>
      </c>
      <c r="AB5" s="6"/>
      <c r="AC5" s="6" t="s">
        <v>3159</v>
      </c>
      <c r="AD5" s="6" t="s">
        <v>3196</v>
      </c>
      <c r="AE5" s="6" t="s">
        <v>3169</v>
      </c>
      <c r="AF5" s="6"/>
      <c r="AG5" s="6" t="s">
        <v>3197</v>
      </c>
      <c r="AH5" s="6" t="s">
        <v>79</v>
      </c>
    </row>
    <row r="6" spans="1:34" x14ac:dyDescent="0.25">
      <c r="A6" s="6" t="s">
        <v>100</v>
      </c>
      <c r="B6" s="6" t="s">
        <v>101</v>
      </c>
      <c r="C6" s="6" t="s">
        <v>3198</v>
      </c>
      <c r="D6" s="6" t="s">
        <v>3199</v>
      </c>
      <c r="E6" s="6" t="s">
        <v>3200</v>
      </c>
      <c r="F6" s="6" t="s">
        <v>3201</v>
      </c>
      <c r="G6" s="6" t="s">
        <v>72</v>
      </c>
      <c r="H6" s="6" t="s">
        <v>103</v>
      </c>
      <c r="I6" s="6" t="s">
        <v>74</v>
      </c>
      <c r="J6" s="6" t="s">
        <v>3202</v>
      </c>
      <c r="K6" s="6" t="s">
        <v>3140</v>
      </c>
      <c r="L6" s="6" t="s">
        <v>3159</v>
      </c>
      <c r="M6" s="6" t="s">
        <v>3141</v>
      </c>
      <c r="N6" s="6" t="s">
        <v>3152</v>
      </c>
      <c r="O6" s="6" t="s">
        <v>3142</v>
      </c>
      <c r="P6" s="6" t="s">
        <v>3203</v>
      </c>
      <c r="Q6" s="6" t="s">
        <v>3204</v>
      </c>
      <c r="R6" s="6" t="s">
        <v>3205</v>
      </c>
      <c r="S6" s="6" t="s">
        <v>22</v>
      </c>
      <c r="T6" s="6" t="s">
        <v>3206</v>
      </c>
      <c r="U6" s="6" t="s">
        <v>3141</v>
      </c>
      <c r="V6" s="6" t="s">
        <v>3207</v>
      </c>
      <c r="W6" s="6" t="s">
        <v>3208</v>
      </c>
      <c r="X6" s="6" t="s">
        <v>85</v>
      </c>
      <c r="Y6" s="6" t="s">
        <v>3140</v>
      </c>
      <c r="Z6" s="6" t="s">
        <v>93</v>
      </c>
      <c r="AA6" s="6" t="s">
        <v>3209</v>
      </c>
      <c r="AB6" s="6"/>
      <c r="AC6" s="6" t="s">
        <v>3141</v>
      </c>
      <c r="AD6" s="6" t="s">
        <v>3143</v>
      </c>
      <c r="AE6" s="6" t="s">
        <v>3210</v>
      </c>
      <c r="AF6" s="6" t="s">
        <v>3211</v>
      </c>
      <c r="AG6" s="6" t="s">
        <v>3212</v>
      </c>
      <c r="AH6" s="6" t="s">
        <v>79</v>
      </c>
    </row>
    <row r="7" spans="1:34" x14ac:dyDescent="0.25">
      <c r="A7" s="6" t="s">
        <v>104</v>
      </c>
      <c r="B7" s="6" t="s">
        <v>105</v>
      </c>
      <c r="C7" s="6"/>
      <c r="D7" s="6"/>
      <c r="E7" s="6" t="s">
        <v>3213</v>
      </c>
      <c r="F7" s="6" t="s">
        <v>3214</v>
      </c>
      <c r="G7" s="6" t="s">
        <v>3215</v>
      </c>
      <c r="H7" s="6" t="s">
        <v>107</v>
      </c>
      <c r="I7" s="6" t="s">
        <v>92</v>
      </c>
      <c r="J7" s="6"/>
      <c r="K7" s="6" t="s">
        <v>3192</v>
      </c>
      <c r="L7" s="6" t="s">
        <v>3173</v>
      </c>
      <c r="M7" s="6" t="s">
        <v>3159</v>
      </c>
      <c r="N7" s="6" t="s">
        <v>76</v>
      </c>
      <c r="O7" s="6" t="s">
        <v>76</v>
      </c>
      <c r="P7" s="6" t="s">
        <v>3216</v>
      </c>
      <c r="Q7" s="6" t="s">
        <v>3217</v>
      </c>
      <c r="R7" s="6" t="s">
        <v>3218</v>
      </c>
      <c r="S7" s="6" t="s">
        <v>3219</v>
      </c>
      <c r="T7" s="6" t="s">
        <v>3220</v>
      </c>
      <c r="U7" s="6" t="s">
        <v>3140</v>
      </c>
      <c r="V7" s="6" t="s">
        <v>3221</v>
      </c>
      <c r="W7" s="6" t="s">
        <v>3222</v>
      </c>
      <c r="X7" s="6" t="s">
        <v>85</v>
      </c>
      <c r="Y7" s="6" t="s">
        <v>3159</v>
      </c>
      <c r="Z7" s="6" t="s">
        <v>93</v>
      </c>
      <c r="AA7" s="6" t="s">
        <v>3223</v>
      </c>
      <c r="AB7" s="6"/>
      <c r="AC7" s="6" t="s">
        <v>3141</v>
      </c>
      <c r="AD7" s="6" t="s">
        <v>3160</v>
      </c>
      <c r="AE7" s="6" t="s">
        <v>3136</v>
      </c>
      <c r="AF7" s="6"/>
      <c r="AG7" s="6" t="s">
        <v>3224</v>
      </c>
      <c r="AH7" s="6" t="s">
        <v>79</v>
      </c>
    </row>
    <row r="8" spans="1:34" x14ac:dyDescent="0.25">
      <c r="A8" s="6" t="s">
        <v>108</v>
      </c>
      <c r="B8" s="6" t="s">
        <v>109</v>
      </c>
      <c r="C8" s="6" t="s">
        <v>110</v>
      </c>
      <c r="D8" s="6" t="s">
        <v>3225</v>
      </c>
      <c r="E8" s="6" t="s">
        <v>3226</v>
      </c>
      <c r="F8" s="6" t="s">
        <v>3227</v>
      </c>
      <c r="G8" s="6" t="s">
        <v>106</v>
      </c>
      <c r="H8" s="6" t="s">
        <v>99</v>
      </c>
      <c r="I8" s="6" t="s">
        <v>74</v>
      </c>
      <c r="J8" s="6" t="s">
        <v>3228</v>
      </c>
      <c r="K8" s="6" t="s">
        <v>3159</v>
      </c>
      <c r="L8" s="6" t="s">
        <v>3159</v>
      </c>
      <c r="M8" s="6" t="s">
        <v>3152</v>
      </c>
      <c r="N8" s="6" t="s">
        <v>3143</v>
      </c>
      <c r="O8" s="6" t="s">
        <v>75</v>
      </c>
      <c r="P8" s="6" t="s">
        <v>3229</v>
      </c>
      <c r="Q8" s="6" t="s">
        <v>3230</v>
      </c>
      <c r="R8" s="6" t="s">
        <v>3231</v>
      </c>
      <c r="S8" s="6" t="s">
        <v>22</v>
      </c>
      <c r="T8" s="6"/>
      <c r="U8" s="6" t="s">
        <v>3141</v>
      </c>
      <c r="V8" s="6" t="s">
        <v>3232</v>
      </c>
      <c r="W8" s="6" t="s">
        <v>3233</v>
      </c>
      <c r="X8" s="6" t="s">
        <v>85</v>
      </c>
      <c r="Y8" s="6" t="s">
        <v>3159</v>
      </c>
      <c r="Z8" s="6" t="s">
        <v>78</v>
      </c>
      <c r="AA8" s="6" t="s">
        <v>3234</v>
      </c>
      <c r="AB8" s="6"/>
      <c r="AC8" s="6" t="s">
        <v>3140</v>
      </c>
      <c r="AD8" s="6" t="s">
        <v>3141</v>
      </c>
      <c r="AE8" s="6" t="s">
        <v>3235</v>
      </c>
      <c r="AF8" s="6" t="s">
        <v>3236</v>
      </c>
      <c r="AG8" s="6" t="s">
        <v>3237</v>
      </c>
      <c r="AH8" s="6" t="s">
        <v>79</v>
      </c>
    </row>
    <row r="9" spans="1:34" x14ac:dyDescent="0.25">
      <c r="A9" s="6" t="s">
        <v>112</v>
      </c>
      <c r="B9" s="6" t="s">
        <v>113</v>
      </c>
      <c r="C9" s="6" t="s">
        <v>3238</v>
      </c>
      <c r="D9" s="6" t="s">
        <v>3239</v>
      </c>
      <c r="E9" s="6" t="s">
        <v>3240</v>
      </c>
      <c r="F9" s="6" t="s">
        <v>89</v>
      </c>
      <c r="G9" s="6" t="s">
        <v>115</v>
      </c>
      <c r="H9" s="6" t="s">
        <v>3241</v>
      </c>
      <c r="I9" s="6" t="s">
        <v>92</v>
      </c>
      <c r="J9" s="6" t="s">
        <v>3242</v>
      </c>
      <c r="K9" s="6" t="s">
        <v>3140</v>
      </c>
      <c r="L9" s="6" t="s">
        <v>3152</v>
      </c>
      <c r="M9" s="6" t="s">
        <v>3243</v>
      </c>
      <c r="N9" s="6" t="s">
        <v>3196</v>
      </c>
      <c r="O9" s="6" t="s">
        <v>3159</v>
      </c>
      <c r="P9" s="6" t="s">
        <v>3244</v>
      </c>
      <c r="Q9" s="6" t="s">
        <v>3245</v>
      </c>
      <c r="R9" s="6" t="s">
        <v>3246</v>
      </c>
      <c r="S9" s="6" t="s">
        <v>22</v>
      </c>
      <c r="T9" s="6" t="s">
        <v>3247</v>
      </c>
      <c r="U9" s="6" t="s">
        <v>3140</v>
      </c>
      <c r="V9" s="6" t="s">
        <v>3248</v>
      </c>
      <c r="W9" s="6" t="s">
        <v>3249</v>
      </c>
      <c r="X9" s="6" t="s">
        <v>77</v>
      </c>
      <c r="Y9" s="6" t="s">
        <v>3159</v>
      </c>
      <c r="Z9" s="6" t="s">
        <v>78</v>
      </c>
      <c r="AA9" s="6" t="s">
        <v>3250</v>
      </c>
      <c r="AB9" s="6" t="s">
        <v>3251</v>
      </c>
      <c r="AC9" s="6" t="s">
        <v>3141</v>
      </c>
      <c r="AD9" s="6" t="s">
        <v>3243</v>
      </c>
      <c r="AE9" s="6" t="s">
        <v>3235</v>
      </c>
      <c r="AF9" s="6" t="s">
        <v>3252</v>
      </c>
      <c r="AG9" s="6" t="s">
        <v>3253</v>
      </c>
      <c r="AH9" s="6" t="s">
        <v>79</v>
      </c>
    </row>
    <row r="10" spans="1:34" x14ac:dyDescent="0.25">
      <c r="A10" s="6" t="s">
        <v>116</v>
      </c>
      <c r="B10" s="6" t="s">
        <v>117</v>
      </c>
      <c r="C10" s="6" t="s">
        <v>118</v>
      </c>
      <c r="D10" s="6" t="s">
        <v>119</v>
      </c>
      <c r="E10" s="6" t="s">
        <v>3254</v>
      </c>
      <c r="F10" s="6" t="s">
        <v>71</v>
      </c>
      <c r="G10" s="6" t="s">
        <v>3255</v>
      </c>
      <c r="H10" s="6" t="s">
        <v>73</v>
      </c>
      <c r="I10" s="6" t="s">
        <v>74</v>
      </c>
      <c r="J10" s="6" t="s">
        <v>3256</v>
      </c>
      <c r="K10" s="6" t="s">
        <v>3159</v>
      </c>
      <c r="L10" s="6" t="s">
        <v>3142</v>
      </c>
      <c r="M10" s="6" t="s">
        <v>3160</v>
      </c>
      <c r="N10" s="6" t="s">
        <v>3143</v>
      </c>
      <c r="O10" s="6" t="s">
        <v>3152</v>
      </c>
      <c r="P10" s="6" t="s">
        <v>3257</v>
      </c>
      <c r="Q10" s="6" t="s">
        <v>3258</v>
      </c>
      <c r="R10" s="6" t="s">
        <v>3259</v>
      </c>
      <c r="S10" s="6" t="s">
        <v>22</v>
      </c>
      <c r="T10" s="6" t="s">
        <v>3260</v>
      </c>
      <c r="U10" s="6" t="s">
        <v>3141</v>
      </c>
      <c r="V10" s="6" t="s">
        <v>3261</v>
      </c>
      <c r="W10" s="6" t="s">
        <v>3262</v>
      </c>
      <c r="X10" s="6" t="s">
        <v>85</v>
      </c>
      <c r="Y10" s="6" t="s">
        <v>3140</v>
      </c>
      <c r="Z10" s="6" t="s">
        <v>3263</v>
      </c>
      <c r="AA10" s="6" t="s">
        <v>3264</v>
      </c>
      <c r="AB10" s="6"/>
      <c r="AC10" s="6" t="s">
        <v>3141</v>
      </c>
      <c r="AD10" s="6" t="s">
        <v>3243</v>
      </c>
      <c r="AE10" s="6" t="s">
        <v>3210</v>
      </c>
      <c r="AF10" s="6" t="s">
        <v>3265</v>
      </c>
      <c r="AG10" s="6" t="s">
        <v>3266</v>
      </c>
      <c r="AH10" s="6" t="s">
        <v>79</v>
      </c>
    </row>
    <row r="11" spans="1:34" x14ac:dyDescent="0.25">
      <c r="A11" s="6" t="s">
        <v>121</v>
      </c>
      <c r="B11" s="6" t="s">
        <v>122</v>
      </c>
      <c r="C11" s="6" t="s">
        <v>3267</v>
      </c>
      <c r="D11" s="6"/>
      <c r="E11" s="6" t="s">
        <v>3268</v>
      </c>
      <c r="F11" s="6" t="s">
        <v>3269</v>
      </c>
      <c r="G11" s="6" t="s">
        <v>106</v>
      </c>
      <c r="H11" s="6" t="s">
        <v>84</v>
      </c>
      <c r="I11" s="6" t="s">
        <v>74</v>
      </c>
      <c r="J11" s="6" t="s">
        <v>3270</v>
      </c>
      <c r="K11" s="6" t="s">
        <v>3159</v>
      </c>
      <c r="L11" s="6" t="s">
        <v>76</v>
      </c>
      <c r="M11" s="6" t="s">
        <v>3141</v>
      </c>
      <c r="N11" s="6" t="s">
        <v>3143</v>
      </c>
      <c r="O11" s="6" t="s">
        <v>3243</v>
      </c>
      <c r="P11" s="6" t="s">
        <v>3271</v>
      </c>
      <c r="Q11" s="6" t="s">
        <v>3272</v>
      </c>
      <c r="R11" s="6" t="s">
        <v>3273</v>
      </c>
      <c r="S11" s="6" t="s">
        <v>22</v>
      </c>
      <c r="T11" s="6" t="s">
        <v>3274</v>
      </c>
      <c r="U11" s="6" t="s">
        <v>3275</v>
      </c>
      <c r="V11" s="6" t="s">
        <v>3276</v>
      </c>
      <c r="W11" s="6" t="s">
        <v>3277</v>
      </c>
      <c r="X11" s="6" t="s">
        <v>85</v>
      </c>
      <c r="Y11" s="6" t="s">
        <v>3140</v>
      </c>
      <c r="Z11" s="6" t="s">
        <v>78</v>
      </c>
      <c r="AA11" s="6" t="s">
        <v>3278</v>
      </c>
      <c r="AB11" s="6"/>
      <c r="AC11" s="6" t="s">
        <v>3141</v>
      </c>
      <c r="AD11" s="6" t="s">
        <v>3243</v>
      </c>
      <c r="AE11" s="6" t="s">
        <v>3279</v>
      </c>
      <c r="AF11" s="6" t="s">
        <v>3280</v>
      </c>
      <c r="AG11" s="6" t="s">
        <v>3281</v>
      </c>
      <c r="AH11" s="6" t="s">
        <v>79</v>
      </c>
    </row>
    <row r="12" spans="1:34" x14ac:dyDescent="0.25">
      <c r="A12" s="6" t="s">
        <v>123</v>
      </c>
      <c r="B12" s="6" t="s">
        <v>124</v>
      </c>
      <c r="C12" s="6" t="s">
        <v>125</v>
      </c>
      <c r="D12" s="6" t="s">
        <v>126</v>
      </c>
      <c r="E12" s="6" t="s">
        <v>3282</v>
      </c>
      <c r="F12" s="6" t="s">
        <v>3283</v>
      </c>
      <c r="G12" s="6" t="s">
        <v>127</v>
      </c>
      <c r="H12" s="6" t="s">
        <v>103</v>
      </c>
      <c r="I12" s="6" t="s">
        <v>74</v>
      </c>
      <c r="J12" s="6"/>
      <c r="K12" s="6" t="s">
        <v>3159</v>
      </c>
      <c r="L12" s="6" t="s">
        <v>3141</v>
      </c>
      <c r="M12" s="6" t="s">
        <v>76</v>
      </c>
      <c r="N12" s="6" t="s">
        <v>3160</v>
      </c>
      <c r="O12" s="6" t="s">
        <v>3243</v>
      </c>
      <c r="P12" s="6" t="s">
        <v>3284</v>
      </c>
      <c r="Q12" s="6" t="s">
        <v>3285</v>
      </c>
      <c r="R12" s="6" t="s">
        <v>3286</v>
      </c>
      <c r="S12" s="6" t="s">
        <v>3287</v>
      </c>
      <c r="T12" s="6" t="s">
        <v>3217</v>
      </c>
      <c r="U12" s="6" t="s">
        <v>3140</v>
      </c>
      <c r="V12" s="6" t="s">
        <v>3288</v>
      </c>
      <c r="W12" s="6" t="s">
        <v>3289</v>
      </c>
      <c r="X12" s="6" t="s">
        <v>3290</v>
      </c>
      <c r="Y12" s="6" t="s">
        <v>3140</v>
      </c>
      <c r="Z12" s="6" t="s">
        <v>78</v>
      </c>
      <c r="AA12" s="6" t="s">
        <v>3291</v>
      </c>
      <c r="AB12" s="6"/>
      <c r="AC12" s="6" t="s">
        <v>3292</v>
      </c>
      <c r="AD12" s="6" t="s">
        <v>3159</v>
      </c>
      <c r="AE12" s="6" t="s">
        <v>3293</v>
      </c>
      <c r="AF12" s="6"/>
      <c r="AG12" s="6" t="s">
        <v>3294</v>
      </c>
      <c r="AH12" s="6" t="s">
        <v>79</v>
      </c>
    </row>
    <row r="13" spans="1:34" x14ac:dyDescent="0.25">
      <c r="A13" s="6" t="s">
        <v>128</v>
      </c>
      <c r="B13" s="6" t="s">
        <v>129</v>
      </c>
      <c r="C13" s="6"/>
      <c r="D13" s="6" t="s">
        <v>3295</v>
      </c>
      <c r="E13" s="6" t="s">
        <v>3296</v>
      </c>
      <c r="F13" s="6" t="s">
        <v>3283</v>
      </c>
      <c r="G13" s="6" t="s">
        <v>3297</v>
      </c>
      <c r="H13" s="6" t="s">
        <v>132</v>
      </c>
      <c r="I13" s="6" t="s">
        <v>92</v>
      </c>
      <c r="J13" s="6" t="s">
        <v>3217</v>
      </c>
      <c r="K13" s="6" t="s">
        <v>3159</v>
      </c>
      <c r="L13" s="6" t="s">
        <v>3243</v>
      </c>
      <c r="M13" s="6" t="s">
        <v>3196</v>
      </c>
      <c r="N13" s="6" t="s">
        <v>3152</v>
      </c>
      <c r="O13" s="6" t="s">
        <v>3160</v>
      </c>
      <c r="P13" s="6" t="s">
        <v>3298</v>
      </c>
      <c r="Q13" s="6" t="s">
        <v>3299</v>
      </c>
      <c r="R13" s="6" t="s">
        <v>3300</v>
      </c>
      <c r="S13" s="6" t="s">
        <v>21</v>
      </c>
      <c r="T13" s="6" t="s">
        <v>3301</v>
      </c>
      <c r="U13" s="6" t="s">
        <v>3141</v>
      </c>
      <c r="V13" s="6" t="s">
        <v>3302</v>
      </c>
      <c r="W13" s="6" t="s">
        <v>3303</v>
      </c>
      <c r="X13" s="6" t="s">
        <v>85</v>
      </c>
      <c r="Y13" s="6" t="s">
        <v>3159</v>
      </c>
      <c r="Z13" s="6" t="s">
        <v>78</v>
      </c>
      <c r="AA13" s="6" t="s">
        <v>3304</v>
      </c>
      <c r="AB13" s="6" t="s">
        <v>3305</v>
      </c>
      <c r="AC13" s="6" t="s">
        <v>3140</v>
      </c>
      <c r="AD13" s="6" t="s">
        <v>3152</v>
      </c>
      <c r="AE13" s="6" t="s">
        <v>3235</v>
      </c>
      <c r="AF13" s="6"/>
      <c r="AG13" s="6" t="s">
        <v>3306</v>
      </c>
      <c r="AH13" s="6" t="s">
        <v>79</v>
      </c>
    </row>
    <row r="14" spans="1:34" x14ac:dyDescent="0.25">
      <c r="A14" s="6" t="s">
        <v>133</v>
      </c>
      <c r="B14" s="6" t="s">
        <v>134</v>
      </c>
      <c r="C14" s="6" t="s">
        <v>3307</v>
      </c>
      <c r="D14" s="6" t="s">
        <v>3308</v>
      </c>
      <c r="E14" s="6" t="s">
        <v>3309</v>
      </c>
      <c r="F14" s="6" t="s">
        <v>3227</v>
      </c>
      <c r="G14" s="6" t="s">
        <v>83</v>
      </c>
      <c r="H14" s="6" t="s">
        <v>103</v>
      </c>
      <c r="I14" s="6" t="s">
        <v>74</v>
      </c>
      <c r="J14" s="6" t="s">
        <v>3310</v>
      </c>
      <c r="K14" s="6" t="s">
        <v>3140</v>
      </c>
      <c r="L14" s="6" t="s">
        <v>3196</v>
      </c>
      <c r="M14" s="6" t="s">
        <v>3143</v>
      </c>
      <c r="N14" s="6" t="s">
        <v>3196</v>
      </c>
      <c r="O14" s="6" t="s">
        <v>3152</v>
      </c>
      <c r="P14" s="6" t="s">
        <v>3311</v>
      </c>
      <c r="Q14" s="6" t="s">
        <v>3312</v>
      </c>
      <c r="R14" s="6" t="s">
        <v>3313</v>
      </c>
      <c r="S14" s="6" t="s">
        <v>23</v>
      </c>
      <c r="T14" s="6" t="s">
        <v>3314</v>
      </c>
      <c r="U14" s="6" t="s">
        <v>3140</v>
      </c>
      <c r="V14" s="6" t="s">
        <v>3315</v>
      </c>
      <c r="W14" s="6" t="s">
        <v>3316</v>
      </c>
      <c r="X14" s="6" t="s">
        <v>85</v>
      </c>
      <c r="Y14" s="6" t="s">
        <v>3159</v>
      </c>
      <c r="Z14" s="6" t="s">
        <v>93</v>
      </c>
      <c r="AA14" s="6" t="s">
        <v>3317</v>
      </c>
      <c r="AB14" s="6"/>
      <c r="AC14" s="6" t="s">
        <v>3141</v>
      </c>
      <c r="AD14" s="6" t="s">
        <v>3188</v>
      </c>
      <c r="AE14" s="6" t="s">
        <v>3318</v>
      </c>
      <c r="AF14" s="6" t="s">
        <v>3319</v>
      </c>
      <c r="AG14" s="6" t="s">
        <v>3320</v>
      </c>
      <c r="AH14" s="6" t="s">
        <v>79</v>
      </c>
    </row>
    <row r="15" spans="1:34" x14ac:dyDescent="0.25">
      <c r="A15" s="6" t="s">
        <v>136</v>
      </c>
      <c r="B15" s="6" t="s">
        <v>3321</v>
      </c>
      <c r="C15" s="6" t="s">
        <v>3322</v>
      </c>
      <c r="D15" s="6" t="s">
        <v>138</v>
      </c>
      <c r="E15" s="6" t="s">
        <v>3323</v>
      </c>
      <c r="F15" s="6" t="s">
        <v>3227</v>
      </c>
      <c r="G15" s="6" t="s">
        <v>139</v>
      </c>
      <c r="H15" s="6" t="s">
        <v>84</v>
      </c>
      <c r="I15" s="6" t="s">
        <v>74</v>
      </c>
      <c r="J15" s="6" t="s">
        <v>3324</v>
      </c>
      <c r="K15" s="6" t="s">
        <v>3159</v>
      </c>
      <c r="L15" s="6" t="s">
        <v>3159</v>
      </c>
      <c r="M15" s="6" t="s">
        <v>3141</v>
      </c>
      <c r="N15" s="6" t="s">
        <v>3152</v>
      </c>
      <c r="O15" s="6" t="s">
        <v>3141</v>
      </c>
      <c r="P15" s="6" t="s">
        <v>3325</v>
      </c>
      <c r="Q15" s="6"/>
      <c r="R15" s="6" t="s">
        <v>3326</v>
      </c>
      <c r="S15" s="6" t="s">
        <v>23</v>
      </c>
      <c r="T15" s="6" t="s">
        <v>3327</v>
      </c>
      <c r="U15" s="6" t="s">
        <v>3140</v>
      </c>
      <c r="V15" s="6" t="s">
        <v>3328</v>
      </c>
      <c r="W15" s="6" t="s">
        <v>3208</v>
      </c>
      <c r="X15" s="6" t="s">
        <v>85</v>
      </c>
      <c r="Y15" s="6" t="s">
        <v>3292</v>
      </c>
      <c r="Z15" s="6" t="s">
        <v>3329</v>
      </c>
      <c r="AA15" s="6" t="s">
        <v>3330</v>
      </c>
      <c r="AB15" s="6"/>
      <c r="AC15" s="6" t="s">
        <v>3159</v>
      </c>
      <c r="AD15" s="6" t="s">
        <v>3243</v>
      </c>
      <c r="AE15" s="6" t="s">
        <v>3331</v>
      </c>
      <c r="AF15" s="6" t="s">
        <v>3332</v>
      </c>
      <c r="AG15" s="6" t="s">
        <v>3333</v>
      </c>
      <c r="AH15" s="6" t="s">
        <v>3334</v>
      </c>
    </row>
    <row r="16" spans="1:34" x14ac:dyDescent="0.25">
      <c r="A16" s="6" t="s">
        <v>140</v>
      </c>
      <c r="B16" s="6" t="s">
        <v>141</v>
      </c>
      <c r="C16" s="6" t="s">
        <v>3335</v>
      </c>
      <c r="D16" s="6" t="s">
        <v>3336</v>
      </c>
      <c r="E16" s="6" t="s">
        <v>3226</v>
      </c>
      <c r="F16" s="6" t="s">
        <v>3201</v>
      </c>
      <c r="G16" s="6" t="s">
        <v>143</v>
      </c>
      <c r="H16" s="6" t="s">
        <v>144</v>
      </c>
      <c r="I16" s="6" t="s">
        <v>92</v>
      </c>
      <c r="J16" s="6"/>
      <c r="K16" s="6" t="s">
        <v>3140</v>
      </c>
      <c r="L16" s="6" t="s">
        <v>76</v>
      </c>
      <c r="M16" s="6" t="s">
        <v>3152</v>
      </c>
      <c r="N16" s="6" t="s">
        <v>76</v>
      </c>
      <c r="O16" s="6" t="s">
        <v>3143</v>
      </c>
      <c r="P16" s="6" t="s">
        <v>3337</v>
      </c>
      <c r="Q16" s="6" t="s">
        <v>3338</v>
      </c>
      <c r="R16" s="6" t="s">
        <v>3339</v>
      </c>
      <c r="S16" s="6" t="s">
        <v>21</v>
      </c>
      <c r="T16" s="6" t="s">
        <v>3340</v>
      </c>
      <c r="U16" s="6" t="s">
        <v>3159</v>
      </c>
      <c r="V16" s="6" t="s">
        <v>3341</v>
      </c>
      <c r="W16" s="6" t="s">
        <v>3342</v>
      </c>
      <c r="X16" s="6" t="s">
        <v>77</v>
      </c>
      <c r="Y16" s="6" t="s">
        <v>3140</v>
      </c>
      <c r="Z16" s="6" t="s">
        <v>3343</v>
      </c>
      <c r="AA16" s="6" t="s">
        <v>3344</v>
      </c>
      <c r="AB16" s="6"/>
      <c r="AC16" s="6" t="s">
        <v>3141</v>
      </c>
      <c r="AD16" s="6" t="s">
        <v>3141</v>
      </c>
      <c r="AE16" s="6" t="s">
        <v>3293</v>
      </c>
      <c r="AF16" s="6"/>
      <c r="AG16" s="6" t="s">
        <v>3345</v>
      </c>
      <c r="AH16" s="6" t="s">
        <v>79</v>
      </c>
    </row>
    <row r="17" spans="1:34" x14ac:dyDescent="0.25">
      <c r="A17" s="6" t="s">
        <v>145</v>
      </c>
      <c r="B17" s="6" t="s">
        <v>146</v>
      </c>
      <c r="C17" s="6" t="s">
        <v>147</v>
      </c>
      <c r="D17" s="6" t="s">
        <v>148</v>
      </c>
      <c r="E17" s="6" t="s">
        <v>3346</v>
      </c>
      <c r="F17" s="6" t="s">
        <v>71</v>
      </c>
      <c r="G17" s="6" t="s">
        <v>139</v>
      </c>
      <c r="H17" s="6" t="s">
        <v>107</v>
      </c>
      <c r="I17" s="6" t="s">
        <v>92</v>
      </c>
      <c r="J17" s="6" t="s">
        <v>3347</v>
      </c>
      <c r="K17" s="6" t="s">
        <v>3141</v>
      </c>
      <c r="L17" s="6" t="s">
        <v>3160</v>
      </c>
      <c r="M17" s="6" t="s">
        <v>3141</v>
      </c>
      <c r="N17" s="6" t="s">
        <v>3143</v>
      </c>
      <c r="O17" s="6" t="s">
        <v>3243</v>
      </c>
      <c r="P17" s="6" t="s">
        <v>3348</v>
      </c>
      <c r="Q17" s="6" t="s">
        <v>3349</v>
      </c>
      <c r="R17" s="6" t="s">
        <v>3350</v>
      </c>
      <c r="S17" s="6" t="s">
        <v>23</v>
      </c>
      <c r="T17" s="6"/>
      <c r="U17" s="6" t="s">
        <v>3141</v>
      </c>
      <c r="V17" s="6" t="s">
        <v>3351</v>
      </c>
      <c r="W17" s="6" t="s">
        <v>3352</v>
      </c>
      <c r="X17" s="6" t="s">
        <v>3353</v>
      </c>
      <c r="Y17" s="6" t="s">
        <v>3140</v>
      </c>
      <c r="Z17" s="6" t="s">
        <v>93</v>
      </c>
      <c r="AA17" s="6" t="s">
        <v>3354</v>
      </c>
      <c r="AB17" s="6"/>
      <c r="AC17" s="6" t="s">
        <v>3141</v>
      </c>
      <c r="AD17" s="6" t="s">
        <v>3141</v>
      </c>
      <c r="AE17" s="6" t="s">
        <v>3331</v>
      </c>
      <c r="AF17" s="6" t="s">
        <v>3355</v>
      </c>
      <c r="AG17" s="6" t="s">
        <v>3356</v>
      </c>
      <c r="AH17" s="6" t="s">
        <v>79</v>
      </c>
    </row>
    <row r="18" spans="1:34" x14ac:dyDescent="0.25">
      <c r="A18" s="6" t="s">
        <v>149</v>
      </c>
      <c r="B18" s="6" t="s">
        <v>150</v>
      </c>
      <c r="C18" s="6" t="s">
        <v>151</v>
      </c>
      <c r="D18" s="6" t="s">
        <v>152</v>
      </c>
      <c r="E18" s="6" t="s">
        <v>3357</v>
      </c>
      <c r="F18" s="6" t="s">
        <v>3358</v>
      </c>
      <c r="G18" s="6" t="s">
        <v>153</v>
      </c>
      <c r="H18" s="6" t="s">
        <v>132</v>
      </c>
      <c r="I18" s="6" t="s">
        <v>92</v>
      </c>
      <c r="J18" s="6" t="s">
        <v>3359</v>
      </c>
      <c r="K18" s="6" t="s">
        <v>3159</v>
      </c>
      <c r="L18" s="6" t="s">
        <v>3196</v>
      </c>
      <c r="M18" s="6" t="s">
        <v>3143</v>
      </c>
      <c r="N18" s="6" t="s">
        <v>3143</v>
      </c>
      <c r="O18" s="6" t="s">
        <v>3243</v>
      </c>
      <c r="P18" s="6" t="s">
        <v>3360</v>
      </c>
      <c r="Q18" s="6" t="s">
        <v>3361</v>
      </c>
      <c r="R18" s="6" t="s">
        <v>3362</v>
      </c>
      <c r="S18" s="6" t="s">
        <v>3287</v>
      </c>
      <c r="T18" s="6"/>
      <c r="U18" s="6" t="s">
        <v>3192</v>
      </c>
      <c r="V18" s="6" t="s">
        <v>3363</v>
      </c>
      <c r="W18" s="6" t="s">
        <v>3364</v>
      </c>
      <c r="X18" s="6" t="s">
        <v>77</v>
      </c>
      <c r="Y18" s="6" t="s">
        <v>3159</v>
      </c>
      <c r="Z18" s="6" t="s">
        <v>78</v>
      </c>
      <c r="AA18" s="6" t="s">
        <v>3365</v>
      </c>
      <c r="AB18" s="6"/>
      <c r="AC18" s="6" t="s">
        <v>3141</v>
      </c>
      <c r="AD18" s="6" t="s">
        <v>3243</v>
      </c>
      <c r="AE18" s="6" t="s">
        <v>3169</v>
      </c>
      <c r="AF18" s="6"/>
      <c r="AG18" s="6" t="s">
        <v>3366</v>
      </c>
      <c r="AH18" s="6" t="s">
        <v>79</v>
      </c>
    </row>
    <row r="19" spans="1:34" x14ac:dyDescent="0.25">
      <c r="A19" s="6" t="s">
        <v>154</v>
      </c>
      <c r="B19" s="6" t="s">
        <v>3367</v>
      </c>
      <c r="C19" s="6" t="s">
        <v>3368</v>
      </c>
      <c r="D19" s="6" t="s">
        <v>156</v>
      </c>
      <c r="E19" s="6" t="s">
        <v>3226</v>
      </c>
      <c r="F19" s="6" t="s">
        <v>3369</v>
      </c>
      <c r="G19" s="6" t="s">
        <v>3370</v>
      </c>
      <c r="H19" s="6" t="s">
        <v>107</v>
      </c>
      <c r="I19" s="6" t="s">
        <v>92</v>
      </c>
      <c r="J19" s="6"/>
      <c r="K19" s="6" t="s">
        <v>3141</v>
      </c>
      <c r="L19" s="6" t="s">
        <v>3152</v>
      </c>
      <c r="M19" s="6" t="s">
        <v>3243</v>
      </c>
      <c r="N19" s="6" t="s">
        <v>3152</v>
      </c>
      <c r="O19" s="6" t="s">
        <v>3243</v>
      </c>
      <c r="P19" s="6"/>
      <c r="Q19" s="6" t="s">
        <v>3371</v>
      </c>
      <c r="R19" s="6" t="s">
        <v>3372</v>
      </c>
      <c r="S19" s="6" t="s">
        <v>21</v>
      </c>
      <c r="T19" s="6" t="s">
        <v>3373</v>
      </c>
      <c r="U19" s="6" t="s">
        <v>3159</v>
      </c>
      <c r="V19" s="6" t="s">
        <v>3374</v>
      </c>
      <c r="W19" s="6" t="s">
        <v>3375</v>
      </c>
      <c r="X19" s="6" t="s">
        <v>85</v>
      </c>
      <c r="Y19" s="6" t="s">
        <v>3159</v>
      </c>
      <c r="Z19" s="6" t="s">
        <v>93</v>
      </c>
      <c r="AA19" s="6" t="s">
        <v>3194</v>
      </c>
      <c r="AB19" s="6"/>
      <c r="AC19" s="6" t="s">
        <v>3140</v>
      </c>
      <c r="AD19" s="6" t="s">
        <v>75</v>
      </c>
      <c r="AE19" s="6" t="s">
        <v>3293</v>
      </c>
      <c r="AF19" s="6"/>
      <c r="AG19" s="6" t="s">
        <v>3376</v>
      </c>
      <c r="AH19" s="6" t="s">
        <v>79</v>
      </c>
    </row>
    <row r="20" spans="1:34" x14ac:dyDescent="0.25">
      <c r="A20" s="6" t="s">
        <v>157</v>
      </c>
      <c r="B20" s="6" t="s">
        <v>158</v>
      </c>
      <c r="C20" s="6" t="s">
        <v>159</v>
      </c>
      <c r="D20" s="6" t="s">
        <v>160</v>
      </c>
      <c r="E20" s="6" t="s">
        <v>3309</v>
      </c>
      <c r="F20" s="6" t="s">
        <v>3358</v>
      </c>
      <c r="G20" s="6" t="s">
        <v>127</v>
      </c>
      <c r="H20" s="6" t="s">
        <v>91</v>
      </c>
      <c r="I20" s="6" t="s">
        <v>92</v>
      </c>
      <c r="J20" s="6" t="s">
        <v>3377</v>
      </c>
      <c r="K20" s="6" t="s">
        <v>3159</v>
      </c>
      <c r="L20" s="6" t="s">
        <v>3143</v>
      </c>
      <c r="M20" s="6" t="s">
        <v>3160</v>
      </c>
      <c r="N20" s="6" t="s">
        <v>3142</v>
      </c>
      <c r="O20" s="6" t="s">
        <v>3152</v>
      </c>
      <c r="P20" s="6" t="s">
        <v>3378</v>
      </c>
      <c r="Q20" s="6" t="s">
        <v>3379</v>
      </c>
      <c r="R20" s="6" t="s">
        <v>3380</v>
      </c>
      <c r="S20" s="6" t="s">
        <v>23</v>
      </c>
      <c r="T20" s="6" t="s">
        <v>3381</v>
      </c>
      <c r="U20" s="6" t="s">
        <v>3141</v>
      </c>
      <c r="V20" s="6" t="s">
        <v>3382</v>
      </c>
      <c r="W20" s="6" t="s">
        <v>3316</v>
      </c>
      <c r="X20" s="6" t="s">
        <v>161</v>
      </c>
      <c r="Y20" s="6" t="s">
        <v>3140</v>
      </c>
      <c r="Z20" s="6" t="s">
        <v>93</v>
      </c>
      <c r="AA20" s="6" t="s">
        <v>3383</v>
      </c>
      <c r="AB20" s="6" t="s">
        <v>3384</v>
      </c>
      <c r="AC20" s="6" t="s">
        <v>3140</v>
      </c>
      <c r="AD20" s="6" t="s">
        <v>3141</v>
      </c>
      <c r="AE20" s="6" t="s">
        <v>3331</v>
      </c>
      <c r="AF20" s="6" t="s">
        <v>3385</v>
      </c>
      <c r="AG20" s="6" t="s">
        <v>3386</v>
      </c>
      <c r="AH20" s="6" t="s">
        <v>79</v>
      </c>
    </row>
    <row r="21" spans="1:34" x14ac:dyDescent="0.25">
      <c r="A21" s="6" t="s">
        <v>162</v>
      </c>
      <c r="B21" s="6" t="s">
        <v>163</v>
      </c>
      <c r="C21" s="6" t="s">
        <v>164</v>
      </c>
      <c r="D21" s="6" t="s">
        <v>3387</v>
      </c>
      <c r="E21" s="6" t="s">
        <v>3388</v>
      </c>
      <c r="F21" s="6" t="s">
        <v>89</v>
      </c>
      <c r="G21" s="6" t="s">
        <v>139</v>
      </c>
      <c r="H21" s="6" t="s">
        <v>3389</v>
      </c>
      <c r="I21" s="6" t="s">
        <v>74</v>
      </c>
      <c r="J21" s="6" t="s">
        <v>3390</v>
      </c>
      <c r="K21" s="6" t="s">
        <v>3140</v>
      </c>
      <c r="L21" s="6" t="s">
        <v>76</v>
      </c>
      <c r="M21" s="6" t="s">
        <v>3160</v>
      </c>
      <c r="N21" s="6" t="s">
        <v>3188</v>
      </c>
      <c r="O21" s="6" t="s">
        <v>3141</v>
      </c>
      <c r="P21" s="6" t="s">
        <v>3391</v>
      </c>
      <c r="Q21" s="6"/>
      <c r="R21" s="6" t="s">
        <v>3392</v>
      </c>
      <c r="S21" s="6" t="s">
        <v>20</v>
      </c>
      <c r="T21" s="6" t="s">
        <v>3393</v>
      </c>
      <c r="U21" s="6" t="s">
        <v>3394</v>
      </c>
      <c r="V21" s="6" t="s">
        <v>3165</v>
      </c>
      <c r="W21" s="6" t="s">
        <v>3395</v>
      </c>
      <c r="X21" s="6" t="s">
        <v>77</v>
      </c>
      <c r="Y21" s="6" t="s">
        <v>3159</v>
      </c>
      <c r="Z21" s="6" t="s">
        <v>93</v>
      </c>
      <c r="AA21" s="6" t="s">
        <v>3396</v>
      </c>
      <c r="AB21" s="6" t="s">
        <v>3397</v>
      </c>
      <c r="AC21" s="6" t="s">
        <v>3141</v>
      </c>
      <c r="AD21" s="6" t="s">
        <v>75</v>
      </c>
      <c r="AE21" s="6" t="s">
        <v>3136</v>
      </c>
      <c r="AF21" s="6"/>
      <c r="AG21" s="6"/>
      <c r="AH21" s="6" t="s">
        <v>79</v>
      </c>
    </row>
    <row r="22" spans="1:34" x14ac:dyDescent="0.25">
      <c r="A22" s="6" t="s">
        <v>167</v>
      </c>
      <c r="B22" s="6" t="s">
        <v>168</v>
      </c>
      <c r="C22" s="6" t="s">
        <v>169</v>
      </c>
      <c r="D22" s="6" t="s">
        <v>3398</v>
      </c>
      <c r="E22" s="6" t="s">
        <v>3282</v>
      </c>
      <c r="F22" s="6" t="s">
        <v>3283</v>
      </c>
      <c r="G22" s="6" t="s">
        <v>131</v>
      </c>
      <c r="H22" s="6" t="s">
        <v>107</v>
      </c>
      <c r="I22" s="6" t="s">
        <v>92</v>
      </c>
      <c r="J22" s="6" t="s">
        <v>3399</v>
      </c>
      <c r="K22" s="6" t="s">
        <v>3159</v>
      </c>
      <c r="L22" s="6" t="s">
        <v>3188</v>
      </c>
      <c r="M22" s="6" t="s">
        <v>3160</v>
      </c>
      <c r="N22" s="6" t="s">
        <v>75</v>
      </c>
      <c r="O22" s="6" t="s">
        <v>3160</v>
      </c>
      <c r="P22" s="6" t="s">
        <v>3400</v>
      </c>
      <c r="Q22" s="6" t="s">
        <v>3401</v>
      </c>
      <c r="R22" s="6" t="s">
        <v>3402</v>
      </c>
      <c r="S22" s="6" t="s">
        <v>22</v>
      </c>
      <c r="T22" s="6"/>
      <c r="U22" s="6" t="s">
        <v>3159</v>
      </c>
      <c r="V22" s="6" t="s">
        <v>3403</v>
      </c>
      <c r="W22" s="6" t="s">
        <v>3404</v>
      </c>
      <c r="X22" s="6" t="s">
        <v>85</v>
      </c>
      <c r="Y22" s="6" t="s">
        <v>3159</v>
      </c>
      <c r="Z22" s="6" t="s">
        <v>93</v>
      </c>
      <c r="AA22" s="6" t="s">
        <v>3405</v>
      </c>
      <c r="AB22" s="6"/>
      <c r="AC22" s="6" t="s">
        <v>3159</v>
      </c>
      <c r="AD22" s="6" t="s">
        <v>3143</v>
      </c>
      <c r="AE22" s="6" t="s">
        <v>3235</v>
      </c>
      <c r="AF22" s="6" t="s">
        <v>3406</v>
      </c>
      <c r="AG22" s="6"/>
      <c r="AH22" s="6" t="s">
        <v>79</v>
      </c>
    </row>
    <row r="23" spans="1:34" x14ac:dyDescent="0.25">
      <c r="A23" s="6" t="s">
        <v>171</v>
      </c>
      <c r="B23" s="6" t="s">
        <v>172</v>
      </c>
      <c r="C23" s="6" t="s">
        <v>3407</v>
      </c>
      <c r="D23" s="6" t="s">
        <v>173</v>
      </c>
      <c r="E23" s="6"/>
      <c r="F23" s="6" t="s">
        <v>3283</v>
      </c>
      <c r="G23" s="6" t="s">
        <v>174</v>
      </c>
      <c r="H23" s="6" t="s">
        <v>144</v>
      </c>
      <c r="I23" s="6" t="s">
        <v>92</v>
      </c>
      <c r="J23" s="6" t="s">
        <v>3408</v>
      </c>
      <c r="K23" s="6" t="s">
        <v>3159</v>
      </c>
      <c r="L23" s="6" t="s">
        <v>76</v>
      </c>
      <c r="M23" s="6" t="s">
        <v>3141</v>
      </c>
      <c r="N23" s="6" t="s">
        <v>3243</v>
      </c>
      <c r="O23" s="6" t="s">
        <v>3152</v>
      </c>
      <c r="P23" s="6" t="s">
        <v>3409</v>
      </c>
      <c r="Q23" s="6" t="s">
        <v>3410</v>
      </c>
      <c r="R23" s="6" t="s">
        <v>3411</v>
      </c>
      <c r="S23" s="6" t="s">
        <v>3412</v>
      </c>
      <c r="T23" s="6" t="s">
        <v>3413</v>
      </c>
      <c r="U23" s="6" t="s">
        <v>3141</v>
      </c>
      <c r="V23" s="6" t="s">
        <v>3414</v>
      </c>
      <c r="W23" s="6" t="s">
        <v>3415</v>
      </c>
      <c r="X23" s="6" t="s">
        <v>161</v>
      </c>
      <c r="Y23" s="6" t="s">
        <v>3140</v>
      </c>
      <c r="Z23" s="6" t="s">
        <v>78</v>
      </c>
      <c r="AA23" s="6" t="s">
        <v>3416</v>
      </c>
      <c r="AB23" s="6" t="s">
        <v>3417</v>
      </c>
      <c r="AC23" s="6" t="s">
        <v>3141</v>
      </c>
      <c r="AD23" s="6" t="s">
        <v>3152</v>
      </c>
      <c r="AE23" s="6" t="s">
        <v>3323</v>
      </c>
      <c r="AF23" s="6"/>
      <c r="AG23" s="6" t="s">
        <v>3418</v>
      </c>
      <c r="AH23" s="6" t="s">
        <v>79</v>
      </c>
    </row>
    <row r="24" spans="1:34" x14ac:dyDescent="0.25">
      <c r="A24" s="6" t="s">
        <v>175</v>
      </c>
      <c r="B24" s="6" t="s">
        <v>176</v>
      </c>
      <c r="C24" s="6" t="s">
        <v>3419</v>
      </c>
      <c r="D24" s="6" t="s">
        <v>177</v>
      </c>
      <c r="E24" s="6" t="s">
        <v>3420</v>
      </c>
      <c r="F24" s="6" t="s">
        <v>3283</v>
      </c>
      <c r="G24" s="6" t="s">
        <v>139</v>
      </c>
      <c r="H24" s="6" t="s">
        <v>166</v>
      </c>
      <c r="I24" s="6" t="s">
        <v>74</v>
      </c>
      <c r="J24" s="6" t="s">
        <v>3421</v>
      </c>
      <c r="K24" s="6" t="s">
        <v>3292</v>
      </c>
      <c r="L24" s="6" t="s">
        <v>3188</v>
      </c>
      <c r="M24" s="6" t="s">
        <v>3160</v>
      </c>
      <c r="N24" s="6" t="s">
        <v>76</v>
      </c>
      <c r="O24" s="6" t="s">
        <v>3142</v>
      </c>
      <c r="P24" s="6"/>
      <c r="Q24" s="6" t="s">
        <v>3422</v>
      </c>
      <c r="R24" s="6" t="s">
        <v>3423</v>
      </c>
      <c r="S24" s="6" t="s">
        <v>23</v>
      </c>
      <c r="T24" s="6" t="s">
        <v>3424</v>
      </c>
      <c r="U24" s="6" t="s">
        <v>3141</v>
      </c>
      <c r="V24" s="6" t="s">
        <v>3425</v>
      </c>
      <c r="W24" s="6" t="s">
        <v>3291</v>
      </c>
      <c r="X24" s="6" t="s">
        <v>3167</v>
      </c>
      <c r="Y24" s="6" t="s">
        <v>3140</v>
      </c>
      <c r="Z24" s="6" t="s">
        <v>78</v>
      </c>
      <c r="AA24" s="6" t="s">
        <v>3426</v>
      </c>
      <c r="AB24" s="6" t="s">
        <v>3427</v>
      </c>
      <c r="AC24" s="6" t="s">
        <v>3159</v>
      </c>
      <c r="AD24" s="6" t="s">
        <v>3152</v>
      </c>
      <c r="AE24" s="6" t="s">
        <v>3428</v>
      </c>
      <c r="AF24" s="6" t="s">
        <v>3429</v>
      </c>
      <c r="AG24" s="6" t="s">
        <v>3430</v>
      </c>
      <c r="AH24" s="6" t="s">
        <v>79</v>
      </c>
    </row>
    <row r="25" spans="1:34" x14ac:dyDescent="0.25">
      <c r="A25" s="6" t="s">
        <v>178</v>
      </c>
      <c r="B25" s="6" t="s">
        <v>179</v>
      </c>
      <c r="C25" s="6" t="s">
        <v>3431</v>
      </c>
      <c r="D25" s="6" t="s">
        <v>180</v>
      </c>
      <c r="E25" s="6" t="s">
        <v>3432</v>
      </c>
      <c r="F25" s="6" t="s">
        <v>71</v>
      </c>
      <c r="G25" s="6" t="s">
        <v>139</v>
      </c>
      <c r="H25" s="6" t="s">
        <v>91</v>
      </c>
      <c r="I25" s="6" t="s">
        <v>92</v>
      </c>
      <c r="J25" s="6" t="s">
        <v>3433</v>
      </c>
      <c r="K25" s="6" t="s">
        <v>3292</v>
      </c>
      <c r="L25" s="6" t="s">
        <v>3188</v>
      </c>
      <c r="M25" s="6" t="s">
        <v>3173</v>
      </c>
      <c r="N25" s="6" t="s">
        <v>76</v>
      </c>
      <c r="O25" s="6" t="s">
        <v>3152</v>
      </c>
      <c r="P25" s="6" t="s">
        <v>3434</v>
      </c>
      <c r="Q25" s="6" t="s">
        <v>3435</v>
      </c>
      <c r="R25" s="6" t="s">
        <v>3436</v>
      </c>
      <c r="S25" s="6" t="s">
        <v>23</v>
      </c>
      <c r="T25" s="6" t="s">
        <v>3437</v>
      </c>
      <c r="U25" s="6" t="s">
        <v>3141</v>
      </c>
      <c r="V25" s="6" t="s">
        <v>3438</v>
      </c>
      <c r="W25" s="6" t="s">
        <v>3150</v>
      </c>
      <c r="X25" s="6" t="s">
        <v>77</v>
      </c>
      <c r="Y25" s="6" t="s">
        <v>3141</v>
      </c>
      <c r="Z25" s="6" t="s">
        <v>78</v>
      </c>
      <c r="AA25" s="6" t="s">
        <v>3439</v>
      </c>
      <c r="AB25" s="6"/>
      <c r="AC25" s="6" t="s">
        <v>3159</v>
      </c>
      <c r="AD25" s="6" t="s">
        <v>3141</v>
      </c>
      <c r="AE25" s="6" t="s">
        <v>3428</v>
      </c>
      <c r="AF25" s="6" t="s">
        <v>3440</v>
      </c>
      <c r="AG25" s="6" t="s">
        <v>3441</v>
      </c>
      <c r="AH25" s="6" t="s">
        <v>79</v>
      </c>
    </row>
    <row r="26" spans="1:34" x14ac:dyDescent="0.25">
      <c r="A26" s="6" t="s">
        <v>181</v>
      </c>
      <c r="B26" s="6" t="s">
        <v>182</v>
      </c>
      <c r="C26" s="6"/>
      <c r="D26" s="6" t="s">
        <v>183</v>
      </c>
      <c r="E26" s="6" t="s">
        <v>3268</v>
      </c>
      <c r="F26" s="6" t="s">
        <v>3283</v>
      </c>
      <c r="G26" s="6" t="s">
        <v>98</v>
      </c>
      <c r="H26" s="6" t="s">
        <v>84</v>
      </c>
      <c r="I26" s="6" t="s">
        <v>74</v>
      </c>
      <c r="J26" s="6" t="s">
        <v>3442</v>
      </c>
      <c r="K26" s="6" t="s">
        <v>3159</v>
      </c>
      <c r="L26" s="6" t="s">
        <v>3196</v>
      </c>
      <c r="M26" s="6" t="s">
        <v>3152</v>
      </c>
      <c r="N26" s="6" t="s">
        <v>3160</v>
      </c>
      <c r="O26" s="6" t="s">
        <v>75</v>
      </c>
      <c r="P26" s="6" t="s">
        <v>3443</v>
      </c>
      <c r="Q26" s="6" t="s">
        <v>3217</v>
      </c>
      <c r="R26" s="6" t="s">
        <v>3444</v>
      </c>
      <c r="S26" s="6" t="s">
        <v>23</v>
      </c>
      <c r="T26" s="6" t="s">
        <v>3445</v>
      </c>
      <c r="U26" s="6" t="s">
        <v>3159</v>
      </c>
      <c r="V26" s="6" t="s">
        <v>3446</v>
      </c>
      <c r="W26" s="6" t="s">
        <v>3447</v>
      </c>
      <c r="X26" s="6" t="s">
        <v>77</v>
      </c>
      <c r="Y26" s="6" t="s">
        <v>3141</v>
      </c>
      <c r="Z26" s="6" t="s">
        <v>78</v>
      </c>
      <c r="AA26" s="6" t="s">
        <v>3448</v>
      </c>
      <c r="AB26" s="6"/>
      <c r="AC26" s="6" t="s">
        <v>3159</v>
      </c>
      <c r="AD26" s="6" t="s">
        <v>3143</v>
      </c>
      <c r="AE26" s="6" t="s">
        <v>3153</v>
      </c>
      <c r="AF26" s="6" t="s">
        <v>3449</v>
      </c>
      <c r="AG26" s="6" t="s">
        <v>3450</v>
      </c>
      <c r="AH26" s="6" t="s">
        <v>79</v>
      </c>
    </row>
    <row r="27" spans="1:34" x14ac:dyDescent="0.25">
      <c r="A27" s="6" t="s">
        <v>184</v>
      </c>
      <c r="B27" s="6" t="s">
        <v>185</v>
      </c>
      <c r="C27" s="6" t="s">
        <v>186</v>
      </c>
      <c r="D27" s="6" t="s">
        <v>187</v>
      </c>
      <c r="E27" s="6" t="s">
        <v>3279</v>
      </c>
      <c r="F27" s="6" t="s">
        <v>3227</v>
      </c>
      <c r="G27" s="6" t="s">
        <v>3451</v>
      </c>
      <c r="H27" s="6" t="s">
        <v>107</v>
      </c>
      <c r="I27" s="6" t="s">
        <v>92</v>
      </c>
      <c r="J27" s="6" t="s">
        <v>3452</v>
      </c>
      <c r="K27" s="6" t="s">
        <v>3292</v>
      </c>
      <c r="L27" s="6" t="s">
        <v>3188</v>
      </c>
      <c r="M27" s="6" t="s">
        <v>3160</v>
      </c>
      <c r="N27" s="6" t="s">
        <v>3142</v>
      </c>
      <c r="O27" s="6" t="s">
        <v>3159</v>
      </c>
      <c r="P27" s="6" t="s">
        <v>3298</v>
      </c>
      <c r="Q27" s="6"/>
      <c r="R27" s="6" t="s">
        <v>3453</v>
      </c>
      <c r="S27" s="6" t="s">
        <v>23</v>
      </c>
      <c r="T27" s="6"/>
      <c r="U27" s="6" t="s">
        <v>3159</v>
      </c>
      <c r="V27" s="6" t="s">
        <v>3454</v>
      </c>
      <c r="W27" s="6" t="s">
        <v>3455</v>
      </c>
      <c r="X27" s="6" t="s">
        <v>85</v>
      </c>
      <c r="Y27" s="6" t="s">
        <v>3192</v>
      </c>
      <c r="Z27" s="6" t="s">
        <v>78</v>
      </c>
      <c r="AA27" s="6" t="s">
        <v>3456</v>
      </c>
      <c r="AB27" s="6"/>
      <c r="AC27" s="6" t="s">
        <v>3159</v>
      </c>
      <c r="AD27" s="6" t="s">
        <v>3141</v>
      </c>
      <c r="AE27" s="6" t="s">
        <v>3331</v>
      </c>
      <c r="AF27" s="6" t="s">
        <v>3457</v>
      </c>
      <c r="AG27" s="6" t="s">
        <v>3458</v>
      </c>
      <c r="AH27" s="6" t="s">
        <v>79</v>
      </c>
    </row>
    <row r="28" spans="1:34" x14ac:dyDescent="0.25">
      <c r="A28" s="6" t="s">
        <v>188</v>
      </c>
      <c r="B28" s="6" t="s">
        <v>189</v>
      </c>
      <c r="C28" s="6" t="s">
        <v>190</v>
      </c>
      <c r="D28" s="6" t="s">
        <v>3459</v>
      </c>
      <c r="E28" s="6" t="s">
        <v>3460</v>
      </c>
      <c r="F28" s="6" t="s">
        <v>3283</v>
      </c>
      <c r="G28" s="6" t="s">
        <v>83</v>
      </c>
      <c r="H28" s="6" t="s">
        <v>132</v>
      </c>
      <c r="I28" s="6" t="s">
        <v>92</v>
      </c>
      <c r="J28" s="6" t="s">
        <v>3461</v>
      </c>
      <c r="K28" s="6" t="s">
        <v>3140</v>
      </c>
      <c r="L28" s="6" t="s">
        <v>3142</v>
      </c>
      <c r="M28" s="6" t="s">
        <v>75</v>
      </c>
      <c r="N28" s="6" t="s">
        <v>3173</v>
      </c>
      <c r="O28" s="6" t="s">
        <v>3243</v>
      </c>
      <c r="P28" s="6" t="s">
        <v>3462</v>
      </c>
      <c r="Q28" s="6" t="s">
        <v>3463</v>
      </c>
      <c r="R28" s="6" t="s">
        <v>3464</v>
      </c>
      <c r="S28" s="6" t="s">
        <v>20</v>
      </c>
      <c r="T28" s="6" t="s">
        <v>3465</v>
      </c>
      <c r="U28" s="6" t="s">
        <v>3141</v>
      </c>
      <c r="V28" s="6" t="s">
        <v>3466</v>
      </c>
      <c r="W28" s="6" t="s">
        <v>3467</v>
      </c>
      <c r="X28" s="6" t="s">
        <v>85</v>
      </c>
      <c r="Y28" s="6" t="s">
        <v>3292</v>
      </c>
      <c r="Z28" s="6" t="s">
        <v>93</v>
      </c>
      <c r="AA28" s="6" t="s">
        <v>3468</v>
      </c>
      <c r="AB28" s="6"/>
      <c r="AC28" s="6" t="s">
        <v>3141</v>
      </c>
      <c r="AD28" s="6" t="s">
        <v>3243</v>
      </c>
      <c r="AE28" s="6" t="s">
        <v>3136</v>
      </c>
      <c r="AF28" s="6"/>
      <c r="AG28" s="6" t="s">
        <v>3469</v>
      </c>
      <c r="AH28" s="6" t="s">
        <v>94</v>
      </c>
    </row>
    <row r="29" spans="1:34" x14ac:dyDescent="0.25">
      <c r="A29" s="6" t="s">
        <v>192</v>
      </c>
      <c r="B29" s="6" t="s">
        <v>193</v>
      </c>
      <c r="C29" s="6" t="s">
        <v>3470</v>
      </c>
      <c r="D29" s="6"/>
      <c r="E29" s="6" t="s">
        <v>3471</v>
      </c>
      <c r="F29" s="6" t="s">
        <v>3137</v>
      </c>
      <c r="G29" s="6" t="s">
        <v>3472</v>
      </c>
      <c r="H29" s="6" t="s">
        <v>84</v>
      </c>
      <c r="I29" s="6" t="s">
        <v>74</v>
      </c>
      <c r="J29" s="6" t="s">
        <v>3473</v>
      </c>
      <c r="K29" s="6" t="s">
        <v>3140</v>
      </c>
      <c r="L29" s="6" t="s">
        <v>3196</v>
      </c>
      <c r="M29" s="6" t="s">
        <v>75</v>
      </c>
      <c r="N29" s="6" t="s">
        <v>3143</v>
      </c>
      <c r="O29" s="6" t="s">
        <v>3196</v>
      </c>
      <c r="P29" s="6" t="s">
        <v>3474</v>
      </c>
      <c r="Q29" s="6" t="s">
        <v>3475</v>
      </c>
      <c r="R29" s="6" t="s">
        <v>3476</v>
      </c>
      <c r="S29" s="6" t="s">
        <v>23</v>
      </c>
      <c r="T29" s="6" t="s">
        <v>3217</v>
      </c>
      <c r="U29" s="6" t="s">
        <v>3141</v>
      </c>
      <c r="V29" s="6" t="s">
        <v>3414</v>
      </c>
      <c r="W29" s="6" t="s">
        <v>3477</v>
      </c>
      <c r="X29" s="6" t="s">
        <v>77</v>
      </c>
      <c r="Y29" s="6" t="s">
        <v>3159</v>
      </c>
      <c r="Z29" s="6" t="s">
        <v>194</v>
      </c>
      <c r="AA29" s="6" t="s">
        <v>3478</v>
      </c>
      <c r="AB29" s="6"/>
      <c r="AC29" s="6" t="s">
        <v>3141</v>
      </c>
      <c r="AD29" s="6" t="s">
        <v>75</v>
      </c>
      <c r="AE29" s="6" t="s">
        <v>3331</v>
      </c>
      <c r="AF29" s="6" t="s">
        <v>3479</v>
      </c>
      <c r="AG29" s="6" t="s">
        <v>3480</v>
      </c>
      <c r="AH29" s="6" t="s">
        <v>79</v>
      </c>
    </row>
    <row r="30" spans="1:34" x14ac:dyDescent="0.25">
      <c r="A30" s="6" t="s">
        <v>195</v>
      </c>
      <c r="B30" s="6" t="s">
        <v>196</v>
      </c>
      <c r="C30" s="6" t="s">
        <v>3481</v>
      </c>
      <c r="D30" s="6" t="s">
        <v>3482</v>
      </c>
      <c r="E30" s="6" t="s">
        <v>3483</v>
      </c>
      <c r="F30" s="6" t="s">
        <v>71</v>
      </c>
      <c r="G30" s="6" t="s">
        <v>3484</v>
      </c>
      <c r="H30" s="6" t="s">
        <v>144</v>
      </c>
      <c r="I30" s="6" t="s">
        <v>92</v>
      </c>
      <c r="J30" s="6"/>
      <c r="K30" s="6" t="s">
        <v>3141</v>
      </c>
      <c r="L30" s="6" t="s">
        <v>3152</v>
      </c>
      <c r="M30" s="6" t="s">
        <v>3160</v>
      </c>
      <c r="N30" s="6" t="s">
        <v>3152</v>
      </c>
      <c r="O30" s="6" t="s">
        <v>3152</v>
      </c>
      <c r="P30" s="6" t="s">
        <v>3485</v>
      </c>
      <c r="Q30" s="6" t="s">
        <v>3486</v>
      </c>
      <c r="R30" s="6" t="s">
        <v>3487</v>
      </c>
      <c r="S30" s="6" t="s">
        <v>23</v>
      </c>
      <c r="T30" s="6" t="s">
        <v>3488</v>
      </c>
      <c r="U30" s="6" t="s">
        <v>3394</v>
      </c>
      <c r="V30" s="6" t="s">
        <v>3489</v>
      </c>
      <c r="W30" s="6" t="s">
        <v>3249</v>
      </c>
      <c r="X30" s="6" t="s">
        <v>85</v>
      </c>
      <c r="Y30" s="6" t="s">
        <v>3140</v>
      </c>
      <c r="Z30" s="6" t="s">
        <v>78</v>
      </c>
      <c r="AA30" s="6" t="s">
        <v>3490</v>
      </c>
      <c r="AB30" s="6" t="s">
        <v>3491</v>
      </c>
      <c r="AC30" s="6" t="s">
        <v>3141</v>
      </c>
      <c r="AD30" s="6" t="s">
        <v>3196</v>
      </c>
      <c r="AE30" s="6" t="s">
        <v>3331</v>
      </c>
      <c r="AF30" s="6" t="s">
        <v>3492</v>
      </c>
      <c r="AG30" s="6" t="s">
        <v>3493</v>
      </c>
      <c r="AH30" s="6" t="s">
        <v>3494</v>
      </c>
    </row>
    <row r="31" spans="1:34" x14ac:dyDescent="0.25">
      <c r="A31" s="6" t="s">
        <v>198</v>
      </c>
      <c r="B31" s="6" t="s">
        <v>199</v>
      </c>
      <c r="C31" s="6"/>
      <c r="D31" s="6" t="s">
        <v>3495</v>
      </c>
      <c r="E31" s="6" t="s">
        <v>3170</v>
      </c>
      <c r="F31" s="6" t="s">
        <v>3201</v>
      </c>
      <c r="G31" s="6" t="s">
        <v>174</v>
      </c>
      <c r="H31" s="6" t="s">
        <v>73</v>
      </c>
      <c r="I31" s="6" t="s">
        <v>74</v>
      </c>
      <c r="J31" s="6" t="s">
        <v>3496</v>
      </c>
      <c r="K31" s="6" t="s">
        <v>3140</v>
      </c>
      <c r="L31" s="6" t="s">
        <v>3142</v>
      </c>
      <c r="M31" s="6" t="s">
        <v>75</v>
      </c>
      <c r="N31" s="6" t="s">
        <v>3152</v>
      </c>
      <c r="O31" s="6" t="s">
        <v>3196</v>
      </c>
      <c r="P31" s="6" t="s">
        <v>3497</v>
      </c>
      <c r="Q31" s="6"/>
      <c r="R31" s="6" t="s">
        <v>3498</v>
      </c>
      <c r="S31" s="6" t="s">
        <v>23</v>
      </c>
      <c r="T31" s="6" t="s">
        <v>3499</v>
      </c>
      <c r="U31" s="6" t="s">
        <v>3141</v>
      </c>
      <c r="V31" s="6" t="s">
        <v>3500</v>
      </c>
      <c r="W31" s="6" t="s">
        <v>3501</v>
      </c>
      <c r="X31" s="6" t="s">
        <v>85</v>
      </c>
      <c r="Y31" s="6" t="s">
        <v>3141</v>
      </c>
      <c r="Z31" s="6" t="s">
        <v>93</v>
      </c>
      <c r="AA31" s="6" t="s">
        <v>3223</v>
      </c>
      <c r="AB31" s="6"/>
      <c r="AC31" s="6" t="s">
        <v>3141</v>
      </c>
      <c r="AD31" s="6" t="s">
        <v>3160</v>
      </c>
      <c r="AE31" s="6" t="s">
        <v>3428</v>
      </c>
      <c r="AF31" s="6" t="s">
        <v>3502</v>
      </c>
      <c r="AG31" s="6" t="s">
        <v>3503</v>
      </c>
      <c r="AH31" s="6" t="s">
        <v>79</v>
      </c>
    </row>
    <row r="32" spans="1:34" x14ac:dyDescent="0.25">
      <c r="A32" s="6" t="s">
        <v>201</v>
      </c>
      <c r="B32" s="6" t="s">
        <v>3504</v>
      </c>
      <c r="C32" s="6" t="s">
        <v>203</v>
      </c>
      <c r="D32" s="6"/>
      <c r="E32" s="6" t="s">
        <v>3505</v>
      </c>
      <c r="F32" s="6" t="s">
        <v>3137</v>
      </c>
      <c r="G32" s="6" t="s">
        <v>3506</v>
      </c>
      <c r="H32" s="6" t="s">
        <v>3507</v>
      </c>
      <c r="I32" s="6" t="s">
        <v>92</v>
      </c>
      <c r="J32" s="6" t="s">
        <v>3508</v>
      </c>
      <c r="K32" s="6" t="s">
        <v>3159</v>
      </c>
      <c r="L32" s="6" t="s">
        <v>3143</v>
      </c>
      <c r="M32" s="6" t="s">
        <v>76</v>
      </c>
      <c r="N32" s="6" t="s">
        <v>3243</v>
      </c>
      <c r="O32" s="6" t="s">
        <v>3160</v>
      </c>
      <c r="P32" s="6" t="s">
        <v>3485</v>
      </c>
      <c r="Q32" s="6" t="s">
        <v>3509</v>
      </c>
      <c r="R32" s="6" t="s">
        <v>3510</v>
      </c>
      <c r="S32" s="6" t="s">
        <v>23</v>
      </c>
      <c r="T32" s="6"/>
      <c r="U32" s="6" t="s">
        <v>3141</v>
      </c>
      <c r="V32" s="6" t="s">
        <v>3511</v>
      </c>
      <c r="W32" s="6" t="s">
        <v>3223</v>
      </c>
      <c r="X32" s="6" t="s">
        <v>3290</v>
      </c>
      <c r="Y32" s="6" t="s">
        <v>3140</v>
      </c>
      <c r="Z32" s="6" t="s">
        <v>78</v>
      </c>
      <c r="AA32" s="6" t="s">
        <v>3512</v>
      </c>
      <c r="AB32" s="6"/>
      <c r="AC32" s="6" t="s">
        <v>3141</v>
      </c>
      <c r="AD32" s="6" t="s">
        <v>3143</v>
      </c>
      <c r="AE32" s="6" t="s">
        <v>3513</v>
      </c>
      <c r="AF32" s="6" t="s">
        <v>3514</v>
      </c>
      <c r="AG32" s="6" t="s">
        <v>3515</v>
      </c>
      <c r="AH32" s="6" t="s">
        <v>79</v>
      </c>
    </row>
    <row r="33" spans="1:34" x14ac:dyDescent="0.25">
      <c r="A33" s="6" t="s">
        <v>204</v>
      </c>
      <c r="B33" s="6" t="s">
        <v>3516</v>
      </c>
      <c r="C33" s="6" t="s">
        <v>3517</v>
      </c>
      <c r="D33" s="6" t="s">
        <v>206</v>
      </c>
      <c r="E33" s="6" t="s">
        <v>3200</v>
      </c>
      <c r="F33" s="6" t="s">
        <v>3227</v>
      </c>
      <c r="G33" s="6" t="s">
        <v>131</v>
      </c>
      <c r="H33" s="6" t="s">
        <v>91</v>
      </c>
      <c r="I33" s="6" t="s">
        <v>92</v>
      </c>
      <c r="J33" s="6" t="s">
        <v>3518</v>
      </c>
      <c r="K33" s="6" t="s">
        <v>3141</v>
      </c>
      <c r="L33" s="6" t="s">
        <v>3243</v>
      </c>
      <c r="M33" s="6" t="s">
        <v>3160</v>
      </c>
      <c r="N33" s="6" t="s">
        <v>3152</v>
      </c>
      <c r="O33" s="6" t="s">
        <v>3152</v>
      </c>
      <c r="P33" s="6" t="s">
        <v>3519</v>
      </c>
      <c r="Q33" s="6" t="s">
        <v>3520</v>
      </c>
      <c r="R33" s="6" t="s">
        <v>3521</v>
      </c>
      <c r="S33" s="6" t="s">
        <v>3219</v>
      </c>
      <c r="T33" s="6" t="s">
        <v>3522</v>
      </c>
      <c r="U33" s="6" t="s">
        <v>3292</v>
      </c>
      <c r="V33" s="6" t="s">
        <v>3439</v>
      </c>
      <c r="W33" s="6" t="s">
        <v>3166</v>
      </c>
      <c r="X33" s="6" t="s">
        <v>85</v>
      </c>
      <c r="Y33" s="6" t="s">
        <v>3292</v>
      </c>
      <c r="Z33" s="6" t="s">
        <v>78</v>
      </c>
      <c r="AA33" s="6" t="s">
        <v>3523</v>
      </c>
      <c r="AB33" s="6" t="s">
        <v>3524</v>
      </c>
      <c r="AC33" s="6" t="s">
        <v>3140</v>
      </c>
      <c r="AD33" s="6" t="s">
        <v>3152</v>
      </c>
      <c r="AE33" s="6" t="s">
        <v>3235</v>
      </c>
      <c r="AF33" s="6"/>
      <c r="AG33" s="6"/>
      <c r="AH33" s="6" t="s">
        <v>79</v>
      </c>
    </row>
    <row r="34" spans="1:34" x14ac:dyDescent="0.25">
      <c r="A34" s="6" t="s">
        <v>207</v>
      </c>
      <c r="B34" s="6" t="s">
        <v>208</v>
      </c>
      <c r="C34" s="6" t="s">
        <v>3525</v>
      </c>
      <c r="D34" s="6" t="s">
        <v>209</v>
      </c>
      <c r="E34" s="6" t="s">
        <v>3185</v>
      </c>
      <c r="F34" s="6" t="s">
        <v>3227</v>
      </c>
      <c r="G34" s="6" t="s">
        <v>3506</v>
      </c>
      <c r="H34" s="6" t="s">
        <v>132</v>
      </c>
      <c r="I34" s="6" t="s">
        <v>92</v>
      </c>
      <c r="J34" s="6" t="s">
        <v>3526</v>
      </c>
      <c r="K34" s="6" t="s">
        <v>3141</v>
      </c>
      <c r="L34" s="6" t="s">
        <v>3152</v>
      </c>
      <c r="M34" s="6" t="s">
        <v>3152</v>
      </c>
      <c r="N34" s="6" t="s">
        <v>3141</v>
      </c>
      <c r="O34" s="6" t="s">
        <v>75</v>
      </c>
      <c r="P34" s="6" t="s">
        <v>3527</v>
      </c>
      <c r="Q34" s="6" t="s">
        <v>3528</v>
      </c>
      <c r="R34" s="6" t="s">
        <v>3529</v>
      </c>
      <c r="S34" s="6" t="s">
        <v>20</v>
      </c>
      <c r="T34" s="6" t="s">
        <v>3530</v>
      </c>
      <c r="U34" s="6" t="s">
        <v>3159</v>
      </c>
      <c r="V34" s="6" t="s">
        <v>3454</v>
      </c>
      <c r="W34" s="6" t="s">
        <v>3531</v>
      </c>
      <c r="X34" s="6" t="s">
        <v>77</v>
      </c>
      <c r="Y34" s="6" t="s">
        <v>3140</v>
      </c>
      <c r="Z34" s="6" t="s">
        <v>93</v>
      </c>
      <c r="AA34" s="6" t="s">
        <v>3532</v>
      </c>
      <c r="AB34" s="6" t="s">
        <v>3533</v>
      </c>
      <c r="AC34" s="6" t="s">
        <v>3141</v>
      </c>
      <c r="AD34" s="6" t="s">
        <v>3196</v>
      </c>
      <c r="AE34" s="6" t="s">
        <v>3235</v>
      </c>
      <c r="AF34" s="6"/>
      <c r="AG34" s="6" t="s">
        <v>3534</v>
      </c>
      <c r="AH34" s="6" t="s">
        <v>79</v>
      </c>
    </row>
    <row r="35" spans="1:34" x14ac:dyDescent="0.25">
      <c r="A35" s="6" t="s">
        <v>210</v>
      </c>
      <c r="B35" s="6" t="s">
        <v>211</v>
      </c>
      <c r="C35" s="6"/>
      <c r="D35" s="6" t="s">
        <v>212</v>
      </c>
      <c r="E35" s="6" t="s">
        <v>3309</v>
      </c>
      <c r="F35" s="6" t="s">
        <v>89</v>
      </c>
      <c r="G35" s="6" t="s">
        <v>139</v>
      </c>
      <c r="H35" s="6" t="s">
        <v>132</v>
      </c>
      <c r="I35" s="6" t="s">
        <v>92</v>
      </c>
      <c r="J35" s="6" t="s">
        <v>3535</v>
      </c>
      <c r="K35" s="6" t="s">
        <v>3159</v>
      </c>
      <c r="L35" s="6" t="s">
        <v>3143</v>
      </c>
      <c r="M35" s="6" t="s">
        <v>3243</v>
      </c>
      <c r="N35" s="6" t="s">
        <v>3141</v>
      </c>
      <c r="O35" s="6" t="s">
        <v>3142</v>
      </c>
      <c r="P35" s="6" t="s">
        <v>3536</v>
      </c>
      <c r="Q35" s="6" t="s">
        <v>3537</v>
      </c>
      <c r="R35" s="6" t="s">
        <v>3538</v>
      </c>
      <c r="S35" s="6" t="s">
        <v>22</v>
      </c>
      <c r="T35" s="6" t="s">
        <v>3539</v>
      </c>
      <c r="U35" s="6" t="s">
        <v>3141</v>
      </c>
      <c r="V35" s="6" t="s">
        <v>3540</v>
      </c>
      <c r="W35" s="6" t="s">
        <v>3278</v>
      </c>
      <c r="X35" s="6" t="s">
        <v>3290</v>
      </c>
      <c r="Y35" s="6" t="s">
        <v>3141</v>
      </c>
      <c r="Z35" s="6" t="s">
        <v>93</v>
      </c>
      <c r="AA35" s="6" t="s">
        <v>3541</v>
      </c>
      <c r="AB35" s="6"/>
      <c r="AC35" s="6" t="s">
        <v>3141</v>
      </c>
      <c r="AD35" s="6" t="s">
        <v>3243</v>
      </c>
      <c r="AE35" s="6" t="s">
        <v>3323</v>
      </c>
      <c r="AF35" s="6" t="s">
        <v>3542</v>
      </c>
      <c r="AG35" s="6" t="s">
        <v>3543</v>
      </c>
      <c r="AH35" s="6" t="s">
        <v>79</v>
      </c>
    </row>
    <row r="36" spans="1:34" x14ac:dyDescent="0.25">
      <c r="A36" s="6" t="s">
        <v>213</v>
      </c>
      <c r="B36" s="6" t="s">
        <v>214</v>
      </c>
      <c r="C36" s="6"/>
      <c r="D36" s="6"/>
      <c r="E36" s="6" t="s">
        <v>3235</v>
      </c>
      <c r="F36" s="6" t="s">
        <v>3283</v>
      </c>
      <c r="G36" s="6" t="s">
        <v>215</v>
      </c>
      <c r="H36" s="6" t="s">
        <v>91</v>
      </c>
      <c r="I36" s="6" t="s">
        <v>92</v>
      </c>
      <c r="J36" s="6" t="s">
        <v>3544</v>
      </c>
      <c r="K36" s="6" t="s">
        <v>3159</v>
      </c>
      <c r="L36" s="6" t="s">
        <v>3160</v>
      </c>
      <c r="M36" s="6" t="s">
        <v>3243</v>
      </c>
      <c r="N36" s="6" t="s">
        <v>3142</v>
      </c>
      <c r="O36" s="6" t="s">
        <v>3243</v>
      </c>
      <c r="P36" s="6" t="s">
        <v>3545</v>
      </c>
      <c r="Q36" s="6" t="s">
        <v>3546</v>
      </c>
      <c r="R36" s="6" t="s">
        <v>3547</v>
      </c>
      <c r="S36" s="6" t="s">
        <v>21</v>
      </c>
      <c r="T36" s="6" t="s">
        <v>3548</v>
      </c>
      <c r="U36" s="6" t="s">
        <v>3292</v>
      </c>
      <c r="V36" s="6" t="s">
        <v>3549</v>
      </c>
      <c r="W36" s="6" t="s">
        <v>3395</v>
      </c>
      <c r="X36" s="6" t="s">
        <v>85</v>
      </c>
      <c r="Y36" s="6" t="s">
        <v>3140</v>
      </c>
      <c r="Z36" s="6" t="s">
        <v>93</v>
      </c>
      <c r="AA36" s="6" t="s">
        <v>3550</v>
      </c>
      <c r="AB36" s="6"/>
      <c r="AC36" s="6" t="s">
        <v>3159</v>
      </c>
      <c r="AD36" s="6" t="s">
        <v>75</v>
      </c>
      <c r="AE36" s="6" t="s">
        <v>3136</v>
      </c>
      <c r="AF36" s="6"/>
      <c r="AG36" s="6" t="s">
        <v>3551</v>
      </c>
      <c r="AH36" s="6" t="s">
        <v>94</v>
      </c>
    </row>
    <row r="37" spans="1:34" x14ac:dyDescent="0.25">
      <c r="A37" s="6" t="s">
        <v>216</v>
      </c>
      <c r="B37" s="6" t="s">
        <v>217</v>
      </c>
      <c r="C37" s="6" t="s">
        <v>218</v>
      </c>
      <c r="D37" s="6" t="s">
        <v>219</v>
      </c>
      <c r="E37" s="6" t="s">
        <v>3226</v>
      </c>
      <c r="F37" s="6" t="s">
        <v>3283</v>
      </c>
      <c r="G37" s="6" t="s">
        <v>3484</v>
      </c>
      <c r="H37" s="6" t="s">
        <v>166</v>
      </c>
      <c r="I37" s="6" t="s">
        <v>74</v>
      </c>
      <c r="J37" s="6" t="s">
        <v>3552</v>
      </c>
      <c r="K37" s="6" t="s">
        <v>3140</v>
      </c>
      <c r="L37" s="6" t="s">
        <v>3243</v>
      </c>
      <c r="M37" s="6" t="s">
        <v>3159</v>
      </c>
      <c r="N37" s="6" t="s">
        <v>3141</v>
      </c>
      <c r="O37" s="6" t="s">
        <v>3142</v>
      </c>
      <c r="P37" s="6" t="s">
        <v>3553</v>
      </c>
      <c r="Q37" s="6"/>
      <c r="R37" s="6" t="s">
        <v>3554</v>
      </c>
      <c r="S37" s="6" t="s">
        <v>20</v>
      </c>
      <c r="T37" s="6"/>
      <c r="U37" s="6" t="s">
        <v>3141</v>
      </c>
      <c r="V37" s="6" t="s">
        <v>3555</v>
      </c>
      <c r="W37" s="6" t="s">
        <v>3166</v>
      </c>
      <c r="X37" s="6" t="s">
        <v>85</v>
      </c>
      <c r="Y37" s="6" t="s">
        <v>3159</v>
      </c>
      <c r="Z37" s="6" t="s">
        <v>78</v>
      </c>
      <c r="AA37" s="6" t="s">
        <v>3556</v>
      </c>
      <c r="AB37" s="6"/>
      <c r="AC37" s="6" t="s">
        <v>3140</v>
      </c>
      <c r="AD37" s="6" t="s">
        <v>3160</v>
      </c>
      <c r="AE37" s="6" t="s">
        <v>3235</v>
      </c>
      <c r="AF37" s="6"/>
      <c r="AG37" s="6" t="s">
        <v>3557</v>
      </c>
      <c r="AH37" s="6" t="s">
        <v>3334</v>
      </c>
    </row>
    <row r="38" spans="1:34" x14ac:dyDescent="0.25">
      <c r="A38" s="6" t="s">
        <v>220</v>
      </c>
      <c r="B38" s="6" t="s">
        <v>221</v>
      </c>
      <c r="C38" s="6" t="s">
        <v>3558</v>
      </c>
      <c r="D38" s="6" t="s">
        <v>3559</v>
      </c>
      <c r="E38" s="6" t="s">
        <v>3279</v>
      </c>
      <c r="F38" s="6" t="s">
        <v>3269</v>
      </c>
      <c r="G38" s="6" t="s">
        <v>115</v>
      </c>
      <c r="H38" s="6" t="s">
        <v>107</v>
      </c>
      <c r="I38" s="6" t="s">
        <v>92</v>
      </c>
      <c r="J38" s="6" t="s">
        <v>3560</v>
      </c>
      <c r="K38" s="6" t="s">
        <v>3140</v>
      </c>
      <c r="L38" s="6" t="s">
        <v>75</v>
      </c>
      <c r="M38" s="6" t="s">
        <v>3143</v>
      </c>
      <c r="N38" s="6" t="s">
        <v>3159</v>
      </c>
      <c r="O38" s="6" t="s">
        <v>3196</v>
      </c>
      <c r="P38" s="6" t="s">
        <v>3561</v>
      </c>
      <c r="Q38" s="6" t="s">
        <v>3562</v>
      </c>
      <c r="R38" s="6" t="s">
        <v>3563</v>
      </c>
      <c r="S38" s="6" t="s">
        <v>23</v>
      </c>
      <c r="T38" s="6"/>
      <c r="U38" s="6" t="s">
        <v>3159</v>
      </c>
      <c r="V38" s="6" t="s">
        <v>3564</v>
      </c>
      <c r="W38" s="6" t="s">
        <v>3316</v>
      </c>
      <c r="X38" s="6" t="s">
        <v>85</v>
      </c>
      <c r="Y38" s="6" t="s">
        <v>3140</v>
      </c>
      <c r="Z38" s="6" t="s">
        <v>93</v>
      </c>
      <c r="AA38" s="6" t="s">
        <v>3565</v>
      </c>
      <c r="AB38" s="6"/>
      <c r="AC38" s="6" t="s">
        <v>3159</v>
      </c>
      <c r="AD38" s="6" t="s">
        <v>3141</v>
      </c>
      <c r="AE38" s="6" t="s">
        <v>3331</v>
      </c>
      <c r="AF38" s="6" t="s">
        <v>3566</v>
      </c>
      <c r="AG38" s="6"/>
      <c r="AH38" s="6" t="s">
        <v>79</v>
      </c>
    </row>
    <row r="39" spans="1:34" x14ac:dyDescent="0.25">
      <c r="A39" s="6" t="s">
        <v>223</v>
      </c>
      <c r="B39" s="6" t="s">
        <v>3567</v>
      </c>
      <c r="C39" s="6" t="s">
        <v>3568</v>
      </c>
      <c r="D39" s="6" t="s">
        <v>3569</v>
      </c>
      <c r="E39" s="6" t="s">
        <v>3570</v>
      </c>
      <c r="F39" s="6" t="s">
        <v>3227</v>
      </c>
      <c r="G39" s="6" t="s">
        <v>226</v>
      </c>
      <c r="H39" s="6" t="s">
        <v>84</v>
      </c>
      <c r="I39" s="6" t="s">
        <v>74</v>
      </c>
      <c r="J39" s="6" t="s">
        <v>3571</v>
      </c>
      <c r="K39" s="6" t="s">
        <v>3159</v>
      </c>
      <c r="L39" s="6" t="s">
        <v>3243</v>
      </c>
      <c r="M39" s="6" t="s">
        <v>3143</v>
      </c>
      <c r="N39" s="6" t="s">
        <v>3141</v>
      </c>
      <c r="O39" s="6" t="s">
        <v>76</v>
      </c>
      <c r="P39" s="6" t="s">
        <v>3572</v>
      </c>
      <c r="Q39" s="6" t="s">
        <v>3573</v>
      </c>
      <c r="R39" s="6" t="s">
        <v>3574</v>
      </c>
      <c r="S39" s="6" t="s">
        <v>22</v>
      </c>
      <c r="T39" s="6" t="s">
        <v>3575</v>
      </c>
      <c r="U39" s="6" t="s">
        <v>3159</v>
      </c>
      <c r="V39" s="6" t="s">
        <v>3576</v>
      </c>
      <c r="W39" s="6" t="s">
        <v>3354</v>
      </c>
      <c r="X39" s="6" t="s">
        <v>85</v>
      </c>
      <c r="Y39" s="6" t="s">
        <v>3141</v>
      </c>
      <c r="Z39" s="6" t="s">
        <v>78</v>
      </c>
      <c r="AA39" s="6" t="s">
        <v>3577</v>
      </c>
      <c r="AB39" s="6"/>
      <c r="AC39" s="6" t="s">
        <v>3140</v>
      </c>
      <c r="AD39" s="6" t="s">
        <v>75</v>
      </c>
      <c r="AE39" s="6" t="s">
        <v>3279</v>
      </c>
      <c r="AF39" s="6" t="s">
        <v>3578</v>
      </c>
      <c r="AG39" s="6" t="s">
        <v>3579</v>
      </c>
      <c r="AH39" s="6" t="s">
        <v>79</v>
      </c>
    </row>
    <row r="40" spans="1:34" x14ac:dyDescent="0.25">
      <c r="A40" s="6" t="s">
        <v>227</v>
      </c>
      <c r="B40" s="6" t="s">
        <v>228</v>
      </c>
      <c r="C40" s="6" t="s">
        <v>3580</v>
      </c>
      <c r="D40" s="6"/>
      <c r="E40" s="6" t="s">
        <v>3170</v>
      </c>
      <c r="F40" s="6" t="s">
        <v>71</v>
      </c>
      <c r="G40" s="6" t="s">
        <v>106</v>
      </c>
      <c r="H40" s="6" t="s">
        <v>144</v>
      </c>
      <c r="I40" s="6" t="s">
        <v>92</v>
      </c>
      <c r="J40" s="6" t="s">
        <v>3581</v>
      </c>
      <c r="K40" s="6" t="s">
        <v>3292</v>
      </c>
      <c r="L40" s="6" t="s">
        <v>76</v>
      </c>
      <c r="M40" s="6" t="s">
        <v>3188</v>
      </c>
      <c r="N40" s="6" t="s">
        <v>3159</v>
      </c>
      <c r="O40" s="6" t="s">
        <v>3152</v>
      </c>
      <c r="P40" s="6" t="s">
        <v>3582</v>
      </c>
      <c r="Q40" s="6"/>
      <c r="R40" s="6" t="s">
        <v>3583</v>
      </c>
      <c r="S40" s="6" t="s">
        <v>3584</v>
      </c>
      <c r="T40" s="6" t="s">
        <v>3585</v>
      </c>
      <c r="U40" s="6" t="s">
        <v>3275</v>
      </c>
      <c r="V40" s="6" t="s">
        <v>3586</v>
      </c>
      <c r="W40" s="6" t="s">
        <v>3587</v>
      </c>
      <c r="X40" s="6" t="s">
        <v>85</v>
      </c>
      <c r="Y40" s="6" t="s">
        <v>3140</v>
      </c>
      <c r="Z40" s="6" t="s">
        <v>78</v>
      </c>
      <c r="AA40" s="6" t="s">
        <v>3588</v>
      </c>
      <c r="AB40" s="6" t="s">
        <v>3589</v>
      </c>
      <c r="AC40" s="6" t="s">
        <v>3159</v>
      </c>
      <c r="AD40" s="6" t="s">
        <v>3152</v>
      </c>
      <c r="AE40" s="6" t="s">
        <v>3169</v>
      </c>
      <c r="AF40" s="6"/>
      <c r="AG40" s="6"/>
      <c r="AH40" s="6" t="s">
        <v>94</v>
      </c>
    </row>
    <row r="41" spans="1:34" x14ac:dyDescent="0.25">
      <c r="A41" s="6" t="s">
        <v>229</v>
      </c>
      <c r="B41" s="6" t="s">
        <v>230</v>
      </c>
      <c r="C41" s="6" t="s">
        <v>3590</v>
      </c>
      <c r="D41" s="6" t="s">
        <v>3591</v>
      </c>
      <c r="E41" s="6" t="s">
        <v>3296</v>
      </c>
      <c r="F41" s="6" t="s">
        <v>3201</v>
      </c>
      <c r="G41" s="6" t="s">
        <v>3592</v>
      </c>
      <c r="H41" s="6" t="s">
        <v>132</v>
      </c>
      <c r="I41" s="6" t="s">
        <v>92</v>
      </c>
      <c r="J41" s="6" t="s">
        <v>3593</v>
      </c>
      <c r="K41" s="6" t="s">
        <v>3159</v>
      </c>
      <c r="L41" s="6" t="s">
        <v>3188</v>
      </c>
      <c r="M41" s="6" t="s">
        <v>3152</v>
      </c>
      <c r="N41" s="6" t="s">
        <v>75</v>
      </c>
      <c r="O41" s="6" t="s">
        <v>3141</v>
      </c>
      <c r="P41" s="6" t="s">
        <v>3553</v>
      </c>
      <c r="Q41" s="6" t="s">
        <v>3594</v>
      </c>
      <c r="R41" s="6" t="s">
        <v>3595</v>
      </c>
      <c r="S41" s="6" t="s">
        <v>20</v>
      </c>
      <c r="T41" s="6" t="s">
        <v>3596</v>
      </c>
      <c r="U41" s="6" t="s">
        <v>3141</v>
      </c>
      <c r="V41" s="6" t="s">
        <v>3597</v>
      </c>
      <c r="W41" s="6" t="s">
        <v>3330</v>
      </c>
      <c r="X41" s="6" t="s">
        <v>77</v>
      </c>
      <c r="Y41" s="6" t="s">
        <v>3159</v>
      </c>
      <c r="Z41" s="6" t="s">
        <v>78</v>
      </c>
      <c r="AA41" s="6" t="s">
        <v>3598</v>
      </c>
      <c r="AB41" s="6" t="s">
        <v>3599</v>
      </c>
      <c r="AC41" s="6" t="s">
        <v>3159</v>
      </c>
      <c r="AD41" s="6" t="s">
        <v>3243</v>
      </c>
      <c r="AE41" s="6" t="s">
        <v>3235</v>
      </c>
      <c r="AF41" s="6"/>
      <c r="AG41" s="6" t="s">
        <v>3600</v>
      </c>
      <c r="AH41" s="6" t="s">
        <v>79</v>
      </c>
    </row>
    <row r="42" spans="1:34" x14ac:dyDescent="0.25">
      <c r="A42" s="6" t="s">
        <v>232</v>
      </c>
      <c r="B42" s="6" t="s">
        <v>233</v>
      </c>
      <c r="C42" s="6"/>
      <c r="D42" s="6" t="s">
        <v>234</v>
      </c>
      <c r="E42" s="6" t="s">
        <v>3460</v>
      </c>
      <c r="F42" s="6" t="s">
        <v>3137</v>
      </c>
      <c r="G42" s="6" t="s">
        <v>215</v>
      </c>
      <c r="H42" s="6" t="s">
        <v>84</v>
      </c>
      <c r="I42" s="6" t="s">
        <v>74</v>
      </c>
      <c r="J42" s="6"/>
      <c r="K42" s="6" t="s">
        <v>3140</v>
      </c>
      <c r="L42" s="6" t="s">
        <v>3159</v>
      </c>
      <c r="M42" s="6" t="s">
        <v>3143</v>
      </c>
      <c r="N42" s="6" t="s">
        <v>75</v>
      </c>
      <c r="O42" s="6" t="s">
        <v>3196</v>
      </c>
      <c r="P42" s="6" t="s">
        <v>3601</v>
      </c>
      <c r="Q42" s="6"/>
      <c r="R42" s="6" t="s">
        <v>3602</v>
      </c>
      <c r="S42" s="6" t="s">
        <v>22</v>
      </c>
      <c r="T42" s="6" t="s">
        <v>3217</v>
      </c>
      <c r="U42" s="6" t="s">
        <v>3141</v>
      </c>
      <c r="V42" s="6" t="s">
        <v>3540</v>
      </c>
      <c r="W42" s="6" t="s">
        <v>3603</v>
      </c>
      <c r="X42" s="6" t="s">
        <v>85</v>
      </c>
      <c r="Y42" s="6" t="s">
        <v>3141</v>
      </c>
      <c r="Z42" s="6" t="s">
        <v>78</v>
      </c>
      <c r="AA42" s="6" t="s">
        <v>3375</v>
      </c>
      <c r="AB42" s="6"/>
      <c r="AC42" s="6" t="s">
        <v>3159</v>
      </c>
      <c r="AD42" s="6" t="s">
        <v>3160</v>
      </c>
      <c r="AE42" s="6" t="s">
        <v>3323</v>
      </c>
      <c r="AF42" s="6" t="s">
        <v>3604</v>
      </c>
      <c r="AG42" s="6" t="s">
        <v>3605</v>
      </c>
      <c r="AH42" s="6" t="s">
        <v>79</v>
      </c>
    </row>
    <row r="43" spans="1:34" x14ac:dyDescent="0.25">
      <c r="A43" s="6" t="s">
        <v>235</v>
      </c>
      <c r="B43" s="6" t="s">
        <v>236</v>
      </c>
      <c r="C43" s="6" t="s">
        <v>3606</v>
      </c>
      <c r="D43" s="6" t="s">
        <v>237</v>
      </c>
      <c r="E43" s="6" t="s">
        <v>3254</v>
      </c>
      <c r="F43" s="6" t="s">
        <v>3214</v>
      </c>
      <c r="G43" s="6" t="s">
        <v>139</v>
      </c>
      <c r="H43" s="6" t="s">
        <v>91</v>
      </c>
      <c r="I43" s="6" t="s">
        <v>92</v>
      </c>
      <c r="J43" s="6" t="s">
        <v>3607</v>
      </c>
      <c r="K43" s="6" t="s">
        <v>3141</v>
      </c>
      <c r="L43" s="6" t="s">
        <v>3160</v>
      </c>
      <c r="M43" s="6" t="s">
        <v>75</v>
      </c>
      <c r="N43" s="6" t="s">
        <v>75</v>
      </c>
      <c r="O43" s="6" t="s">
        <v>3243</v>
      </c>
      <c r="P43" s="6" t="s">
        <v>3608</v>
      </c>
      <c r="Q43" s="6" t="s">
        <v>3609</v>
      </c>
      <c r="R43" s="6" t="s">
        <v>3610</v>
      </c>
      <c r="S43" s="6" t="s">
        <v>20</v>
      </c>
      <c r="T43" s="6" t="s">
        <v>3611</v>
      </c>
      <c r="U43" s="6" t="s">
        <v>3159</v>
      </c>
      <c r="V43" s="6" t="s">
        <v>3612</v>
      </c>
      <c r="W43" s="6" t="s">
        <v>3613</v>
      </c>
      <c r="X43" s="6" t="s">
        <v>77</v>
      </c>
      <c r="Y43" s="6" t="s">
        <v>3159</v>
      </c>
      <c r="Z43" s="6" t="s">
        <v>3614</v>
      </c>
      <c r="AA43" s="6" t="s">
        <v>3416</v>
      </c>
      <c r="AB43" s="6" t="s">
        <v>3615</v>
      </c>
      <c r="AC43" s="6" t="s">
        <v>3141</v>
      </c>
      <c r="AD43" s="6" t="s">
        <v>3143</v>
      </c>
      <c r="AE43" s="6" t="s">
        <v>3169</v>
      </c>
      <c r="AF43" s="6"/>
      <c r="AG43" s="6" t="s">
        <v>3616</v>
      </c>
      <c r="AH43" s="6" t="s">
        <v>79</v>
      </c>
    </row>
    <row r="44" spans="1:34" x14ac:dyDescent="0.25">
      <c r="A44" s="6" t="s">
        <v>238</v>
      </c>
      <c r="B44" s="6" t="s">
        <v>239</v>
      </c>
      <c r="C44" s="6" t="s">
        <v>240</v>
      </c>
      <c r="D44" s="6"/>
      <c r="E44" s="6" t="s">
        <v>3617</v>
      </c>
      <c r="F44" s="6" t="s">
        <v>89</v>
      </c>
      <c r="G44" s="6" t="s">
        <v>226</v>
      </c>
      <c r="H44" s="6" t="s">
        <v>103</v>
      </c>
      <c r="I44" s="6" t="s">
        <v>74</v>
      </c>
      <c r="J44" s="6" t="s">
        <v>3618</v>
      </c>
      <c r="K44" s="6" t="s">
        <v>3159</v>
      </c>
      <c r="L44" s="6" t="s">
        <v>3173</v>
      </c>
      <c r="M44" s="6" t="s">
        <v>3243</v>
      </c>
      <c r="N44" s="6" t="s">
        <v>3143</v>
      </c>
      <c r="O44" s="6" t="s">
        <v>3143</v>
      </c>
      <c r="P44" s="6" t="s">
        <v>3497</v>
      </c>
      <c r="Q44" s="6"/>
      <c r="R44" s="6" t="s">
        <v>3619</v>
      </c>
      <c r="S44" s="6" t="s">
        <v>22</v>
      </c>
      <c r="T44" s="6" t="s">
        <v>3620</v>
      </c>
      <c r="U44" s="6" t="s">
        <v>3159</v>
      </c>
      <c r="V44" s="6" t="s">
        <v>3621</v>
      </c>
      <c r="W44" s="6" t="s">
        <v>3395</v>
      </c>
      <c r="X44" s="6" t="s">
        <v>85</v>
      </c>
      <c r="Y44" s="6" t="s">
        <v>3292</v>
      </c>
      <c r="Z44" s="6" t="s">
        <v>93</v>
      </c>
      <c r="AA44" s="6" t="s">
        <v>3556</v>
      </c>
      <c r="AB44" s="6"/>
      <c r="AC44" s="6" t="s">
        <v>3141</v>
      </c>
      <c r="AD44" s="6" t="s">
        <v>3152</v>
      </c>
      <c r="AE44" s="6" t="s">
        <v>3622</v>
      </c>
      <c r="AF44" s="6" t="s">
        <v>3623</v>
      </c>
      <c r="AG44" s="6" t="s">
        <v>3624</v>
      </c>
      <c r="AH44" s="6" t="s">
        <v>79</v>
      </c>
    </row>
    <row r="45" spans="1:34" x14ac:dyDescent="0.25">
      <c r="A45" s="6" t="s">
        <v>241</v>
      </c>
      <c r="B45" s="6" t="s">
        <v>242</v>
      </c>
      <c r="C45" s="6" t="s">
        <v>3625</v>
      </c>
      <c r="D45" s="6" t="s">
        <v>243</v>
      </c>
      <c r="E45" s="6" t="s">
        <v>3626</v>
      </c>
      <c r="F45" s="6" t="s">
        <v>3269</v>
      </c>
      <c r="G45" s="6" t="s">
        <v>90</v>
      </c>
      <c r="H45" s="6" t="s">
        <v>107</v>
      </c>
      <c r="I45" s="6" t="s">
        <v>92</v>
      </c>
      <c r="J45" s="6" t="s">
        <v>3627</v>
      </c>
      <c r="K45" s="6" t="s">
        <v>3159</v>
      </c>
      <c r="L45" s="6" t="s">
        <v>3160</v>
      </c>
      <c r="M45" s="6" t="s">
        <v>3243</v>
      </c>
      <c r="N45" s="6" t="s">
        <v>3152</v>
      </c>
      <c r="O45" s="6" t="s">
        <v>76</v>
      </c>
      <c r="P45" s="6" t="s">
        <v>3628</v>
      </c>
      <c r="Q45" s="6"/>
      <c r="R45" s="6" t="s">
        <v>3629</v>
      </c>
      <c r="S45" s="6" t="s">
        <v>23</v>
      </c>
      <c r="T45" s="6" t="s">
        <v>3630</v>
      </c>
      <c r="U45" s="6" t="s">
        <v>3159</v>
      </c>
      <c r="V45" s="6" t="s">
        <v>3631</v>
      </c>
      <c r="W45" s="6" t="s">
        <v>3166</v>
      </c>
      <c r="X45" s="6" t="s">
        <v>77</v>
      </c>
      <c r="Y45" s="6" t="s">
        <v>3159</v>
      </c>
      <c r="Z45" s="6" t="s">
        <v>93</v>
      </c>
      <c r="AA45" s="6" t="s">
        <v>3632</v>
      </c>
      <c r="AB45" s="6" t="s">
        <v>3633</v>
      </c>
      <c r="AC45" s="6" t="s">
        <v>3141</v>
      </c>
      <c r="AD45" s="6" t="s">
        <v>3143</v>
      </c>
      <c r="AE45" s="6" t="s">
        <v>3318</v>
      </c>
      <c r="AF45" s="6" t="s">
        <v>3634</v>
      </c>
      <c r="AG45" s="6" t="s">
        <v>3635</v>
      </c>
      <c r="AH45" s="6" t="s">
        <v>79</v>
      </c>
    </row>
    <row r="46" spans="1:34" x14ac:dyDescent="0.25">
      <c r="A46" s="6" t="s">
        <v>244</v>
      </c>
      <c r="B46" s="6" t="s">
        <v>245</v>
      </c>
      <c r="C46" s="6" t="s">
        <v>246</v>
      </c>
      <c r="D46" s="6" t="s">
        <v>247</v>
      </c>
      <c r="E46" s="6" t="s">
        <v>3636</v>
      </c>
      <c r="F46" s="6" t="s">
        <v>3358</v>
      </c>
      <c r="G46" s="6" t="s">
        <v>72</v>
      </c>
      <c r="H46" s="6" t="s">
        <v>103</v>
      </c>
      <c r="I46" s="6" t="s">
        <v>74</v>
      </c>
      <c r="J46" s="6" t="s">
        <v>3637</v>
      </c>
      <c r="K46" s="6" t="s">
        <v>3141</v>
      </c>
      <c r="L46" s="6" t="s">
        <v>75</v>
      </c>
      <c r="M46" s="6" t="s">
        <v>3152</v>
      </c>
      <c r="N46" s="6" t="s">
        <v>3141</v>
      </c>
      <c r="O46" s="6" t="s">
        <v>3152</v>
      </c>
      <c r="P46" s="6" t="s">
        <v>3638</v>
      </c>
      <c r="Q46" s="6" t="s">
        <v>3639</v>
      </c>
      <c r="R46" s="6" t="s">
        <v>3640</v>
      </c>
      <c r="S46" s="6" t="s">
        <v>22</v>
      </c>
      <c r="T46" s="6" t="s">
        <v>3641</v>
      </c>
      <c r="U46" s="6" t="s">
        <v>3140</v>
      </c>
      <c r="V46" s="6" t="s">
        <v>3586</v>
      </c>
      <c r="W46" s="6" t="s">
        <v>3447</v>
      </c>
      <c r="X46" s="6" t="s">
        <v>77</v>
      </c>
      <c r="Y46" s="6" t="s">
        <v>3140</v>
      </c>
      <c r="Z46" s="6" t="s">
        <v>93</v>
      </c>
      <c r="AA46" s="6" t="s">
        <v>3642</v>
      </c>
      <c r="AB46" s="6"/>
      <c r="AC46" s="6" t="s">
        <v>3141</v>
      </c>
      <c r="AD46" s="6" t="s">
        <v>3143</v>
      </c>
      <c r="AE46" s="6" t="s">
        <v>3136</v>
      </c>
      <c r="AF46" s="6" t="s">
        <v>3643</v>
      </c>
      <c r="AG46" s="6" t="s">
        <v>3644</v>
      </c>
      <c r="AH46" s="6" t="s">
        <v>79</v>
      </c>
    </row>
    <row r="47" spans="1:34" x14ac:dyDescent="0.25">
      <c r="A47" s="6" t="s">
        <v>248</v>
      </c>
      <c r="B47" s="6" t="s">
        <v>3645</v>
      </c>
      <c r="C47" s="6" t="s">
        <v>3646</v>
      </c>
      <c r="D47" s="6"/>
      <c r="E47" s="6" t="s">
        <v>3647</v>
      </c>
      <c r="F47" s="6" t="s">
        <v>3137</v>
      </c>
      <c r="G47" s="6" t="s">
        <v>226</v>
      </c>
      <c r="H47" s="6" t="s">
        <v>132</v>
      </c>
      <c r="I47" s="6" t="s">
        <v>92</v>
      </c>
      <c r="J47" s="6" t="s">
        <v>3648</v>
      </c>
      <c r="K47" s="6" t="s">
        <v>3140</v>
      </c>
      <c r="L47" s="6" t="s">
        <v>3159</v>
      </c>
      <c r="M47" s="6" t="s">
        <v>3173</v>
      </c>
      <c r="N47" s="6" t="s">
        <v>3141</v>
      </c>
      <c r="O47" s="6" t="s">
        <v>3243</v>
      </c>
      <c r="P47" s="6" t="s">
        <v>3649</v>
      </c>
      <c r="Q47" s="6" t="s">
        <v>3650</v>
      </c>
      <c r="R47" s="6" t="s">
        <v>3651</v>
      </c>
      <c r="S47" s="6" t="s">
        <v>23</v>
      </c>
      <c r="T47" s="6"/>
      <c r="U47" s="6" t="s">
        <v>3140</v>
      </c>
      <c r="V47" s="6" t="s">
        <v>3652</v>
      </c>
      <c r="W47" s="6" t="s">
        <v>3233</v>
      </c>
      <c r="X47" s="6" t="s">
        <v>85</v>
      </c>
      <c r="Y47" s="6" t="s">
        <v>3140</v>
      </c>
      <c r="Z47" s="6" t="s">
        <v>78</v>
      </c>
      <c r="AA47" s="6" t="s">
        <v>3653</v>
      </c>
      <c r="AB47" s="6" t="s">
        <v>3654</v>
      </c>
      <c r="AC47" s="6" t="s">
        <v>3141</v>
      </c>
      <c r="AD47" s="6" t="s">
        <v>3243</v>
      </c>
      <c r="AE47" s="6" t="s">
        <v>3153</v>
      </c>
      <c r="AF47" s="6" t="s">
        <v>3655</v>
      </c>
      <c r="AG47" s="6" t="s">
        <v>3656</v>
      </c>
      <c r="AH47" s="6" t="s">
        <v>3657</v>
      </c>
    </row>
    <row r="48" spans="1:34" x14ac:dyDescent="0.25">
      <c r="A48" s="6" t="s">
        <v>250</v>
      </c>
      <c r="B48" s="6" t="s">
        <v>251</v>
      </c>
      <c r="C48" s="6" t="s">
        <v>3658</v>
      </c>
      <c r="D48" s="6" t="s">
        <v>252</v>
      </c>
      <c r="E48" s="6" t="s">
        <v>3647</v>
      </c>
      <c r="F48" s="6" t="s">
        <v>89</v>
      </c>
      <c r="G48" s="6" t="s">
        <v>3370</v>
      </c>
      <c r="H48" s="6" t="s">
        <v>91</v>
      </c>
      <c r="I48" s="6" t="s">
        <v>92</v>
      </c>
      <c r="J48" s="6" t="s">
        <v>3659</v>
      </c>
      <c r="K48" s="6" t="s">
        <v>3159</v>
      </c>
      <c r="L48" s="6" t="s">
        <v>3243</v>
      </c>
      <c r="M48" s="6" t="s">
        <v>76</v>
      </c>
      <c r="N48" s="6" t="s">
        <v>75</v>
      </c>
      <c r="O48" s="6" t="s">
        <v>75</v>
      </c>
      <c r="P48" s="6" t="s">
        <v>3660</v>
      </c>
      <c r="Q48" s="6" t="s">
        <v>3661</v>
      </c>
      <c r="R48" s="6" t="s">
        <v>3662</v>
      </c>
      <c r="S48" s="6" t="s">
        <v>20</v>
      </c>
      <c r="T48" s="6"/>
      <c r="U48" s="6" t="s">
        <v>3141</v>
      </c>
      <c r="V48" s="6" t="s">
        <v>3663</v>
      </c>
      <c r="W48" s="6" t="s">
        <v>3233</v>
      </c>
      <c r="X48" s="6" t="s">
        <v>85</v>
      </c>
      <c r="Y48" s="6" t="s">
        <v>3292</v>
      </c>
      <c r="Z48" s="6" t="s">
        <v>3664</v>
      </c>
      <c r="AA48" s="6" t="s">
        <v>3665</v>
      </c>
      <c r="AB48" s="6"/>
      <c r="AC48" s="6" t="s">
        <v>3140</v>
      </c>
      <c r="AD48" s="6" t="s">
        <v>3142</v>
      </c>
      <c r="AE48" s="6" t="s">
        <v>3136</v>
      </c>
      <c r="AF48" s="6"/>
      <c r="AG48" s="6" t="s">
        <v>3666</v>
      </c>
      <c r="AH48" s="6" t="s">
        <v>79</v>
      </c>
    </row>
    <row r="49" spans="1:34" x14ac:dyDescent="0.25">
      <c r="A49" s="6" t="s">
        <v>253</v>
      </c>
      <c r="B49" s="6" t="s">
        <v>254</v>
      </c>
      <c r="C49" s="6" t="s">
        <v>255</v>
      </c>
      <c r="D49" s="6" t="s">
        <v>256</v>
      </c>
      <c r="E49" s="6" t="s">
        <v>3170</v>
      </c>
      <c r="F49" s="6" t="s">
        <v>71</v>
      </c>
      <c r="G49" s="6" t="s">
        <v>3592</v>
      </c>
      <c r="H49" s="6" t="s">
        <v>73</v>
      </c>
      <c r="I49" s="6" t="s">
        <v>74</v>
      </c>
      <c r="J49" s="6" t="s">
        <v>3667</v>
      </c>
      <c r="K49" s="6" t="s">
        <v>3159</v>
      </c>
      <c r="L49" s="6" t="s">
        <v>3160</v>
      </c>
      <c r="M49" s="6" t="s">
        <v>76</v>
      </c>
      <c r="N49" s="6" t="s">
        <v>3143</v>
      </c>
      <c r="O49" s="6" t="s">
        <v>3143</v>
      </c>
      <c r="P49" s="6" t="s">
        <v>3668</v>
      </c>
      <c r="Q49" s="6" t="s">
        <v>3669</v>
      </c>
      <c r="R49" s="6" t="s">
        <v>3670</v>
      </c>
      <c r="S49" s="6" t="s">
        <v>3671</v>
      </c>
      <c r="T49" s="6"/>
      <c r="U49" s="6" t="s">
        <v>3141</v>
      </c>
      <c r="V49" s="6" t="s">
        <v>3395</v>
      </c>
      <c r="W49" s="6" t="s">
        <v>3672</v>
      </c>
      <c r="X49" s="6" t="s">
        <v>77</v>
      </c>
      <c r="Y49" s="6" t="s">
        <v>3140</v>
      </c>
      <c r="Z49" s="6" t="s">
        <v>93</v>
      </c>
      <c r="AA49" s="6" t="s">
        <v>3673</v>
      </c>
      <c r="AB49" s="6" t="s">
        <v>3674</v>
      </c>
      <c r="AC49" s="6" t="s">
        <v>3141</v>
      </c>
      <c r="AD49" s="6" t="s">
        <v>3143</v>
      </c>
      <c r="AE49" s="6" t="s">
        <v>3331</v>
      </c>
      <c r="AF49" s="6" t="s">
        <v>3675</v>
      </c>
      <c r="AG49" s="6" t="s">
        <v>3676</v>
      </c>
      <c r="AH49" s="6" t="s">
        <v>79</v>
      </c>
    </row>
    <row r="50" spans="1:34" x14ac:dyDescent="0.25">
      <c r="A50" s="6" t="s">
        <v>257</v>
      </c>
      <c r="B50" s="6" t="s">
        <v>258</v>
      </c>
      <c r="C50" s="6" t="s">
        <v>259</v>
      </c>
      <c r="D50" s="6" t="s">
        <v>260</v>
      </c>
      <c r="E50" s="6" t="s">
        <v>3677</v>
      </c>
      <c r="F50" s="6" t="s">
        <v>71</v>
      </c>
      <c r="G50" s="6" t="s">
        <v>72</v>
      </c>
      <c r="H50" s="6" t="s">
        <v>3678</v>
      </c>
      <c r="I50" s="6" t="s">
        <v>74</v>
      </c>
      <c r="J50" s="6"/>
      <c r="K50" s="6" t="s">
        <v>3159</v>
      </c>
      <c r="L50" s="6" t="s">
        <v>3142</v>
      </c>
      <c r="M50" s="6" t="s">
        <v>3143</v>
      </c>
      <c r="N50" s="6" t="s">
        <v>3243</v>
      </c>
      <c r="O50" s="6" t="s">
        <v>3243</v>
      </c>
      <c r="P50" s="6" t="s">
        <v>3572</v>
      </c>
      <c r="Q50" s="6" t="s">
        <v>3679</v>
      </c>
      <c r="R50" s="6" t="s">
        <v>3680</v>
      </c>
      <c r="S50" s="6" t="s">
        <v>20</v>
      </c>
      <c r="T50" s="6" t="s">
        <v>3681</v>
      </c>
      <c r="U50" s="6" t="s">
        <v>3159</v>
      </c>
      <c r="V50" s="6" t="s">
        <v>3682</v>
      </c>
      <c r="W50" s="6" t="s">
        <v>3181</v>
      </c>
      <c r="X50" s="6" t="s">
        <v>85</v>
      </c>
      <c r="Y50" s="6" t="s">
        <v>3292</v>
      </c>
      <c r="Z50" s="6" t="s">
        <v>78</v>
      </c>
      <c r="AA50" s="6" t="s">
        <v>3683</v>
      </c>
      <c r="AB50" s="6"/>
      <c r="AC50" s="6" t="s">
        <v>3159</v>
      </c>
      <c r="AD50" s="6" t="s">
        <v>3143</v>
      </c>
      <c r="AE50" s="6" t="s">
        <v>3293</v>
      </c>
      <c r="AF50" s="6"/>
      <c r="AG50" s="6" t="s">
        <v>3684</v>
      </c>
      <c r="AH50" s="6" t="s">
        <v>79</v>
      </c>
    </row>
    <row r="51" spans="1:34" x14ac:dyDescent="0.25">
      <c r="A51" s="6" t="s">
        <v>261</v>
      </c>
      <c r="B51" s="6" t="s">
        <v>262</v>
      </c>
      <c r="C51" s="6" t="s">
        <v>3685</v>
      </c>
      <c r="D51" s="6" t="s">
        <v>3686</v>
      </c>
      <c r="E51" s="6" t="s">
        <v>3636</v>
      </c>
      <c r="F51" s="6" t="s">
        <v>3269</v>
      </c>
      <c r="G51" s="6" t="s">
        <v>90</v>
      </c>
      <c r="H51" s="6" t="s">
        <v>103</v>
      </c>
      <c r="I51" s="6" t="s">
        <v>74</v>
      </c>
      <c r="J51" s="6" t="s">
        <v>3687</v>
      </c>
      <c r="K51" s="6" t="s">
        <v>3159</v>
      </c>
      <c r="L51" s="6" t="s">
        <v>75</v>
      </c>
      <c r="M51" s="6" t="s">
        <v>3159</v>
      </c>
      <c r="N51" s="6" t="s">
        <v>3243</v>
      </c>
      <c r="O51" s="6" t="s">
        <v>3243</v>
      </c>
      <c r="P51" s="6" t="s">
        <v>3688</v>
      </c>
      <c r="Q51" s="6"/>
      <c r="R51" s="6" t="s">
        <v>3689</v>
      </c>
      <c r="S51" s="6" t="s">
        <v>20</v>
      </c>
      <c r="T51" s="6"/>
      <c r="U51" s="6" t="s">
        <v>3292</v>
      </c>
      <c r="V51" s="6" t="s">
        <v>3690</v>
      </c>
      <c r="W51" s="6" t="s">
        <v>3691</v>
      </c>
      <c r="X51" s="6" t="s">
        <v>85</v>
      </c>
      <c r="Y51" s="6" t="s">
        <v>3141</v>
      </c>
      <c r="Z51" s="6" t="s">
        <v>78</v>
      </c>
      <c r="AA51" s="6" t="s">
        <v>3692</v>
      </c>
      <c r="AB51" s="6"/>
      <c r="AC51" s="6" t="s">
        <v>3292</v>
      </c>
      <c r="AD51" s="6" t="s">
        <v>75</v>
      </c>
      <c r="AE51" s="6" t="s">
        <v>3235</v>
      </c>
      <c r="AF51" s="6"/>
      <c r="AG51" s="6" t="s">
        <v>3693</v>
      </c>
      <c r="AH51" s="6" t="s">
        <v>79</v>
      </c>
    </row>
    <row r="52" spans="1:34" x14ac:dyDescent="0.25">
      <c r="A52" s="6" t="s">
        <v>264</v>
      </c>
      <c r="B52" s="6" t="s">
        <v>265</v>
      </c>
      <c r="C52" s="6" t="s">
        <v>266</v>
      </c>
      <c r="D52" s="6" t="s">
        <v>267</v>
      </c>
      <c r="E52" s="6" t="s">
        <v>3309</v>
      </c>
      <c r="F52" s="6" t="s">
        <v>3214</v>
      </c>
      <c r="G52" s="6" t="s">
        <v>215</v>
      </c>
      <c r="H52" s="6" t="s">
        <v>73</v>
      </c>
      <c r="I52" s="6" t="s">
        <v>74</v>
      </c>
      <c r="J52" s="6" t="s">
        <v>3694</v>
      </c>
      <c r="K52" s="6" t="s">
        <v>3159</v>
      </c>
      <c r="L52" s="6" t="s">
        <v>3188</v>
      </c>
      <c r="M52" s="6" t="s">
        <v>75</v>
      </c>
      <c r="N52" s="6" t="s">
        <v>3243</v>
      </c>
      <c r="O52" s="6" t="s">
        <v>3243</v>
      </c>
      <c r="P52" s="6" t="s">
        <v>3608</v>
      </c>
      <c r="Q52" s="6"/>
      <c r="R52" s="6" t="s">
        <v>3695</v>
      </c>
      <c r="S52" s="6" t="s">
        <v>23</v>
      </c>
      <c r="T52" s="6" t="s">
        <v>3696</v>
      </c>
      <c r="U52" s="6" t="s">
        <v>3275</v>
      </c>
      <c r="V52" s="6" t="s">
        <v>3697</v>
      </c>
      <c r="W52" s="6" t="s">
        <v>3489</v>
      </c>
      <c r="X52" s="6" t="s">
        <v>77</v>
      </c>
      <c r="Y52" s="6" t="s">
        <v>3141</v>
      </c>
      <c r="Z52" s="6" t="s">
        <v>93</v>
      </c>
      <c r="AA52" s="6" t="s">
        <v>3698</v>
      </c>
      <c r="AB52" s="6"/>
      <c r="AC52" s="6" t="s">
        <v>3141</v>
      </c>
      <c r="AD52" s="6" t="s">
        <v>3143</v>
      </c>
      <c r="AE52" s="6" t="s">
        <v>3153</v>
      </c>
      <c r="AF52" s="6" t="s">
        <v>3699</v>
      </c>
      <c r="AG52" s="6" t="s">
        <v>3700</v>
      </c>
      <c r="AH52" s="6" t="s">
        <v>3494</v>
      </c>
    </row>
    <row r="53" spans="1:34" x14ac:dyDescent="0.25">
      <c r="A53" s="6" t="s">
        <v>268</v>
      </c>
      <c r="B53" s="6" t="s">
        <v>269</v>
      </c>
      <c r="C53" s="6" t="s">
        <v>3701</v>
      </c>
      <c r="D53" s="6" t="s">
        <v>3702</v>
      </c>
      <c r="E53" s="6" t="s">
        <v>3703</v>
      </c>
      <c r="F53" s="6" t="s">
        <v>3227</v>
      </c>
      <c r="G53" s="6" t="s">
        <v>3704</v>
      </c>
      <c r="H53" s="6" t="s">
        <v>84</v>
      </c>
      <c r="I53" s="6" t="s">
        <v>74</v>
      </c>
      <c r="J53" s="6" t="s">
        <v>3705</v>
      </c>
      <c r="K53" s="6" t="s">
        <v>3159</v>
      </c>
      <c r="L53" s="6" t="s">
        <v>3173</v>
      </c>
      <c r="M53" s="6" t="s">
        <v>3141</v>
      </c>
      <c r="N53" s="6" t="s">
        <v>3143</v>
      </c>
      <c r="O53" s="6" t="s">
        <v>75</v>
      </c>
      <c r="P53" s="6" t="s">
        <v>3706</v>
      </c>
      <c r="Q53" s="6"/>
      <c r="R53" s="6" t="s">
        <v>3707</v>
      </c>
      <c r="S53" s="6" t="s">
        <v>23</v>
      </c>
      <c r="T53" s="6"/>
      <c r="U53" s="6" t="s">
        <v>3141</v>
      </c>
      <c r="V53" s="6" t="s">
        <v>3708</v>
      </c>
      <c r="W53" s="6" t="s">
        <v>3180</v>
      </c>
      <c r="X53" s="6" t="s">
        <v>85</v>
      </c>
      <c r="Y53" s="6" t="s">
        <v>3292</v>
      </c>
      <c r="Z53" s="6" t="s">
        <v>3664</v>
      </c>
      <c r="AA53" s="6" t="s">
        <v>3683</v>
      </c>
      <c r="AB53" s="6"/>
      <c r="AC53" s="6" t="s">
        <v>3141</v>
      </c>
      <c r="AD53" s="6" t="s">
        <v>3143</v>
      </c>
      <c r="AE53" s="6" t="s">
        <v>3513</v>
      </c>
      <c r="AF53" s="6" t="s">
        <v>3709</v>
      </c>
      <c r="AG53" s="6" t="s">
        <v>3710</v>
      </c>
      <c r="AH53" s="6" t="s">
        <v>79</v>
      </c>
    </row>
    <row r="54" spans="1:34" x14ac:dyDescent="0.25">
      <c r="A54" s="6" t="s">
        <v>271</v>
      </c>
      <c r="B54" s="6" t="s">
        <v>272</v>
      </c>
      <c r="C54" s="6" t="s">
        <v>3711</v>
      </c>
      <c r="D54" s="6" t="s">
        <v>273</v>
      </c>
      <c r="E54" s="6"/>
      <c r="F54" s="6" t="s">
        <v>3201</v>
      </c>
      <c r="G54" s="6" t="s">
        <v>3712</v>
      </c>
      <c r="H54" s="6" t="s">
        <v>144</v>
      </c>
      <c r="I54" s="6" t="s">
        <v>92</v>
      </c>
      <c r="J54" s="6" t="s">
        <v>3713</v>
      </c>
      <c r="K54" s="6" t="s">
        <v>3159</v>
      </c>
      <c r="L54" s="6" t="s">
        <v>3152</v>
      </c>
      <c r="M54" s="6" t="s">
        <v>3159</v>
      </c>
      <c r="N54" s="6" t="s">
        <v>3243</v>
      </c>
      <c r="O54" s="6" t="s">
        <v>3152</v>
      </c>
      <c r="P54" s="6" t="s">
        <v>3714</v>
      </c>
      <c r="Q54" s="6" t="s">
        <v>3715</v>
      </c>
      <c r="R54" s="6" t="s">
        <v>3716</v>
      </c>
      <c r="S54" s="6" t="s">
        <v>23</v>
      </c>
      <c r="T54" s="6"/>
      <c r="U54" s="6" t="s">
        <v>3141</v>
      </c>
      <c r="V54" s="6" t="s">
        <v>3717</v>
      </c>
      <c r="W54" s="6" t="s">
        <v>3342</v>
      </c>
      <c r="X54" s="6" t="s">
        <v>77</v>
      </c>
      <c r="Y54" s="6" t="s">
        <v>3159</v>
      </c>
      <c r="Z54" s="6" t="s">
        <v>78</v>
      </c>
      <c r="AA54" s="6" t="s">
        <v>3718</v>
      </c>
      <c r="AB54" s="6"/>
      <c r="AC54" s="6" t="s">
        <v>3141</v>
      </c>
      <c r="AD54" s="6" t="s">
        <v>3160</v>
      </c>
      <c r="AE54" s="6" t="s">
        <v>3513</v>
      </c>
      <c r="AF54" s="6" t="s">
        <v>3719</v>
      </c>
      <c r="AG54" s="6" t="s">
        <v>3720</v>
      </c>
      <c r="AH54" s="6" t="s">
        <v>79</v>
      </c>
    </row>
    <row r="55" spans="1:34" x14ac:dyDescent="0.25">
      <c r="A55" s="6" t="s">
        <v>274</v>
      </c>
      <c r="B55" s="6" t="s">
        <v>275</v>
      </c>
      <c r="C55" s="6"/>
      <c r="D55" s="6" t="s">
        <v>3721</v>
      </c>
      <c r="E55" s="6" t="s">
        <v>3722</v>
      </c>
      <c r="F55" s="6" t="s">
        <v>3358</v>
      </c>
      <c r="G55" s="6" t="s">
        <v>139</v>
      </c>
      <c r="H55" s="6" t="s">
        <v>91</v>
      </c>
      <c r="I55" s="6" t="s">
        <v>92</v>
      </c>
      <c r="J55" s="6" t="s">
        <v>3723</v>
      </c>
      <c r="K55" s="6" t="s">
        <v>3159</v>
      </c>
      <c r="L55" s="6" t="s">
        <v>3159</v>
      </c>
      <c r="M55" s="6" t="s">
        <v>3243</v>
      </c>
      <c r="N55" s="6" t="s">
        <v>3160</v>
      </c>
      <c r="O55" s="6" t="s">
        <v>3143</v>
      </c>
      <c r="P55" s="6" t="s">
        <v>3724</v>
      </c>
      <c r="Q55" s="6" t="s">
        <v>3725</v>
      </c>
      <c r="R55" s="6" t="s">
        <v>3726</v>
      </c>
      <c r="S55" s="6" t="s">
        <v>21</v>
      </c>
      <c r="T55" s="6" t="s">
        <v>3727</v>
      </c>
      <c r="U55" s="6" t="s">
        <v>3192</v>
      </c>
      <c r="V55" s="6" t="s">
        <v>3728</v>
      </c>
      <c r="W55" s="6" t="s">
        <v>3729</v>
      </c>
      <c r="X55" s="6" t="s">
        <v>77</v>
      </c>
      <c r="Y55" s="6" t="s">
        <v>3159</v>
      </c>
      <c r="Z55" s="6" t="s">
        <v>78</v>
      </c>
      <c r="AA55" s="6" t="s">
        <v>3730</v>
      </c>
      <c r="AB55" s="6"/>
      <c r="AC55" s="6" t="s">
        <v>3141</v>
      </c>
      <c r="AD55" s="6" t="s">
        <v>3152</v>
      </c>
      <c r="AE55" s="6" t="s">
        <v>3293</v>
      </c>
      <c r="AF55" s="6"/>
      <c r="AG55" s="6" t="s">
        <v>3731</v>
      </c>
      <c r="AH55" s="6" t="s">
        <v>79</v>
      </c>
    </row>
    <row r="56" spans="1:34" x14ac:dyDescent="0.25">
      <c r="A56" s="6" t="s">
        <v>277</v>
      </c>
      <c r="B56" s="6" t="s">
        <v>278</v>
      </c>
      <c r="C56" s="6" t="s">
        <v>3732</v>
      </c>
      <c r="D56" s="6" t="s">
        <v>3733</v>
      </c>
      <c r="E56" s="6" t="s">
        <v>3420</v>
      </c>
      <c r="F56" s="6" t="s">
        <v>3358</v>
      </c>
      <c r="G56" s="6" t="s">
        <v>72</v>
      </c>
      <c r="H56" s="6" t="s">
        <v>99</v>
      </c>
      <c r="I56" s="6" t="s">
        <v>74</v>
      </c>
      <c r="J56" s="6" t="s">
        <v>3734</v>
      </c>
      <c r="K56" s="6" t="s">
        <v>3292</v>
      </c>
      <c r="L56" s="6" t="s">
        <v>3141</v>
      </c>
      <c r="M56" s="6" t="s">
        <v>3142</v>
      </c>
      <c r="N56" s="6" t="s">
        <v>3173</v>
      </c>
      <c r="O56" s="6" t="s">
        <v>3173</v>
      </c>
      <c r="P56" s="6" t="s">
        <v>3735</v>
      </c>
      <c r="Q56" s="6" t="s">
        <v>3736</v>
      </c>
      <c r="R56" s="6" t="s">
        <v>3737</v>
      </c>
      <c r="S56" s="6" t="s">
        <v>21</v>
      </c>
      <c r="T56" s="6" t="s">
        <v>3738</v>
      </c>
      <c r="U56" s="6" t="s">
        <v>3275</v>
      </c>
      <c r="V56" s="6" t="s">
        <v>3697</v>
      </c>
      <c r="W56" s="6" t="s">
        <v>3150</v>
      </c>
      <c r="X56" s="6" t="s">
        <v>85</v>
      </c>
      <c r="Y56" s="6" t="s">
        <v>3141</v>
      </c>
      <c r="Z56" s="6" t="s">
        <v>194</v>
      </c>
      <c r="AA56" s="6" t="s">
        <v>3354</v>
      </c>
      <c r="AB56" s="6"/>
      <c r="AC56" s="6" t="s">
        <v>3159</v>
      </c>
      <c r="AD56" s="6" t="s">
        <v>3141</v>
      </c>
      <c r="AE56" s="6" t="s">
        <v>3235</v>
      </c>
      <c r="AF56" s="6"/>
      <c r="AG56" s="6" t="s">
        <v>3739</v>
      </c>
      <c r="AH56" s="6" t="s">
        <v>94</v>
      </c>
    </row>
    <row r="57" spans="1:34" x14ac:dyDescent="0.25">
      <c r="A57" s="6" t="s">
        <v>280</v>
      </c>
      <c r="B57" s="6" t="s">
        <v>281</v>
      </c>
      <c r="C57" s="6"/>
      <c r="D57" s="6" t="s">
        <v>3740</v>
      </c>
      <c r="E57" s="6" t="s">
        <v>3636</v>
      </c>
      <c r="F57" s="6" t="s">
        <v>71</v>
      </c>
      <c r="G57" s="6" t="s">
        <v>127</v>
      </c>
      <c r="H57" s="6" t="s">
        <v>73</v>
      </c>
      <c r="I57" s="6" t="s">
        <v>74</v>
      </c>
      <c r="J57" s="6" t="s">
        <v>3741</v>
      </c>
      <c r="K57" s="6" t="s">
        <v>3141</v>
      </c>
      <c r="L57" s="6" t="s">
        <v>75</v>
      </c>
      <c r="M57" s="6" t="s">
        <v>3143</v>
      </c>
      <c r="N57" s="6" t="s">
        <v>75</v>
      </c>
      <c r="O57" s="6" t="s">
        <v>3152</v>
      </c>
      <c r="P57" s="6" t="s">
        <v>3742</v>
      </c>
      <c r="Q57" s="6" t="s">
        <v>3743</v>
      </c>
      <c r="R57" s="6" t="s">
        <v>3744</v>
      </c>
      <c r="S57" s="6" t="s">
        <v>3219</v>
      </c>
      <c r="T57" s="6" t="s">
        <v>3745</v>
      </c>
      <c r="U57" s="6" t="s">
        <v>3192</v>
      </c>
      <c r="V57" s="6" t="s">
        <v>3746</v>
      </c>
      <c r="W57" s="6" t="s">
        <v>3180</v>
      </c>
      <c r="X57" s="6" t="s">
        <v>85</v>
      </c>
      <c r="Y57" s="6" t="s">
        <v>3141</v>
      </c>
      <c r="Z57" s="6" t="s">
        <v>93</v>
      </c>
      <c r="AA57" s="6" t="s">
        <v>3747</v>
      </c>
      <c r="AB57" s="6"/>
      <c r="AC57" s="6" t="s">
        <v>3159</v>
      </c>
      <c r="AD57" s="6" t="s">
        <v>3143</v>
      </c>
      <c r="AE57" s="6" t="s">
        <v>3136</v>
      </c>
      <c r="AF57" s="6"/>
      <c r="AG57" s="6" t="s">
        <v>3748</v>
      </c>
      <c r="AH57" s="6" t="s">
        <v>3334</v>
      </c>
    </row>
    <row r="58" spans="1:34" x14ac:dyDescent="0.25">
      <c r="A58" s="6" t="s">
        <v>283</v>
      </c>
      <c r="B58" s="6" t="s">
        <v>284</v>
      </c>
      <c r="C58" s="6" t="s">
        <v>285</v>
      </c>
      <c r="D58" s="6" t="s">
        <v>286</v>
      </c>
      <c r="E58" s="6"/>
      <c r="F58" s="6" t="s">
        <v>3283</v>
      </c>
      <c r="G58" s="6" t="s">
        <v>72</v>
      </c>
      <c r="H58" s="6" t="s">
        <v>103</v>
      </c>
      <c r="I58" s="6" t="s">
        <v>74</v>
      </c>
      <c r="J58" s="6" t="s">
        <v>3749</v>
      </c>
      <c r="K58" s="6" t="s">
        <v>3141</v>
      </c>
      <c r="L58" s="6" t="s">
        <v>3143</v>
      </c>
      <c r="M58" s="6" t="s">
        <v>3143</v>
      </c>
      <c r="N58" s="6" t="s">
        <v>3141</v>
      </c>
      <c r="O58" s="6" t="s">
        <v>3243</v>
      </c>
      <c r="P58" s="6" t="s">
        <v>3750</v>
      </c>
      <c r="Q58" s="6" t="s">
        <v>3751</v>
      </c>
      <c r="R58" s="6" t="s">
        <v>3752</v>
      </c>
      <c r="S58" s="6" t="s">
        <v>22</v>
      </c>
      <c r="T58" s="6" t="s">
        <v>3753</v>
      </c>
      <c r="U58" s="6" t="s">
        <v>3192</v>
      </c>
      <c r="V58" s="6" t="s">
        <v>3754</v>
      </c>
      <c r="W58" s="6" t="s">
        <v>3755</v>
      </c>
      <c r="X58" s="6" t="s">
        <v>77</v>
      </c>
      <c r="Y58" s="6" t="s">
        <v>3292</v>
      </c>
      <c r="Z58" s="6" t="s">
        <v>3756</v>
      </c>
      <c r="AA58" s="6" t="s">
        <v>3757</v>
      </c>
      <c r="AB58" s="6" t="s">
        <v>3758</v>
      </c>
      <c r="AC58" s="6" t="s">
        <v>3292</v>
      </c>
      <c r="AD58" s="6" t="s">
        <v>3160</v>
      </c>
      <c r="AE58" s="6" t="s">
        <v>3279</v>
      </c>
      <c r="AF58" s="6" t="s">
        <v>3759</v>
      </c>
      <c r="AG58" s="6"/>
      <c r="AH58" s="6" t="s">
        <v>94</v>
      </c>
    </row>
    <row r="59" spans="1:34" x14ac:dyDescent="0.25">
      <c r="A59" s="6" t="s">
        <v>287</v>
      </c>
      <c r="B59" s="6" t="s">
        <v>288</v>
      </c>
      <c r="C59" s="6"/>
      <c r="D59" s="6" t="s">
        <v>289</v>
      </c>
      <c r="E59" s="6" t="s">
        <v>3760</v>
      </c>
      <c r="F59" s="6" t="s">
        <v>71</v>
      </c>
      <c r="G59" s="6" t="s">
        <v>3761</v>
      </c>
      <c r="H59" s="6" t="s">
        <v>84</v>
      </c>
      <c r="I59" s="6" t="s">
        <v>74</v>
      </c>
      <c r="J59" s="6"/>
      <c r="K59" s="6" t="s">
        <v>3141</v>
      </c>
      <c r="L59" s="6" t="s">
        <v>3152</v>
      </c>
      <c r="M59" s="6" t="s">
        <v>3141</v>
      </c>
      <c r="N59" s="6" t="s">
        <v>3243</v>
      </c>
      <c r="O59" s="6" t="s">
        <v>3243</v>
      </c>
      <c r="P59" s="6" t="s">
        <v>3762</v>
      </c>
      <c r="Q59" s="6" t="s">
        <v>3763</v>
      </c>
      <c r="R59" s="6" t="s">
        <v>3764</v>
      </c>
      <c r="S59" s="6" t="s">
        <v>21</v>
      </c>
      <c r="T59" s="6" t="s">
        <v>3765</v>
      </c>
      <c r="U59" s="6" t="s">
        <v>3141</v>
      </c>
      <c r="V59" s="6" t="s">
        <v>3766</v>
      </c>
      <c r="W59" s="6" t="s">
        <v>3767</v>
      </c>
      <c r="X59" s="6" t="s">
        <v>85</v>
      </c>
      <c r="Y59" s="6" t="s">
        <v>3141</v>
      </c>
      <c r="Z59" s="6" t="s">
        <v>93</v>
      </c>
      <c r="AA59" s="6" t="s">
        <v>3439</v>
      </c>
      <c r="AB59" s="6" t="s">
        <v>3768</v>
      </c>
      <c r="AC59" s="6" t="s">
        <v>3141</v>
      </c>
      <c r="AD59" s="6" t="s">
        <v>3243</v>
      </c>
      <c r="AE59" s="6" t="s">
        <v>3323</v>
      </c>
      <c r="AF59" s="6"/>
      <c r="AG59" s="6"/>
      <c r="AH59" s="6" t="s">
        <v>79</v>
      </c>
    </row>
    <row r="60" spans="1:34" x14ac:dyDescent="0.25">
      <c r="A60" s="6" t="s">
        <v>290</v>
      </c>
      <c r="B60" s="6" t="s">
        <v>291</v>
      </c>
      <c r="C60" s="6" t="s">
        <v>3769</v>
      </c>
      <c r="D60" s="6" t="s">
        <v>292</v>
      </c>
      <c r="E60" s="6" t="s">
        <v>3346</v>
      </c>
      <c r="F60" s="6" t="s">
        <v>3227</v>
      </c>
      <c r="G60" s="6" t="s">
        <v>72</v>
      </c>
      <c r="H60" s="6" t="s">
        <v>91</v>
      </c>
      <c r="I60" s="6" t="s">
        <v>92</v>
      </c>
      <c r="J60" s="6" t="s">
        <v>3770</v>
      </c>
      <c r="K60" s="6" t="s">
        <v>3292</v>
      </c>
      <c r="L60" s="6" t="s">
        <v>3173</v>
      </c>
      <c r="M60" s="6" t="s">
        <v>3196</v>
      </c>
      <c r="N60" s="6" t="s">
        <v>76</v>
      </c>
      <c r="O60" s="6" t="s">
        <v>3152</v>
      </c>
      <c r="P60" s="6" t="s">
        <v>3771</v>
      </c>
      <c r="Q60" s="6" t="s">
        <v>3772</v>
      </c>
      <c r="R60" s="6" t="s">
        <v>3773</v>
      </c>
      <c r="S60" s="6" t="s">
        <v>3412</v>
      </c>
      <c r="T60" s="6" t="s">
        <v>3774</v>
      </c>
      <c r="U60" s="6" t="s">
        <v>3275</v>
      </c>
      <c r="V60" s="6" t="s">
        <v>3775</v>
      </c>
      <c r="W60" s="6" t="s">
        <v>3776</v>
      </c>
      <c r="X60" s="6" t="s">
        <v>77</v>
      </c>
      <c r="Y60" s="6" t="s">
        <v>3292</v>
      </c>
      <c r="Z60" s="6" t="s">
        <v>93</v>
      </c>
      <c r="AA60" s="6" t="s">
        <v>3777</v>
      </c>
      <c r="AB60" s="6"/>
      <c r="AC60" s="6" t="s">
        <v>3141</v>
      </c>
      <c r="AD60" s="6" t="s">
        <v>3152</v>
      </c>
      <c r="AE60" s="6" t="s">
        <v>3279</v>
      </c>
      <c r="AF60" s="6"/>
      <c r="AG60" s="6" t="s">
        <v>3778</v>
      </c>
      <c r="AH60" s="6" t="s">
        <v>79</v>
      </c>
    </row>
    <row r="61" spans="1:34" x14ac:dyDescent="0.25">
      <c r="A61" s="6" t="s">
        <v>293</v>
      </c>
      <c r="B61" s="6" t="s">
        <v>294</v>
      </c>
      <c r="C61" s="6" t="s">
        <v>295</v>
      </c>
      <c r="D61" s="6"/>
      <c r="E61" s="6" t="s">
        <v>3388</v>
      </c>
      <c r="F61" s="6" t="s">
        <v>71</v>
      </c>
      <c r="G61" s="6" t="s">
        <v>115</v>
      </c>
      <c r="H61" s="6" t="s">
        <v>84</v>
      </c>
      <c r="I61" s="6" t="s">
        <v>74</v>
      </c>
      <c r="J61" s="6"/>
      <c r="K61" s="6" t="s">
        <v>3159</v>
      </c>
      <c r="L61" s="6" t="s">
        <v>3143</v>
      </c>
      <c r="M61" s="6" t="s">
        <v>3141</v>
      </c>
      <c r="N61" s="6" t="s">
        <v>3196</v>
      </c>
      <c r="O61" s="6" t="s">
        <v>3243</v>
      </c>
      <c r="P61" s="6" t="s">
        <v>3779</v>
      </c>
      <c r="Q61" s="6"/>
      <c r="R61" s="6" t="s">
        <v>3780</v>
      </c>
      <c r="S61" s="6" t="s">
        <v>21</v>
      </c>
      <c r="T61" s="6" t="s">
        <v>3781</v>
      </c>
      <c r="U61" s="6" t="s">
        <v>3159</v>
      </c>
      <c r="V61" s="6" t="s">
        <v>3782</v>
      </c>
      <c r="W61" s="6" t="s">
        <v>3404</v>
      </c>
      <c r="X61" s="6" t="s">
        <v>85</v>
      </c>
      <c r="Y61" s="6" t="s">
        <v>3159</v>
      </c>
      <c r="Z61" s="6" t="s">
        <v>78</v>
      </c>
      <c r="AA61" s="6" t="s">
        <v>3783</v>
      </c>
      <c r="AB61" s="6"/>
      <c r="AC61" s="6" t="s">
        <v>3159</v>
      </c>
      <c r="AD61" s="6" t="s">
        <v>3152</v>
      </c>
      <c r="AE61" s="6" t="s">
        <v>3293</v>
      </c>
      <c r="AF61" s="6"/>
      <c r="AG61" s="6" t="s">
        <v>3784</v>
      </c>
      <c r="AH61" s="6" t="s">
        <v>79</v>
      </c>
    </row>
    <row r="62" spans="1:34" x14ac:dyDescent="0.25">
      <c r="A62" s="6" t="s">
        <v>296</v>
      </c>
      <c r="B62" s="6" t="s">
        <v>297</v>
      </c>
      <c r="C62" s="6" t="s">
        <v>3785</v>
      </c>
      <c r="D62" s="6" t="s">
        <v>298</v>
      </c>
      <c r="E62" s="6" t="s">
        <v>3786</v>
      </c>
      <c r="F62" s="6" t="s">
        <v>3214</v>
      </c>
      <c r="G62" s="6" t="s">
        <v>226</v>
      </c>
      <c r="H62" s="6" t="s">
        <v>132</v>
      </c>
      <c r="I62" s="6" t="s">
        <v>92</v>
      </c>
      <c r="J62" s="6" t="s">
        <v>3787</v>
      </c>
      <c r="K62" s="6" t="s">
        <v>3141</v>
      </c>
      <c r="L62" s="6" t="s">
        <v>3152</v>
      </c>
      <c r="M62" s="6" t="s">
        <v>3243</v>
      </c>
      <c r="N62" s="6" t="s">
        <v>3143</v>
      </c>
      <c r="O62" s="6" t="s">
        <v>3152</v>
      </c>
      <c r="P62" s="6" t="s">
        <v>3788</v>
      </c>
      <c r="Q62" s="6" t="s">
        <v>3789</v>
      </c>
      <c r="R62" s="6" t="s">
        <v>3790</v>
      </c>
      <c r="S62" s="6" t="s">
        <v>21</v>
      </c>
      <c r="T62" s="6"/>
      <c r="U62" s="6" t="s">
        <v>3159</v>
      </c>
      <c r="V62" s="6" t="s">
        <v>3791</v>
      </c>
      <c r="W62" s="6" t="s">
        <v>3792</v>
      </c>
      <c r="X62" s="6" t="s">
        <v>85</v>
      </c>
      <c r="Y62" s="6" t="s">
        <v>3159</v>
      </c>
      <c r="Z62" s="6" t="s">
        <v>78</v>
      </c>
      <c r="AA62" s="6" t="s">
        <v>3793</v>
      </c>
      <c r="AB62" s="6" t="s">
        <v>3794</v>
      </c>
      <c r="AC62" s="6" t="s">
        <v>3292</v>
      </c>
      <c r="AD62" s="6" t="s">
        <v>3152</v>
      </c>
      <c r="AE62" s="6" t="s">
        <v>3136</v>
      </c>
      <c r="AF62" s="6"/>
      <c r="AG62" s="6" t="s">
        <v>3795</v>
      </c>
      <c r="AH62" s="6" t="s">
        <v>79</v>
      </c>
    </row>
    <row r="63" spans="1:34" x14ac:dyDescent="0.25">
      <c r="A63" s="6" t="s">
        <v>299</v>
      </c>
      <c r="B63" s="6" t="s">
        <v>300</v>
      </c>
      <c r="C63" s="6" t="s">
        <v>3796</v>
      </c>
      <c r="D63" s="6" t="s">
        <v>3797</v>
      </c>
      <c r="E63" s="6" t="s">
        <v>3760</v>
      </c>
      <c r="F63" s="6" t="s">
        <v>3283</v>
      </c>
      <c r="G63" s="6" t="s">
        <v>143</v>
      </c>
      <c r="H63" s="6" t="s">
        <v>166</v>
      </c>
      <c r="I63" s="6" t="s">
        <v>74</v>
      </c>
      <c r="J63" s="6"/>
      <c r="K63" s="6" t="s">
        <v>3159</v>
      </c>
      <c r="L63" s="6" t="s">
        <v>3243</v>
      </c>
      <c r="M63" s="6" t="s">
        <v>3142</v>
      </c>
      <c r="N63" s="6" t="s">
        <v>3160</v>
      </c>
      <c r="O63" s="6" t="s">
        <v>3152</v>
      </c>
      <c r="P63" s="6" t="s">
        <v>3688</v>
      </c>
      <c r="Q63" s="6" t="s">
        <v>3798</v>
      </c>
      <c r="R63" s="6" t="s">
        <v>3799</v>
      </c>
      <c r="S63" s="6" t="s">
        <v>22</v>
      </c>
      <c r="T63" s="6" t="s">
        <v>3800</v>
      </c>
      <c r="U63" s="6" t="s">
        <v>3140</v>
      </c>
      <c r="V63" s="6" t="s">
        <v>3801</v>
      </c>
      <c r="W63" s="6" t="s">
        <v>3802</v>
      </c>
      <c r="X63" s="6" t="s">
        <v>85</v>
      </c>
      <c r="Y63" s="6" t="s">
        <v>3141</v>
      </c>
      <c r="Z63" s="6" t="s">
        <v>93</v>
      </c>
      <c r="AA63" s="6" t="s">
        <v>3249</v>
      </c>
      <c r="AB63" s="6"/>
      <c r="AC63" s="6" t="s">
        <v>3141</v>
      </c>
      <c r="AD63" s="6" t="s">
        <v>75</v>
      </c>
      <c r="AE63" s="6" t="s">
        <v>3622</v>
      </c>
      <c r="AF63" s="6" t="s">
        <v>3803</v>
      </c>
      <c r="AG63" s="6" t="s">
        <v>3804</v>
      </c>
      <c r="AH63" s="6" t="s">
        <v>79</v>
      </c>
    </row>
    <row r="64" spans="1:34" x14ac:dyDescent="0.25">
      <c r="A64" s="6" t="s">
        <v>302</v>
      </c>
      <c r="B64" s="6" t="s">
        <v>303</v>
      </c>
      <c r="C64" s="6" t="s">
        <v>304</v>
      </c>
      <c r="D64" s="6" t="s">
        <v>305</v>
      </c>
      <c r="E64" s="6" t="s">
        <v>3626</v>
      </c>
      <c r="F64" s="6" t="s">
        <v>3201</v>
      </c>
      <c r="G64" s="6" t="s">
        <v>143</v>
      </c>
      <c r="H64" s="6" t="s">
        <v>103</v>
      </c>
      <c r="I64" s="6" t="s">
        <v>74</v>
      </c>
      <c r="J64" s="6" t="s">
        <v>3805</v>
      </c>
      <c r="K64" s="6" t="s">
        <v>3159</v>
      </c>
      <c r="L64" s="6" t="s">
        <v>3243</v>
      </c>
      <c r="M64" s="6" t="s">
        <v>3160</v>
      </c>
      <c r="N64" s="6" t="s">
        <v>3188</v>
      </c>
      <c r="O64" s="6" t="s">
        <v>3141</v>
      </c>
      <c r="P64" s="6" t="s">
        <v>3806</v>
      </c>
      <c r="Q64" s="6" t="s">
        <v>3807</v>
      </c>
      <c r="R64" s="6" t="s">
        <v>3808</v>
      </c>
      <c r="S64" s="6" t="s">
        <v>3412</v>
      </c>
      <c r="T64" s="6" t="s">
        <v>3809</v>
      </c>
      <c r="U64" s="6" t="s">
        <v>3192</v>
      </c>
      <c r="V64" s="6" t="s">
        <v>3810</v>
      </c>
      <c r="W64" s="6" t="s">
        <v>3811</v>
      </c>
      <c r="X64" s="6" t="s">
        <v>161</v>
      </c>
      <c r="Y64" s="6" t="s">
        <v>3159</v>
      </c>
      <c r="Z64" s="6" t="s">
        <v>93</v>
      </c>
      <c r="AA64" s="6" t="s">
        <v>3812</v>
      </c>
      <c r="AB64" s="6"/>
      <c r="AC64" s="6" t="s">
        <v>3140</v>
      </c>
      <c r="AD64" s="6" t="s">
        <v>75</v>
      </c>
      <c r="AE64" s="6" t="s">
        <v>3293</v>
      </c>
      <c r="AF64" s="6"/>
      <c r="AG64" s="6" t="s">
        <v>3813</v>
      </c>
      <c r="AH64" s="6" t="s">
        <v>79</v>
      </c>
    </row>
    <row r="65" spans="1:34" x14ac:dyDescent="0.25">
      <c r="A65" s="6" t="s">
        <v>306</v>
      </c>
      <c r="B65" s="6" t="s">
        <v>307</v>
      </c>
      <c r="C65" s="6"/>
      <c r="D65" s="6" t="s">
        <v>308</v>
      </c>
      <c r="E65" s="6" t="s">
        <v>3309</v>
      </c>
      <c r="F65" s="6" t="s">
        <v>3283</v>
      </c>
      <c r="G65" s="6" t="s">
        <v>72</v>
      </c>
      <c r="H65" s="6" t="s">
        <v>144</v>
      </c>
      <c r="I65" s="6" t="s">
        <v>92</v>
      </c>
      <c r="J65" s="6"/>
      <c r="K65" s="6" t="s">
        <v>3159</v>
      </c>
      <c r="L65" s="6" t="s">
        <v>3159</v>
      </c>
      <c r="M65" s="6" t="s">
        <v>75</v>
      </c>
      <c r="N65" s="6" t="s">
        <v>3143</v>
      </c>
      <c r="O65" s="6" t="s">
        <v>3143</v>
      </c>
      <c r="P65" s="6" t="s">
        <v>3814</v>
      </c>
      <c r="Q65" s="6" t="s">
        <v>3815</v>
      </c>
      <c r="R65" s="6" t="s">
        <v>3816</v>
      </c>
      <c r="S65" s="6" t="s">
        <v>22</v>
      </c>
      <c r="T65" s="6" t="s">
        <v>3817</v>
      </c>
      <c r="U65" s="6" t="s">
        <v>3159</v>
      </c>
      <c r="V65" s="6" t="s">
        <v>3818</v>
      </c>
      <c r="W65" s="6" t="s">
        <v>3448</v>
      </c>
      <c r="X65" s="6" t="s">
        <v>77</v>
      </c>
      <c r="Y65" s="6" t="s">
        <v>3292</v>
      </c>
      <c r="Z65" s="6" t="s">
        <v>93</v>
      </c>
      <c r="AA65" s="6" t="s">
        <v>3819</v>
      </c>
      <c r="AB65" s="6" t="s">
        <v>3820</v>
      </c>
      <c r="AC65" s="6" t="s">
        <v>3141</v>
      </c>
      <c r="AD65" s="6" t="s">
        <v>75</v>
      </c>
      <c r="AE65" s="6" t="s">
        <v>3279</v>
      </c>
      <c r="AF65" s="6" t="s">
        <v>3821</v>
      </c>
      <c r="AG65" s="6" t="s">
        <v>3822</v>
      </c>
      <c r="AH65" s="6" t="s">
        <v>79</v>
      </c>
    </row>
    <row r="66" spans="1:34" x14ac:dyDescent="0.25">
      <c r="A66" s="6" t="s">
        <v>309</v>
      </c>
      <c r="B66" s="6" t="s">
        <v>193</v>
      </c>
      <c r="C66" s="6" t="s">
        <v>3823</v>
      </c>
      <c r="D66" s="6" t="s">
        <v>3824</v>
      </c>
      <c r="E66" s="6" t="s">
        <v>3213</v>
      </c>
      <c r="F66" s="6" t="s">
        <v>3358</v>
      </c>
      <c r="G66" s="6" t="s">
        <v>215</v>
      </c>
      <c r="H66" s="6" t="s">
        <v>103</v>
      </c>
      <c r="I66" s="6" t="s">
        <v>74</v>
      </c>
      <c r="J66" s="6"/>
      <c r="K66" s="6" t="s">
        <v>3140</v>
      </c>
      <c r="L66" s="6" t="s">
        <v>3173</v>
      </c>
      <c r="M66" s="6" t="s">
        <v>3173</v>
      </c>
      <c r="N66" s="6" t="s">
        <v>3152</v>
      </c>
      <c r="O66" s="6" t="s">
        <v>3160</v>
      </c>
      <c r="P66" s="6" t="s">
        <v>3825</v>
      </c>
      <c r="Q66" s="6" t="s">
        <v>3826</v>
      </c>
      <c r="R66" s="6" t="s">
        <v>3827</v>
      </c>
      <c r="S66" s="6" t="s">
        <v>22</v>
      </c>
      <c r="T66" s="6" t="s">
        <v>3828</v>
      </c>
      <c r="U66" s="6" t="s">
        <v>3159</v>
      </c>
      <c r="V66" s="6" t="s">
        <v>3829</v>
      </c>
      <c r="W66" s="6" t="s">
        <v>3166</v>
      </c>
      <c r="X66" s="6" t="s">
        <v>85</v>
      </c>
      <c r="Y66" s="6" t="s">
        <v>3192</v>
      </c>
      <c r="Z66" s="6" t="s">
        <v>93</v>
      </c>
      <c r="AA66" s="6" t="s">
        <v>3830</v>
      </c>
      <c r="AB66" s="6"/>
      <c r="AC66" s="6" t="s">
        <v>3141</v>
      </c>
      <c r="AD66" s="6" t="s">
        <v>75</v>
      </c>
      <c r="AE66" s="6" t="s">
        <v>3323</v>
      </c>
      <c r="AF66" s="6" t="s">
        <v>3831</v>
      </c>
      <c r="AG66" s="6" t="s">
        <v>3832</v>
      </c>
      <c r="AH66" s="6" t="s">
        <v>79</v>
      </c>
    </row>
    <row r="67" spans="1:34" x14ac:dyDescent="0.25">
      <c r="A67" s="6" t="s">
        <v>311</v>
      </c>
      <c r="B67" s="6" t="s">
        <v>312</v>
      </c>
      <c r="C67" s="6"/>
      <c r="D67" s="6" t="s">
        <v>3833</v>
      </c>
      <c r="E67" s="6" t="s">
        <v>3254</v>
      </c>
      <c r="F67" s="6" t="s">
        <v>89</v>
      </c>
      <c r="G67" s="6" t="s">
        <v>314</v>
      </c>
      <c r="H67" s="6" t="s">
        <v>3834</v>
      </c>
      <c r="I67" s="6" t="s">
        <v>74</v>
      </c>
      <c r="J67" s="6" t="s">
        <v>3835</v>
      </c>
      <c r="K67" s="6" t="s">
        <v>3159</v>
      </c>
      <c r="L67" s="6" t="s">
        <v>3141</v>
      </c>
      <c r="M67" s="6" t="s">
        <v>3196</v>
      </c>
      <c r="N67" s="6" t="s">
        <v>75</v>
      </c>
      <c r="O67" s="6" t="s">
        <v>3141</v>
      </c>
      <c r="P67" s="6" t="s">
        <v>3836</v>
      </c>
      <c r="Q67" s="6" t="s">
        <v>3217</v>
      </c>
      <c r="R67" s="6" t="s">
        <v>3837</v>
      </c>
      <c r="S67" s="6" t="s">
        <v>21</v>
      </c>
      <c r="T67" s="6" t="s">
        <v>3838</v>
      </c>
      <c r="U67" s="6" t="s">
        <v>3192</v>
      </c>
      <c r="V67" s="6" t="s">
        <v>3839</v>
      </c>
      <c r="W67" s="6" t="s">
        <v>3501</v>
      </c>
      <c r="X67" s="6" t="s">
        <v>77</v>
      </c>
      <c r="Y67" s="6" t="s">
        <v>3159</v>
      </c>
      <c r="Z67" s="6" t="s">
        <v>93</v>
      </c>
      <c r="AA67" s="6" t="s">
        <v>3250</v>
      </c>
      <c r="AB67" s="6" t="s">
        <v>3840</v>
      </c>
      <c r="AC67" s="6" t="s">
        <v>3141</v>
      </c>
      <c r="AD67" s="6" t="s">
        <v>3143</v>
      </c>
      <c r="AE67" s="6" t="s">
        <v>3323</v>
      </c>
      <c r="AF67" s="6"/>
      <c r="AG67" s="6" t="s">
        <v>3841</v>
      </c>
      <c r="AH67" s="6" t="s">
        <v>79</v>
      </c>
    </row>
    <row r="68" spans="1:34" x14ac:dyDescent="0.25">
      <c r="A68" s="6" t="s">
        <v>315</v>
      </c>
      <c r="B68" s="6" t="s">
        <v>316</v>
      </c>
      <c r="C68" s="6" t="s">
        <v>3842</v>
      </c>
      <c r="D68" s="6" t="s">
        <v>317</v>
      </c>
      <c r="E68" s="6" t="s">
        <v>3843</v>
      </c>
      <c r="F68" s="6" t="s">
        <v>71</v>
      </c>
      <c r="G68" s="6" t="s">
        <v>120</v>
      </c>
      <c r="H68" s="6" t="s">
        <v>166</v>
      </c>
      <c r="I68" s="6" t="s">
        <v>74</v>
      </c>
      <c r="J68" s="6" t="s">
        <v>3217</v>
      </c>
      <c r="K68" s="6" t="s">
        <v>3140</v>
      </c>
      <c r="L68" s="6" t="s">
        <v>3173</v>
      </c>
      <c r="M68" s="6" t="s">
        <v>3173</v>
      </c>
      <c r="N68" s="6" t="s">
        <v>3243</v>
      </c>
      <c r="O68" s="6" t="s">
        <v>3160</v>
      </c>
      <c r="P68" s="6" t="s">
        <v>3844</v>
      </c>
      <c r="Q68" s="6"/>
      <c r="R68" s="6" t="s">
        <v>3845</v>
      </c>
      <c r="S68" s="6" t="s">
        <v>20</v>
      </c>
      <c r="T68" s="6" t="s">
        <v>3217</v>
      </c>
      <c r="U68" s="6" t="s">
        <v>3141</v>
      </c>
      <c r="V68" s="6" t="s">
        <v>3846</v>
      </c>
      <c r="W68" s="6" t="s">
        <v>3847</v>
      </c>
      <c r="X68" s="6" t="s">
        <v>161</v>
      </c>
      <c r="Y68" s="6" t="s">
        <v>3140</v>
      </c>
      <c r="Z68" s="6" t="s">
        <v>78</v>
      </c>
      <c r="AA68" s="6" t="s">
        <v>3195</v>
      </c>
      <c r="AB68" s="6"/>
      <c r="AC68" s="6" t="s">
        <v>3141</v>
      </c>
      <c r="AD68" s="6" t="s">
        <v>3141</v>
      </c>
      <c r="AE68" s="6" t="s">
        <v>3136</v>
      </c>
      <c r="AF68" s="6"/>
      <c r="AG68" s="6" t="s">
        <v>3848</v>
      </c>
      <c r="AH68" s="6" t="s">
        <v>79</v>
      </c>
    </row>
    <row r="69" spans="1:34" x14ac:dyDescent="0.25">
      <c r="A69" s="6" t="s">
        <v>318</v>
      </c>
      <c r="B69" s="6" t="s">
        <v>319</v>
      </c>
      <c r="C69" s="6" t="s">
        <v>320</v>
      </c>
      <c r="D69" s="6" t="s">
        <v>321</v>
      </c>
      <c r="E69" s="6" t="s">
        <v>3185</v>
      </c>
      <c r="F69" s="6" t="s">
        <v>3137</v>
      </c>
      <c r="G69" s="6" t="s">
        <v>83</v>
      </c>
      <c r="H69" s="6" t="s">
        <v>99</v>
      </c>
      <c r="I69" s="6" t="s">
        <v>74</v>
      </c>
      <c r="J69" s="6"/>
      <c r="K69" s="6" t="s">
        <v>3292</v>
      </c>
      <c r="L69" s="6" t="s">
        <v>3143</v>
      </c>
      <c r="M69" s="6" t="s">
        <v>3188</v>
      </c>
      <c r="N69" s="6" t="s">
        <v>3142</v>
      </c>
      <c r="O69" s="6" t="s">
        <v>3142</v>
      </c>
      <c r="P69" s="6" t="s">
        <v>3474</v>
      </c>
      <c r="Q69" s="6" t="s">
        <v>3849</v>
      </c>
      <c r="R69" s="6" t="s">
        <v>3850</v>
      </c>
      <c r="S69" s="6" t="s">
        <v>23</v>
      </c>
      <c r="T69" s="6" t="s">
        <v>3851</v>
      </c>
      <c r="U69" s="6" t="s">
        <v>3141</v>
      </c>
      <c r="V69" s="6" t="s">
        <v>3852</v>
      </c>
      <c r="W69" s="6" t="s">
        <v>3853</v>
      </c>
      <c r="X69" s="6" t="s">
        <v>85</v>
      </c>
      <c r="Y69" s="6" t="s">
        <v>3141</v>
      </c>
      <c r="Z69" s="6" t="s">
        <v>93</v>
      </c>
      <c r="AA69" s="6" t="s">
        <v>3854</v>
      </c>
      <c r="AB69" s="6" t="s">
        <v>3855</v>
      </c>
      <c r="AC69" s="6" t="s">
        <v>3159</v>
      </c>
      <c r="AD69" s="6" t="s">
        <v>76</v>
      </c>
      <c r="AE69" s="6" t="s">
        <v>3513</v>
      </c>
      <c r="AF69" s="6" t="s">
        <v>3856</v>
      </c>
      <c r="AG69" s="6" t="s">
        <v>3857</v>
      </c>
      <c r="AH69" s="6" t="s">
        <v>79</v>
      </c>
    </row>
    <row r="70" spans="1:34" x14ac:dyDescent="0.25">
      <c r="A70" s="6" t="s">
        <v>322</v>
      </c>
      <c r="B70" s="6" t="s">
        <v>323</v>
      </c>
      <c r="C70" s="6"/>
      <c r="D70" s="6" t="s">
        <v>324</v>
      </c>
      <c r="E70" s="6" t="s">
        <v>3136</v>
      </c>
      <c r="F70" s="6" t="s">
        <v>3201</v>
      </c>
      <c r="G70" s="6" t="s">
        <v>153</v>
      </c>
      <c r="H70" s="6" t="s">
        <v>107</v>
      </c>
      <c r="I70" s="6" t="s">
        <v>92</v>
      </c>
      <c r="J70" s="6" t="s">
        <v>3217</v>
      </c>
      <c r="K70" s="6" t="s">
        <v>3140</v>
      </c>
      <c r="L70" s="6" t="s">
        <v>3188</v>
      </c>
      <c r="M70" s="6" t="s">
        <v>3160</v>
      </c>
      <c r="N70" s="6" t="s">
        <v>3143</v>
      </c>
      <c r="O70" s="6" t="s">
        <v>3173</v>
      </c>
      <c r="P70" s="6" t="s">
        <v>3161</v>
      </c>
      <c r="Q70" s="6"/>
      <c r="R70" s="6" t="s">
        <v>3858</v>
      </c>
      <c r="S70" s="6" t="s">
        <v>3859</v>
      </c>
      <c r="T70" s="6" t="s">
        <v>3860</v>
      </c>
      <c r="U70" s="6" t="s">
        <v>3141</v>
      </c>
      <c r="V70" s="6" t="s">
        <v>3861</v>
      </c>
      <c r="W70" s="6" t="s">
        <v>3862</v>
      </c>
      <c r="X70" s="6" t="s">
        <v>85</v>
      </c>
      <c r="Y70" s="6" t="s">
        <v>3159</v>
      </c>
      <c r="Z70" s="6" t="s">
        <v>78</v>
      </c>
      <c r="AA70" s="6" t="s">
        <v>3354</v>
      </c>
      <c r="AB70" s="6"/>
      <c r="AC70" s="6" t="s">
        <v>3159</v>
      </c>
      <c r="AD70" s="6" t="s">
        <v>3160</v>
      </c>
      <c r="AE70" s="6" t="s">
        <v>3622</v>
      </c>
      <c r="AF70" s="6" t="s">
        <v>3863</v>
      </c>
      <c r="AG70" s="6" t="s">
        <v>3864</v>
      </c>
      <c r="AH70" s="6" t="s">
        <v>79</v>
      </c>
    </row>
    <row r="71" spans="1:34" x14ac:dyDescent="0.25">
      <c r="A71" s="6" t="s">
        <v>325</v>
      </c>
      <c r="B71" s="6" t="s">
        <v>326</v>
      </c>
      <c r="C71" s="6" t="s">
        <v>3865</v>
      </c>
      <c r="D71" s="6" t="s">
        <v>3866</v>
      </c>
      <c r="E71" s="6" t="s">
        <v>3570</v>
      </c>
      <c r="F71" s="6" t="s">
        <v>3214</v>
      </c>
      <c r="G71" s="6" t="s">
        <v>174</v>
      </c>
      <c r="H71" s="6" t="s">
        <v>132</v>
      </c>
      <c r="I71" s="6" t="s">
        <v>92</v>
      </c>
      <c r="J71" s="6" t="s">
        <v>3867</v>
      </c>
      <c r="K71" s="6" t="s">
        <v>3159</v>
      </c>
      <c r="L71" s="6" t="s">
        <v>3196</v>
      </c>
      <c r="M71" s="6" t="s">
        <v>3243</v>
      </c>
      <c r="N71" s="6" t="s">
        <v>3143</v>
      </c>
      <c r="O71" s="6" t="s">
        <v>3160</v>
      </c>
      <c r="P71" s="6" t="s">
        <v>3868</v>
      </c>
      <c r="Q71" s="6" t="s">
        <v>3869</v>
      </c>
      <c r="R71" s="6" t="s">
        <v>3870</v>
      </c>
      <c r="S71" s="6" t="s">
        <v>23</v>
      </c>
      <c r="T71" s="6" t="s">
        <v>3871</v>
      </c>
      <c r="U71" s="6" t="s">
        <v>3159</v>
      </c>
      <c r="V71" s="6" t="s">
        <v>3872</v>
      </c>
      <c r="W71" s="6" t="s">
        <v>3873</v>
      </c>
      <c r="X71" s="6" t="s">
        <v>85</v>
      </c>
      <c r="Y71" s="6" t="s">
        <v>3141</v>
      </c>
      <c r="Z71" s="6" t="s">
        <v>78</v>
      </c>
      <c r="AA71" s="6" t="s">
        <v>3352</v>
      </c>
      <c r="AB71" s="6"/>
      <c r="AC71" s="6" t="s">
        <v>3140</v>
      </c>
      <c r="AD71" s="6" t="s">
        <v>3152</v>
      </c>
      <c r="AE71" s="6" t="s">
        <v>3428</v>
      </c>
      <c r="AF71" s="6" t="s">
        <v>3874</v>
      </c>
      <c r="AG71" s="6" t="s">
        <v>3875</v>
      </c>
      <c r="AH71" s="6" t="s">
        <v>79</v>
      </c>
    </row>
    <row r="72" spans="1:34" x14ac:dyDescent="0.25">
      <c r="A72" s="6" t="s">
        <v>328</v>
      </c>
      <c r="B72" s="6" t="s">
        <v>233</v>
      </c>
      <c r="C72" s="6" t="s">
        <v>3876</v>
      </c>
      <c r="D72" s="6" t="s">
        <v>329</v>
      </c>
      <c r="E72" s="6" t="s">
        <v>3226</v>
      </c>
      <c r="F72" s="6" t="s">
        <v>71</v>
      </c>
      <c r="G72" s="6" t="s">
        <v>115</v>
      </c>
      <c r="H72" s="6" t="s">
        <v>91</v>
      </c>
      <c r="I72" s="6" t="s">
        <v>92</v>
      </c>
      <c r="J72" s="6" t="s">
        <v>3877</v>
      </c>
      <c r="K72" s="6" t="s">
        <v>3140</v>
      </c>
      <c r="L72" s="6" t="s">
        <v>3196</v>
      </c>
      <c r="M72" s="6" t="s">
        <v>3160</v>
      </c>
      <c r="N72" s="6" t="s">
        <v>3159</v>
      </c>
      <c r="O72" s="6" t="s">
        <v>3243</v>
      </c>
      <c r="P72" s="6" t="s">
        <v>3878</v>
      </c>
      <c r="Q72" s="6" t="s">
        <v>3879</v>
      </c>
      <c r="R72" s="6" t="s">
        <v>3880</v>
      </c>
      <c r="S72" s="6" t="s">
        <v>3881</v>
      </c>
      <c r="T72" s="6" t="s">
        <v>3882</v>
      </c>
      <c r="U72" s="6" t="s">
        <v>3140</v>
      </c>
      <c r="V72" s="6" t="s">
        <v>3883</v>
      </c>
      <c r="W72" s="6" t="s">
        <v>3729</v>
      </c>
      <c r="X72" s="6" t="s">
        <v>85</v>
      </c>
      <c r="Y72" s="6" t="s">
        <v>3159</v>
      </c>
      <c r="Z72" s="6" t="s">
        <v>78</v>
      </c>
      <c r="AA72" s="6" t="s">
        <v>3884</v>
      </c>
      <c r="AB72" s="6"/>
      <c r="AC72" s="6" t="s">
        <v>3141</v>
      </c>
      <c r="AD72" s="6" t="s">
        <v>75</v>
      </c>
      <c r="AE72" s="6" t="s">
        <v>3331</v>
      </c>
      <c r="AF72" s="6" t="s">
        <v>3885</v>
      </c>
      <c r="AG72" s="6" t="s">
        <v>3886</v>
      </c>
      <c r="AH72" s="6" t="s">
        <v>79</v>
      </c>
    </row>
    <row r="73" spans="1:34" x14ac:dyDescent="0.25">
      <c r="A73" s="6" t="s">
        <v>330</v>
      </c>
      <c r="B73" s="6" t="s">
        <v>331</v>
      </c>
      <c r="C73" s="6" t="s">
        <v>3887</v>
      </c>
      <c r="D73" s="6" t="s">
        <v>332</v>
      </c>
      <c r="E73" s="6" t="s">
        <v>3296</v>
      </c>
      <c r="F73" s="6" t="s">
        <v>71</v>
      </c>
      <c r="G73" s="6" t="s">
        <v>131</v>
      </c>
      <c r="H73" s="6" t="s">
        <v>132</v>
      </c>
      <c r="I73" s="6" t="s">
        <v>92</v>
      </c>
      <c r="J73" s="6" t="s">
        <v>3888</v>
      </c>
      <c r="K73" s="6" t="s">
        <v>3159</v>
      </c>
      <c r="L73" s="6" t="s">
        <v>3196</v>
      </c>
      <c r="M73" s="6" t="s">
        <v>3243</v>
      </c>
      <c r="N73" s="6" t="s">
        <v>3152</v>
      </c>
      <c r="O73" s="6" t="s">
        <v>3141</v>
      </c>
      <c r="P73" s="6" t="s">
        <v>3889</v>
      </c>
      <c r="Q73" s="6" t="s">
        <v>3890</v>
      </c>
      <c r="R73" s="6" t="s">
        <v>3891</v>
      </c>
      <c r="S73" s="6" t="s">
        <v>23</v>
      </c>
      <c r="T73" s="6" t="s">
        <v>3892</v>
      </c>
      <c r="U73" s="6" t="s">
        <v>3292</v>
      </c>
      <c r="V73" s="6" t="s">
        <v>3893</v>
      </c>
      <c r="W73" s="6" t="s">
        <v>3894</v>
      </c>
      <c r="X73" s="6" t="s">
        <v>77</v>
      </c>
      <c r="Y73" s="6" t="s">
        <v>3159</v>
      </c>
      <c r="Z73" s="6" t="s">
        <v>3895</v>
      </c>
      <c r="AA73" s="6" t="s">
        <v>3896</v>
      </c>
      <c r="AB73" s="6"/>
      <c r="AC73" s="6" t="s">
        <v>3141</v>
      </c>
      <c r="AD73" s="6" t="s">
        <v>3141</v>
      </c>
      <c r="AE73" s="6" t="s">
        <v>3153</v>
      </c>
      <c r="AF73" s="6" t="s">
        <v>3897</v>
      </c>
      <c r="AG73" s="6" t="s">
        <v>3898</v>
      </c>
      <c r="AH73" s="6" t="s">
        <v>79</v>
      </c>
    </row>
    <row r="74" spans="1:34" x14ac:dyDescent="0.25">
      <c r="A74" s="6" t="s">
        <v>333</v>
      </c>
      <c r="B74" s="6" t="s">
        <v>334</v>
      </c>
      <c r="C74" s="6" t="s">
        <v>3899</v>
      </c>
      <c r="D74" s="6" t="s">
        <v>3900</v>
      </c>
      <c r="E74" s="6" t="s">
        <v>3786</v>
      </c>
      <c r="F74" s="6" t="s">
        <v>71</v>
      </c>
      <c r="G74" s="6" t="s">
        <v>120</v>
      </c>
      <c r="H74" s="6" t="s">
        <v>166</v>
      </c>
      <c r="I74" s="6" t="s">
        <v>74</v>
      </c>
      <c r="J74" s="6" t="s">
        <v>3901</v>
      </c>
      <c r="K74" s="6" t="s">
        <v>3140</v>
      </c>
      <c r="L74" s="6" t="s">
        <v>3173</v>
      </c>
      <c r="M74" s="6" t="s">
        <v>3141</v>
      </c>
      <c r="N74" s="6" t="s">
        <v>3159</v>
      </c>
      <c r="O74" s="6" t="s">
        <v>3152</v>
      </c>
      <c r="P74" s="6" t="s">
        <v>3902</v>
      </c>
      <c r="Q74" s="6" t="s">
        <v>3903</v>
      </c>
      <c r="R74" s="6" t="s">
        <v>3904</v>
      </c>
      <c r="S74" s="6" t="s">
        <v>3859</v>
      </c>
      <c r="T74" s="6" t="s">
        <v>3905</v>
      </c>
      <c r="U74" s="6" t="s">
        <v>3159</v>
      </c>
      <c r="V74" s="6" t="s">
        <v>3906</v>
      </c>
      <c r="W74" s="6" t="s">
        <v>3802</v>
      </c>
      <c r="X74" s="6" t="s">
        <v>85</v>
      </c>
      <c r="Y74" s="6" t="s">
        <v>3159</v>
      </c>
      <c r="Z74" s="6" t="s">
        <v>78</v>
      </c>
      <c r="AA74" s="6" t="s">
        <v>3907</v>
      </c>
      <c r="AB74" s="6" t="s">
        <v>3908</v>
      </c>
      <c r="AC74" s="6" t="s">
        <v>3141</v>
      </c>
      <c r="AD74" s="6" t="s">
        <v>76</v>
      </c>
      <c r="AE74" s="6" t="s">
        <v>3235</v>
      </c>
      <c r="AF74" s="6" t="s">
        <v>3909</v>
      </c>
      <c r="AG74" s="6" t="s">
        <v>3910</v>
      </c>
      <c r="AH74" s="6" t="s">
        <v>79</v>
      </c>
    </row>
    <row r="75" spans="1:34" x14ac:dyDescent="0.25">
      <c r="A75" s="6" t="s">
        <v>336</v>
      </c>
      <c r="B75" s="6" t="s">
        <v>337</v>
      </c>
      <c r="C75" s="6" t="s">
        <v>3911</v>
      </c>
      <c r="D75" s="6" t="s">
        <v>3912</v>
      </c>
      <c r="E75" s="6" t="s">
        <v>3786</v>
      </c>
      <c r="F75" s="6" t="s">
        <v>3201</v>
      </c>
      <c r="G75" s="6" t="s">
        <v>131</v>
      </c>
      <c r="H75" s="6" t="s">
        <v>91</v>
      </c>
      <c r="I75" s="6" t="s">
        <v>92</v>
      </c>
      <c r="J75" s="6" t="s">
        <v>3913</v>
      </c>
      <c r="K75" s="6" t="s">
        <v>3159</v>
      </c>
      <c r="L75" s="6" t="s">
        <v>75</v>
      </c>
      <c r="M75" s="6" t="s">
        <v>3188</v>
      </c>
      <c r="N75" s="6" t="s">
        <v>3141</v>
      </c>
      <c r="O75" s="6" t="s">
        <v>3141</v>
      </c>
      <c r="P75" s="6" t="s">
        <v>3914</v>
      </c>
      <c r="Q75" s="6" t="s">
        <v>3915</v>
      </c>
      <c r="R75" s="6" t="s">
        <v>3916</v>
      </c>
      <c r="S75" s="6" t="s">
        <v>3177</v>
      </c>
      <c r="T75" s="6"/>
      <c r="U75" s="6" t="s">
        <v>3140</v>
      </c>
      <c r="V75" s="6" t="s">
        <v>3917</v>
      </c>
      <c r="W75" s="6" t="s">
        <v>3894</v>
      </c>
      <c r="X75" s="6" t="s">
        <v>3918</v>
      </c>
      <c r="Y75" s="6" t="s">
        <v>3140</v>
      </c>
      <c r="Z75" s="6" t="s">
        <v>78</v>
      </c>
      <c r="AA75" s="6" t="s">
        <v>3194</v>
      </c>
      <c r="AB75" s="6"/>
      <c r="AC75" s="6" t="s">
        <v>3141</v>
      </c>
      <c r="AD75" s="6" t="s">
        <v>3143</v>
      </c>
      <c r="AE75" s="6" t="s">
        <v>3235</v>
      </c>
      <c r="AF75" s="6"/>
      <c r="AG75" s="6" t="s">
        <v>3919</v>
      </c>
      <c r="AH75" s="6" t="s">
        <v>79</v>
      </c>
    </row>
    <row r="76" spans="1:34" x14ac:dyDescent="0.25">
      <c r="A76" s="6" t="s">
        <v>339</v>
      </c>
      <c r="B76" s="6" t="s">
        <v>340</v>
      </c>
      <c r="C76" s="6" t="s">
        <v>3920</v>
      </c>
      <c r="D76" s="6" t="s">
        <v>341</v>
      </c>
      <c r="E76" s="6" t="s">
        <v>3921</v>
      </c>
      <c r="F76" s="6" t="s">
        <v>3358</v>
      </c>
      <c r="G76" s="6" t="s">
        <v>131</v>
      </c>
      <c r="H76" s="6" t="s">
        <v>91</v>
      </c>
      <c r="I76" s="6" t="s">
        <v>92</v>
      </c>
      <c r="J76" s="6" t="s">
        <v>3922</v>
      </c>
      <c r="K76" s="6" t="s">
        <v>3159</v>
      </c>
      <c r="L76" s="6" t="s">
        <v>3188</v>
      </c>
      <c r="M76" s="6" t="s">
        <v>3243</v>
      </c>
      <c r="N76" s="6" t="s">
        <v>3152</v>
      </c>
      <c r="O76" s="6" t="s">
        <v>3243</v>
      </c>
      <c r="P76" s="6" t="s">
        <v>3923</v>
      </c>
      <c r="Q76" s="6" t="s">
        <v>3924</v>
      </c>
      <c r="R76" s="6" t="s">
        <v>3925</v>
      </c>
      <c r="S76" s="6" t="s">
        <v>3412</v>
      </c>
      <c r="T76" s="6" t="s">
        <v>3926</v>
      </c>
      <c r="U76" s="6" t="s">
        <v>3141</v>
      </c>
      <c r="V76" s="6" t="s">
        <v>3927</v>
      </c>
      <c r="W76" s="6" t="s">
        <v>3928</v>
      </c>
      <c r="X76" s="6" t="s">
        <v>77</v>
      </c>
      <c r="Y76" s="6" t="s">
        <v>3140</v>
      </c>
      <c r="Z76" s="6" t="s">
        <v>78</v>
      </c>
      <c r="AA76" s="6" t="s">
        <v>3289</v>
      </c>
      <c r="AB76" s="6" t="s">
        <v>3929</v>
      </c>
      <c r="AC76" s="6" t="s">
        <v>3140</v>
      </c>
      <c r="AD76" s="6" t="s">
        <v>75</v>
      </c>
      <c r="AE76" s="6" t="s">
        <v>3323</v>
      </c>
      <c r="AF76" s="6"/>
      <c r="AG76" s="6" t="s">
        <v>3930</v>
      </c>
      <c r="AH76" s="6" t="s">
        <v>79</v>
      </c>
    </row>
    <row r="77" spans="1:34" x14ac:dyDescent="0.25">
      <c r="A77" s="6" t="s">
        <v>342</v>
      </c>
      <c r="B77" s="6" t="s">
        <v>343</v>
      </c>
      <c r="C77" s="6" t="s">
        <v>3931</v>
      </c>
      <c r="D77" s="6" t="s">
        <v>344</v>
      </c>
      <c r="E77" s="6" t="s">
        <v>3647</v>
      </c>
      <c r="F77" s="6" t="s">
        <v>3214</v>
      </c>
      <c r="G77" s="6" t="s">
        <v>90</v>
      </c>
      <c r="H77" s="6" t="s">
        <v>73</v>
      </c>
      <c r="I77" s="6" t="s">
        <v>74</v>
      </c>
      <c r="J77" s="6"/>
      <c r="K77" s="6" t="s">
        <v>3140</v>
      </c>
      <c r="L77" s="6" t="s">
        <v>3173</v>
      </c>
      <c r="M77" s="6" t="s">
        <v>3173</v>
      </c>
      <c r="N77" s="6" t="s">
        <v>3152</v>
      </c>
      <c r="O77" s="6" t="s">
        <v>3160</v>
      </c>
      <c r="P77" s="6" t="s">
        <v>3932</v>
      </c>
      <c r="Q77" s="6" t="s">
        <v>3933</v>
      </c>
      <c r="R77" s="6" t="s">
        <v>3934</v>
      </c>
      <c r="S77" s="6" t="s">
        <v>20</v>
      </c>
      <c r="T77" s="6" t="s">
        <v>3935</v>
      </c>
      <c r="U77" s="6" t="s">
        <v>3141</v>
      </c>
      <c r="V77" s="6" t="s">
        <v>3936</v>
      </c>
      <c r="W77" s="6" t="s">
        <v>3673</v>
      </c>
      <c r="X77" s="6" t="s">
        <v>85</v>
      </c>
      <c r="Y77" s="6" t="s">
        <v>3292</v>
      </c>
      <c r="Z77" s="6" t="s">
        <v>78</v>
      </c>
      <c r="AA77" s="6" t="s">
        <v>3632</v>
      </c>
      <c r="AB77" s="6"/>
      <c r="AC77" s="6" t="s">
        <v>3141</v>
      </c>
      <c r="AD77" s="6" t="s">
        <v>3243</v>
      </c>
      <c r="AE77" s="6" t="s">
        <v>3169</v>
      </c>
      <c r="AF77" s="6"/>
      <c r="AG77" s="6" t="s">
        <v>3937</v>
      </c>
      <c r="AH77" s="6" t="s">
        <v>79</v>
      </c>
    </row>
    <row r="78" spans="1:34" x14ac:dyDescent="0.25">
      <c r="A78" s="6" t="s">
        <v>345</v>
      </c>
      <c r="B78" s="6" t="s">
        <v>346</v>
      </c>
      <c r="C78" s="6" t="s">
        <v>347</v>
      </c>
      <c r="D78" s="6" t="s">
        <v>3938</v>
      </c>
      <c r="E78" s="6" t="s">
        <v>3157</v>
      </c>
      <c r="F78" s="6" t="s">
        <v>3227</v>
      </c>
      <c r="G78" s="6" t="s">
        <v>106</v>
      </c>
      <c r="H78" s="6" t="s">
        <v>3138</v>
      </c>
      <c r="I78" s="6" t="s">
        <v>74</v>
      </c>
      <c r="J78" s="6" t="s">
        <v>3939</v>
      </c>
      <c r="K78" s="6" t="s">
        <v>3159</v>
      </c>
      <c r="L78" s="6" t="s">
        <v>3173</v>
      </c>
      <c r="M78" s="6" t="s">
        <v>3243</v>
      </c>
      <c r="N78" s="6" t="s">
        <v>3160</v>
      </c>
      <c r="O78" s="6" t="s">
        <v>75</v>
      </c>
      <c r="P78" s="6" t="s">
        <v>3940</v>
      </c>
      <c r="Q78" s="6"/>
      <c r="R78" s="6" t="s">
        <v>3941</v>
      </c>
      <c r="S78" s="6" t="s">
        <v>23</v>
      </c>
      <c r="T78" s="6"/>
      <c r="U78" s="6" t="s">
        <v>3159</v>
      </c>
      <c r="V78" s="6" t="s">
        <v>3942</v>
      </c>
      <c r="W78" s="6" t="s">
        <v>3683</v>
      </c>
      <c r="X78" s="6" t="s">
        <v>85</v>
      </c>
      <c r="Y78" s="6" t="s">
        <v>3141</v>
      </c>
      <c r="Z78" s="6" t="s">
        <v>93</v>
      </c>
      <c r="AA78" s="6" t="s">
        <v>3943</v>
      </c>
      <c r="AB78" s="6"/>
      <c r="AC78" s="6" t="s">
        <v>3141</v>
      </c>
      <c r="AD78" s="6" t="s">
        <v>3243</v>
      </c>
      <c r="AE78" s="6" t="s">
        <v>3513</v>
      </c>
      <c r="AF78" s="6" t="s">
        <v>3944</v>
      </c>
      <c r="AG78" s="6" t="s">
        <v>3945</v>
      </c>
      <c r="AH78" s="6" t="s">
        <v>3334</v>
      </c>
    </row>
    <row r="79" spans="1:34" x14ac:dyDescent="0.25">
      <c r="A79" s="6" t="s">
        <v>349</v>
      </c>
      <c r="B79" s="6" t="s">
        <v>3946</v>
      </c>
      <c r="C79" s="6" t="s">
        <v>3947</v>
      </c>
      <c r="D79" s="6" t="s">
        <v>3948</v>
      </c>
      <c r="E79" s="6"/>
      <c r="F79" s="6" t="s">
        <v>3358</v>
      </c>
      <c r="G79" s="6" t="s">
        <v>215</v>
      </c>
      <c r="H79" s="6" t="s">
        <v>84</v>
      </c>
      <c r="I79" s="6" t="s">
        <v>74</v>
      </c>
      <c r="J79" s="6" t="s">
        <v>3949</v>
      </c>
      <c r="K79" s="6" t="s">
        <v>3140</v>
      </c>
      <c r="L79" s="6" t="s">
        <v>3196</v>
      </c>
      <c r="M79" s="6" t="s">
        <v>3142</v>
      </c>
      <c r="N79" s="6" t="s">
        <v>3141</v>
      </c>
      <c r="O79" s="6" t="s">
        <v>3160</v>
      </c>
      <c r="P79" s="6" t="s">
        <v>3950</v>
      </c>
      <c r="Q79" s="6"/>
      <c r="R79" s="6" t="s">
        <v>3951</v>
      </c>
      <c r="S79" s="6" t="s">
        <v>22</v>
      </c>
      <c r="T79" s="6" t="s">
        <v>3952</v>
      </c>
      <c r="U79" s="6" t="s">
        <v>3140</v>
      </c>
      <c r="V79" s="6" t="s">
        <v>3953</v>
      </c>
      <c r="W79" s="6" t="s">
        <v>3802</v>
      </c>
      <c r="X79" s="6" t="s">
        <v>85</v>
      </c>
      <c r="Y79" s="6" t="s">
        <v>3141</v>
      </c>
      <c r="Z79" s="6" t="s">
        <v>78</v>
      </c>
      <c r="AA79" s="6" t="s">
        <v>3954</v>
      </c>
      <c r="AB79" s="6"/>
      <c r="AC79" s="6" t="s">
        <v>3141</v>
      </c>
      <c r="AD79" s="6" t="s">
        <v>3243</v>
      </c>
      <c r="AE79" s="6" t="s">
        <v>3323</v>
      </c>
      <c r="AF79" s="6" t="s">
        <v>3955</v>
      </c>
      <c r="AG79" s="6" t="s">
        <v>3956</v>
      </c>
      <c r="AH79" s="6" t="s">
        <v>3957</v>
      </c>
    </row>
    <row r="80" spans="1:34" x14ac:dyDescent="0.25">
      <c r="A80" s="6" t="s">
        <v>352</v>
      </c>
      <c r="B80" s="6" t="s">
        <v>3958</v>
      </c>
      <c r="C80" s="6" t="s">
        <v>354</v>
      </c>
      <c r="D80" s="6" t="s">
        <v>355</v>
      </c>
      <c r="E80" s="6" t="s">
        <v>3626</v>
      </c>
      <c r="F80" s="6" t="s">
        <v>3227</v>
      </c>
      <c r="G80" s="6" t="s">
        <v>98</v>
      </c>
      <c r="H80" s="6" t="s">
        <v>99</v>
      </c>
      <c r="I80" s="6" t="s">
        <v>74</v>
      </c>
      <c r="J80" s="6" t="s">
        <v>3959</v>
      </c>
      <c r="K80" s="6" t="s">
        <v>3159</v>
      </c>
      <c r="L80" s="6" t="s">
        <v>3188</v>
      </c>
      <c r="M80" s="6" t="s">
        <v>3243</v>
      </c>
      <c r="N80" s="6" t="s">
        <v>3152</v>
      </c>
      <c r="O80" s="6" t="s">
        <v>3141</v>
      </c>
      <c r="P80" s="6" t="s">
        <v>3960</v>
      </c>
      <c r="Q80" s="6" t="s">
        <v>3961</v>
      </c>
      <c r="R80" s="6" t="s">
        <v>3962</v>
      </c>
      <c r="S80" s="6" t="s">
        <v>23</v>
      </c>
      <c r="T80" s="6" t="s">
        <v>3963</v>
      </c>
      <c r="U80" s="6" t="s">
        <v>3141</v>
      </c>
      <c r="V80" s="6" t="s">
        <v>3964</v>
      </c>
      <c r="W80" s="6" t="s">
        <v>3965</v>
      </c>
      <c r="X80" s="6" t="s">
        <v>85</v>
      </c>
      <c r="Y80" s="6" t="s">
        <v>3140</v>
      </c>
      <c r="Z80" s="6" t="s">
        <v>93</v>
      </c>
      <c r="AA80" s="6" t="s">
        <v>3966</v>
      </c>
      <c r="AB80" s="6"/>
      <c r="AC80" s="6" t="s">
        <v>3159</v>
      </c>
      <c r="AD80" s="6" t="s">
        <v>75</v>
      </c>
      <c r="AE80" s="6" t="s">
        <v>3153</v>
      </c>
      <c r="AF80" s="6" t="s">
        <v>3967</v>
      </c>
      <c r="AG80" s="6" t="s">
        <v>3968</v>
      </c>
      <c r="AH80" s="6" t="s">
        <v>79</v>
      </c>
    </row>
    <row r="81" spans="1:34" x14ac:dyDescent="0.25">
      <c r="A81" s="6" t="s">
        <v>356</v>
      </c>
      <c r="B81" s="6" t="s">
        <v>357</v>
      </c>
      <c r="C81" s="6" t="s">
        <v>3969</v>
      </c>
      <c r="D81" s="6" t="s">
        <v>358</v>
      </c>
      <c r="E81" s="6" t="s">
        <v>3970</v>
      </c>
      <c r="F81" s="6" t="s">
        <v>3201</v>
      </c>
      <c r="G81" s="6" t="s">
        <v>131</v>
      </c>
      <c r="H81" s="6" t="s">
        <v>84</v>
      </c>
      <c r="I81" s="6" t="s">
        <v>74</v>
      </c>
      <c r="J81" s="6" t="s">
        <v>3971</v>
      </c>
      <c r="K81" s="6" t="s">
        <v>3159</v>
      </c>
      <c r="L81" s="6" t="s">
        <v>3143</v>
      </c>
      <c r="M81" s="6" t="s">
        <v>3160</v>
      </c>
      <c r="N81" s="6" t="s">
        <v>76</v>
      </c>
      <c r="O81" s="6" t="s">
        <v>75</v>
      </c>
      <c r="P81" s="6" t="s">
        <v>3688</v>
      </c>
      <c r="Q81" s="6" t="s">
        <v>3972</v>
      </c>
      <c r="R81" s="6" t="s">
        <v>3973</v>
      </c>
      <c r="S81" s="6" t="s">
        <v>23</v>
      </c>
      <c r="T81" s="6" t="s">
        <v>3974</v>
      </c>
      <c r="U81" s="6" t="s">
        <v>3141</v>
      </c>
      <c r="V81" s="6" t="s">
        <v>3975</v>
      </c>
      <c r="W81" s="6" t="s">
        <v>3221</v>
      </c>
      <c r="X81" s="6" t="s">
        <v>77</v>
      </c>
      <c r="Y81" s="6" t="s">
        <v>3140</v>
      </c>
      <c r="Z81" s="6" t="s">
        <v>194</v>
      </c>
      <c r="AA81" s="6" t="s">
        <v>3976</v>
      </c>
      <c r="AB81" s="6" t="s">
        <v>3977</v>
      </c>
      <c r="AC81" s="6" t="s">
        <v>3141</v>
      </c>
      <c r="AD81" s="6" t="s">
        <v>75</v>
      </c>
      <c r="AE81" s="6" t="s">
        <v>3318</v>
      </c>
      <c r="AF81" s="6" t="s">
        <v>3978</v>
      </c>
      <c r="AG81" s="6" t="s">
        <v>3979</v>
      </c>
      <c r="AH81" s="6" t="s">
        <v>79</v>
      </c>
    </row>
    <row r="82" spans="1:34" x14ac:dyDescent="0.25">
      <c r="A82" s="6" t="s">
        <v>359</v>
      </c>
      <c r="B82" s="6" t="s">
        <v>360</v>
      </c>
      <c r="C82" s="6" t="s">
        <v>361</v>
      </c>
      <c r="D82" s="6" t="s">
        <v>362</v>
      </c>
      <c r="E82" s="6"/>
      <c r="F82" s="6" t="s">
        <v>3358</v>
      </c>
      <c r="G82" s="6" t="s">
        <v>215</v>
      </c>
      <c r="H82" s="6" t="s">
        <v>91</v>
      </c>
      <c r="I82" s="6" t="s">
        <v>92</v>
      </c>
      <c r="J82" s="6" t="s">
        <v>3980</v>
      </c>
      <c r="K82" s="6" t="s">
        <v>3141</v>
      </c>
      <c r="L82" s="6" t="s">
        <v>3160</v>
      </c>
      <c r="M82" s="6" t="s">
        <v>3141</v>
      </c>
      <c r="N82" s="6" t="s">
        <v>75</v>
      </c>
      <c r="O82" s="6" t="s">
        <v>3152</v>
      </c>
      <c r="P82" s="6" t="s">
        <v>3981</v>
      </c>
      <c r="Q82" s="6" t="s">
        <v>3982</v>
      </c>
      <c r="R82" s="6" t="s">
        <v>3983</v>
      </c>
      <c r="S82" s="6" t="s">
        <v>21</v>
      </c>
      <c r="T82" s="6" t="s">
        <v>3984</v>
      </c>
      <c r="U82" s="6" t="s">
        <v>3985</v>
      </c>
      <c r="V82" s="6" t="s">
        <v>3986</v>
      </c>
      <c r="W82" s="6" t="s">
        <v>3987</v>
      </c>
      <c r="X82" s="6" t="s">
        <v>77</v>
      </c>
      <c r="Y82" s="6" t="s">
        <v>3141</v>
      </c>
      <c r="Z82" s="6" t="s">
        <v>93</v>
      </c>
      <c r="AA82" s="6" t="s">
        <v>3195</v>
      </c>
      <c r="AB82" s="6"/>
      <c r="AC82" s="6" t="s">
        <v>3141</v>
      </c>
      <c r="AD82" s="6" t="s">
        <v>75</v>
      </c>
      <c r="AE82" s="6" t="s">
        <v>3235</v>
      </c>
      <c r="AF82" s="6"/>
      <c r="AG82" s="6" t="s">
        <v>3988</v>
      </c>
      <c r="AH82" s="6" t="s">
        <v>79</v>
      </c>
    </row>
    <row r="83" spans="1:34" x14ac:dyDescent="0.25">
      <c r="A83" s="6" t="s">
        <v>363</v>
      </c>
      <c r="B83" s="6" t="s">
        <v>364</v>
      </c>
      <c r="C83" s="6" t="s">
        <v>365</v>
      </c>
      <c r="D83" s="6" t="s">
        <v>366</v>
      </c>
      <c r="E83" s="6" t="s">
        <v>3570</v>
      </c>
      <c r="F83" s="6" t="s">
        <v>71</v>
      </c>
      <c r="G83" s="6" t="s">
        <v>143</v>
      </c>
      <c r="H83" s="6" t="s">
        <v>166</v>
      </c>
      <c r="I83" s="6" t="s">
        <v>74</v>
      </c>
      <c r="J83" s="6" t="s">
        <v>3989</v>
      </c>
      <c r="K83" s="6" t="s">
        <v>3140</v>
      </c>
      <c r="L83" s="6" t="s">
        <v>3188</v>
      </c>
      <c r="M83" s="6" t="s">
        <v>75</v>
      </c>
      <c r="N83" s="6" t="s">
        <v>3173</v>
      </c>
      <c r="O83" s="6" t="s">
        <v>75</v>
      </c>
      <c r="P83" s="6" t="s">
        <v>3990</v>
      </c>
      <c r="Q83" s="6"/>
      <c r="R83" s="6" t="s">
        <v>3991</v>
      </c>
      <c r="S83" s="6" t="s">
        <v>3412</v>
      </c>
      <c r="T83" s="6" t="s">
        <v>3992</v>
      </c>
      <c r="U83" s="6" t="s">
        <v>3159</v>
      </c>
      <c r="V83" s="6" t="s">
        <v>3993</v>
      </c>
      <c r="W83" s="6" t="s">
        <v>3994</v>
      </c>
      <c r="X83" s="6" t="s">
        <v>85</v>
      </c>
      <c r="Y83" s="6" t="s">
        <v>3141</v>
      </c>
      <c r="Z83" s="6" t="s">
        <v>3895</v>
      </c>
      <c r="AA83" s="6" t="s">
        <v>3830</v>
      </c>
      <c r="AB83" s="6" t="s">
        <v>3995</v>
      </c>
      <c r="AC83" s="6" t="s">
        <v>3141</v>
      </c>
      <c r="AD83" s="6" t="s">
        <v>3243</v>
      </c>
      <c r="AE83" s="6" t="s">
        <v>3279</v>
      </c>
      <c r="AF83" s="6"/>
      <c r="AG83" s="6" t="s">
        <v>3996</v>
      </c>
      <c r="AH83" s="6" t="s">
        <v>79</v>
      </c>
    </row>
    <row r="84" spans="1:34" x14ac:dyDescent="0.25">
      <c r="A84" s="6" t="s">
        <v>367</v>
      </c>
      <c r="B84" s="6" t="s">
        <v>368</v>
      </c>
      <c r="C84" s="6" t="s">
        <v>369</v>
      </c>
      <c r="D84" s="6" t="s">
        <v>370</v>
      </c>
      <c r="E84" s="6" t="s">
        <v>3432</v>
      </c>
      <c r="F84" s="6" t="s">
        <v>3358</v>
      </c>
      <c r="G84" s="6" t="s">
        <v>83</v>
      </c>
      <c r="H84" s="6" t="s">
        <v>132</v>
      </c>
      <c r="I84" s="6" t="s">
        <v>92</v>
      </c>
      <c r="J84" s="6"/>
      <c r="K84" s="6" t="s">
        <v>3159</v>
      </c>
      <c r="L84" s="6" t="s">
        <v>76</v>
      </c>
      <c r="M84" s="6" t="s">
        <v>3152</v>
      </c>
      <c r="N84" s="6" t="s">
        <v>3152</v>
      </c>
      <c r="O84" s="6" t="s">
        <v>3160</v>
      </c>
      <c r="P84" s="6" t="s">
        <v>3997</v>
      </c>
      <c r="Q84" s="6" t="s">
        <v>3998</v>
      </c>
      <c r="R84" s="6" t="s">
        <v>3999</v>
      </c>
      <c r="S84" s="6" t="s">
        <v>23</v>
      </c>
      <c r="T84" s="6" t="s">
        <v>4000</v>
      </c>
      <c r="U84" s="6" t="s">
        <v>3141</v>
      </c>
      <c r="V84" s="6" t="s">
        <v>3757</v>
      </c>
      <c r="W84" s="6" t="s">
        <v>3854</v>
      </c>
      <c r="X84" s="6" t="s">
        <v>85</v>
      </c>
      <c r="Y84" s="6" t="s">
        <v>3141</v>
      </c>
      <c r="Z84" s="6" t="s">
        <v>93</v>
      </c>
      <c r="AA84" s="6" t="s">
        <v>4001</v>
      </c>
      <c r="AB84" s="6"/>
      <c r="AC84" s="6" t="s">
        <v>3159</v>
      </c>
      <c r="AD84" s="6" t="s">
        <v>3160</v>
      </c>
      <c r="AE84" s="6" t="s">
        <v>3153</v>
      </c>
      <c r="AF84" s="6" t="s">
        <v>4002</v>
      </c>
      <c r="AG84" s="6" t="s">
        <v>4003</v>
      </c>
      <c r="AH84" s="6" t="s">
        <v>4004</v>
      </c>
    </row>
    <row r="85" spans="1:34" x14ac:dyDescent="0.25">
      <c r="A85" s="6" t="s">
        <v>371</v>
      </c>
      <c r="B85" s="6" t="s">
        <v>4005</v>
      </c>
      <c r="C85" s="6" t="s">
        <v>4006</v>
      </c>
      <c r="D85" s="6" t="s">
        <v>4007</v>
      </c>
      <c r="E85" s="6" t="s">
        <v>3296</v>
      </c>
      <c r="F85" s="6" t="s">
        <v>3283</v>
      </c>
      <c r="G85" s="6" t="s">
        <v>153</v>
      </c>
      <c r="H85" s="6" t="s">
        <v>99</v>
      </c>
      <c r="I85" s="6" t="s">
        <v>74</v>
      </c>
      <c r="J85" s="6" t="s">
        <v>4008</v>
      </c>
      <c r="K85" s="6" t="s">
        <v>3159</v>
      </c>
      <c r="L85" s="6" t="s">
        <v>3188</v>
      </c>
      <c r="M85" s="6" t="s">
        <v>3160</v>
      </c>
      <c r="N85" s="6" t="s">
        <v>3160</v>
      </c>
      <c r="O85" s="6" t="s">
        <v>3143</v>
      </c>
      <c r="P85" s="6" t="s">
        <v>4009</v>
      </c>
      <c r="Q85" s="6" t="s">
        <v>4010</v>
      </c>
      <c r="R85" s="6" t="s">
        <v>4011</v>
      </c>
      <c r="S85" s="6" t="s">
        <v>22</v>
      </c>
      <c r="T85" s="6"/>
      <c r="U85" s="6" t="s">
        <v>3141</v>
      </c>
      <c r="V85" s="6" t="s">
        <v>4012</v>
      </c>
      <c r="W85" s="6" t="s">
        <v>4013</v>
      </c>
      <c r="X85" s="6" t="s">
        <v>77</v>
      </c>
      <c r="Y85" s="6" t="s">
        <v>3192</v>
      </c>
      <c r="Z85" s="6" t="s">
        <v>93</v>
      </c>
      <c r="AA85" s="6" t="s">
        <v>4014</v>
      </c>
      <c r="AB85" s="6"/>
      <c r="AC85" s="6" t="s">
        <v>3159</v>
      </c>
      <c r="AD85" s="6" t="s">
        <v>3143</v>
      </c>
      <c r="AE85" s="6" t="s">
        <v>3323</v>
      </c>
      <c r="AF85" s="6" t="s">
        <v>4015</v>
      </c>
      <c r="AG85" s="6" t="s">
        <v>4016</v>
      </c>
      <c r="AH85" s="6" t="s">
        <v>79</v>
      </c>
    </row>
    <row r="86" spans="1:34" x14ac:dyDescent="0.25">
      <c r="A86" s="6" t="s">
        <v>374</v>
      </c>
      <c r="B86" s="6" t="s">
        <v>375</v>
      </c>
      <c r="C86" s="6" t="s">
        <v>4017</v>
      </c>
      <c r="D86" s="6" t="s">
        <v>4018</v>
      </c>
      <c r="E86" s="6" t="s">
        <v>3677</v>
      </c>
      <c r="F86" s="6" t="s">
        <v>3201</v>
      </c>
      <c r="G86" s="6" t="s">
        <v>143</v>
      </c>
      <c r="H86" s="6" t="s">
        <v>166</v>
      </c>
      <c r="I86" s="6" t="s">
        <v>74</v>
      </c>
      <c r="J86" s="6"/>
      <c r="K86" s="6" t="s">
        <v>3140</v>
      </c>
      <c r="L86" s="6" t="s">
        <v>3159</v>
      </c>
      <c r="M86" s="6" t="s">
        <v>3159</v>
      </c>
      <c r="N86" s="6" t="s">
        <v>3152</v>
      </c>
      <c r="O86" s="6" t="s">
        <v>75</v>
      </c>
      <c r="P86" s="6" t="s">
        <v>4019</v>
      </c>
      <c r="Q86" s="6" t="s">
        <v>4020</v>
      </c>
      <c r="R86" s="6" t="s">
        <v>4021</v>
      </c>
      <c r="S86" s="6" t="s">
        <v>3287</v>
      </c>
      <c r="T86" s="6"/>
      <c r="U86" s="6" t="s">
        <v>3292</v>
      </c>
      <c r="V86" s="6" t="s">
        <v>4022</v>
      </c>
      <c r="W86" s="6" t="s">
        <v>3166</v>
      </c>
      <c r="X86" s="6" t="s">
        <v>77</v>
      </c>
      <c r="Y86" s="6" t="s">
        <v>3141</v>
      </c>
      <c r="Z86" s="6" t="s">
        <v>93</v>
      </c>
      <c r="AA86" s="6" t="s">
        <v>3289</v>
      </c>
      <c r="AB86" s="6"/>
      <c r="AC86" s="6" t="s">
        <v>3141</v>
      </c>
      <c r="AD86" s="6" t="s">
        <v>3152</v>
      </c>
      <c r="AE86" s="6" t="s">
        <v>3169</v>
      </c>
      <c r="AF86" s="6"/>
      <c r="AG86" s="6" t="s">
        <v>4023</v>
      </c>
      <c r="AH86" s="6" t="s">
        <v>79</v>
      </c>
    </row>
    <row r="87" spans="1:34" x14ac:dyDescent="0.25">
      <c r="A87" s="6" t="s">
        <v>377</v>
      </c>
      <c r="B87" s="6" t="s">
        <v>323</v>
      </c>
      <c r="C87" s="6" t="s">
        <v>4024</v>
      </c>
      <c r="D87" s="6" t="s">
        <v>378</v>
      </c>
      <c r="E87" s="6" t="s">
        <v>4025</v>
      </c>
      <c r="F87" s="6" t="s">
        <v>71</v>
      </c>
      <c r="G87" s="6" t="s">
        <v>131</v>
      </c>
      <c r="H87" s="6" t="s">
        <v>91</v>
      </c>
      <c r="I87" s="6" t="s">
        <v>92</v>
      </c>
      <c r="J87" s="6" t="s">
        <v>4026</v>
      </c>
      <c r="K87" s="6" t="s">
        <v>3141</v>
      </c>
      <c r="L87" s="6" t="s">
        <v>3152</v>
      </c>
      <c r="M87" s="6" t="s">
        <v>75</v>
      </c>
      <c r="N87" s="6" t="s">
        <v>3243</v>
      </c>
      <c r="O87" s="6" t="s">
        <v>3152</v>
      </c>
      <c r="P87" s="6" t="s">
        <v>3360</v>
      </c>
      <c r="Q87" s="6" t="s">
        <v>4027</v>
      </c>
      <c r="R87" s="6" t="s">
        <v>4028</v>
      </c>
      <c r="S87" s="6" t="s">
        <v>22</v>
      </c>
      <c r="T87" s="6" t="s">
        <v>3217</v>
      </c>
      <c r="U87" s="6" t="s">
        <v>3141</v>
      </c>
      <c r="V87" s="6" t="s">
        <v>4029</v>
      </c>
      <c r="W87" s="6" t="s">
        <v>3588</v>
      </c>
      <c r="X87" s="6" t="s">
        <v>4030</v>
      </c>
      <c r="Y87" s="6" t="s">
        <v>3159</v>
      </c>
      <c r="Z87" s="6" t="s">
        <v>78</v>
      </c>
      <c r="AA87" s="6" t="s">
        <v>4001</v>
      </c>
      <c r="AB87" s="6"/>
      <c r="AC87" s="6" t="s">
        <v>3159</v>
      </c>
      <c r="AD87" s="6" t="s">
        <v>3243</v>
      </c>
      <c r="AE87" s="6" t="s">
        <v>3323</v>
      </c>
      <c r="AF87" s="6" t="s">
        <v>4031</v>
      </c>
      <c r="AG87" s="6" t="s">
        <v>4032</v>
      </c>
      <c r="AH87" s="6" t="s">
        <v>79</v>
      </c>
    </row>
    <row r="88" spans="1:34" x14ac:dyDescent="0.25">
      <c r="A88" s="6" t="s">
        <v>379</v>
      </c>
      <c r="B88" s="6" t="s">
        <v>380</v>
      </c>
      <c r="C88" s="6" t="s">
        <v>4033</v>
      </c>
      <c r="D88" s="6"/>
      <c r="E88" s="6" t="s">
        <v>3570</v>
      </c>
      <c r="F88" s="6" t="s">
        <v>3201</v>
      </c>
      <c r="G88" s="6" t="s">
        <v>153</v>
      </c>
      <c r="H88" s="6" t="s">
        <v>107</v>
      </c>
      <c r="I88" s="6" t="s">
        <v>92</v>
      </c>
      <c r="J88" s="6" t="s">
        <v>4034</v>
      </c>
      <c r="K88" s="6" t="s">
        <v>3159</v>
      </c>
      <c r="L88" s="6" t="s">
        <v>3143</v>
      </c>
      <c r="M88" s="6" t="s">
        <v>76</v>
      </c>
      <c r="N88" s="6" t="s">
        <v>3141</v>
      </c>
      <c r="O88" s="6" t="s">
        <v>3243</v>
      </c>
      <c r="P88" s="6" t="s">
        <v>4035</v>
      </c>
      <c r="Q88" s="6" t="s">
        <v>4036</v>
      </c>
      <c r="R88" s="6" t="s">
        <v>4037</v>
      </c>
      <c r="S88" s="6" t="s">
        <v>22</v>
      </c>
      <c r="T88" s="6" t="s">
        <v>4038</v>
      </c>
      <c r="U88" s="6" t="s">
        <v>3159</v>
      </c>
      <c r="V88" s="6" t="s">
        <v>4039</v>
      </c>
      <c r="W88" s="6" t="s">
        <v>3830</v>
      </c>
      <c r="X88" s="6" t="s">
        <v>77</v>
      </c>
      <c r="Y88" s="6" t="s">
        <v>3292</v>
      </c>
      <c r="Z88" s="6" t="s">
        <v>3263</v>
      </c>
      <c r="AA88" s="6" t="s">
        <v>4040</v>
      </c>
      <c r="AB88" s="6"/>
      <c r="AC88" s="6" t="s">
        <v>3159</v>
      </c>
      <c r="AD88" s="6" t="s">
        <v>3141</v>
      </c>
      <c r="AE88" s="6" t="s">
        <v>3210</v>
      </c>
      <c r="AF88" s="6" t="s">
        <v>4041</v>
      </c>
      <c r="AG88" s="6" t="s">
        <v>4042</v>
      </c>
      <c r="AH88" s="6" t="s">
        <v>79</v>
      </c>
    </row>
    <row r="89" spans="1:34" x14ac:dyDescent="0.25">
      <c r="A89" s="6" t="s">
        <v>381</v>
      </c>
      <c r="B89" s="6" t="s">
        <v>382</v>
      </c>
      <c r="C89" s="6" t="s">
        <v>383</v>
      </c>
      <c r="D89" s="6" t="s">
        <v>4043</v>
      </c>
      <c r="E89" s="6" t="s">
        <v>3636</v>
      </c>
      <c r="F89" s="6" t="s">
        <v>71</v>
      </c>
      <c r="G89" s="6" t="s">
        <v>115</v>
      </c>
      <c r="H89" s="6" t="s">
        <v>103</v>
      </c>
      <c r="I89" s="6" t="s">
        <v>74</v>
      </c>
      <c r="J89" s="6"/>
      <c r="K89" s="6" t="s">
        <v>3140</v>
      </c>
      <c r="L89" s="6" t="s">
        <v>3159</v>
      </c>
      <c r="M89" s="6" t="s">
        <v>3141</v>
      </c>
      <c r="N89" s="6" t="s">
        <v>75</v>
      </c>
      <c r="O89" s="6" t="s">
        <v>3188</v>
      </c>
      <c r="P89" s="6" t="s">
        <v>4044</v>
      </c>
      <c r="Q89" s="6" t="s">
        <v>4045</v>
      </c>
      <c r="R89" s="6" t="s">
        <v>4046</v>
      </c>
      <c r="S89" s="6" t="s">
        <v>23</v>
      </c>
      <c r="T89" s="6" t="s">
        <v>4047</v>
      </c>
      <c r="U89" s="6" t="s">
        <v>3985</v>
      </c>
      <c r="V89" s="6" t="s">
        <v>4048</v>
      </c>
      <c r="W89" s="6" t="s">
        <v>4049</v>
      </c>
      <c r="X89" s="6" t="s">
        <v>85</v>
      </c>
      <c r="Y89" s="6" t="s">
        <v>3292</v>
      </c>
      <c r="Z89" s="6" t="s">
        <v>93</v>
      </c>
      <c r="AA89" s="6" t="s">
        <v>4050</v>
      </c>
      <c r="AB89" s="6"/>
      <c r="AC89" s="6" t="s">
        <v>3141</v>
      </c>
      <c r="AD89" s="6" t="s">
        <v>3143</v>
      </c>
      <c r="AE89" s="6" t="s">
        <v>3428</v>
      </c>
      <c r="AF89" s="6" t="s">
        <v>4051</v>
      </c>
      <c r="AG89" s="6" t="s">
        <v>4052</v>
      </c>
      <c r="AH89" s="6" t="s">
        <v>79</v>
      </c>
    </row>
    <row r="90" spans="1:34" x14ac:dyDescent="0.25">
      <c r="A90" s="6" t="s">
        <v>385</v>
      </c>
      <c r="B90" s="6" t="s">
        <v>386</v>
      </c>
      <c r="C90" s="6" t="s">
        <v>4053</v>
      </c>
      <c r="D90" s="6" t="s">
        <v>387</v>
      </c>
      <c r="E90" s="6" t="s">
        <v>3921</v>
      </c>
      <c r="F90" s="6" t="s">
        <v>3358</v>
      </c>
      <c r="G90" s="6" t="s">
        <v>388</v>
      </c>
      <c r="H90" s="6" t="s">
        <v>107</v>
      </c>
      <c r="I90" s="6" t="s">
        <v>92</v>
      </c>
      <c r="J90" s="6" t="s">
        <v>4054</v>
      </c>
      <c r="K90" s="6" t="s">
        <v>3292</v>
      </c>
      <c r="L90" s="6" t="s">
        <v>3142</v>
      </c>
      <c r="M90" s="6" t="s">
        <v>3188</v>
      </c>
      <c r="N90" s="6" t="s">
        <v>3141</v>
      </c>
      <c r="O90" s="6" t="s">
        <v>3188</v>
      </c>
      <c r="P90" s="6" t="s">
        <v>4055</v>
      </c>
      <c r="Q90" s="6"/>
      <c r="R90" s="6" t="s">
        <v>4056</v>
      </c>
      <c r="S90" s="6" t="s">
        <v>21</v>
      </c>
      <c r="T90" s="6" t="s">
        <v>4057</v>
      </c>
      <c r="U90" s="6" t="s">
        <v>3141</v>
      </c>
      <c r="V90" s="6" t="s">
        <v>4058</v>
      </c>
      <c r="W90" s="6" t="s">
        <v>4059</v>
      </c>
      <c r="X90" s="6" t="s">
        <v>85</v>
      </c>
      <c r="Y90" s="6" t="s">
        <v>3159</v>
      </c>
      <c r="Z90" s="6" t="s">
        <v>93</v>
      </c>
      <c r="AA90" s="6" t="s">
        <v>3976</v>
      </c>
      <c r="AB90" s="6"/>
      <c r="AC90" s="6" t="s">
        <v>3159</v>
      </c>
      <c r="AD90" s="6" t="s">
        <v>3152</v>
      </c>
      <c r="AE90" s="6" t="s">
        <v>3235</v>
      </c>
      <c r="AF90" s="6"/>
      <c r="AG90" s="6" t="s">
        <v>4060</v>
      </c>
      <c r="AH90" s="6" t="s">
        <v>79</v>
      </c>
    </row>
    <row r="91" spans="1:34" x14ac:dyDescent="0.25">
      <c r="A91" s="6" t="s">
        <v>389</v>
      </c>
      <c r="B91" s="6" t="s">
        <v>390</v>
      </c>
      <c r="C91" s="6" t="s">
        <v>4061</v>
      </c>
      <c r="D91" s="6" t="s">
        <v>391</v>
      </c>
      <c r="E91" s="6"/>
      <c r="F91" s="6" t="s">
        <v>3283</v>
      </c>
      <c r="G91" s="6" t="s">
        <v>72</v>
      </c>
      <c r="H91" s="6" t="s">
        <v>99</v>
      </c>
      <c r="I91" s="6" t="s">
        <v>74</v>
      </c>
      <c r="J91" s="6" t="s">
        <v>4062</v>
      </c>
      <c r="K91" s="6" t="s">
        <v>3140</v>
      </c>
      <c r="L91" s="6" t="s">
        <v>3160</v>
      </c>
      <c r="M91" s="6" t="s">
        <v>3188</v>
      </c>
      <c r="N91" s="6" t="s">
        <v>3188</v>
      </c>
      <c r="O91" s="6" t="s">
        <v>3152</v>
      </c>
      <c r="P91" s="6" t="s">
        <v>4063</v>
      </c>
      <c r="Q91" s="6" t="s">
        <v>4064</v>
      </c>
      <c r="R91" s="6" t="s">
        <v>4065</v>
      </c>
      <c r="S91" s="6" t="s">
        <v>22</v>
      </c>
      <c r="T91" s="6"/>
      <c r="U91" s="6" t="s">
        <v>3141</v>
      </c>
      <c r="V91" s="6" t="s">
        <v>4066</v>
      </c>
      <c r="W91" s="6" t="s">
        <v>4067</v>
      </c>
      <c r="X91" s="6" t="s">
        <v>3918</v>
      </c>
      <c r="Y91" s="6" t="s">
        <v>3140</v>
      </c>
      <c r="Z91" s="6" t="s">
        <v>78</v>
      </c>
      <c r="AA91" s="6" t="s">
        <v>4068</v>
      </c>
      <c r="AB91" s="6" t="s">
        <v>4069</v>
      </c>
      <c r="AC91" s="6" t="s">
        <v>3140</v>
      </c>
      <c r="AD91" s="6" t="s">
        <v>3141</v>
      </c>
      <c r="AE91" s="6" t="s">
        <v>3210</v>
      </c>
      <c r="AF91" s="6" t="s">
        <v>4070</v>
      </c>
      <c r="AG91" s="6" t="s">
        <v>4071</v>
      </c>
      <c r="AH91" s="6" t="s">
        <v>79</v>
      </c>
    </row>
    <row r="92" spans="1:34" x14ac:dyDescent="0.25">
      <c r="A92" s="6" t="s">
        <v>392</v>
      </c>
      <c r="B92" s="6" t="s">
        <v>393</v>
      </c>
      <c r="C92" s="6" t="s">
        <v>4072</v>
      </c>
      <c r="D92" s="6" t="s">
        <v>394</v>
      </c>
      <c r="E92" s="6" t="s">
        <v>3483</v>
      </c>
      <c r="F92" s="6" t="s">
        <v>3227</v>
      </c>
      <c r="G92" s="6" t="s">
        <v>139</v>
      </c>
      <c r="H92" s="6" t="s">
        <v>91</v>
      </c>
      <c r="I92" s="6" t="s">
        <v>92</v>
      </c>
      <c r="J92" s="6"/>
      <c r="K92" s="6" t="s">
        <v>3140</v>
      </c>
      <c r="L92" s="6" t="s">
        <v>3152</v>
      </c>
      <c r="M92" s="6" t="s">
        <v>3173</v>
      </c>
      <c r="N92" s="6" t="s">
        <v>75</v>
      </c>
      <c r="O92" s="6" t="s">
        <v>3173</v>
      </c>
      <c r="P92" s="6" t="s">
        <v>4073</v>
      </c>
      <c r="Q92" s="6"/>
      <c r="R92" s="6" t="s">
        <v>4074</v>
      </c>
      <c r="S92" s="6" t="s">
        <v>23</v>
      </c>
      <c r="T92" s="6" t="s">
        <v>4075</v>
      </c>
      <c r="U92" s="6" t="s">
        <v>3141</v>
      </c>
      <c r="V92" s="6" t="s">
        <v>4076</v>
      </c>
      <c r="W92" s="6" t="s">
        <v>3448</v>
      </c>
      <c r="X92" s="6" t="s">
        <v>85</v>
      </c>
      <c r="Y92" s="6" t="s">
        <v>3192</v>
      </c>
      <c r="Z92" s="6" t="s">
        <v>78</v>
      </c>
      <c r="AA92" s="6" t="s">
        <v>3565</v>
      </c>
      <c r="AB92" s="6" t="s">
        <v>4077</v>
      </c>
      <c r="AC92" s="6" t="s">
        <v>3140</v>
      </c>
      <c r="AD92" s="6" t="s">
        <v>3188</v>
      </c>
      <c r="AE92" s="6" t="s">
        <v>3331</v>
      </c>
      <c r="AF92" s="6" t="s">
        <v>4078</v>
      </c>
      <c r="AG92" s="6" t="s">
        <v>4079</v>
      </c>
      <c r="AH92" s="6" t="s">
        <v>79</v>
      </c>
    </row>
    <row r="93" spans="1:34" x14ac:dyDescent="0.25">
      <c r="A93" s="6" t="s">
        <v>395</v>
      </c>
      <c r="B93" s="6" t="s">
        <v>396</v>
      </c>
      <c r="C93" s="6" t="s">
        <v>4080</v>
      </c>
      <c r="D93" s="6" t="s">
        <v>397</v>
      </c>
      <c r="E93" s="6" t="s">
        <v>3254</v>
      </c>
      <c r="F93" s="6" t="s">
        <v>3358</v>
      </c>
      <c r="G93" s="6" t="s">
        <v>4081</v>
      </c>
      <c r="H93" s="6" t="s">
        <v>73</v>
      </c>
      <c r="I93" s="6" t="s">
        <v>74</v>
      </c>
      <c r="J93" s="6"/>
      <c r="K93" s="6" t="s">
        <v>3140</v>
      </c>
      <c r="L93" s="6" t="s">
        <v>76</v>
      </c>
      <c r="M93" s="6" t="s">
        <v>3152</v>
      </c>
      <c r="N93" s="6" t="s">
        <v>3143</v>
      </c>
      <c r="O93" s="6" t="s">
        <v>3196</v>
      </c>
      <c r="P93" s="6" t="s">
        <v>4082</v>
      </c>
      <c r="Q93" s="6" t="s">
        <v>4083</v>
      </c>
      <c r="R93" s="6" t="s">
        <v>4084</v>
      </c>
      <c r="S93" s="6" t="s">
        <v>20</v>
      </c>
      <c r="T93" s="6"/>
      <c r="U93" s="6" t="s">
        <v>3140</v>
      </c>
      <c r="V93" s="6" t="s">
        <v>4085</v>
      </c>
      <c r="W93" s="6" t="s">
        <v>3467</v>
      </c>
      <c r="X93" s="6" t="s">
        <v>3290</v>
      </c>
      <c r="Y93" s="6" t="s">
        <v>3141</v>
      </c>
      <c r="Z93" s="6" t="s">
        <v>78</v>
      </c>
      <c r="AA93" s="6" t="s">
        <v>3250</v>
      </c>
      <c r="AB93" s="6"/>
      <c r="AC93" s="6" t="s">
        <v>3141</v>
      </c>
      <c r="AD93" s="6" t="s">
        <v>3141</v>
      </c>
      <c r="AE93" s="6" t="s">
        <v>3169</v>
      </c>
      <c r="AF93" s="6"/>
      <c r="AG93" s="6" t="s">
        <v>4086</v>
      </c>
      <c r="AH93" s="6" t="s">
        <v>79</v>
      </c>
    </row>
    <row r="94" spans="1:34" x14ac:dyDescent="0.25">
      <c r="A94" s="6" t="s">
        <v>398</v>
      </c>
      <c r="B94" s="6" t="s">
        <v>380</v>
      </c>
      <c r="C94" s="6" t="s">
        <v>4087</v>
      </c>
      <c r="D94" s="6"/>
      <c r="E94" s="6" t="s">
        <v>3760</v>
      </c>
      <c r="F94" s="6" t="s">
        <v>3201</v>
      </c>
      <c r="G94" s="6" t="s">
        <v>98</v>
      </c>
      <c r="H94" s="6" t="s">
        <v>103</v>
      </c>
      <c r="I94" s="6" t="s">
        <v>74</v>
      </c>
      <c r="J94" s="6" t="s">
        <v>4088</v>
      </c>
      <c r="K94" s="6" t="s">
        <v>3159</v>
      </c>
      <c r="L94" s="6" t="s">
        <v>3160</v>
      </c>
      <c r="M94" s="6" t="s">
        <v>3141</v>
      </c>
      <c r="N94" s="6" t="s">
        <v>3160</v>
      </c>
      <c r="O94" s="6" t="s">
        <v>76</v>
      </c>
      <c r="P94" s="6" t="s">
        <v>4089</v>
      </c>
      <c r="Q94" s="6" t="s">
        <v>4090</v>
      </c>
      <c r="R94" s="6" t="s">
        <v>4091</v>
      </c>
      <c r="S94" s="6" t="s">
        <v>22</v>
      </c>
      <c r="T94" s="6"/>
      <c r="U94" s="6" t="s">
        <v>3141</v>
      </c>
      <c r="V94" s="6" t="s">
        <v>4092</v>
      </c>
      <c r="W94" s="6" t="s">
        <v>3747</v>
      </c>
      <c r="X94" s="6" t="s">
        <v>85</v>
      </c>
      <c r="Y94" s="6" t="s">
        <v>3159</v>
      </c>
      <c r="Z94" s="6" t="s">
        <v>78</v>
      </c>
      <c r="AA94" s="6" t="s">
        <v>3447</v>
      </c>
      <c r="AB94" s="6"/>
      <c r="AC94" s="6" t="s">
        <v>3141</v>
      </c>
      <c r="AD94" s="6" t="s">
        <v>75</v>
      </c>
      <c r="AE94" s="6" t="s">
        <v>3235</v>
      </c>
      <c r="AF94" s="6" t="s">
        <v>4093</v>
      </c>
      <c r="AG94" s="6" t="s">
        <v>4094</v>
      </c>
      <c r="AH94" s="6" t="s">
        <v>79</v>
      </c>
    </row>
    <row r="95" spans="1:34" x14ac:dyDescent="0.25">
      <c r="A95" s="6" t="s">
        <v>399</v>
      </c>
      <c r="B95" s="6" t="s">
        <v>400</v>
      </c>
      <c r="C95" s="6" t="s">
        <v>4095</v>
      </c>
      <c r="D95" s="6" t="s">
        <v>401</v>
      </c>
      <c r="E95" s="6" t="s">
        <v>3843</v>
      </c>
      <c r="F95" s="6" t="s">
        <v>3358</v>
      </c>
      <c r="G95" s="6" t="s">
        <v>3171</v>
      </c>
      <c r="H95" s="6" t="s">
        <v>107</v>
      </c>
      <c r="I95" s="6" t="s">
        <v>92</v>
      </c>
      <c r="J95" s="6"/>
      <c r="K95" s="6" t="s">
        <v>3140</v>
      </c>
      <c r="L95" s="6" t="s">
        <v>3159</v>
      </c>
      <c r="M95" s="6" t="s">
        <v>3142</v>
      </c>
      <c r="N95" s="6" t="s">
        <v>3152</v>
      </c>
      <c r="O95" s="6" t="s">
        <v>75</v>
      </c>
      <c r="P95" s="6" t="s">
        <v>3189</v>
      </c>
      <c r="Q95" s="6" t="s">
        <v>4096</v>
      </c>
      <c r="R95" s="6" t="s">
        <v>4097</v>
      </c>
      <c r="S95" s="6" t="s">
        <v>23</v>
      </c>
      <c r="T95" s="6" t="s">
        <v>3217</v>
      </c>
      <c r="U95" s="6" t="s">
        <v>3141</v>
      </c>
      <c r="V95" s="6" t="s">
        <v>4098</v>
      </c>
      <c r="W95" s="6" t="s">
        <v>3415</v>
      </c>
      <c r="X95" s="6" t="s">
        <v>85</v>
      </c>
      <c r="Y95" s="6" t="s">
        <v>3141</v>
      </c>
      <c r="Z95" s="6" t="s">
        <v>78</v>
      </c>
      <c r="AA95" s="6" t="s">
        <v>3195</v>
      </c>
      <c r="AB95" s="6"/>
      <c r="AC95" s="6" t="s">
        <v>3140</v>
      </c>
      <c r="AD95" s="6" t="s">
        <v>75</v>
      </c>
      <c r="AE95" s="6" t="s">
        <v>3318</v>
      </c>
      <c r="AF95" s="6" t="s">
        <v>4099</v>
      </c>
      <c r="AG95" s="6" t="s">
        <v>4100</v>
      </c>
      <c r="AH95" s="6" t="s">
        <v>79</v>
      </c>
    </row>
    <row r="96" spans="1:34" x14ac:dyDescent="0.25">
      <c r="A96" s="6" t="s">
        <v>402</v>
      </c>
      <c r="B96" s="6" t="s">
        <v>403</v>
      </c>
      <c r="C96" s="6" t="s">
        <v>4101</v>
      </c>
      <c r="D96" s="6" t="s">
        <v>4102</v>
      </c>
      <c r="E96" s="6" t="s">
        <v>3570</v>
      </c>
      <c r="F96" s="6" t="s">
        <v>71</v>
      </c>
      <c r="G96" s="6" t="s">
        <v>83</v>
      </c>
      <c r="H96" s="6" t="s">
        <v>107</v>
      </c>
      <c r="I96" s="6" t="s">
        <v>92</v>
      </c>
      <c r="J96" s="6" t="s">
        <v>4103</v>
      </c>
      <c r="K96" s="6" t="s">
        <v>3140</v>
      </c>
      <c r="L96" s="6" t="s">
        <v>3173</v>
      </c>
      <c r="M96" s="6" t="s">
        <v>3188</v>
      </c>
      <c r="N96" s="6" t="s">
        <v>3141</v>
      </c>
      <c r="O96" s="6" t="s">
        <v>3152</v>
      </c>
      <c r="P96" s="6" t="s">
        <v>3960</v>
      </c>
      <c r="Q96" s="6" t="s">
        <v>4104</v>
      </c>
      <c r="R96" s="6" t="s">
        <v>4105</v>
      </c>
      <c r="S96" s="6" t="s">
        <v>23</v>
      </c>
      <c r="T96" s="6" t="s">
        <v>4106</v>
      </c>
      <c r="U96" s="6" t="s">
        <v>3292</v>
      </c>
      <c r="V96" s="6" t="s">
        <v>4107</v>
      </c>
      <c r="W96" s="6" t="s">
        <v>4108</v>
      </c>
      <c r="X96" s="6" t="s">
        <v>3918</v>
      </c>
      <c r="Y96" s="6" t="s">
        <v>3141</v>
      </c>
      <c r="Z96" s="6" t="s">
        <v>194</v>
      </c>
      <c r="AA96" s="6" t="s">
        <v>3718</v>
      </c>
      <c r="AB96" s="6"/>
      <c r="AC96" s="6" t="s">
        <v>3159</v>
      </c>
      <c r="AD96" s="6" t="s">
        <v>3152</v>
      </c>
      <c r="AE96" s="6" t="s">
        <v>3513</v>
      </c>
      <c r="AF96" s="6" t="s">
        <v>4109</v>
      </c>
      <c r="AG96" s="6" t="s">
        <v>4110</v>
      </c>
      <c r="AH96" s="6" t="s">
        <v>79</v>
      </c>
    </row>
    <row r="97" spans="1:34" x14ac:dyDescent="0.25">
      <c r="A97" s="6" t="s">
        <v>405</v>
      </c>
      <c r="B97" s="6" t="s">
        <v>4111</v>
      </c>
      <c r="C97" s="6" t="s">
        <v>4112</v>
      </c>
      <c r="D97" s="6" t="s">
        <v>407</v>
      </c>
      <c r="E97" s="6" t="s">
        <v>3921</v>
      </c>
      <c r="F97" s="6" t="s">
        <v>3358</v>
      </c>
      <c r="G97" s="6" t="s">
        <v>314</v>
      </c>
      <c r="H97" s="6" t="s">
        <v>91</v>
      </c>
      <c r="I97" s="6" t="s">
        <v>92</v>
      </c>
      <c r="J97" s="6" t="s">
        <v>4113</v>
      </c>
      <c r="K97" s="6" t="s">
        <v>3140</v>
      </c>
      <c r="L97" s="6" t="s">
        <v>3142</v>
      </c>
      <c r="M97" s="6" t="s">
        <v>3142</v>
      </c>
      <c r="N97" s="6" t="s">
        <v>3152</v>
      </c>
      <c r="O97" s="6" t="s">
        <v>3152</v>
      </c>
      <c r="P97" s="6" t="s">
        <v>4035</v>
      </c>
      <c r="Q97" s="6" t="s">
        <v>4114</v>
      </c>
      <c r="R97" s="6" t="s">
        <v>4115</v>
      </c>
      <c r="S97" s="6" t="s">
        <v>23</v>
      </c>
      <c r="T97" s="6" t="s">
        <v>3217</v>
      </c>
      <c r="U97" s="6" t="s">
        <v>3192</v>
      </c>
      <c r="V97" s="6" t="s">
        <v>4116</v>
      </c>
      <c r="W97" s="6" t="s">
        <v>4117</v>
      </c>
      <c r="X97" s="6" t="s">
        <v>85</v>
      </c>
      <c r="Y97" s="6" t="s">
        <v>3140</v>
      </c>
      <c r="Z97" s="6" t="s">
        <v>93</v>
      </c>
      <c r="AA97" s="6" t="s">
        <v>3278</v>
      </c>
      <c r="AB97" s="6"/>
      <c r="AC97" s="6" t="s">
        <v>3141</v>
      </c>
      <c r="AD97" s="6" t="s">
        <v>3243</v>
      </c>
      <c r="AE97" s="6" t="s">
        <v>3428</v>
      </c>
      <c r="AF97" s="6" t="s">
        <v>4118</v>
      </c>
      <c r="AG97" s="6" t="s">
        <v>4119</v>
      </c>
      <c r="AH97" s="6" t="s">
        <v>79</v>
      </c>
    </row>
    <row r="98" spans="1:34" x14ac:dyDescent="0.25">
      <c r="A98" s="6" t="s">
        <v>408</v>
      </c>
      <c r="B98" s="6" t="s">
        <v>409</v>
      </c>
      <c r="C98" s="6" t="s">
        <v>4120</v>
      </c>
      <c r="D98" s="6" t="s">
        <v>4121</v>
      </c>
      <c r="E98" s="6" t="s">
        <v>3570</v>
      </c>
      <c r="F98" s="6" t="s">
        <v>3283</v>
      </c>
      <c r="G98" s="6" t="s">
        <v>215</v>
      </c>
      <c r="H98" s="6" t="s">
        <v>91</v>
      </c>
      <c r="I98" s="6" t="s">
        <v>92</v>
      </c>
      <c r="J98" s="6"/>
      <c r="K98" s="6" t="s">
        <v>3140</v>
      </c>
      <c r="L98" s="6" t="s">
        <v>3141</v>
      </c>
      <c r="M98" s="6" t="s">
        <v>76</v>
      </c>
      <c r="N98" s="6" t="s">
        <v>3141</v>
      </c>
      <c r="O98" s="6" t="s">
        <v>3173</v>
      </c>
      <c r="P98" s="6" t="s">
        <v>4122</v>
      </c>
      <c r="Q98" s="6" t="s">
        <v>4123</v>
      </c>
      <c r="R98" s="6" t="s">
        <v>4124</v>
      </c>
      <c r="S98" s="6" t="s">
        <v>22</v>
      </c>
      <c r="T98" s="6"/>
      <c r="U98" s="6" t="s">
        <v>3141</v>
      </c>
      <c r="V98" s="6" t="s">
        <v>4125</v>
      </c>
      <c r="W98" s="6" t="s">
        <v>3194</v>
      </c>
      <c r="X98" s="6" t="s">
        <v>85</v>
      </c>
      <c r="Y98" s="6" t="s">
        <v>3159</v>
      </c>
      <c r="Z98" s="6" t="s">
        <v>93</v>
      </c>
      <c r="AA98" s="6" t="s">
        <v>4126</v>
      </c>
      <c r="AB98" s="6"/>
      <c r="AC98" s="6" t="s">
        <v>3141</v>
      </c>
      <c r="AD98" s="6" t="s">
        <v>3243</v>
      </c>
      <c r="AE98" s="6" t="s">
        <v>3210</v>
      </c>
      <c r="AF98" s="6" t="s">
        <v>4127</v>
      </c>
      <c r="AG98" s="6" t="s">
        <v>4128</v>
      </c>
      <c r="AH98" s="6" t="s">
        <v>79</v>
      </c>
    </row>
    <row r="99" spans="1:34" x14ac:dyDescent="0.25">
      <c r="A99" s="6" t="s">
        <v>411</v>
      </c>
      <c r="B99" s="6" t="s">
        <v>412</v>
      </c>
      <c r="C99" s="6" t="s">
        <v>4129</v>
      </c>
      <c r="D99" s="6" t="s">
        <v>4130</v>
      </c>
      <c r="E99" s="6" t="s">
        <v>3235</v>
      </c>
      <c r="F99" s="6" t="s">
        <v>3369</v>
      </c>
      <c r="G99" s="6" t="s">
        <v>215</v>
      </c>
      <c r="H99" s="6" t="s">
        <v>132</v>
      </c>
      <c r="I99" s="6" t="s">
        <v>92</v>
      </c>
      <c r="J99" s="6" t="s">
        <v>4131</v>
      </c>
      <c r="K99" s="6" t="s">
        <v>3141</v>
      </c>
      <c r="L99" s="6" t="s">
        <v>3160</v>
      </c>
      <c r="M99" s="6" t="s">
        <v>3160</v>
      </c>
      <c r="N99" s="6" t="s">
        <v>3143</v>
      </c>
      <c r="O99" s="6" t="s">
        <v>3143</v>
      </c>
      <c r="P99" s="6" t="s">
        <v>4132</v>
      </c>
      <c r="Q99" s="6"/>
      <c r="R99" s="6" t="s">
        <v>4133</v>
      </c>
      <c r="S99" s="6" t="s">
        <v>20</v>
      </c>
      <c r="T99" s="6"/>
      <c r="U99" s="6" t="s">
        <v>3141</v>
      </c>
      <c r="V99" s="6" t="s">
        <v>4134</v>
      </c>
      <c r="W99" s="6" t="s">
        <v>4135</v>
      </c>
      <c r="X99" s="6" t="s">
        <v>85</v>
      </c>
      <c r="Y99" s="6" t="s">
        <v>3159</v>
      </c>
      <c r="Z99" s="6" t="s">
        <v>93</v>
      </c>
      <c r="AA99" s="6" t="s">
        <v>3448</v>
      </c>
      <c r="AB99" s="6" t="s">
        <v>4136</v>
      </c>
      <c r="AC99" s="6" t="s">
        <v>3140</v>
      </c>
      <c r="AD99" s="6" t="s">
        <v>3152</v>
      </c>
      <c r="AE99" s="6" t="s">
        <v>3293</v>
      </c>
      <c r="AF99" s="6"/>
      <c r="AG99" s="6" t="s">
        <v>4137</v>
      </c>
      <c r="AH99" s="6" t="s">
        <v>79</v>
      </c>
    </row>
    <row r="100" spans="1:34" x14ac:dyDescent="0.25">
      <c r="A100" s="6" t="s">
        <v>414</v>
      </c>
      <c r="B100" s="6" t="s">
        <v>415</v>
      </c>
      <c r="C100" s="6" t="s">
        <v>4138</v>
      </c>
      <c r="D100" s="6" t="s">
        <v>416</v>
      </c>
      <c r="E100" s="6" t="s">
        <v>3185</v>
      </c>
      <c r="F100" s="6" t="s">
        <v>71</v>
      </c>
      <c r="G100" s="6" t="s">
        <v>4139</v>
      </c>
      <c r="H100" s="6" t="s">
        <v>166</v>
      </c>
      <c r="I100" s="6" t="s">
        <v>74</v>
      </c>
      <c r="J100" s="6" t="s">
        <v>3217</v>
      </c>
      <c r="K100" s="6" t="s">
        <v>3141</v>
      </c>
      <c r="L100" s="6" t="s">
        <v>3160</v>
      </c>
      <c r="M100" s="6" t="s">
        <v>3243</v>
      </c>
      <c r="N100" s="6" t="s">
        <v>3152</v>
      </c>
      <c r="O100" s="6" t="s">
        <v>3243</v>
      </c>
      <c r="P100" s="6" t="s">
        <v>4140</v>
      </c>
      <c r="Q100" s="6"/>
      <c r="R100" s="6" t="s">
        <v>4141</v>
      </c>
      <c r="S100" s="6" t="s">
        <v>22</v>
      </c>
      <c r="T100" s="6" t="s">
        <v>4142</v>
      </c>
      <c r="U100" s="6" t="s">
        <v>3192</v>
      </c>
      <c r="V100" s="6" t="s">
        <v>4143</v>
      </c>
      <c r="W100" s="6" t="s">
        <v>3233</v>
      </c>
      <c r="X100" s="6" t="s">
        <v>85</v>
      </c>
      <c r="Y100" s="6" t="s">
        <v>3140</v>
      </c>
      <c r="Z100" s="6" t="s">
        <v>93</v>
      </c>
      <c r="AA100" s="6" t="s">
        <v>3987</v>
      </c>
      <c r="AB100" s="6"/>
      <c r="AC100" s="6" t="s">
        <v>3140</v>
      </c>
      <c r="AD100" s="6" t="s">
        <v>3141</v>
      </c>
      <c r="AE100" s="6" t="s">
        <v>3235</v>
      </c>
      <c r="AF100" s="6" t="s">
        <v>4144</v>
      </c>
      <c r="AG100" s="6" t="s">
        <v>4145</v>
      </c>
      <c r="AH100" s="6" t="s">
        <v>79</v>
      </c>
    </row>
    <row r="101" spans="1:34" x14ac:dyDescent="0.25">
      <c r="A101" s="6" t="s">
        <v>418</v>
      </c>
      <c r="B101" s="6" t="s">
        <v>419</v>
      </c>
      <c r="C101" s="6" t="s">
        <v>420</v>
      </c>
      <c r="D101" s="6" t="s">
        <v>421</v>
      </c>
      <c r="E101" s="6" t="s">
        <v>3420</v>
      </c>
      <c r="F101" s="6" t="s">
        <v>71</v>
      </c>
      <c r="G101" s="6" t="s">
        <v>153</v>
      </c>
      <c r="H101" s="6" t="s">
        <v>103</v>
      </c>
      <c r="I101" s="6" t="s">
        <v>74</v>
      </c>
      <c r="J101" s="6" t="s">
        <v>4146</v>
      </c>
      <c r="K101" s="6" t="s">
        <v>3159</v>
      </c>
      <c r="L101" s="6" t="s">
        <v>3196</v>
      </c>
      <c r="M101" s="6" t="s">
        <v>75</v>
      </c>
      <c r="N101" s="6" t="s">
        <v>75</v>
      </c>
      <c r="O101" s="6" t="s">
        <v>3152</v>
      </c>
      <c r="P101" s="6" t="s">
        <v>4147</v>
      </c>
      <c r="Q101" s="6" t="s">
        <v>4148</v>
      </c>
      <c r="R101" s="6" t="s">
        <v>4149</v>
      </c>
      <c r="S101" s="6" t="s">
        <v>22</v>
      </c>
      <c r="T101" s="6"/>
      <c r="U101" s="6" t="s">
        <v>3141</v>
      </c>
      <c r="V101" s="6" t="s">
        <v>4150</v>
      </c>
      <c r="W101" s="6" t="s">
        <v>3150</v>
      </c>
      <c r="X101" s="6" t="s">
        <v>77</v>
      </c>
      <c r="Y101" s="6" t="s">
        <v>3159</v>
      </c>
      <c r="Z101" s="6" t="s">
        <v>78</v>
      </c>
      <c r="AA101" s="6" t="s">
        <v>4151</v>
      </c>
      <c r="AB101" s="6" t="s">
        <v>4152</v>
      </c>
      <c r="AC101" s="6" t="s">
        <v>3141</v>
      </c>
      <c r="AD101" s="6" t="s">
        <v>3143</v>
      </c>
      <c r="AE101" s="6" t="s">
        <v>3210</v>
      </c>
      <c r="AF101" s="6" t="s">
        <v>4153</v>
      </c>
      <c r="AG101" s="6" t="s">
        <v>4154</v>
      </c>
      <c r="AH101" s="6" t="s">
        <v>79</v>
      </c>
    </row>
    <row r="102" spans="1:34" x14ac:dyDescent="0.25">
      <c r="A102" s="6" t="s">
        <v>422</v>
      </c>
      <c r="B102" s="6" t="s">
        <v>423</v>
      </c>
      <c r="C102" s="6" t="s">
        <v>424</v>
      </c>
      <c r="D102" s="6" t="s">
        <v>425</v>
      </c>
      <c r="E102" s="6" t="s">
        <v>4155</v>
      </c>
      <c r="F102" s="6" t="s">
        <v>3358</v>
      </c>
      <c r="G102" s="6" t="s">
        <v>131</v>
      </c>
      <c r="H102" s="6" t="s">
        <v>103</v>
      </c>
      <c r="I102" s="6" t="s">
        <v>74</v>
      </c>
      <c r="J102" s="6" t="s">
        <v>4156</v>
      </c>
      <c r="K102" s="6" t="s">
        <v>3159</v>
      </c>
      <c r="L102" s="6" t="s">
        <v>3243</v>
      </c>
      <c r="M102" s="6" t="s">
        <v>3188</v>
      </c>
      <c r="N102" s="6" t="s">
        <v>3143</v>
      </c>
      <c r="O102" s="6" t="s">
        <v>3141</v>
      </c>
      <c r="P102" s="6" t="s">
        <v>4157</v>
      </c>
      <c r="Q102" s="6" t="s">
        <v>4158</v>
      </c>
      <c r="R102" s="6" t="s">
        <v>4159</v>
      </c>
      <c r="S102" s="6" t="s">
        <v>23</v>
      </c>
      <c r="T102" s="6"/>
      <c r="U102" s="6" t="s">
        <v>3141</v>
      </c>
      <c r="V102" s="6" t="s">
        <v>4160</v>
      </c>
      <c r="W102" s="6" t="s">
        <v>4161</v>
      </c>
      <c r="X102" s="6" t="s">
        <v>85</v>
      </c>
      <c r="Y102" s="6" t="s">
        <v>3141</v>
      </c>
      <c r="Z102" s="6" t="s">
        <v>93</v>
      </c>
      <c r="AA102" s="6" t="s">
        <v>3195</v>
      </c>
      <c r="AB102" s="6"/>
      <c r="AC102" s="6" t="s">
        <v>3141</v>
      </c>
      <c r="AD102" s="6" t="s">
        <v>3141</v>
      </c>
      <c r="AE102" s="6" t="s">
        <v>3428</v>
      </c>
      <c r="AF102" s="6" t="s">
        <v>4162</v>
      </c>
      <c r="AG102" s="6" t="s">
        <v>4163</v>
      </c>
      <c r="AH102" s="6" t="s">
        <v>79</v>
      </c>
    </row>
    <row r="103" spans="1:34" x14ac:dyDescent="0.25">
      <c r="A103" s="6" t="s">
        <v>426</v>
      </c>
      <c r="B103" s="6" t="s">
        <v>427</v>
      </c>
      <c r="C103" s="6"/>
      <c r="D103" s="6" t="s">
        <v>428</v>
      </c>
      <c r="E103" s="6" t="s">
        <v>3185</v>
      </c>
      <c r="F103" s="6" t="s">
        <v>3214</v>
      </c>
      <c r="G103" s="6" t="s">
        <v>3255</v>
      </c>
      <c r="H103" s="6" t="s">
        <v>103</v>
      </c>
      <c r="I103" s="6" t="s">
        <v>74</v>
      </c>
      <c r="J103" s="6" t="s">
        <v>4164</v>
      </c>
      <c r="K103" s="6" t="s">
        <v>3141</v>
      </c>
      <c r="L103" s="6" t="s">
        <v>3143</v>
      </c>
      <c r="M103" s="6" t="s">
        <v>3243</v>
      </c>
      <c r="N103" s="6" t="s">
        <v>75</v>
      </c>
      <c r="O103" s="6" t="s">
        <v>3141</v>
      </c>
      <c r="P103" s="6" t="s">
        <v>4165</v>
      </c>
      <c r="Q103" s="6"/>
      <c r="R103" s="6" t="s">
        <v>4166</v>
      </c>
      <c r="S103" s="6" t="s">
        <v>22</v>
      </c>
      <c r="T103" s="6" t="s">
        <v>4167</v>
      </c>
      <c r="U103" s="6" t="s">
        <v>3140</v>
      </c>
      <c r="V103" s="6" t="s">
        <v>4168</v>
      </c>
      <c r="W103" s="6" t="s">
        <v>3577</v>
      </c>
      <c r="X103" s="6" t="s">
        <v>77</v>
      </c>
      <c r="Y103" s="6" t="s">
        <v>3159</v>
      </c>
      <c r="Z103" s="6" t="s">
        <v>93</v>
      </c>
      <c r="AA103" s="6" t="s">
        <v>3375</v>
      </c>
      <c r="AB103" s="6"/>
      <c r="AC103" s="6" t="s">
        <v>3159</v>
      </c>
      <c r="AD103" s="6" t="s">
        <v>3243</v>
      </c>
      <c r="AE103" s="6" t="s">
        <v>3136</v>
      </c>
      <c r="AF103" s="6" t="s">
        <v>4169</v>
      </c>
      <c r="AG103" s="6" t="s">
        <v>4170</v>
      </c>
      <c r="AH103" s="6" t="s">
        <v>94</v>
      </c>
    </row>
    <row r="104" spans="1:34" x14ac:dyDescent="0.25">
      <c r="A104" s="6" t="s">
        <v>429</v>
      </c>
      <c r="B104" s="6" t="s">
        <v>430</v>
      </c>
      <c r="C104" s="6" t="s">
        <v>431</v>
      </c>
      <c r="D104" s="6"/>
      <c r="E104" s="6" t="s">
        <v>3703</v>
      </c>
      <c r="F104" s="6" t="s">
        <v>3201</v>
      </c>
      <c r="G104" s="6" t="s">
        <v>226</v>
      </c>
      <c r="H104" s="6" t="s">
        <v>91</v>
      </c>
      <c r="I104" s="6" t="s">
        <v>92</v>
      </c>
      <c r="J104" s="6" t="s">
        <v>4171</v>
      </c>
      <c r="K104" s="6" t="s">
        <v>3159</v>
      </c>
      <c r="L104" s="6" t="s">
        <v>3243</v>
      </c>
      <c r="M104" s="6" t="s">
        <v>76</v>
      </c>
      <c r="N104" s="6" t="s">
        <v>75</v>
      </c>
      <c r="O104" s="6" t="s">
        <v>3152</v>
      </c>
      <c r="P104" s="6" t="s">
        <v>4172</v>
      </c>
      <c r="Q104" s="6"/>
      <c r="R104" s="6" t="s">
        <v>4173</v>
      </c>
      <c r="S104" s="6" t="s">
        <v>22</v>
      </c>
      <c r="T104" s="6" t="s">
        <v>4174</v>
      </c>
      <c r="U104" s="6" t="s">
        <v>3141</v>
      </c>
      <c r="V104" s="6" t="s">
        <v>4175</v>
      </c>
      <c r="W104" s="6" t="s">
        <v>3478</v>
      </c>
      <c r="X104" s="6" t="s">
        <v>85</v>
      </c>
      <c r="Y104" s="6" t="s">
        <v>3140</v>
      </c>
      <c r="Z104" s="6" t="s">
        <v>93</v>
      </c>
      <c r="AA104" s="6" t="s">
        <v>4176</v>
      </c>
      <c r="AB104" s="6"/>
      <c r="AC104" s="6" t="s">
        <v>3141</v>
      </c>
      <c r="AD104" s="6" t="s">
        <v>3141</v>
      </c>
      <c r="AE104" s="6" t="s">
        <v>3323</v>
      </c>
      <c r="AF104" s="6" t="s">
        <v>4177</v>
      </c>
      <c r="AG104" s="6" t="s">
        <v>4178</v>
      </c>
      <c r="AH104" s="6" t="s">
        <v>79</v>
      </c>
    </row>
    <row r="105" spans="1:34" x14ac:dyDescent="0.25">
      <c r="A105" s="6" t="s">
        <v>432</v>
      </c>
      <c r="B105" s="6" t="s">
        <v>433</v>
      </c>
      <c r="C105" s="6" t="s">
        <v>4179</v>
      </c>
      <c r="D105" s="6" t="s">
        <v>434</v>
      </c>
      <c r="E105" s="6"/>
      <c r="F105" s="6" t="s">
        <v>71</v>
      </c>
      <c r="G105" s="6" t="s">
        <v>3370</v>
      </c>
      <c r="H105" s="6" t="s">
        <v>107</v>
      </c>
      <c r="I105" s="6" t="s">
        <v>92</v>
      </c>
      <c r="J105" s="6" t="s">
        <v>4180</v>
      </c>
      <c r="K105" s="6" t="s">
        <v>3140</v>
      </c>
      <c r="L105" s="6" t="s">
        <v>3141</v>
      </c>
      <c r="M105" s="6" t="s">
        <v>3173</v>
      </c>
      <c r="N105" s="6" t="s">
        <v>76</v>
      </c>
      <c r="O105" s="6" t="s">
        <v>3152</v>
      </c>
      <c r="P105" s="6" t="s">
        <v>4181</v>
      </c>
      <c r="Q105" s="6" t="s">
        <v>4182</v>
      </c>
      <c r="R105" s="6" t="s">
        <v>4183</v>
      </c>
      <c r="S105" s="6" t="s">
        <v>23</v>
      </c>
      <c r="T105" s="6" t="s">
        <v>4184</v>
      </c>
      <c r="U105" s="6" t="s">
        <v>3140</v>
      </c>
      <c r="V105" s="6" t="s">
        <v>4185</v>
      </c>
      <c r="W105" s="6" t="s">
        <v>3598</v>
      </c>
      <c r="X105" s="6" t="s">
        <v>85</v>
      </c>
      <c r="Y105" s="6" t="s">
        <v>3140</v>
      </c>
      <c r="Z105" s="6" t="s">
        <v>93</v>
      </c>
      <c r="AA105" s="6" t="s">
        <v>3792</v>
      </c>
      <c r="AB105" s="6" t="s">
        <v>4186</v>
      </c>
      <c r="AC105" s="6" t="s">
        <v>3141</v>
      </c>
      <c r="AD105" s="6" t="s">
        <v>3142</v>
      </c>
      <c r="AE105" s="6" t="s">
        <v>3428</v>
      </c>
      <c r="AF105" s="6" t="s">
        <v>4187</v>
      </c>
      <c r="AG105" s="6" t="s">
        <v>4188</v>
      </c>
      <c r="AH105" s="6" t="s">
        <v>79</v>
      </c>
    </row>
    <row r="106" spans="1:34" x14ac:dyDescent="0.25">
      <c r="A106" s="6" t="s">
        <v>435</v>
      </c>
      <c r="B106" s="6" t="s">
        <v>436</v>
      </c>
      <c r="C106" s="6" t="s">
        <v>4189</v>
      </c>
      <c r="D106" s="6" t="s">
        <v>437</v>
      </c>
      <c r="E106" s="6" t="s">
        <v>4190</v>
      </c>
      <c r="F106" s="6" t="s">
        <v>3283</v>
      </c>
      <c r="G106" s="6" t="s">
        <v>143</v>
      </c>
      <c r="H106" s="6" t="s">
        <v>91</v>
      </c>
      <c r="I106" s="6" t="s">
        <v>92</v>
      </c>
      <c r="J106" s="6" t="s">
        <v>4191</v>
      </c>
      <c r="K106" s="6" t="s">
        <v>3140</v>
      </c>
      <c r="L106" s="6" t="s">
        <v>3173</v>
      </c>
      <c r="M106" s="6" t="s">
        <v>3160</v>
      </c>
      <c r="N106" s="6" t="s">
        <v>3243</v>
      </c>
      <c r="O106" s="6" t="s">
        <v>3196</v>
      </c>
      <c r="P106" s="6" t="s">
        <v>4073</v>
      </c>
      <c r="Q106" s="6" t="s">
        <v>4192</v>
      </c>
      <c r="R106" s="6" t="s">
        <v>4193</v>
      </c>
      <c r="S106" s="6" t="s">
        <v>22</v>
      </c>
      <c r="T106" s="6" t="s">
        <v>3217</v>
      </c>
      <c r="U106" s="6" t="s">
        <v>3141</v>
      </c>
      <c r="V106" s="6" t="s">
        <v>4194</v>
      </c>
      <c r="W106" s="6" t="s">
        <v>3490</v>
      </c>
      <c r="X106" s="6" t="s">
        <v>85</v>
      </c>
      <c r="Y106" s="6" t="s">
        <v>3141</v>
      </c>
      <c r="Z106" s="6" t="s">
        <v>93</v>
      </c>
      <c r="AA106" s="6" t="s">
        <v>3477</v>
      </c>
      <c r="AB106" s="6"/>
      <c r="AC106" s="6" t="s">
        <v>3141</v>
      </c>
      <c r="AD106" s="6" t="s">
        <v>3243</v>
      </c>
      <c r="AE106" s="6" t="s">
        <v>3235</v>
      </c>
      <c r="AF106" s="6" t="s">
        <v>4195</v>
      </c>
      <c r="AG106" s="6" t="s">
        <v>4196</v>
      </c>
      <c r="AH106" s="6" t="s">
        <v>79</v>
      </c>
    </row>
    <row r="107" spans="1:34" x14ac:dyDescent="0.25">
      <c r="A107" s="6" t="s">
        <v>438</v>
      </c>
      <c r="B107" s="6" t="s">
        <v>439</v>
      </c>
      <c r="C107" s="6" t="s">
        <v>440</v>
      </c>
      <c r="D107" s="6" t="s">
        <v>441</v>
      </c>
      <c r="E107" s="6" t="s">
        <v>3703</v>
      </c>
      <c r="F107" s="6" t="s">
        <v>3214</v>
      </c>
      <c r="G107" s="6" t="s">
        <v>417</v>
      </c>
      <c r="H107" s="6" t="s">
        <v>107</v>
      </c>
      <c r="I107" s="6" t="s">
        <v>92</v>
      </c>
      <c r="J107" s="6"/>
      <c r="K107" s="6" t="s">
        <v>3292</v>
      </c>
      <c r="L107" s="6" t="s">
        <v>3142</v>
      </c>
      <c r="M107" s="6" t="s">
        <v>3142</v>
      </c>
      <c r="N107" s="6" t="s">
        <v>3142</v>
      </c>
      <c r="O107" s="6" t="s">
        <v>3160</v>
      </c>
      <c r="P107" s="6" t="s">
        <v>3519</v>
      </c>
      <c r="Q107" s="6" t="s">
        <v>4197</v>
      </c>
      <c r="R107" s="6" t="s">
        <v>4198</v>
      </c>
      <c r="S107" s="6" t="s">
        <v>23</v>
      </c>
      <c r="T107" s="6" t="s">
        <v>4199</v>
      </c>
      <c r="U107" s="6" t="s">
        <v>3159</v>
      </c>
      <c r="V107" s="6" t="s">
        <v>4200</v>
      </c>
      <c r="W107" s="6" t="s">
        <v>3523</v>
      </c>
      <c r="X107" s="6" t="s">
        <v>77</v>
      </c>
      <c r="Y107" s="6" t="s">
        <v>3159</v>
      </c>
      <c r="Z107" s="6" t="s">
        <v>93</v>
      </c>
      <c r="AA107" s="6" t="s">
        <v>3264</v>
      </c>
      <c r="AB107" s="6"/>
      <c r="AC107" s="6" t="s">
        <v>3140</v>
      </c>
      <c r="AD107" s="6" t="s">
        <v>3152</v>
      </c>
      <c r="AE107" s="6" t="s">
        <v>3513</v>
      </c>
      <c r="AF107" s="6" t="s">
        <v>4201</v>
      </c>
      <c r="AG107" s="6" t="s">
        <v>4202</v>
      </c>
      <c r="AH107" s="6" t="s">
        <v>79</v>
      </c>
    </row>
    <row r="108" spans="1:34" x14ac:dyDescent="0.25">
      <c r="A108" s="6" t="s">
        <v>442</v>
      </c>
      <c r="B108" s="6" t="s">
        <v>443</v>
      </c>
      <c r="C108" s="6" t="s">
        <v>4203</v>
      </c>
      <c r="D108" s="6" t="s">
        <v>444</v>
      </c>
      <c r="E108" s="6" t="s">
        <v>3505</v>
      </c>
      <c r="F108" s="6" t="s">
        <v>3358</v>
      </c>
      <c r="G108" s="6" t="s">
        <v>139</v>
      </c>
      <c r="H108" s="6" t="s">
        <v>107</v>
      </c>
      <c r="I108" s="6" t="s">
        <v>92</v>
      </c>
      <c r="J108" s="6" t="s">
        <v>4204</v>
      </c>
      <c r="K108" s="6" t="s">
        <v>3140</v>
      </c>
      <c r="L108" s="6" t="s">
        <v>3143</v>
      </c>
      <c r="M108" s="6" t="s">
        <v>3142</v>
      </c>
      <c r="N108" s="6" t="s">
        <v>3188</v>
      </c>
      <c r="O108" s="6" t="s">
        <v>3152</v>
      </c>
      <c r="P108" s="6"/>
      <c r="Q108" s="6" t="s">
        <v>4205</v>
      </c>
      <c r="R108" s="6" t="s">
        <v>4206</v>
      </c>
      <c r="S108" s="6" t="s">
        <v>23</v>
      </c>
      <c r="T108" s="6" t="s">
        <v>3217</v>
      </c>
      <c r="U108" s="6" t="s">
        <v>3985</v>
      </c>
      <c r="V108" s="6" t="s">
        <v>4207</v>
      </c>
      <c r="W108" s="6" t="s">
        <v>3395</v>
      </c>
      <c r="X108" s="6" t="s">
        <v>85</v>
      </c>
      <c r="Y108" s="6" t="s">
        <v>3292</v>
      </c>
      <c r="Z108" s="6" t="s">
        <v>194</v>
      </c>
      <c r="AA108" s="6" t="s">
        <v>3468</v>
      </c>
      <c r="AB108" s="6"/>
      <c r="AC108" s="6" t="s">
        <v>3141</v>
      </c>
      <c r="AD108" s="6" t="s">
        <v>3141</v>
      </c>
      <c r="AE108" s="6" t="s">
        <v>3153</v>
      </c>
      <c r="AF108" s="6" t="s">
        <v>4208</v>
      </c>
      <c r="AG108" s="6" t="s">
        <v>4209</v>
      </c>
      <c r="AH108" s="6" t="s">
        <v>79</v>
      </c>
    </row>
    <row r="109" spans="1:34" x14ac:dyDescent="0.25">
      <c r="A109" s="6" t="s">
        <v>445</v>
      </c>
      <c r="B109" s="6" t="s">
        <v>446</v>
      </c>
      <c r="C109" s="6" t="s">
        <v>4210</v>
      </c>
      <c r="D109" s="6" t="s">
        <v>4211</v>
      </c>
      <c r="E109" s="6" t="s">
        <v>3185</v>
      </c>
      <c r="F109" s="6" t="s">
        <v>89</v>
      </c>
      <c r="G109" s="6" t="s">
        <v>72</v>
      </c>
      <c r="H109" s="6" t="s">
        <v>132</v>
      </c>
      <c r="I109" s="6" t="s">
        <v>92</v>
      </c>
      <c r="J109" s="6" t="s">
        <v>4212</v>
      </c>
      <c r="K109" s="6" t="s">
        <v>3159</v>
      </c>
      <c r="L109" s="6" t="s">
        <v>3160</v>
      </c>
      <c r="M109" s="6" t="s">
        <v>3143</v>
      </c>
      <c r="N109" s="6" t="s">
        <v>3196</v>
      </c>
      <c r="O109" s="6" t="s">
        <v>3243</v>
      </c>
      <c r="P109" s="6" t="s">
        <v>4213</v>
      </c>
      <c r="Q109" s="6" t="s">
        <v>4214</v>
      </c>
      <c r="R109" s="6" t="s">
        <v>4215</v>
      </c>
      <c r="S109" s="6" t="s">
        <v>22</v>
      </c>
      <c r="T109" s="6"/>
      <c r="U109" s="6" t="s">
        <v>3140</v>
      </c>
      <c r="V109" s="6" t="s">
        <v>4216</v>
      </c>
      <c r="W109" s="6" t="s">
        <v>4217</v>
      </c>
      <c r="X109" s="6" t="s">
        <v>85</v>
      </c>
      <c r="Y109" s="6" t="s">
        <v>3159</v>
      </c>
      <c r="Z109" s="6" t="s">
        <v>93</v>
      </c>
      <c r="AA109" s="6" t="s">
        <v>3455</v>
      </c>
      <c r="AB109" s="6"/>
      <c r="AC109" s="6" t="s">
        <v>3141</v>
      </c>
      <c r="AD109" s="6" t="s">
        <v>3160</v>
      </c>
      <c r="AE109" s="6" t="s">
        <v>3622</v>
      </c>
      <c r="AF109" s="6" t="s">
        <v>4218</v>
      </c>
      <c r="AG109" s="6" t="s">
        <v>4219</v>
      </c>
      <c r="AH109" s="6" t="s">
        <v>4220</v>
      </c>
    </row>
    <row r="110" spans="1:34" x14ac:dyDescent="0.25">
      <c r="A110" s="6" t="s">
        <v>448</v>
      </c>
      <c r="B110" s="6" t="s">
        <v>449</v>
      </c>
      <c r="C110" s="6" t="s">
        <v>450</v>
      </c>
      <c r="D110" s="6" t="s">
        <v>4221</v>
      </c>
      <c r="E110" s="6" t="s">
        <v>3213</v>
      </c>
      <c r="F110" s="6" t="s">
        <v>3214</v>
      </c>
      <c r="G110" s="6" t="s">
        <v>115</v>
      </c>
      <c r="H110" s="6" t="s">
        <v>73</v>
      </c>
      <c r="I110" s="6" t="s">
        <v>74</v>
      </c>
      <c r="J110" s="6" t="s">
        <v>4222</v>
      </c>
      <c r="K110" s="6" t="s">
        <v>3159</v>
      </c>
      <c r="L110" s="6" t="s">
        <v>3173</v>
      </c>
      <c r="M110" s="6" t="s">
        <v>3143</v>
      </c>
      <c r="N110" s="6" t="s">
        <v>75</v>
      </c>
      <c r="O110" s="6" t="s">
        <v>3243</v>
      </c>
      <c r="P110" s="6" t="s">
        <v>4223</v>
      </c>
      <c r="Q110" s="6" t="s">
        <v>4224</v>
      </c>
      <c r="R110" s="6" t="s">
        <v>4225</v>
      </c>
      <c r="S110" s="6" t="s">
        <v>20</v>
      </c>
      <c r="T110" s="6" t="s">
        <v>3217</v>
      </c>
      <c r="U110" s="6" t="s">
        <v>3141</v>
      </c>
      <c r="V110" s="6" t="s">
        <v>4226</v>
      </c>
      <c r="W110" s="6" t="s">
        <v>3767</v>
      </c>
      <c r="X110" s="6" t="s">
        <v>85</v>
      </c>
      <c r="Y110" s="6" t="s">
        <v>3140</v>
      </c>
      <c r="Z110" s="6" t="s">
        <v>78</v>
      </c>
      <c r="AA110" s="6" t="s">
        <v>4227</v>
      </c>
      <c r="AB110" s="6"/>
      <c r="AC110" s="6" t="s">
        <v>3141</v>
      </c>
      <c r="AD110" s="6" t="s">
        <v>75</v>
      </c>
      <c r="AE110" s="6" t="s">
        <v>3136</v>
      </c>
      <c r="AF110" s="6"/>
      <c r="AG110" s="6"/>
      <c r="AH110" s="6" t="s">
        <v>79</v>
      </c>
    </row>
    <row r="111" spans="1:34" x14ac:dyDescent="0.25">
      <c r="A111" s="6" t="s">
        <v>452</v>
      </c>
      <c r="B111" s="6" t="s">
        <v>453</v>
      </c>
      <c r="C111" s="6" t="s">
        <v>4228</v>
      </c>
      <c r="D111" s="6" t="s">
        <v>454</v>
      </c>
      <c r="E111" s="6" t="s">
        <v>3471</v>
      </c>
      <c r="F111" s="6" t="s">
        <v>71</v>
      </c>
      <c r="G111" s="6" t="s">
        <v>90</v>
      </c>
      <c r="H111" s="6" t="s">
        <v>91</v>
      </c>
      <c r="I111" s="6" t="s">
        <v>92</v>
      </c>
      <c r="J111" s="6" t="s">
        <v>4229</v>
      </c>
      <c r="K111" s="6" t="s">
        <v>3159</v>
      </c>
      <c r="L111" s="6" t="s">
        <v>3142</v>
      </c>
      <c r="M111" s="6" t="s">
        <v>3141</v>
      </c>
      <c r="N111" s="6" t="s">
        <v>3160</v>
      </c>
      <c r="O111" s="6" t="s">
        <v>75</v>
      </c>
      <c r="P111" s="6" t="s">
        <v>4230</v>
      </c>
      <c r="Q111" s="6" t="s">
        <v>4231</v>
      </c>
      <c r="R111" s="6" t="s">
        <v>4232</v>
      </c>
      <c r="S111" s="6" t="s">
        <v>3287</v>
      </c>
      <c r="T111" s="6" t="s">
        <v>4233</v>
      </c>
      <c r="U111" s="6" t="s">
        <v>3141</v>
      </c>
      <c r="V111" s="6" t="s">
        <v>4234</v>
      </c>
      <c r="W111" s="6" t="s">
        <v>3965</v>
      </c>
      <c r="X111" s="6" t="s">
        <v>3353</v>
      </c>
      <c r="Y111" s="6" t="s">
        <v>3292</v>
      </c>
      <c r="Z111" s="6" t="s">
        <v>93</v>
      </c>
      <c r="AA111" s="6" t="s">
        <v>3150</v>
      </c>
      <c r="AB111" s="6" t="s">
        <v>4235</v>
      </c>
      <c r="AC111" s="6" t="s">
        <v>3159</v>
      </c>
      <c r="AD111" s="6" t="s">
        <v>3152</v>
      </c>
      <c r="AE111" s="6" t="s">
        <v>3235</v>
      </c>
      <c r="AF111" s="6"/>
      <c r="AG111" s="6" t="s">
        <v>4236</v>
      </c>
      <c r="AH111" s="6" t="s">
        <v>79</v>
      </c>
    </row>
    <row r="112" spans="1:34" x14ac:dyDescent="0.25">
      <c r="A112" s="6" t="s">
        <v>455</v>
      </c>
      <c r="B112" s="6" t="s">
        <v>456</v>
      </c>
      <c r="C112" s="6" t="s">
        <v>457</v>
      </c>
      <c r="D112" s="6" t="s">
        <v>4237</v>
      </c>
      <c r="E112" s="6" t="s">
        <v>3170</v>
      </c>
      <c r="F112" s="6" t="s">
        <v>3201</v>
      </c>
      <c r="G112" s="6" t="s">
        <v>388</v>
      </c>
      <c r="H112" s="6" t="s">
        <v>84</v>
      </c>
      <c r="I112" s="6" t="s">
        <v>74</v>
      </c>
      <c r="J112" s="6" t="s">
        <v>4238</v>
      </c>
      <c r="K112" s="6" t="s">
        <v>3159</v>
      </c>
      <c r="L112" s="6" t="s">
        <v>3173</v>
      </c>
      <c r="M112" s="6" t="s">
        <v>75</v>
      </c>
      <c r="N112" s="6" t="s">
        <v>3243</v>
      </c>
      <c r="O112" s="6" t="s">
        <v>3152</v>
      </c>
      <c r="P112" s="6" t="s">
        <v>3771</v>
      </c>
      <c r="Q112" s="6" t="s">
        <v>4239</v>
      </c>
      <c r="R112" s="6" t="s">
        <v>4240</v>
      </c>
      <c r="S112" s="6" t="s">
        <v>21</v>
      </c>
      <c r="T112" s="6" t="s">
        <v>4241</v>
      </c>
      <c r="U112" s="6" t="s">
        <v>3292</v>
      </c>
      <c r="V112" s="6" t="s">
        <v>3466</v>
      </c>
      <c r="W112" s="6" t="s">
        <v>3316</v>
      </c>
      <c r="X112" s="6" t="s">
        <v>77</v>
      </c>
      <c r="Y112" s="6" t="s">
        <v>3140</v>
      </c>
      <c r="Z112" s="6" t="s">
        <v>93</v>
      </c>
      <c r="AA112" s="6" t="s">
        <v>3954</v>
      </c>
      <c r="AB112" s="6"/>
      <c r="AC112" s="6" t="s">
        <v>3140</v>
      </c>
      <c r="AD112" s="6" t="s">
        <v>3152</v>
      </c>
      <c r="AE112" s="6" t="s">
        <v>3235</v>
      </c>
      <c r="AF112" s="6"/>
      <c r="AG112" s="6" t="s">
        <v>4242</v>
      </c>
      <c r="AH112" s="6" t="s">
        <v>79</v>
      </c>
    </row>
    <row r="113" spans="1:34" x14ac:dyDescent="0.25">
      <c r="A113" s="6" t="s">
        <v>459</v>
      </c>
      <c r="B113" s="6" t="s">
        <v>460</v>
      </c>
      <c r="C113" s="6"/>
      <c r="D113" s="6"/>
      <c r="E113" s="6" t="s">
        <v>3921</v>
      </c>
      <c r="F113" s="6" t="s">
        <v>3358</v>
      </c>
      <c r="G113" s="6" t="s">
        <v>4243</v>
      </c>
      <c r="H113" s="6" t="s">
        <v>103</v>
      </c>
      <c r="I113" s="6" t="s">
        <v>74</v>
      </c>
      <c r="J113" s="6" t="s">
        <v>4244</v>
      </c>
      <c r="K113" s="6" t="s">
        <v>3292</v>
      </c>
      <c r="L113" s="6" t="s">
        <v>3142</v>
      </c>
      <c r="M113" s="6" t="s">
        <v>3142</v>
      </c>
      <c r="N113" s="6" t="s">
        <v>3159</v>
      </c>
      <c r="O113" s="6" t="s">
        <v>3152</v>
      </c>
      <c r="P113" s="6" t="s">
        <v>4245</v>
      </c>
      <c r="Q113" s="6" t="s">
        <v>4246</v>
      </c>
      <c r="R113" s="6" t="s">
        <v>4247</v>
      </c>
      <c r="S113" s="6" t="s">
        <v>22</v>
      </c>
      <c r="T113" s="6" t="s">
        <v>3217</v>
      </c>
      <c r="U113" s="6" t="s">
        <v>3141</v>
      </c>
      <c r="V113" s="6" t="s">
        <v>4248</v>
      </c>
      <c r="W113" s="6" t="s">
        <v>3598</v>
      </c>
      <c r="X113" s="6" t="s">
        <v>77</v>
      </c>
      <c r="Y113" s="6" t="s">
        <v>3292</v>
      </c>
      <c r="Z113" s="6" t="s">
        <v>93</v>
      </c>
      <c r="AA113" s="6" t="s">
        <v>3954</v>
      </c>
      <c r="AB113" s="6"/>
      <c r="AC113" s="6" t="s">
        <v>3159</v>
      </c>
      <c r="AD113" s="6" t="s">
        <v>3152</v>
      </c>
      <c r="AE113" s="6" t="s">
        <v>3279</v>
      </c>
      <c r="AF113" s="6" t="s">
        <v>4249</v>
      </c>
      <c r="AG113" s="6" t="s">
        <v>4250</v>
      </c>
      <c r="AH113" s="6" t="s">
        <v>3334</v>
      </c>
    </row>
    <row r="114" spans="1:34" x14ac:dyDescent="0.25">
      <c r="A114" s="6" t="s">
        <v>461</v>
      </c>
      <c r="B114" s="6" t="s">
        <v>462</v>
      </c>
      <c r="C114" s="6" t="s">
        <v>4251</v>
      </c>
      <c r="D114" s="6" t="s">
        <v>463</v>
      </c>
      <c r="E114" s="6" t="s">
        <v>3471</v>
      </c>
      <c r="F114" s="6" t="s">
        <v>89</v>
      </c>
      <c r="G114" s="6" t="s">
        <v>3297</v>
      </c>
      <c r="H114" s="6" t="s">
        <v>144</v>
      </c>
      <c r="I114" s="6" t="s">
        <v>92</v>
      </c>
      <c r="J114" s="6" t="s">
        <v>4252</v>
      </c>
      <c r="K114" s="6" t="s">
        <v>3141</v>
      </c>
      <c r="L114" s="6" t="s">
        <v>3160</v>
      </c>
      <c r="M114" s="6" t="s">
        <v>3243</v>
      </c>
      <c r="N114" s="6" t="s">
        <v>3141</v>
      </c>
      <c r="O114" s="6" t="s">
        <v>3141</v>
      </c>
      <c r="P114" s="6" t="s">
        <v>4253</v>
      </c>
      <c r="Q114" s="6" t="s">
        <v>4254</v>
      </c>
      <c r="R114" s="6" t="s">
        <v>4255</v>
      </c>
      <c r="S114" s="6" t="s">
        <v>23</v>
      </c>
      <c r="T114" s="6" t="s">
        <v>4256</v>
      </c>
      <c r="U114" s="6" t="s">
        <v>3140</v>
      </c>
      <c r="V114" s="6" t="s">
        <v>4257</v>
      </c>
      <c r="W114" s="6" t="s">
        <v>3354</v>
      </c>
      <c r="X114" s="6" t="s">
        <v>77</v>
      </c>
      <c r="Y114" s="6" t="s">
        <v>3292</v>
      </c>
      <c r="Z114" s="6" t="s">
        <v>3343</v>
      </c>
      <c r="AA114" s="6" t="s">
        <v>3943</v>
      </c>
      <c r="AB114" s="6" t="s">
        <v>4258</v>
      </c>
      <c r="AC114" s="6" t="s">
        <v>3140</v>
      </c>
      <c r="AD114" s="6" t="s">
        <v>3152</v>
      </c>
      <c r="AE114" s="6" t="s">
        <v>3153</v>
      </c>
      <c r="AF114" s="6" t="s">
        <v>4259</v>
      </c>
      <c r="AG114" s="6"/>
      <c r="AH114" s="6" t="s">
        <v>79</v>
      </c>
    </row>
    <row r="115" spans="1:34" x14ac:dyDescent="0.25">
      <c r="A115" s="6" t="s">
        <v>464</v>
      </c>
      <c r="B115" s="6" t="s">
        <v>465</v>
      </c>
      <c r="C115" s="6" t="s">
        <v>466</v>
      </c>
      <c r="D115" s="6" t="s">
        <v>467</v>
      </c>
      <c r="E115" s="6" t="s">
        <v>3617</v>
      </c>
      <c r="F115" s="6" t="s">
        <v>3358</v>
      </c>
      <c r="G115" s="6" t="s">
        <v>115</v>
      </c>
      <c r="H115" s="6" t="s">
        <v>91</v>
      </c>
      <c r="I115" s="6" t="s">
        <v>92</v>
      </c>
      <c r="J115" s="6" t="s">
        <v>4260</v>
      </c>
      <c r="K115" s="6" t="s">
        <v>3159</v>
      </c>
      <c r="L115" s="6" t="s">
        <v>3142</v>
      </c>
      <c r="M115" s="6" t="s">
        <v>3152</v>
      </c>
      <c r="N115" s="6" t="s">
        <v>3160</v>
      </c>
      <c r="O115" s="6" t="s">
        <v>3152</v>
      </c>
      <c r="P115" s="6" t="s">
        <v>4261</v>
      </c>
      <c r="Q115" s="6" t="s">
        <v>4262</v>
      </c>
      <c r="R115" s="6" t="s">
        <v>4263</v>
      </c>
      <c r="S115" s="6" t="s">
        <v>22</v>
      </c>
      <c r="T115" s="6" t="s">
        <v>3217</v>
      </c>
      <c r="U115" s="6" t="s">
        <v>4264</v>
      </c>
      <c r="V115" s="6" t="s">
        <v>4265</v>
      </c>
      <c r="W115" s="6" t="s">
        <v>3862</v>
      </c>
      <c r="X115" s="6" t="s">
        <v>85</v>
      </c>
      <c r="Y115" s="6" t="s">
        <v>3292</v>
      </c>
      <c r="Z115" s="6" t="s">
        <v>78</v>
      </c>
      <c r="AA115" s="6" t="s">
        <v>3490</v>
      </c>
      <c r="AB115" s="6" t="s">
        <v>4266</v>
      </c>
      <c r="AC115" s="6" t="s">
        <v>3141</v>
      </c>
      <c r="AD115" s="6" t="s">
        <v>3141</v>
      </c>
      <c r="AE115" s="6" t="s">
        <v>3323</v>
      </c>
      <c r="AF115" s="6" t="s">
        <v>4267</v>
      </c>
      <c r="AG115" s="6" t="s">
        <v>4268</v>
      </c>
      <c r="AH115" s="6" t="s">
        <v>3494</v>
      </c>
    </row>
    <row r="116" spans="1:34" x14ac:dyDescent="0.25">
      <c r="A116" s="6" t="s">
        <v>468</v>
      </c>
      <c r="B116" s="6" t="s">
        <v>469</v>
      </c>
      <c r="C116" s="6"/>
      <c r="D116" s="6"/>
      <c r="E116" s="6" t="s">
        <v>3970</v>
      </c>
      <c r="F116" s="6" t="s">
        <v>3283</v>
      </c>
      <c r="G116" s="6" t="s">
        <v>174</v>
      </c>
      <c r="H116" s="6" t="s">
        <v>99</v>
      </c>
      <c r="I116" s="6" t="s">
        <v>74</v>
      </c>
      <c r="J116" s="6" t="s">
        <v>4269</v>
      </c>
      <c r="K116" s="6" t="s">
        <v>3159</v>
      </c>
      <c r="L116" s="6" t="s">
        <v>3152</v>
      </c>
      <c r="M116" s="6" t="s">
        <v>3141</v>
      </c>
      <c r="N116" s="6" t="s">
        <v>3196</v>
      </c>
      <c r="O116" s="6" t="s">
        <v>3243</v>
      </c>
      <c r="P116" s="6" t="s">
        <v>4270</v>
      </c>
      <c r="Q116" s="6" t="s">
        <v>3217</v>
      </c>
      <c r="R116" s="6" t="s">
        <v>4271</v>
      </c>
      <c r="S116" s="6" t="s">
        <v>21</v>
      </c>
      <c r="T116" s="6"/>
      <c r="U116" s="6" t="s">
        <v>3140</v>
      </c>
      <c r="V116" s="6" t="s">
        <v>4272</v>
      </c>
      <c r="W116" s="6" t="s">
        <v>4067</v>
      </c>
      <c r="X116" s="6" t="s">
        <v>77</v>
      </c>
      <c r="Y116" s="6" t="s">
        <v>3159</v>
      </c>
      <c r="Z116" s="6" t="s">
        <v>78</v>
      </c>
      <c r="AA116" s="6" t="s">
        <v>3416</v>
      </c>
      <c r="AB116" s="6"/>
      <c r="AC116" s="6" t="s">
        <v>3141</v>
      </c>
      <c r="AD116" s="6" t="s">
        <v>3160</v>
      </c>
      <c r="AE116" s="6" t="s">
        <v>3136</v>
      </c>
      <c r="AF116" s="6"/>
      <c r="AG116" s="6" t="s">
        <v>4273</v>
      </c>
      <c r="AH116" s="6" t="s">
        <v>79</v>
      </c>
    </row>
    <row r="117" spans="1:34" x14ac:dyDescent="0.25">
      <c r="A117" s="6" t="s">
        <v>470</v>
      </c>
      <c r="B117" s="6" t="s">
        <v>471</v>
      </c>
      <c r="C117" s="6" t="s">
        <v>4274</v>
      </c>
      <c r="D117" s="6" t="s">
        <v>4275</v>
      </c>
      <c r="E117" s="6" t="s">
        <v>3505</v>
      </c>
      <c r="F117" s="6" t="s">
        <v>3201</v>
      </c>
      <c r="G117" s="6" t="s">
        <v>226</v>
      </c>
      <c r="H117" s="6" t="s">
        <v>107</v>
      </c>
      <c r="I117" s="6" t="s">
        <v>92</v>
      </c>
      <c r="J117" s="6"/>
      <c r="K117" s="6" t="s">
        <v>3159</v>
      </c>
      <c r="L117" s="6" t="s">
        <v>3152</v>
      </c>
      <c r="M117" s="6" t="s">
        <v>3196</v>
      </c>
      <c r="N117" s="6" t="s">
        <v>3152</v>
      </c>
      <c r="O117" s="6" t="s">
        <v>3152</v>
      </c>
      <c r="P117" s="6" t="s">
        <v>4276</v>
      </c>
      <c r="Q117" s="6" t="s">
        <v>3217</v>
      </c>
      <c r="R117" s="6" t="s">
        <v>4277</v>
      </c>
      <c r="S117" s="6" t="s">
        <v>21</v>
      </c>
      <c r="T117" s="6" t="s">
        <v>4278</v>
      </c>
      <c r="U117" s="6" t="s">
        <v>3140</v>
      </c>
      <c r="V117" s="6" t="s">
        <v>4279</v>
      </c>
      <c r="W117" s="6" t="s">
        <v>3490</v>
      </c>
      <c r="X117" s="6" t="s">
        <v>85</v>
      </c>
      <c r="Y117" s="6" t="s">
        <v>3140</v>
      </c>
      <c r="Z117" s="6" t="s">
        <v>78</v>
      </c>
      <c r="AA117" s="6" t="s">
        <v>3466</v>
      </c>
      <c r="AB117" s="6" t="s">
        <v>4280</v>
      </c>
      <c r="AC117" s="6" t="s">
        <v>3141</v>
      </c>
      <c r="AD117" s="6" t="s">
        <v>76</v>
      </c>
      <c r="AE117" s="6" t="s">
        <v>3293</v>
      </c>
      <c r="AF117" s="6"/>
      <c r="AG117" s="6" t="s">
        <v>4281</v>
      </c>
      <c r="AH117" s="6" t="s">
        <v>79</v>
      </c>
    </row>
    <row r="118" spans="1:34" x14ac:dyDescent="0.25">
      <c r="A118" s="6" t="s">
        <v>473</v>
      </c>
      <c r="B118" s="6" t="s">
        <v>474</v>
      </c>
      <c r="C118" s="6" t="s">
        <v>4282</v>
      </c>
      <c r="D118" s="6" t="s">
        <v>4283</v>
      </c>
      <c r="E118" s="6" t="s">
        <v>3157</v>
      </c>
      <c r="F118" s="6" t="s">
        <v>71</v>
      </c>
      <c r="G118" s="6" t="s">
        <v>83</v>
      </c>
      <c r="H118" s="6" t="s">
        <v>84</v>
      </c>
      <c r="I118" s="6" t="s">
        <v>74</v>
      </c>
      <c r="J118" s="6" t="s">
        <v>4284</v>
      </c>
      <c r="K118" s="6" t="s">
        <v>3140</v>
      </c>
      <c r="L118" s="6" t="s">
        <v>3243</v>
      </c>
      <c r="M118" s="6" t="s">
        <v>3196</v>
      </c>
      <c r="N118" s="6" t="s">
        <v>3152</v>
      </c>
      <c r="O118" s="6" t="s">
        <v>3142</v>
      </c>
      <c r="P118" s="6" t="s">
        <v>4285</v>
      </c>
      <c r="Q118" s="6" t="s">
        <v>4286</v>
      </c>
      <c r="R118" s="6" t="s">
        <v>4287</v>
      </c>
      <c r="S118" s="6" t="s">
        <v>22</v>
      </c>
      <c r="T118" s="6" t="s">
        <v>4288</v>
      </c>
      <c r="U118" s="6" t="s">
        <v>3141</v>
      </c>
      <c r="V118" s="6" t="s">
        <v>4289</v>
      </c>
      <c r="W118" s="6" t="s">
        <v>4290</v>
      </c>
      <c r="X118" s="6" t="s">
        <v>77</v>
      </c>
      <c r="Y118" s="6" t="s">
        <v>3159</v>
      </c>
      <c r="Z118" s="6" t="s">
        <v>93</v>
      </c>
      <c r="AA118" s="6" t="s">
        <v>3489</v>
      </c>
      <c r="AB118" s="6"/>
      <c r="AC118" s="6" t="s">
        <v>3159</v>
      </c>
      <c r="AD118" s="6" t="s">
        <v>3143</v>
      </c>
      <c r="AE118" s="6" t="s">
        <v>3136</v>
      </c>
      <c r="AF118" s="6" t="s">
        <v>4291</v>
      </c>
      <c r="AG118" s="6" t="s">
        <v>4292</v>
      </c>
      <c r="AH118" s="6" t="s">
        <v>79</v>
      </c>
    </row>
    <row r="119" spans="1:34" x14ac:dyDescent="0.25">
      <c r="A119" s="6" t="s">
        <v>476</v>
      </c>
      <c r="B119" s="6" t="s">
        <v>477</v>
      </c>
      <c r="C119" s="6"/>
      <c r="D119" s="6" t="s">
        <v>4293</v>
      </c>
      <c r="E119" s="6" t="s">
        <v>3388</v>
      </c>
      <c r="F119" s="6" t="s">
        <v>3201</v>
      </c>
      <c r="G119" s="6" t="s">
        <v>226</v>
      </c>
      <c r="H119" s="6" t="s">
        <v>91</v>
      </c>
      <c r="I119" s="6" t="s">
        <v>92</v>
      </c>
      <c r="J119" s="6" t="s">
        <v>4294</v>
      </c>
      <c r="K119" s="6" t="s">
        <v>3292</v>
      </c>
      <c r="L119" s="6" t="s">
        <v>3196</v>
      </c>
      <c r="M119" s="6" t="s">
        <v>3173</v>
      </c>
      <c r="N119" s="6" t="s">
        <v>76</v>
      </c>
      <c r="O119" s="6" t="s">
        <v>3243</v>
      </c>
      <c r="P119" s="6" t="s">
        <v>4295</v>
      </c>
      <c r="Q119" s="6" t="s">
        <v>4296</v>
      </c>
      <c r="R119" s="6" t="s">
        <v>4297</v>
      </c>
      <c r="S119" s="6" t="s">
        <v>3219</v>
      </c>
      <c r="T119" s="6" t="s">
        <v>3217</v>
      </c>
      <c r="U119" s="6" t="s">
        <v>3140</v>
      </c>
      <c r="V119" s="6" t="s">
        <v>4298</v>
      </c>
      <c r="W119" s="6" t="s">
        <v>3180</v>
      </c>
      <c r="X119" s="6" t="s">
        <v>85</v>
      </c>
      <c r="Y119" s="6" t="s">
        <v>3192</v>
      </c>
      <c r="Z119" s="6" t="s">
        <v>78</v>
      </c>
      <c r="AA119" s="6" t="s">
        <v>3264</v>
      </c>
      <c r="AB119" s="6"/>
      <c r="AC119" s="6" t="s">
        <v>3140</v>
      </c>
      <c r="AD119" s="6" t="s">
        <v>3160</v>
      </c>
      <c r="AE119" s="6" t="s">
        <v>3235</v>
      </c>
      <c r="AF119" s="6"/>
      <c r="AG119" s="6" t="s">
        <v>4299</v>
      </c>
      <c r="AH119" s="6" t="s">
        <v>79</v>
      </c>
    </row>
    <row r="120" spans="1:34" x14ac:dyDescent="0.25">
      <c r="A120" s="6" t="s">
        <v>479</v>
      </c>
      <c r="B120" s="6" t="s">
        <v>480</v>
      </c>
      <c r="C120" s="6" t="s">
        <v>4300</v>
      </c>
      <c r="D120" s="6" t="s">
        <v>481</v>
      </c>
      <c r="E120" s="6" t="s">
        <v>3843</v>
      </c>
      <c r="F120" s="6" t="s">
        <v>71</v>
      </c>
      <c r="G120" s="6" t="s">
        <v>4301</v>
      </c>
      <c r="H120" s="6" t="s">
        <v>103</v>
      </c>
      <c r="I120" s="6" t="s">
        <v>74</v>
      </c>
      <c r="J120" s="6"/>
      <c r="K120" s="6" t="s">
        <v>3141</v>
      </c>
      <c r="L120" s="6" t="s">
        <v>75</v>
      </c>
      <c r="M120" s="6" t="s">
        <v>3243</v>
      </c>
      <c r="N120" s="6" t="s">
        <v>3243</v>
      </c>
      <c r="O120" s="6" t="s">
        <v>3243</v>
      </c>
      <c r="P120" s="6" t="s">
        <v>4302</v>
      </c>
      <c r="Q120" s="6" t="s">
        <v>4303</v>
      </c>
      <c r="R120" s="6" t="s">
        <v>4304</v>
      </c>
      <c r="S120" s="6" t="s">
        <v>20</v>
      </c>
      <c r="T120" s="6" t="s">
        <v>4305</v>
      </c>
      <c r="U120" s="6" t="s">
        <v>3141</v>
      </c>
      <c r="V120" s="6" t="s">
        <v>4306</v>
      </c>
      <c r="W120" s="6" t="s">
        <v>3523</v>
      </c>
      <c r="X120" s="6" t="s">
        <v>77</v>
      </c>
      <c r="Y120" s="6" t="s">
        <v>3159</v>
      </c>
      <c r="Z120" s="6" t="s">
        <v>78</v>
      </c>
      <c r="AA120" s="6" t="s">
        <v>3195</v>
      </c>
      <c r="AB120" s="6"/>
      <c r="AC120" s="6" t="s">
        <v>3141</v>
      </c>
      <c r="AD120" s="6" t="s">
        <v>3141</v>
      </c>
      <c r="AE120" s="6" t="s">
        <v>3293</v>
      </c>
      <c r="AF120" s="6"/>
      <c r="AG120" s="6" t="s">
        <v>4307</v>
      </c>
      <c r="AH120" s="6" t="s">
        <v>79</v>
      </c>
    </row>
    <row r="121" spans="1:34" x14ac:dyDescent="0.25">
      <c r="A121" s="6" t="s">
        <v>482</v>
      </c>
      <c r="B121" s="6" t="s">
        <v>483</v>
      </c>
      <c r="C121" s="6" t="s">
        <v>484</v>
      </c>
      <c r="D121" s="6" t="s">
        <v>485</v>
      </c>
      <c r="E121" s="6" t="s">
        <v>3505</v>
      </c>
      <c r="F121" s="6" t="s">
        <v>89</v>
      </c>
      <c r="G121" s="6" t="s">
        <v>98</v>
      </c>
      <c r="H121" s="6" t="s">
        <v>99</v>
      </c>
      <c r="I121" s="6" t="s">
        <v>74</v>
      </c>
      <c r="J121" s="6" t="s">
        <v>4308</v>
      </c>
      <c r="K121" s="6" t="s">
        <v>3141</v>
      </c>
      <c r="L121" s="6" t="s">
        <v>3141</v>
      </c>
      <c r="M121" s="6" t="s">
        <v>3141</v>
      </c>
      <c r="N121" s="6" t="s">
        <v>3152</v>
      </c>
      <c r="O121" s="6" t="s">
        <v>3243</v>
      </c>
      <c r="P121" s="6" t="s">
        <v>4309</v>
      </c>
      <c r="Q121" s="6" t="s">
        <v>3217</v>
      </c>
      <c r="R121" s="6" t="s">
        <v>4310</v>
      </c>
      <c r="S121" s="6" t="s">
        <v>20</v>
      </c>
      <c r="T121" s="6" t="s">
        <v>4311</v>
      </c>
      <c r="U121" s="6" t="s">
        <v>3141</v>
      </c>
      <c r="V121" s="6" t="s">
        <v>4013</v>
      </c>
      <c r="W121" s="6" t="s">
        <v>3954</v>
      </c>
      <c r="X121" s="6" t="s">
        <v>85</v>
      </c>
      <c r="Y121" s="6" t="s">
        <v>3140</v>
      </c>
      <c r="Z121" s="6" t="s">
        <v>93</v>
      </c>
      <c r="AA121" s="6" t="s">
        <v>3232</v>
      </c>
      <c r="AB121" s="6"/>
      <c r="AC121" s="6" t="s">
        <v>3159</v>
      </c>
      <c r="AD121" s="6" t="s">
        <v>3188</v>
      </c>
      <c r="AE121" s="6" t="s">
        <v>3235</v>
      </c>
      <c r="AF121" s="6"/>
      <c r="AG121" s="6" t="s">
        <v>4312</v>
      </c>
      <c r="AH121" s="6" t="s">
        <v>3494</v>
      </c>
    </row>
    <row r="122" spans="1:34" x14ac:dyDescent="0.25">
      <c r="A122" s="6" t="s">
        <v>486</v>
      </c>
      <c r="B122" s="6" t="s">
        <v>4313</v>
      </c>
      <c r="C122" s="6" t="s">
        <v>488</v>
      </c>
      <c r="D122" s="6" t="s">
        <v>489</v>
      </c>
      <c r="E122" s="6" t="s">
        <v>3626</v>
      </c>
      <c r="F122" s="6" t="s">
        <v>3369</v>
      </c>
      <c r="G122" s="6" t="s">
        <v>153</v>
      </c>
      <c r="H122" s="6" t="s">
        <v>132</v>
      </c>
      <c r="I122" s="6" t="s">
        <v>92</v>
      </c>
      <c r="J122" s="6"/>
      <c r="K122" s="6" t="s">
        <v>3159</v>
      </c>
      <c r="L122" s="6" t="s">
        <v>3196</v>
      </c>
      <c r="M122" s="6" t="s">
        <v>3243</v>
      </c>
      <c r="N122" s="6" t="s">
        <v>3160</v>
      </c>
      <c r="O122" s="6" t="s">
        <v>3160</v>
      </c>
      <c r="P122" s="6" t="s">
        <v>4019</v>
      </c>
      <c r="Q122" s="6" t="s">
        <v>4314</v>
      </c>
      <c r="R122" s="6" t="s">
        <v>4315</v>
      </c>
      <c r="S122" s="6" t="s">
        <v>23</v>
      </c>
      <c r="T122" s="6" t="s">
        <v>4316</v>
      </c>
      <c r="U122" s="6" t="s">
        <v>3141</v>
      </c>
      <c r="V122" s="6" t="s">
        <v>4317</v>
      </c>
      <c r="W122" s="6" t="s">
        <v>3550</v>
      </c>
      <c r="X122" s="6" t="s">
        <v>85</v>
      </c>
      <c r="Y122" s="6" t="s">
        <v>3140</v>
      </c>
      <c r="Z122" s="6" t="s">
        <v>78</v>
      </c>
      <c r="AA122" s="6" t="s">
        <v>3364</v>
      </c>
      <c r="AB122" s="6"/>
      <c r="AC122" s="6" t="s">
        <v>3140</v>
      </c>
      <c r="AD122" s="6" t="s">
        <v>75</v>
      </c>
      <c r="AE122" s="6" t="s">
        <v>3331</v>
      </c>
      <c r="AF122" s="6" t="s">
        <v>4318</v>
      </c>
      <c r="AG122" s="6" t="s">
        <v>4319</v>
      </c>
      <c r="AH122" s="6" t="s">
        <v>94</v>
      </c>
    </row>
    <row r="123" spans="1:34" x14ac:dyDescent="0.25">
      <c r="A123" s="6" t="s">
        <v>490</v>
      </c>
      <c r="B123" s="6" t="s">
        <v>491</v>
      </c>
      <c r="C123" s="6" t="s">
        <v>492</v>
      </c>
      <c r="D123" s="6" t="s">
        <v>493</v>
      </c>
      <c r="E123" s="6" t="s">
        <v>3296</v>
      </c>
      <c r="F123" s="6" t="s">
        <v>71</v>
      </c>
      <c r="G123" s="6" t="s">
        <v>4320</v>
      </c>
      <c r="H123" s="6" t="s">
        <v>144</v>
      </c>
      <c r="I123" s="6" t="s">
        <v>92</v>
      </c>
      <c r="J123" s="6" t="s">
        <v>4321</v>
      </c>
      <c r="K123" s="6" t="s">
        <v>3141</v>
      </c>
      <c r="L123" s="6" t="s">
        <v>3152</v>
      </c>
      <c r="M123" s="6" t="s">
        <v>3143</v>
      </c>
      <c r="N123" s="6" t="s">
        <v>3160</v>
      </c>
      <c r="O123" s="6" t="s">
        <v>3243</v>
      </c>
      <c r="P123" s="6" t="s">
        <v>4322</v>
      </c>
      <c r="Q123" s="6" t="s">
        <v>4323</v>
      </c>
      <c r="R123" s="6" t="s">
        <v>4324</v>
      </c>
      <c r="S123" s="6" t="s">
        <v>23</v>
      </c>
      <c r="T123" s="6" t="s">
        <v>4325</v>
      </c>
      <c r="U123" s="6" t="s">
        <v>3141</v>
      </c>
      <c r="V123" s="6" t="s">
        <v>3531</v>
      </c>
      <c r="W123" s="6" t="s">
        <v>4135</v>
      </c>
      <c r="X123" s="6" t="s">
        <v>85</v>
      </c>
      <c r="Y123" s="6" t="s">
        <v>3140</v>
      </c>
      <c r="Z123" s="6" t="s">
        <v>93</v>
      </c>
      <c r="AA123" s="6" t="s">
        <v>3395</v>
      </c>
      <c r="AB123" s="6"/>
      <c r="AC123" s="6" t="s">
        <v>3159</v>
      </c>
      <c r="AD123" s="6" t="s">
        <v>3243</v>
      </c>
      <c r="AE123" s="6" t="s">
        <v>3428</v>
      </c>
      <c r="AF123" s="6" t="s">
        <v>4326</v>
      </c>
      <c r="AG123" s="6" t="s">
        <v>4327</v>
      </c>
      <c r="AH123" s="6" t="s">
        <v>79</v>
      </c>
    </row>
    <row r="124" spans="1:34" x14ac:dyDescent="0.25">
      <c r="A124" s="6" t="s">
        <v>494</v>
      </c>
      <c r="B124" s="6" t="s">
        <v>495</v>
      </c>
      <c r="C124" s="6" t="s">
        <v>4328</v>
      </c>
      <c r="D124" s="6" t="s">
        <v>496</v>
      </c>
      <c r="E124" s="6" t="s">
        <v>3388</v>
      </c>
      <c r="F124" s="6" t="s">
        <v>71</v>
      </c>
      <c r="G124" s="6" t="s">
        <v>4329</v>
      </c>
      <c r="H124" s="6" t="s">
        <v>132</v>
      </c>
      <c r="I124" s="6" t="s">
        <v>92</v>
      </c>
      <c r="J124" s="6" t="s">
        <v>4330</v>
      </c>
      <c r="K124" s="6" t="s">
        <v>3140</v>
      </c>
      <c r="L124" s="6" t="s">
        <v>3159</v>
      </c>
      <c r="M124" s="6" t="s">
        <v>3160</v>
      </c>
      <c r="N124" s="6" t="s">
        <v>3243</v>
      </c>
      <c r="O124" s="6" t="s">
        <v>3159</v>
      </c>
      <c r="P124" s="6" t="s">
        <v>4331</v>
      </c>
      <c r="Q124" s="6" t="s">
        <v>4332</v>
      </c>
      <c r="R124" s="6" t="s">
        <v>4333</v>
      </c>
      <c r="S124" s="6" t="s">
        <v>21</v>
      </c>
      <c r="T124" s="6" t="s">
        <v>4334</v>
      </c>
      <c r="U124" s="6" t="s">
        <v>3292</v>
      </c>
      <c r="V124" s="6" t="s">
        <v>3232</v>
      </c>
      <c r="W124" s="6" t="s">
        <v>3383</v>
      </c>
      <c r="X124" s="6" t="s">
        <v>77</v>
      </c>
      <c r="Y124" s="6" t="s">
        <v>3141</v>
      </c>
      <c r="Z124" s="6" t="s">
        <v>93</v>
      </c>
      <c r="AA124" s="6" t="s">
        <v>4335</v>
      </c>
      <c r="AB124" s="6" t="s">
        <v>4336</v>
      </c>
      <c r="AC124" s="6" t="s">
        <v>3141</v>
      </c>
      <c r="AD124" s="6" t="s">
        <v>3160</v>
      </c>
      <c r="AE124" s="6" t="s">
        <v>3323</v>
      </c>
      <c r="AF124" s="6"/>
      <c r="AG124" s="6" t="s">
        <v>4337</v>
      </c>
      <c r="AH124" s="6" t="s">
        <v>94</v>
      </c>
    </row>
    <row r="125" spans="1:34" x14ac:dyDescent="0.25">
      <c r="A125" s="6" t="s">
        <v>497</v>
      </c>
      <c r="B125" s="6" t="s">
        <v>498</v>
      </c>
      <c r="C125" s="6" t="s">
        <v>499</v>
      </c>
      <c r="D125" s="6" t="s">
        <v>500</v>
      </c>
      <c r="E125" s="6"/>
      <c r="F125" s="6" t="s">
        <v>3201</v>
      </c>
      <c r="G125" s="6" t="s">
        <v>4243</v>
      </c>
      <c r="H125" s="6" t="s">
        <v>132</v>
      </c>
      <c r="I125" s="6" t="s">
        <v>92</v>
      </c>
      <c r="J125" s="6" t="s">
        <v>4338</v>
      </c>
      <c r="K125" s="6" t="s">
        <v>3159</v>
      </c>
      <c r="L125" s="6" t="s">
        <v>3143</v>
      </c>
      <c r="M125" s="6" t="s">
        <v>3196</v>
      </c>
      <c r="N125" s="6" t="s">
        <v>3143</v>
      </c>
      <c r="O125" s="6" t="s">
        <v>3160</v>
      </c>
      <c r="P125" s="6" t="s">
        <v>4339</v>
      </c>
      <c r="Q125" s="6" t="s">
        <v>4340</v>
      </c>
      <c r="R125" s="6" t="s">
        <v>4341</v>
      </c>
      <c r="S125" s="6" t="s">
        <v>3671</v>
      </c>
      <c r="T125" s="6" t="s">
        <v>4342</v>
      </c>
      <c r="U125" s="6" t="s">
        <v>3275</v>
      </c>
      <c r="V125" s="6" t="s">
        <v>4343</v>
      </c>
      <c r="W125" s="6" t="s">
        <v>3587</v>
      </c>
      <c r="X125" s="6" t="s">
        <v>161</v>
      </c>
      <c r="Y125" s="6" t="s">
        <v>3192</v>
      </c>
      <c r="Z125" s="6" t="s">
        <v>4344</v>
      </c>
      <c r="AA125" s="6" t="s">
        <v>4067</v>
      </c>
      <c r="AB125" s="6"/>
      <c r="AC125" s="6" t="s">
        <v>3159</v>
      </c>
      <c r="AD125" s="6" t="s">
        <v>3243</v>
      </c>
      <c r="AE125" s="6" t="s">
        <v>3153</v>
      </c>
      <c r="AF125" s="6" t="s">
        <v>4345</v>
      </c>
      <c r="AG125" s="6" t="s">
        <v>4346</v>
      </c>
      <c r="AH125" s="6" t="s">
        <v>79</v>
      </c>
    </row>
    <row r="126" spans="1:34" x14ac:dyDescent="0.25">
      <c r="A126" s="6" t="s">
        <v>501</v>
      </c>
      <c r="B126" s="6" t="s">
        <v>502</v>
      </c>
      <c r="C126" s="6"/>
      <c r="D126" s="6" t="s">
        <v>4347</v>
      </c>
      <c r="E126" s="6" t="s">
        <v>3471</v>
      </c>
      <c r="F126" s="6" t="s">
        <v>3137</v>
      </c>
      <c r="G126" s="6" t="s">
        <v>143</v>
      </c>
      <c r="H126" s="6" t="s">
        <v>103</v>
      </c>
      <c r="I126" s="6" t="s">
        <v>74</v>
      </c>
      <c r="J126" s="6" t="s">
        <v>4348</v>
      </c>
      <c r="K126" s="6" t="s">
        <v>3141</v>
      </c>
      <c r="L126" s="6" t="s">
        <v>3141</v>
      </c>
      <c r="M126" s="6" t="s">
        <v>3141</v>
      </c>
      <c r="N126" s="6" t="s">
        <v>75</v>
      </c>
      <c r="O126" s="6" t="s">
        <v>3141</v>
      </c>
      <c r="P126" s="6" t="s">
        <v>4349</v>
      </c>
      <c r="Q126" s="6" t="s">
        <v>4350</v>
      </c>
      <c r="R126" s="6" t="s">
        <v>4351</v>
      </c>
      <c r="S126" s="6" t="s">
        <v>22</v>
      </c>
      <c r="T126" s="6" t="s">
        <v>4352</v>
      </c>
      <c r="U126" s="6" t="s">
        <v>3159</v>
      </c>
      <c r="V126" s="6" t="s">
        <v>4353</v>
      </c>
      <c r="W126" s="6" t="s">
        <v>4354</v>
      </c>
      <c r="X126" s="6" t="s">
        <v>85</v>
      </c>
      <c r="Y126" s="6" t="s">
        <v>3140</v>
      </c>
      <c r="Z126" s="6" t="s">
        <v>93</v>
      </c>
      <c r="AA126" s="6" t="s">
        <v>3994</v>
      </c>
      <c r="AB126" s="6"/>
      <c r="AC126" s="6" t="s">
        <v>3140</v>
      </c>
      <c r="AD126" s="6" t="s">
        <v>3243</v>
      </c>
      <c r="AE126" s="6" t="s">
        <v>3235</v>
      </c>
      <c r="AF126" s="6" t="s">
        <v>4355</v>
      </c>
      <c r="AG126" s="6"/>
      <c r="AH126" s="6" t="s">
        <v>79</v>
      </c>
    </row>
    <row r="127" spans="1:34" x14ac:dyDescent="0.25">
      <c r="A127" s="6" t="s">
        <v>504</v>
      </c>
      <c r="B127" s="6" t="s">
        <v>505</v>
      </c>
      <c r="C127" s="6" t="s">
        <v>4356</v>
      </c>
      <c r="D127" s="6" t="s">
        <v>4357</v>
      </c>
      <c r="E127" s="6" t="s">
        <v>4358</v>
      </c>
      <c r="F127" s="6" t="s">
        <v>3201</v>
      </c>
      <c r="G127" s="6" t="s">
        <v>3484</v>
      </c>
      <c r="H127" s="6" t="s">
        <v>4359</v>
      </c>
      <c r="I127" s="6" t="s">
        <v>74</v>
      </c>
      <c r="J127" s="6" t="s">
        <v>4360</v>
      </c>
      <c r="K127" s="6" t="s">
        <v>3159</v>
      </c>
      <c r="L127" s="6" t="s">
        <v>3173</v>
      </c>
      <c r="M127" s="6" t="s">
        <v>3143</v>
      </c>
      <c r="N127" s="6" t="s">
        <v>3160</v>
      </c>
      <c r="O127" s="6" t="s">
        <v>3143</v>
      </c>
      <c r="P127" s="6" t="s">
        <v>4361</v>
      </c>
      <c r="Q127" s="6" t="s">
        <v>4362</v>
      </c>
      <c r="R127" s="6" t="s">
        <v>4363</v>
      </c>
      <c r="S127" s="6" t="s">
        <v>23</v>
      </c>
      <c r="T127" s="6" t="s">
        <v>4364</v>
      </c>
      <c r="U127" s="6" t="s">
        <v>3159</v>
      </c>
      <c r="V127" s="6" t="s">
        <v>4365</v>
      </c>
      <c r="W127" s="6" t="s">
        <v>3478</v>
      </c>
      <c r="X127" s="6" t="s">
        <v>77</v>
      </c>
      <c r="Y127" s="6" t="s">
        <v>3141</v>
      </c>
      <c r="Z127" s="6" t="s">
        <v>78</v>
      </c>
      <c r="AA127" s="6" t="s">
        <v>3181</v>
      </c>
      <c r="AB127" s="6"/>
      <c r="AC127" s="6" t="s">
        <v>3159</v>
      </c>
      <c r="AD127" s="6" t="s">
        <v>3188</v>
      </c>
      <c r="AE127" s="6" t="s">
        <v>3513</v>
      </c>
      <c r="AF127" s="6" t="s">
        <v>4366</v>
      </c>
      <c r="AG127" s="6" t="s">
        <v>3281</v>
      </c>
      <c r="AH127" s="6" t="s">
        <v>79</v>
      </c>
    </row>
    <row r="128" spans="1:34" x14ac:dyDescent="0.25">
      <c r="A128" s="6" t="s">
        <v>507</v>
      </c>
      <c r="B128" s="6" t="s">
        <v>508</v>
      </c>
      <c r="C128" s="6" t="s">
        <v>509</v>
      </c>
      <c r="D128" s="6" t="s">
        <v>510</v>
      </c>
      <c r="E128" s="6" t="s">
        <v>3420</v>
      </c>
      <c r="F128" s="6" t="s">
        <v>3283</v>
      </c>
      <c r="G128" s="6" t="s">
        <v>83</v>
      </c>
      <c r="H128" s="6" t="s">
        <v>91</v>
      </c>
      <c r="I128" s="6" t="s">
        <v>92</v>
      </c>
      <c r="J128" s="6"/>
      <c r="K128" s="6" t="s">
        <v>3140</v>
      </c>
      <c r="L128" s="6" t="s">
        <v>3196</v>
      </c>
      <c r="M128" s="6" t="s">
        <v>76</v>
      </c>
      <c r="N128" s="6" t="s">
        <v>3160</v>
      </c>
      <c r="O128" s="6" t="s">
        <v>3143</v>
      </c>
      <c r="P128" s="6" t="s">
        <v>4009</v>
      </c>
      <c r="Q128" s="6" t="s">
        <v>4367</v>
      </c>
      <c r="R128" s="6" t="s">
        <v>4368</v>
      </c>
      <c r="S128" s="6" t="s">
        <v>23</v>
      </c>
      <c r="T128" s="6" t="s">
        <v>4369</v>
      </c>
      <c r="U128" s="6" t="s">
        <v>3141</v>
      </c>
      <c r="V128" s="6" t="s">
        <v>4370</v>
      </c>
      <c r="W128" s="6" t="s">
        <v>4126</v>
      </c>
      <c r="X128" s="6" t="s">
        <v>85</v>
      </c>
      <c r="Y128" s="6" t="s">
        <v>3159</v>
      </c>
      <c r="Z128" s="6" t="s">
        <v>78</v>
      </c>
      <c r="AA128" s="6" t="s">
        <v>4371</v>
      </c>
      <c r="AB128" s="6" t="s">
        <v>4372</v>
      </c>
      <c r="AC128" s="6" t="s">
        <v>3141</v>
      </c>
      <c r="AD128" s="6" t="s">
        <v>3160</v>
      </c>
      <c r="AE128" s="6" t="s">
        <v>3318</v>
      </c>
      <c r="AF128" s="6" t="s">
        <v>4373</v>
      </c>
      <c r="AG128" s="6"/>
      <c r="AH128" s="6" t="s">
        <v>79</v>
      </c>
    </row>
    <row r="129" spans="1:34" x14ac:dyDescent="0.25">
      <c r="A129" s="6" t="s">
        <v>511</v>
      </c>
      <c r="B129" s="6" t="s">
        <v>512</v>
      </c>
      <c r="C129" s="6" t="s">
        <v>4374</v>
      </c>
      <c r="D129" s="6" t="s">
        <v>513</v>
      </c>
      <c r="E129" s="6" t="s">
        <v>3786</v>
      </c>
      <c r="F129" s="6" t="s">
        <v>3137</v>
      </c>
      <c r="G129" s="6" t="s">
        <v>98</v>
      </c>
      <c r="H129" s="6" t="s">
        <v>144</v>
      </c>
      <c r="I129" s="6" t="s">
        <v>92</v>
      </c>
      <c r="J129" s="6" t="s">
        <v>4375</v>
      </c>
      <c r="K129" s="6" t="s">
        <v>3159</v>
      </c>
      <c r="L129" s="6" t="s">
        <v>3152</v>
      </c>
      <c r="M129" s="6" t="s">
        <v>76</v>
      </c>
      <c r="N129" s="6" t="s">
        <v>3143</v>
      </c>
      <c r="O129" s="6" t="s">
        <v>3141</v>
      </c>
      <c r="P129" s="6" t="s">
        <v>4376</v>
      </c>
      <c r="Q129" s="6" t="s">
        <v>4377</v>
      </c>
      <c r="R129" s="6" t="s">
        <v>4378</v>
      </c>
      <c r="S129" s="6" t="s">
        <v>22</v>
      </c>
      <c r="T129" s="6" t="s">
        <v>4379</v>
      </c>
      <c r="U129" s="6" t="s">
        <v>3141</v>
      </c>
      <c r="V129" s="6" t="s">
        <v>4380</v>
      </c>
      <c r="W129" s="6" t="s">
        <v>4117</v>
      </c>
      <c r="X129" s="6" t="s">
        <v>85</v>
      </c>
      <c r="Y129" s="6" t="s">
        <v>3192</v>
      </c>
      <c r="Z129" s="6" t="s">
        <v>93</v>
      </c>
      <c r="AA129" s="6" t="s">
        <v>4381</v>
      </c>
      <c r="AB129" s="6" t="s">
        <v>4382</v>
      </c>
      <c r="AC129" s="6" t="s">
        <v>3141</v>
      </c>
      <c r="AD129" s="6" t="s">
        <v>3173</v>
      </c>
      <c r="AE129" s="6" t="s">
        <v>3210</v>
      </c>
      <c r="AF129" s="6" t="s">
        <v>4383</v>
      </c>
      <c r="AG129" s="6" t="s">
        <v>3224</v>
      </c>
      <c r="AH129" s="6" t="s">
        <v>94</v>
      </c>
    </row>
    <row r="130" spans="1:34" x14ac:dyDescent="0.25">
      <c r="A130" s="6" t="s">
        <v>514</v>
      </c>
      <c r="B130" s="6" t="s">
        <v>515</v>
      </c>
      <c r="C130" s="6" t="s">
        <v>4384</v>
      </c>
      <c r="D130" s="6" t="s">
        <v>4385</v>
      </c>
      <c r="E130" s="6" t="s">
        <v>3157</v>
      </c>
      <c r="F130" s="6" t="s">
        <v>3369</v>
      </c>
      <c r="G130" s="6" t="s">
        <v>83</v>
      </c>
      <c r="H130" s="6" t="s">
        <v>84</v>
      </c>
      <c r="I130" s="6" t="s">
        <v>74</v>
      </c>
      <c r="J130" s="6" t="s">
        <v>4386</v>
      </c>
      <c r="K130" s="6" t="s">
        <v>3141</v>
      </c>
      <c r="L130" s="6" t="s">
        <v>3143</v>
      </c>
      <c r="M130" s="6" t="s">
        <v>3143</v>
      </c>
      <c r="N130" s="6" t="s">
        <v>75</v>
      </c>
      <c r="O130" s="6" t="s">
        <v>3152</v>
      </c>
      <c r="P130" s="6" t="s">
        <v>4387</v>
      </c>
      <c r="Q130" s="6" t="s">
        <v>4388</v>
      </c>
      <c r="R130" s="6" t="s">
        <v>4389</v>
      </c>
      <c r="S130" s="6" t="s">
        <v>21</v>
      </c>
      <c r="T130" s="6"/>
      <c r="U130" s="6" t="s">
        <v>3159</v>
      </c>
      <c r="V130" s="6" t="s">
        <v>4390</v>
      </c>
      <c r="W130" s="6" t="s">
        <v>3490</v>
      </c>
      <c r="X130" s="6" t="s">
        <v>161</v>
      </c>
      <c r="Y130" s="6" t="s">
        <v>3140</v>
      </c>
      <c r="Z130" s="6" t="s">
        <v>78</v>
      </c>
      <c r="AA130" s="6" t="s">
        <v>3277</v>
      </c>
      <c r="AB130" s="6"/>
      <c r="AC130" s="6" t="s">
        <v>3159</v>
      </c>
      <c r="AD130" s="6" t="s">
        <v>75</v>
      </c>
      <c r="AE130" s="6" t="s">
        <v>3279</v>
      </c>
      <c r="AF130" s="6"/>
      <c r="AG130" s="6" t="s">
        <v>4391</v>
      </c>
      <c r="AH130" s="6" t="s">
        <v>79</v>
      </c>
    </row>
    <row r="131" spans="1:34" x14ac:dyDescent="0.25">
      <c r="A131" s="6" t="s">
        <v>517</v>
      </c>
      <c r="B131" s="6" t="s">
        <v>518</v>
      </c>
      <c r="C131" s="6" t="s">
        <v>519</v>
      </c>
      <c r="D131" s="6" t="s">
        <v>4392</v>
      </c>
      <c r="E131" s="6" t="s">
        <v>3309</v>
      </c>
      <c r="F131" s="6" t="s">
        <v>3358</v>
      </c>
      <c r="G131" s="6" t="s">
        <v>72</v>
      </c>
      <c r="H131" s="6" t="s">
        <v>166</v>
      </c>
      <c r="I131" s="6" t="s">
        <v>74</v>
      </c>
      <c r="J131" s="6"/>
      <c r="K131" s="6" t="s">
        <v>3292</v>
      </c>
      <c r="L131" s="6" t="s">
        <v>3243</v>
      </c>
      <c r="M131" s="6" t="s">
        <v>3173</v>
      </c>
      <c r="N131" s="6" t="s">
        <v>3188</v>
      </c>
      <c r="O131" s="6" t="s">
        <v>3159</v>
      </c>
      <c r="P131" s="6" t="s">
        <v>4393</v>
      </c>
      <c r="Q131" s="6" t="s">
        <v>4394</v>
      </c>
      <c r="R131" s="6" t="s">
        <v>4395</v>
      </c>
      <c r="S131" s="6" t="s">
        <v>21</v>
      </c>
      <c r="T131" s="6" t="s">
        <v>4396</v>
      </c>
      <c r="U131" s="6" t="s">
        <v>3141</v>
      </c>
      <c r="V131" s="6" t="s">
        <v>4397</v>
      </c>
      <c r="W131" s="6" t="s">
        <v>3767</v>
      </c>
      <c r="X131" s="6" t="s">
        <v>85</v>
      </c>
      <c r="Y131" s="6" t="s">
        <v>3159</v>
      </c>
      <c r="Z131" s="6" t="s">
        <v>78</v>
      </c>
      <c r="AA131" s="6" t="s">
        <v>4398</v>
      </c>
      <c r="AB131" s="6"/>
      <c r="AC131" s="6" t="s">
        <v>3141</v>
      </c>
      <c r="AD131" s="6" t="s">
        <v>75</v>
      </c>
      <c r="AE131" s="6" t="s">
        <v>3293</v>
      </c>
      <c r="AF131" s="6"/>
      <c r="AG131" s="6" t="s">
        <v>4399</v>
      </c>
      <c r="AH131" s="6" t="s">
        <v>3494</v>
      </c>
    </row>
    <row r="132" spans="1:34" x14ac:dyDescent="0.25">
      <c r="A132" s="6" t="s">
        <v>521</v>
      </c>
      <c r="B132" s="6" t="s">
        <v>522</v>
      </c>
      <c r="C132" s="6" t="s">
        <v>4400</v>
      </c>
      <c r="D132" s="6" t="s">
        <v>523</v>
      </c>
      <c r="E132" s="6" t="s">
        <v>3505</v>
      </c>
      <c r="F132" s="6" t="s">
        <v>3214</v>
      </c>
      <c r="G132" s="6" t="s">
        <v>120</v>
      </c>
      <c r="H132" s="6" t="s">
        <v>84</v>
      </c>
      <c r="I132" s="6" t="s">
        <v>74</v>
      </c>
      <c r="J132" s="6" t="s">
        <v>4401</v>
      </c>
      <c r="K132" s="6" t="s">
        <v>3292</v>
      </c>
      <c r="L132" s="6" t="s">
        <v>76</v>
      </c>
      <c r="M132" s="6" t="s">
        <v>3143</v>
      </c>
      <c r="N132" s="6" t="s">
        <v>3188</v>
      </c>
      <c r="O132" s="6" t="s">
        <v>3188</v>
      </c>
      <c r="P132" s="6" t="s">
        <v>4402</v>
      </c>
      <c r="Q132" s="6" t="s">
        <v>4403</v>
      </c>
      <c r="R132" s="6" t="s">
        <v>4404</v>
      </c>
      <c r="S132" s="6" t="s">
        <v>22</v>
      </c>
      <c r="T132" s="6" t="s">
        <v>4405</v>
      </c>
      <c r="U132" s="6" t="s">
        <v>3141</v>
      </c>
      <c r="V132" s="6" t="s">
        <v>4406</v>
      </c>
      <c r="W132" s="6" t="s">
        <v>4407</v>
      </c>
      <c r="X132" s="6" t="s">
        <v>77</v>
      </c>
      <c r="Y132" s="6" t="s">
        <v>3140</v>
      </c>
      <c r="Z132" s="6" t="s">
        <v>194</v>
      </c>
      <c r="AA132" s="6" t="s">
        <v>3683</v>
      </c>
      <c r="AB132" s="6"/>
      <c r="AC132" s="6" t="s">
        <v>3141</v>
      </c>
      <c r="AD132" s="6" t="s">
        <v>3152</v>
      </c>
      <c r="AE132" s="6" t="s">
        <v>3210</v>
      </c>
      <c r="AF132" s="6" t="s">
        <v>4408</v>
      </c>
      <c r="AG132" s="6" t="s">
        <v>4409</v>
      </c>
      <c r="AH132" s="6" t="s">
        <v>79</v>
      </c>
    </row>
    <row r="133" spans="1:34" x14ac:dyDescent="0.25">
      <c r="A133" s="6" t="s">
        <v>524</v>
      </c>
      <c r="B133" s="6" t="s">
        <v>525</v>
      </c>
      <c r="C133" s="6" t="s">
        <v>526</v>
      </c>
      <c r="D133" s="6"/>
      <c r="E133" s="6" t="s">
        <v>3460</v>
      </c>
      <c r="F133" s="6" t="s">
        <v>89</v>
      </c>
      <c r="G133" s="6" t="s">
        <v>314</v>
      </c>
      <c r="H133" s="6" t="s">
        <v>132</v>
      </c>
      <c r="I133" s="6" t="s">
        <v>92</v>
      </c>
      <c r="J133" s="6" t="s">
        <v>4410</v>
      </c>
      <c r="K133" s="6" t="s">
        <v>3140</v>
      </c>
      <c r="L133" s="6" t="s">
        <v>3188</v>
      </c>
      <c r="M133" s="6" t="s">
        <v>3160</v>
      </c>
      <c r="N133" s="6" t="s">
        <v>3143</v>
      </c>
      <c r="O133" s="6" t="s">
        <v>76</v>
      </c>
      <c r="P133" s="6" t="s">
        <v>3174</v>
      </c>
      <c r="Q133" s="6" t="s">
        <v>3217</v>
      </c>
      <c r="R133" s="6" t="s">
        <v>4411</v>
      </c>
      <c r="S133" s="6" t="s">
        <v>23</v>
      </c>
      <c r="T133" s="6" t="s">
        <v>4412</v>
      </c>
      <c r="U133" s="6" t="s">
        <v>3159</v>
      </c>
      <c r="V133" s="6" t="s">
        <v>4413</v>
      </c>
      <c r="W133" s="6" t="s">
        <v>3222</v>
      </c>
      <c r="X133" s="6" t="s">
        <v>85</v>
      </c>
      <c r="Y133" s="6" t="s">
        <v>3140</v>
      </c>
      <c r="Z133" s="6" t="s">
        <v>93</v>
      </c>
      <c r="AA133" s="6" t="s">
        <v>3691</v>
      </c>
      <c r="AB133" s="6" t="s">
        <v>4414</v>
      </c>
      <c r="AC133" s="6" t="s">
        <v>3141</v>
      </c>
      <c r="AD133" s="6" t="s">
        <v>3243</v>
      </c>
      <c r="AE133" s="6" t="s">
        <v>3428</v>
      </c>
      <c r="AF133" s="6" t="s">
        <v>4415</v>
      </c>
      <c r="AG133" s="6" t="s">
        <v>3624</v>
      </c>
      <c r="AH133" s="6" t="s">
        <v>79</v>
      </c>
    </row>
    <row r="134" spans="1:34" x14ac:dyDescent="0.25">
      <c r="A134" s="6" t="s">
        <v>527</v>
      </c>
      <c r="B134" s="6" t="s">
        <v>528</v>
      </c>
      <c r="C134" s="6" t="s">
        <v>4416</v>
      </c>
      <c r="D134" s="6" t="s">
        <v>529</v>
      </c>
      <c r="E134" s="6" t="s">
        <v>3432</v>
      </c>
      <c r="F134" s="6" t="s">
        <v>89</v>
      </c>
      <c r="G134" s="6" t="s">
        <v>226</v>
      </c>
      <c r="H134" s="6" t="s">
        <v>99</v>
      </c>
      <c r="I134" s="6" t="s">
        <v>74</v>
      </c>
      <c r="J134" s="6"/>
      <c r="K134" s="6" t="s">
        <v>3292</v>
      </c>
      <c r="L134" s="6" t="s">
        <v>3142</v>
      </c>
      <c r="M134" s="6" t="s">
        <v>76</v>
      </c>
      <c r="N134" s="6" t="s">
        <v>3159</v>
      </c>
      <c r="O134" s="6" t="s">
        <v>75</v>
      </c>
      <c r="P134" s="6" t="s">
        <v>4417</v>
      </c>
      <c r="Q134" s="6"/>
      <c r="R134" s="6" t="s">
        <v>4418</v>
      </c>
      <c r="S134" s="6" t="s">
        <v>21</v>
      </c>
      <c r="T134" s="6" t="s">
        <v>3217</v>
      </c>
      <c r="U134" s="6" t="s">
        <v>3140</v>
      </c>
      <c r="V134" s="6" t="s">
        <v>4419</v>
      </c>
      <c r="W134" s="6" t="s">
        <v>4420</v>
      </c>
      <c r="X134" s="6" t="s">
        <v>85</v>
      </c>
      <c r="Y134" s="6" t="s">
        <v>3159</v>
      </c>
      <c r="Z134" s="6" t="s">
        <v>93</v>
      </c>
      <c r="AA134" s="6" t="s">
        <v>3223</v>
      </c>
      <c r="AB134" s="6"/>
      <c r="AC134" s="6" t="s">
        <v>3140</v>
      </c>
      <c r="AD134" s="6" t="s">
        <v>3160</v>
      </c>
      <c r="AE134" s="6" t="s">
        <v>3235</v>
      </c>
      <c r="AF134" s="6"/>
      <c r="AG134" s="6" t="s">
        <v>4421</v>
      </c>
      <c r="AH134" s="6" t="s">
        <v>79</v>
      </c>
    </row>
    <row r="135" spans="1:34" x14ac:dyDescent="0.25">
      <c r="A135" s="6" t="s">
        <v>530</v>
      </c>
      <c r="B135" s="6" t="s">
        <v>4422</v>
      </c>
      <c r="C135" s="6" t="s">
        <v>4423</v>
      </c>
      <c r="D135" s="6"/>
      <c r="E135" s="6" t="s">
        <v>3677</v>
      </c>
      <c r="F135" s="6" t="s">
        <v>3283</v>
      </c>
      <c r="G135" s="6" t="s">
        <v>153</v>
      </c>
      <c r="H135" s="6" t="s">
        <v>91</v>
      </c>
      <c r="I135" s="6" t="s">
        <v>92</v>
      </c>
      <c r="J135" s="6" t="s">
        <v>4424</v>
      </c>
      <c r="K135" s="6" t="s">
        <v>3141</v>
      </c>
      <c r="L135" s="6" t="s">
        <v>3152</v>
      </c>
      <c r="M135" s="6" t="s">
        <v>75</v>
      </c>
      <c r="N135" s="6" t="s">
        <v>3152</v>
      </c>
      <c r="O135" s="6" t="s">
        <v>3160</v>
      </c>
      <c r="P135" s="6" t="s">
        <v>4425</v>
      </c>
      <c r="Q135" s="6" t="s">
        <v>4426</v>
      </c>
      <c r="R135" s="6" t="s">
        <v>4427</v>
      </c>
      <c r="S135" s="6" t="s">
        <v>22</v>
      </c>
      <c r="T135" s="6" t="s">
        <v>4428</v>
      </c>
      <c r="U135" s="6" t="s">
        <v>3159</v>
      </c>
      <c r="V135" s="6" t="s">
        <v>4429</v>
      </c>
      <c r="W135" s="6" t="s">
        <v>3729</v>
      </c>
      <c r="X135" s="6" t="s">
        <v>85</v>
      </c>
      <c r="Y135" s="6" t="s">
        <v>3140</v>
      </c>
      <c r="Z135" s="6" t="s">
        <v>3895</v>
      </c>
      <c r="AA135" s="6" t="s">
        <v>3550</v>
      </c>
      <c r="AB135" s="6"/>
      <c r="AC135" s="6" t="s">
        <v>3141</v>
      </c>
      <c r="AD135" s="6" t="s">
        <v>3160</v>
      </c>
      <c r="AE135" s="6" t="s">
        <v>3323</v>
      </c>
      <c r="AF135" s="6" t="s">
        <v>4430</v>
      </c>
      <c r="AG135" s="6" t="s">
        <v>4431</v>
      </c>
      <c r="AH135" s="6" t="s">
        <v>94</v>
      </c>
    </row>
    <row r="136" spans="1:34" x14ac:dyDescent="0.25">
      <c r="A136" s="6" t="s">
        <v>532</v>
      </c>
      <c r="B136" s="6" t="s">
        <v>319</v>
      </c>
      <c r="C136" s="6"/>
      <c r="D136" s="6" t="s">
        <v>533</v>
      </c>
      <c r="E136" s="6" t="s">
        <v>3760</v>
      </c>
      <c r="F136" s="6" t="s">
        <v>3283</v>
      </c>
      <c r="G136" s="6" t="s">
        <v>131</v>
      </c>
      <c r="H136" s="6" t="s">
        <v>107</v>
      </c>
      <c r="I136" s="6" t="s">
        <v>92</v>
      </c>
      <c r="J136" s="6" t="s">
        <v>4432</v>
      </c>
      <c r="K136" s="6" t="s">
        <v>3140</v>
      </c>
      <c r="L136" s="6" t="s">
        <v>3196</v>
      </c>
      <c r="M136" s="6" t="s">
        <v>3141</v>
      </c>
      <c r="N136" s="6" t="s">
        <v>3196</v>
      </c>
      <c r="O136" s="6" t="s">
        <v>75</v>
      </c>
      <c r="P136" s="6" t="s">
        <v>4073</v>
      </c>
      <c r="Q136" s="6"/>
      <c r="R136" s="6" t="s">
        <v>4433</v>
      </c>
      <c r="S136" s="6" t="s">
        <v>20</v>
      </c>
      <c r="T136" s="6" t="s">
        <v>4434</v>
      </c>
      <c r="U136" s="6" t="s">
        <v>4264</v>
      </c>
      <c r="V136" s="6" t="s">
        <v>4435</v>
      </c>
      <c r="W136" s="6" t="s">
        <v>3221</v>
      </c>
      <c r="X136" s="6" t="s">
        <v>3290</v>
      </c>
      <c r="Y136" s="6" t="s">
        <v>3292</v>
      </c>
      <c r="Z136" s="6" t="s">
        <v>93</v>
      </c>
      <c r="AA136" s="6" t="s">
        <v>3776</v>
      </c>
      <c r="AB136" s="6"/>
      <c r="AC136" s="6" t="s">
        <v>3141</v>
      </c>
      <c r="AD136" s="6" t="s">
        <v>3243</v>
      </c>
      <c r="AE136" s="6" t="s">
        <v>3235</v>
      </c>
      <c r="AF136" s="6"/>
      <c r="AG136" s="6"/>
      <c r="AH136" s="6" t="s">
        <v>79</v>
      </c>
    </row>
    <row r="137" spans="1:34" x14ac:dyDescent="0.25">
      <c r="A137" s="6" t="s">
        <v>534</v>
      </c>
      <c r="B137" s="6" t="s">
        <v>535</v>
      </c>
      <c r="C137" s="6" t="s">
        <v>4436</v>
      </c>
      <c r="D137" s="6"/>
      <c r="E137" s="6" t="s">
        <v>3170</v>
      </c>
      <c r="F137" s="6" t="s">
        <v>3227</v>
      </c>
      <c r="G137" s="6" t="s">
        <v>106</v>
      </c>
      <c r="H137" s="6" t="s">
        <v>103</v>
      </c>
      <c r="I137" s="6" t="s">
        <v>74</v>
      </c>
      <c r="J137" s="6"/>
      <c r="K137" s="6" t="s">
        <v>3159</v>
      </c>
      <c r="L137" s="6" t="s">
        <v>3141</v>
      </c>
      <c r="M137" s="6" t="s">
        <v>3160</v>
      </c>
      <c r="N137" s="6" t="s">
        <v>3142</v>
      </c>
      <c r="O137" s="6" t="s">
        <v>75</v>
      </c>
      <c r="P137" s="6" t="s">
        <v>4437</v>
      </c>
      <c r="Q137" s="6" t="s">
        <v>3217</v>
      </c>
      <c r="R137" s="6" t="s">
        <v>4438</v>
      </c>
      <c r="S137" s="6" t="s">
        <v>22</v>
      </c>
      <c r="T137" s="6" t="s">
        <v>4439</v>
      </c>
      <c r="U137" s="6" t="s">
        <v>3141</v>
      </c>
      <c r="V137" s="6" t="s">
        <v>4440</v>
      </c>
      <c r="W137" s="6" t="s">
        <v>3642</v>
      </c>
      <c r="X137" s="6" t="s">
        <v>77</v>
      </c>
      <c r="Y137" s="6" t="s">
        <v>3140</v>
      </c>
      <c r="Z137" s="6" t="s">
        <v>78</v>
      </c>
      <c r="AA137" s="6" t="s">
        <v>4441</v>
      </c>
      <c r="AB137" s="6" t="s">
        <v>4442</v>
      </c>
      <c r="AC137" s="6" t="s">
        <v>3141</v>
      </c>
      <c r="AD137" s="6" t="s">
        <v>3152</v>
      </c>
      <c r="AE137" s="6" t="s">
        <v>3622</v>
      </c>
      <c r="AF137" s="6" t="s">
        <v>4443</v>
      </c>
      <c r="AG137" s="6" t="s">
        <v>4444</v>
      </c>
      <c r="AH137" s="6" t="s">
        <v>79</v>
      </c>
    </row>
    <row r="138" spans="1:34" x14ac:dyDescent="0.25">
      <c r="A138" s="6" t="s">
        <v>536</v>
      </c>
      <c r="B138" s="6" t="s">
        <v>4445</v>
      </c>
      <c r="C138" s="6" t="s">
        <v>4446</v>
      </c>
      <c r="D138" s="6" t="s">
        <v>538</v>
      </c>
      <c r="E138" s="6" t="s">
        <v>3420</v>
      </c>
      <c r="F138" s="6" t="s">
        <v>3269</v>
      </c>
      <c r="G138" s="6" t="s">
        <v>72</v>
      </c>
      <c r="H138" s="6" t="s">
        <v>166</v>
      </c>
      <c r="I138" s="6" t="s">
        <v>74</v>
      </c>
      <c r="J138" s="6" t="s">
        <v>4447</v>
      </c>
      <c r="K138" s="6" t="s">
        <v>3140</v>
      </c>
      <c r="L138" s="6" t="s">
        <v>3188</v>
      </c>
      <c r="M138" s="6" t="s">
        <v>3142</v>
      </c>
      <c r="N138" s="6" t="s">
        <v>75</v>
      </c>
      <c r="O138" s="6" t="s">
        <v>3143</v>
      </c>
      <c r="P138" s="6" t="s">
        <v>4157</v>
      </c>
      <c r="Q138" s="6"/>
      <c r="R138" s="6" t="s">
        <v>4448</v>
      </c>
      <c r="S138" s="6" t="s">
        <v>22</v>
      </c>
      <c r="T138" s="6" t="s">
        <v>4449</v>
      </c>
      <c r="U138" s="6" t="s">
        <v>3141</v>
      </c>
      <c r="V138" s="6" t="s">
        <v>4450</v>
      </c>
      <c r="W138" s="6" t="s">
        <v>4217</v>
      </c>
      <c r="X138" s="6" t="s">
        <v>85</v>
      </c>
      <c r="Y138" s="6" t="s">
        <v>3141</v>
      </c>
      <c r="Z138" s="6" t="s">
        <v>78</v>
      </c>
      <c r="AA138" s="6" t="s">
        <v>3691</v>
      </c>
      <c r="AB138" s="6"/>
      <c r="AC138" s="6" t="s">
        <v>3159</v>
      </c>
      <c r="AD138" s="6" t="s">
        <v>3143</v>
      </c>
      <c r="AE138" s="6" t="s">
        <v>3210</v>
      </c>
      <c r="AF138" s="6" t="s">
        <v>4451</v>
      </c>
      <c r="AG138" s="6" t="s">
        <v>4452</v>
      </c>
      <c r="AH138" s="6" t="s">
        <v>79</v>
      </c>
    </row>
    <row r="139" spans="1:34" x14ac:dyDescent="0.25">
      <c r="A139" s="6" t="s">
        <v>539</v>
      </c>
      <c r="B139" s="6" t="s">
        <v>540</v>
      </c>
      <c r="C139" s="6"/>
      <c r="D139" s="6" t="s">
        <v>4453</v>
      </c>
      <c r="E139" s="6" t="s">
        <v>3157</v>
      </c>
      <c r="F139" s="6" t="s">
        <v>3214</v>
      </c>
      <c r="G139" s="6" t="s">
        <v>72</v>
      </c>
      <c r="H139" s="6" t="s">
        <v>73</v>
      </c>
      <c r="I139" s="6" t="s">
        <v>74</v>
      </c>
      <c r="J139" s="6" t="s">
        <v>4454</v>
      </c>
      <c r="K139" s="6" t="s">
        <v>3159</v>
      </c>
      <c r="L139" s="6" t="s">
        <v>3159</v>
      </c>
      <c r="M139" s="6" t="s">
        <v>3143</v>
      </c>
      <c r="N139" s="6" t="s">
        <v>75</v>
      </c>
      <c r="O139" s="6" t="s">
        <v>3243</v>
      </c>
      <c r="P139" s="6" t="s">
        <v>4455</v>
      </c>
      <c r="Q139" s="6" t="s">
        <v>4456</v>
      </c>
      <c r="R139" s="6" t="s">
        <v>4457</v>
      </c>
      <c r="S139" s="6" t="s">
        <v>23</v>
      </c>
      <c r="T139" s="6" t="s">
        <v>4458</v>
      </c>
      <c r="U139" s="6" t="s">
        <v>3159</v>
      </c>
      <c r="V139" s="6" t="s">
        <v>4419</v>
      </c>
      <c r="W139" s="6" t="s">
        <v>3365</v>
      </c>
      <c r="X139" s="6" t="s">
        <v>77</v>
      </c>
      <c r="Y139" s="6" t="s">
        <v>3141</v>
      </c>
      <c r="Z139" s="6" t="s">
        <v>93</v>
      </c>
      <c r="AA139" s="6" t="s">
        <v>3810</v>
      </c>
      <c r="AB139" s="6"/>
      <c r="AC139" s="6" t="s">
        <v>3141</v>
      </c>
      <c r="AD139" s="6" t="s">
        <v>3196</v>
      </c>
      <c r="AE139" s="6" t="s">
        <v>3331</v>
      </c>
      <c r="AF139" s="6" t="s">
        <v>4459</v>
      </c>
      <c r="AG139" s="6" t="s">
        <v>4460</v>
      </c>
      <c r="AH139" s="6" t="s">
        <v>79</v>
      </c>
    </row>
    <row r="140" spans="1:34" x14ac:dyDescent="0.25">
      <c r="A140" s="6" t="s">
        <v>542</v>
      </c>
      <c r="B140" s="6" t="s">
        <v>543</v>
      </c>
      <c r="C140" s="6" t="s">
        <v>544</v>
      </c>
      <c r="D140" s="6" t="s">
        <v>545</v>
      </c>
      <c r="E140" s="6" t="s">
        <v>3157</v>
      </c>
      <c r="F140" s="6" t="s">
        <v>3227</v>
      </c>
      <c r="G140" s="6" t="s">
        <v>139</v>
      </c>
      <c r="H140" s="6" t="s">
        <v>99</v>
      </c>
      <c r="I140" s="6" t="s">
        <v>74</v>
      </c>
      <c r="J140" s="6"/>
      <c r="K140" s="6" t="s">
        <v>3140</v>
      </c>
      <c r="L140" s="6" t="s">
        <v>3142</v>
      </c>
      <c r="M140" s="6" t="s">
        <v>3160</v>
      </c>
      <c r="N140" s="6" t="s">
        <v>3152</v>
      </c>
      <c r="O140" s="6" t="s">
        <v>3142</v>
      </c>
      <c r="P140" s="6" t="s">
        <v>3923</v>
      </c>
      <c r="Q140" s="6" t="s">
        <v>4461</v>
      </c>
      <c r="R140" s="6" t="s">
        <v>4462</v>
      </c>
      <c r="S140" s="6" t="s">
        <v>20</v>
      </c>
      <c r="T140" s="6"/>
      <c r="U140" s="6" t="s">
        <v>3140</v>
      </c>
      <c r="V140" s="6" t="s">
        <v>4463</v>
      </c>
      <c r="W140" s="6" t="s">
        <v>3317</v>
      </c>
      <c r="X140" s="6" t="s">
        <v>3290</v>
      </c>
      <c r="Y140" s="6" t="s">
        <v>3159</v>
      </c>
      <c r="Z140" s="6" t="s">
        <v>78</v>
      </c>
      <c r="AA140" s="6" t="s">
        <v>4464</v>
      </c>
      <c r="AB140" s="6"/>
      <c r="AC140" s="6" t="s">
        <v>3141</v>
      </c>
      <c r="AD140" s="6" t="s">
        <v>3152</v>
      </c>
      <c r="AE140" s="6" t="s">
        <v>3235</v>
      </c>
      <c r="AF140" s="6"/>
      <c r="AG140" s="6" t="s">
        <v>4465</v>
      </c>
      <c r="AH140" s="6" t="s">
        <v>79</v>
      </c>
    </row>
    <row r="141" spans="1:34" x14ac:dyDescent="0.25">
      <c r="A141" s="6" t="s">
        <v>546</v>
      </c>
      <c r="B141" s="6" t="s">
        <v>4466</v>
      </c>
      <c r="C141" s="6"/>
      <c r="D141" s="6" t="s">
        <v>548</v>
      </c>
      <c r="E141" s="6" t="s">
        <v>3505</v>
      </c>
      <c r="F141" s="6" t="s">
        <v>3214</v>
      </c>
      <c r="G141" s="6" t="s">
        <v>388</v>
      </c>
      <c r="H141" s="6" t="s">
        <v>99</v>
      </c>
      <c r="I141" s="6" t="s">
        <v>74</v>
      </c>
      <c r="J141" s="6" t="s">
        <v>3217</v>
      </c>
      <c r="K141" s="6" t="s">
        <v>3159</v>
      </c>
      <c r="L141" s="6" t="s">
        <v>3188</v>
      </c>
      <c r="M141" s="6" t="s">
        <v>75</v>
      </c>
      <c r="N141" s="6" t="s">
        <v>75</v>
      </c>
      <c r="O141" s="6" t="s">
        <v>75</v>
      </c>
      <c r="P141" s="6" t="s">
        <v>4467</v>
      </c>
      <c r="Q141" s="6"/>
      <c r="R141" s="6" t="s">
        <v>4468</v>
      </c>
      <c r="S141" s="6" t="s">
        <v>23</v>
      </c>
      <c r="T141" s="6"/>
      <c r="U141" s="6" t="s">
        <v>3141</v>
      </c>
      <c r="V141" s="6" t="s">
        <v>4469</v>
      </c>
      <c r="W141" s="6" t="s">
        <v>4470</v>
      </c>
      <c r="X141" s="6" t="s">
        <v>85</v>
      </c>
      <c r="Y141" s="6" t="s">
        <v>3140</v>
      </c>
      <c r="Z141" s="6" t="s">
        <v>194</v>
      </c>
      <c r="AA141" s="6" t="s">
        <v>3416</v>
      </c>
      <c r="AB141" s="6"/>
      <c r="AC141" s="6" t="s">
        <v>3159</v>
      </c>
      <c r="AD141" s="6" t="s">
        <v>3152</v>
      </c>
      <c r="AE141" s="6" t="s">
        <v>3318</v>
      </c>
      <c r="AF141" s="6" t="s">
        <v>4471</v>
      </c>
      <c r="AG141" s="6"/>
      <c r="AH141" s="6" t="s">
        <v>79</v>
      </c>
    </row>
    <row r="142" spans="1:34" x14ac:dyDescent="0.25">
      <c r="A142" s="6" t="s">
        <v>549</v>
      </c>
      <c r="B142" s="6" t="s">
        <v>550</v>
      </c>
      <c r="C142" s="6"/>
      <c r="D142" s="6"/>
      <c r="E142" s="6" t="s">
        <v>3357</v>
      </c>
      <c r="F142" s="6" t="s">
        <v>3201</v>
      </c>
      <c r="G142" s="6" t="s">
        <v>174</v>
      </c>
      <c r="H142" s="6" t="s">
        <v>73</v>
      </c>
      <c r="I142" s="6" t="s">
        <v>74</v>
      </c>
      <c r="J142" s="6"/>
      <c r="K142" s="6" t="s">
        <v>3159</v>
      </c>
      <c r="L142" s="6" t="s">
        <v>3188</v>
      </c>
      <c r="M142" s="6" t="s">
        <v>3152</v>
      </c>
      <c r="N142" s="6" t="s">
        <v>3141</v>
      </c>
      <c r="O142" s="6" t="s">
        <v>3141</v>
      </c>
      <c r="P142" s="6" t="s">
        <v>4472</v>
      </c>
      <c r="Q142" s="6" t="s">
        <v>4473</v>
      </c>
      <c r="R142" s="6" t="s">
        <v>4474</v>
      </c>
      <c r="S142" s="6" t="s">
        <v>22</v>
      </c>
      <c r="T142" s="6" t="s">
        <v>4475</v>
      </c>
      <c r="U142" s="6" t="s">
        <v>3275</v>
      </c>
      <c r="V142" s="6" t="s">
        <v>4476</v>
      </c>
      <c r="W142" s="6" t="s">
        <v>3180</v>
      </c>
      <c r="X142" s="6" t="s">
        <v>85</v>
      </c>
      <c r="Y142" s="6" t="s">
        <v>3141</v>
      </c>
      <c r="Z142" s="6" t="s">
        <v>93</v>
      </c>
      <c r="AA142" s="6" t="s">
        <v>3364</v>
      </c>
      <c r="AB142" s="6" t="s">
        <v>4477</v>
      </c>
      <c r="AC142" s="6" t="s">
        <v>3159</v>
      </c>
      <c r="AD142" s="6" t="s">
        <v>3243</v>
      </c>
      <c r="AE142" s="6" t="s">
        <v>3136</v>
      </c>
      <c r="AF142" s="6" t="s">
        <v>4478</v>
      </c>
      <c r="AG142" s="6" t="s">
        <v>4094</v>
      </c>
      <c r="AH142" s="6" t="s">
        <v>79</v>
      </c>
    </row>
    <row r="143" spans="1:34" x14ac:dyDescent="0.25">
      <c r="A143" s="6" t="s">
        <v>551</v>
      </c>
      <c r="B143" s="6" t="s">
        <v>4479</v>
      </c>
      <c r="C143" s="6" t="s">
        <v>552</v>
      </c>
      <c r="D143" s="6" t="s">
        <v>553</v>
      </c>
      <c r="E143" s="6" t="s">
        <v>3282</v>
      </c>
      <c r="F143" s="6" t="s">
        <v>3369</v>
      </c>
      <c r="G143" s="6" t="s">
        <v>106</v>
      </c>
      <c r="H143" s="6" t="s">
        <v>99</v>
      </c>
      <c r="I143" s="6" t="s">
        <v>74</v>
      </c>
      <c r="J143" s="6" t="s">
        <v>4480</v>
      </c>
      <c r="K143" s="6" t="s">
        <v>3159</v>
      </c>
      <c r="L143" s="6" t="s">
        <v>75</v>
      </c>
      <c r="M143" s="6" t="s">
        <v>3243</v>
      </c>
      <c r="N143" s="6" t="s">
        <v>3243</v>
      </c>
      <c r="O143" s="6" t="s">
        <v>3173</v>
      </c>
      <c r="P143" s="6" t="s">
        <v>4481</v>
      </c>
      <c r="Q143" s="6" t="s">
        <v>4482</v>
      </c>
      <c r="R143" s="6" t="s">
        <v>4483</v>
      </c>
      <c r="S143" s="6" t="s">
        <v>22</v>
      </c>
      <c r="T143" s="6"/>
      <c r="U143" s="6" t="s">
        <v>3394</v>
      </c>
      <c r="V143" s="6" t="s">
        <v>4484</v>
      </c>
      <c r="W143" s="6" t="s">
        <v>3316</v>
      </c>
      <c r="X143" s="6" t="s">
        <v>85</v>
      </c>
      <c r="Y143" s="6" t="s">
        <v>3292</v>
      </c>
      <c r="Z143" s="6" t="s">
        <v>93</v>
      </c>
      <c r="AA143" s="6" t="s">
        <v>4485</v>
      </c>
      <c r="AB143" s="6"/>
      <c r="AC143" s="6" t="s">
        <v>3141</v>
      </c>
      <c r="AD143" s="6" t="s">
        <v>3243</v>
      </c>
      <c r="AE143" s="6" t="s">
        <v>3279</v>
      </c>
      <c r="AF143" s="6" t="s">
        <v>4486</v>
      </c>
      <c r="AG143" s="6" t="s">
        <v>4487</v>
      </c>
      <c r="AH143" s="6" t="s">
        <v>79</v>
      </c>
    </row>
    <row r="144" spans="1:34" x14ac:dyDescent="0.25">
      <c r="A144" s="6" t="s">
        <v>554</v>
      </c>
      <c r="B144" s="6" t="s">
        <v>555</v>
      </c>
      <c r="C144" s="6" t="s">
        <v>556</v>
      </c>
      <c r="D144" s="6" t="s">
        <v>4488</v>
      </c>
      <c r="E144" s="6" t="s">
        <v>4190</v>
      </c>
      <c r="F144" s="6" t="s">
        <v>3201</v>
      </c>
      <c r="G144" s="6" t="s">
        <v>4489</v>
      </c>
      <c r="H144" s="6" t="s">
        <v>107</v>
      </c>
      <c r="I144" s="6" t="s">
        <v>92</v>
      </c>
      <c r="J144" s="6"/>
      <c r="K144" s="6" t="s">
        <v>3141</v>
      </c>
      <c r="L144" s="6" t="s">
        <v>3160</v>
      </c>
      <c r="M144" s="6" t="s">
        <v>3141</v>
      </c>
      <c r="N144" s="6" t="s">
        <v>3243</v>
      </c>
      <c r="O144" s="6" t="s">
        <v>75</v>
      </c>
      <c r="P144" s="6" t="s">
        <v>4490</v>
      </c>
      <c r="Q144" s="6" t="s">
        <v>4491</v>
      </c>
      <c r="R144" s="6" t="s">
        <v>4492</v>
      </c>
      <c r="S144" s="6" t="s">
        <v>20</v>
      </c>
      <c r="T144" s="6"/>
      <c r="U144" s="6" t="s">
        <v>3141</v>
      </c>
      <c r="V144" s="6" t="s">
        <v>4493</v>
      </c>
      <c r="W144" s="6" t="s">
        <v>4494</v>
      </c>
      <c r="X144" s="6" t="s">
        <v>77</v>
      </c>
      <c r="Y144" s="6" t="s">
        <v>3141</v>
      </c>
      <c r="Z144" s="6" t="s">
        <v>3664</v>
      </c>
      <c r="AA144" s="6" t="s">
        <v>4495</v>
      </c>
      <c r="AB144" s="6"/>
      <c r="AC144" s="6" t="s">
        <v>3141</v>
      </c>
      <c r="AD144" s="6" t="s">
        <v>3243</v>
      </c>
      <c r="AE144" s="6" t="s">
        <v>3169</v>
      </c>
      <c r="AF144" s="6"/>
      <c r="AG144" s="6" t="s">
        <v>4496</v>
      </c>
      <c r="AH144" s="6" t="s">
        <v>79</v>
      </c>
    </row>
    <row r="145" spans="1:34" x14ac:dyDescent="0.25">
      <c r="A145" s="6" t="s">
        <v>558</v>
      </c>
      <c r="B145" s="6" t="s">
        <v>559</v>
      </c>
      <c r="C145" s="6"/>
      <c r="D145" s="6" t="s">
        <v>560</v>
      </c>
      <c r="E145" s="6" t="s">
        <v>3346</v>
      </c>
      <c r="F145" s="6" t="s">
        <v>3283</v>
      </c>
      <c r="G145" s="6" t="s">
        <v>115</v>
      </c>
      <c r="H145" s="6" t="s">
        <v>103</v>
      </c>
      <c r="I145" s="6" t="s">
        <v>74</v>
      </c>
      <c r="J145" s="6"/>
      <c r="K145" s="6" t="s">
        <v>3140</v>
      </c>
      <c r="L145" s="6" t="s">
        <v>3159</v>
      </c>
      <c r="M145" s="6" t="s">
        <v>3143</v>
      </c>
      <c r="N145" s="6" t="s">
        <v>76</v>
      </c>
      <c r="O145" s="6" t="s">
        <v>3243</v>
      </c>
      <c r="P145" s="6" t="s">
        <v>4497</v>
      </c>
      <c r="Q145" s="6"/>
      <c r="R145" s="6" t="s">
        <v>4498</v>
      </c>
      <c r="S145" s="6" t="s">
        <v>21</v>
      </c>
      <c r="T145" s="6" t="s">
        <v>4499</v>
      </c>
      <c r="U145" s="6" t="s">
        <v>3141</v>
      </c>
      <c r="V145" s="6" t="s">
        <v>4500</v>
      </c>
      <c r="W145" s="6" t="s">
        <v>3994</v>
      </c>
      <c r="X145" s="6" t="s">
        <v>77</v>
      </c>
      <c r="Y145" s="6" t="s">
        <v>3292</v>
      </c>
      <c r="Z145" s="6" t="s">
        <v>78</v>
      </c>
      <c r="AA145" s="6" t="s">
        <v>4501</v>
      </c>
      <c r="AB145" s="6" t="s">
        <v>4502</v>
      </c>
      <c r="AC145" s="6" t="s">
        <v>3292</v>
      </c>
      <c r="AD145" s="6" t="s">
        <v>3141</v>
      </c>
      <c r="AE145" s="6" t="s">
        <v>3293</v>
      </c>
      <c r="AF145" s="6"/>
      <c r="AG145" s="6" t="s">
        <v>4503</v>
      </c>
      <c r="AH145" s="6" t="s">
        <v>94</v>
      </c>
    </row>
    <row r="146" spans="1:34" x14ac:dyDescent="0.25">
      <c r="A146" s="6" t="s">
        <v>561</v>
      </c>
      <c r="B146" s="6" t="s">
        <v>562</v>
      </c>
      <c r="C146" s="6" t="s">
        <v>563</v>
      </c>
      <c r="D146" s="6" t="s">
        <v>564</v>
      </c>
      <c r="E146" s="6" t="s">
        <v>3483</v>
      </c>
      <c r="F146" s="6" t="s">
        <v>3283</v>
      </c>
      <c r="G146" s="6" t="s">
        <v>115</v>
      </c>
      <c r="H146" s="6" t="s">
        <v>132</v>
      </c>
      <c r="I146" s="6" t="s">
        <v>92</v>
      </c>
      <c r="J146" s="6" t="s">
        <v>4504</v>
      </c>
      <c r="K146" s="6" t="s">
        <v>3292</v>
      </c>
      <c r="L146" s="6" t="s">
        <v>3159</v>
      </c>
      <c r="M146" s="6" t="s">
        <v>3173</v>
      </c>
      <c r="N146" s="6" t="s">
        <v>3143</v>
      </c>
      <c r="O146" s="6" t="s">
        <v>3159</v>
      </c>
      <c r="P146" s="6" t="s">
        <v>4505</v>
      </c>
      <c r="Q146" s="6" t="s">
        <v>4506</v>
      </c>
      <c r="R146" s="6" t="s">
        <v>4507</v>
      </c>
      <c r="S146" s="6" t="s">
        <v>20</v>
      </c>
      <c r="T146" s="6" t="s">
        <v>4508</v>
      </c>
      <c r="U146" s="6" t="s">
        <v>3141</v>
      </c>
      <c r="V146" s="6" t="s">
        <v>4509</v>
      </c>
      <c r="W146" s="6" t="s">
        <v>3344</v>
      </c>
      <c r="X146" s="6" t="s">
        <v>85</v>
      </c>
      <c r="Y146" s="6" t="s">
        <v>3141</v>
      </c>
      <c r="Z146" s="6" t="s">
        <v>93</v>
      </c>
      <c r="AA146" s="6" t="s">
        <v>3180</v>
      </c>
      <c r="AB146" s="6" t="s">
        <v>4510</v>
      </c>
      <c r="AC146" s="6" t="s">
        <v>3141</v>
      </c>
      <c r="AD146" s="6" t="s">
        <v>3243</v>
      </c>
      <c r="AE146" s="6" t="s">
        <v>3235</v>
      </c>
      <c r="AF146" s="6"/>
      <c r="AG146" s="6" t="s">
        <v>4511</v>
      </c>
      <c r="AH146" s="6" t="s">
        <v>79</v>
      </c>
    </row>
    <row r="147" spans="1:34" x14ac:dyDescent="0.25">
      <c r="A147" s="6" t="s">
        <v>565</v>
      </c>
      <c r="B147" s="6" t="s">
        <v>566</v>
      </c>
      <c r="C147" s="6" t="s">
        <v>4512</v>
      </c>
      <c r="D147" s="6" t="s">
        <v>567</v>
      </c>
      <c r="E147" s="6" t="s">
        <v>3626</v>
      </c>
      <c r="F147" s="6" t="s">
        <v>89</v>
      </c>
      <c r="G147" s="6" t="s">
        <v>106</v>
      </c>
      <c r="H147" s="6" t="s">
        <v>132</v>
      </c>
      <c r="I147" s="6" t="s">
        <v>92</v>
      </c>
      <c r="J147" s="6" t="s">
        <v>4513</v>
      </c>
      <c r="K147" s="6" t="s">
        <v>3159</v>
      </c>
      <c r="L147" s="6" t="s">
        <v>3188</v>
      </c>
      <c r="M147" s="6" t="s">
        <v>3160</v>
      </c>
      <c r="N147" s="6" t="s">
        <v>75</v>
      </c>
      <c r="O147" s="6" t="s">
        <v>3243</v>
      </c>
      <c r="P147" s="6" t="s">
        <v>4472</v>
      </c>
      <c r="Q147" s="6" t="s">
        <v>4514</v>
      </c>
      <c r="R147" s="6" t="s">
        <v>4515</v>
      </c>
      <c r="S147" s="6" t="s">
        <v>21</v>
      </c>
      <c r="T147" s="6" t="s">
        <v>3217</v>
      </c>
      <c r="U147" s="6" t="s">
        <v>3140</v>
      </c>
      <c r="V147" s="6" t="s">
        <v>4516</v>
      </c>
      <c r="W147" s="6" t="s">
        <v>3415</v>
      </c>
      <c r="X147" s="6" t="s">
        <v>77</v>
      </c>
      <c r="Y147" s="6" t="s">
        <v>3140</v>
      </c>
      <c r="Z147" s="6" t="s">
        <v>93</v>
      </c>
      <c r="AA147" s="6" t="s">
        <v>3729</v>
      </c>
      <c r="AB147" s="6"/>
      <c r="AC147" s="6" t="s">
        <v>3159</v>
      </c>
      <c r="AD147" s="6" t="s">
        <v>75</v>
      </c>
      <c r="AE147" s="6" t="s">
        <v>3293</v>
      </c>
      <c r="AF147" s="6"/>
      <c r="AG147" s="6" t="s">
        <v>4517</v>
      </c>
      <c r="AH147" s="6" t="s">
        <v>79</v>
      </c>
    </row>
    <row r="148" spans="1:34" x14ac:dyDescent="0.25">
      <c r="A148" s="6" t="s">
        <v>568</v>
      </c>
      <c r="B148" s="6" t="s">
        <v>569</v>
      </c>
      <c r="C148" s="6"/>
      <c r="D148" s="6" t="s">
        <v>4518</v>
      </c>
      <c r="E148" s="6" t="s">
        <v>3570</v>
      </c>
      <c r="F148" s="6" t="s">
        <v>3227</v>
      </c>
      <c r="G148" s="6" t="s">
        <v>143</v>
      </c>
      <c r="H148" s="6" t="s">
        <v>84</v>
      </c>
      <c r="I148" s="6" t="s">
        <v>74</v>
      </c>
      <c r="J148" s="6"/>
      <c r="K148" s="6" t="s">
        <v>3140</v>
      </c>
      <c r="L148" s="6" t="s">
        <v>3173</v>
      </c>
      <c r="M148" s="6" t="s">
        <v>75</v>
      </c>
      <c r="N148" s="6" t="s">
        <v>3173</v>
      </c>
      <c r="O148" s="6" t="s">
        <v>3243</v>
      </c>
      <c r="P148" s="6" t="s">
        <v>4519</v>
      </c>
      <c r="Q148" s="6" t="s">
        <v>4520</v>
      </c>
      <c r="R148" s="6" t="s">
        <v>4521</v>
      </c>
      <c r="S148" s="6" t="s">
        <v>23</v>
      </c>
      <c r="T148" s="6" t="s">
        <v>4522</v>
      </c>
      <c r="U148" s="6" t="s">
        <v>3141</v>
      </c>
      <c r="V148" s="6" t="s">
        <v>4523</v>
      </c>
      <c r="W148" s="6" t="s">
        <v>3354</v>
      </c>
      <c r="X148" s="6" t="s">
        <v>77</v>
      </c>
      <c r="Y148" s="6" t="s">
        <v>3159</v>
      </c>
      <c r="Z148" s="6" t="s">
        <v>78</v>
      </c>
      <c r="AA148" s="6" t="s">
        <v>3490</v>
      </c>
      <c r="AB148" s="6"/>
      <c r="AC148" s="6" t="s">
        <v>3292</v>
      </c>
      <c r="AD148" s="6" t="s">
        <v>3243</v>
      </c>
      <c r="AE148" s="6" t="s">
        <v>3318</v>
      </c>
      <c r="AF148" s="6" t="s">
        <v>4524</v>
      </c>
      <c r="AG148" s="6" t="s">
        <v>4409</v>
      </c>
      <c r="AH148" s="6" t="s">
        <v>79</v>
      </c>
    </row>
    <row r="149" spans="1:34" x14ac:dyDescent="0.25">
      <c r="A149" s="6" t="s">
        <v>571</v>
      </c>
      <c r="B149" s="6" t="s">
        <v>572</v>
      </c>
      <c r="C149" s="6" t="s">
        <v>573</v>
      </c>
      <c r="D149" s="6" t="s">
        <v>574</v>
      </c>
      <c r="E149" s="6" t="s">
        <v>3483</v>
      </c>
      <c r="F149" s="6" t="s">
        <v>89</v>
      </c>
      <c r="G149" s="6" t="s">
        <v>120</v>
      </c>
      <c r="H149" s="6" t="s">
        <v>99</v>
      </c>
      <c r="I149" s="6" t="s">
        <v>74</v>
      </c>
      <c r="J149" s="6" t="s">
        <v>4525</v>
      </c>
      <c r="K149" s="6" t="s">
        <v>3159</v>
      </c>
      <c r="L149" s="6" t="s">
        <v>3142</v>
      </c>
      <c r="M149" s="6" t="s">
        <v>3160</v>
      </c>
      <c r="N149" s="6" t="s">
        <v>3141</v>
      </c>
      <c r="O149" s="6" t="s">
        <v>75</v>
      </c>
      <c r="P149" s="6"/>
      <c r="Q149" s="6"/>
      <c r="R149" s="6" t="s">
        <v>4526</v>
      </c>
      <c r="S149" s="6" t="s">
        <v>23</v>
      </c>
      <c r="T149" s="6" t="s">
        <v>4527</v>
      </c>
      <c r="U149" s="6" t="s">
        <v>3141</v>
      </c>
      <c r="V149" s="6" t="s">
        <v>4528</v>
      </c>
      <c r="W149" s="6" t="s">
        <v>4441</v>
      </c>
      <c r="X149" s="6" t="s">
        <v>77</v>
      </c>
      <c r="Y149" s="6" t="s">
        <v>3140</v>
      </c>
      <c r="Z149" s="6" t="s">
        <v>93</v>
      </c>
      <c r="AA149" s="6" t="s">
        <v>4529</v>
      </c>
      <c r="AB149" s="6"/>
      <c r="AC149" s="6" t="s">
        <v>3159</v>
      </c>
      <c r="AD149" s="6" t="s">
        <v>3173</v>
      </c>
      <c r="AE149" s="6" t="s">
        <v>3318</v>
      </c>
      <c r="AF149" s="6" t="s">
        <v>4530</v>
      </c>
      <c r="AG149" s="6" t="s">
        <v>4531</v>
      </c>
      <c r="AH149" s="6" t="s">
        <v>79</v>
      </c>
    </row>
    <row r="150" spans="1:34" x14ac:dyDescent="0.25">
      <c r="A150" s="6" t="s">
        <v>575</v>
      </c>
      <c r="B150" s="6" t="s">
        <v>576</v>
      </c>
      <c r="C150" s="6" t="s">
        <v>4532</v>
      </c>
      <c r="D150" s="6" t="s">
        <v>4533</v>
      </c>
      <c r="E150" s="6" t="s">
        <v>3226</v>
      </c>
      <c r="F150" s="6" t="s">
        <v>3214</v>
      </c>
      <c r="G150" s="6" t="s">
        <v>120</v>
      </c>
      <c r="H150" s="6" t="s">
        <v>91</v>
      </c>
      <c r="I150" s="6" t="s">
        <v>92</v>
      </c>
      <c r="J150" s="6" t="s">
        <v>4534</v>
      </c>
      <c r="K150" s="6" t="s">
        <v>3140</v>
      </c>
      <c r="L150" s="6" t="s">
        <v>3196</v>
      </c>
      <c r="M150" s="6" t="s">
        <v>3196</v>
      </c>
      <c r="N150" s="6" t="s">
        <v>3143</v>
      </c>
      <c r="O150" s="6" t="s">
        <v>3160</v>
      </c>
      <c r="P150" s="6" t="s">
        <v>4535</v>
      </c>
      <c r="Q150" s="6" t="s">
        <v>4536</v>
      </c>
      <c r="R150" s="6" t="s">
        <v>4537</v>
      </c>
      <c r="S150" s="6" t="s">
        <v>20</v>
      </c>
      <c r="T150" s="6" t="s">
        <v>4538</v>
      </c>
      <c r="U150" s="6" t="s">
        <v>3141</v>
      </c>
      <c r="V150" s="6" t="s">
        <v>4539</v>
      </c>
      <c r="W150" s="6" t="s">
        <v>3894</v>
      </c>
      <c r="X150" s="6" t="s">
        <v>77</v>
      </c>
      <c r="Y150" s="6" t="s">
        <v>3159</v>
      </c>
      <c r="Z150" s="6" t="s">
        <v>78</v>
      </c>
      <c r="AA150" s="6" t="s">
        <v>3747</v>
      </c>
      <c r="AB150" s="6"/>
      <c r="AC150" s="6" t="s">
        <v>3141</v>
      </c>
      <c r="AD150" s="6" t="s">
        <v>3143</v>
      </c>
      <c r="AE150" s="6" t="s">
        <v>3293</v>
      </c>
      <c r="AF150" s="6"/>
      <c r="AG150" s="6" t="s">
        <v>4540</v>
      </c>
      <c r="AH150" s="6" t="s">
        <v>79</v>
      </c>
    </row>
    <row r="151" spans="1:34" x14ac:dyDescent="0.25">
      <c r="A151" s="6" t="s">
        <v>578</v>
      </c>
      <c r="B151" s="6" t="s">
        <v>579</v>
      </c>
      <c r="C151" s="6" t="s">
        <v>580</v>
      </c>
      <c r="D151" s="6" t="s">
        <v>4541</v>
      </c>
      <c r="E151" s="6" t="s">
        <v>4542</v>
      </c>
      <c r="F151" s="6" t="s">
        <v>3283</v>
      </c>
      <c r="G151" s="6" t="s">
        <v>4543</v>
      </c>
      <c r="H151" s="6" t="s">
        <v>107</v>
      </c>
      <c r="I151" s="6" t="s">
        <v>92</v>
      </c>
      <c r="J151" s="6" t="s">
        <v>3217</v>
      </c>
      <c r="K151" s="6" t="s">
        <v>3159</v>
      </c>
      <c r="L151" s="6" t="s">
        <v>75</v>
      </c>
      <c r="M151" s="6" t="s">
        <v>3160</v>
      </c>
      <c r="N151" s="6" t="s">
        <v>3142</v>
      </c>
      <c r="O151" s="6" t="s">
        <v>3143</v>
      </c>
      <c r="P151" s="6" t="s">
        <v>4157</v>
      </c>
      <c r="Q151" s="6" t="s">
        <v>4544</v>
      </c>
      <c r="R151" s="6" t="s">
        <v>4545</v>
      </c>
      <c r="S151" s="6" t="s">
        <v>22</v>
      </c>
      <c r="T151" s="6" t="s">
        <v>4546</v>
      </c>
      <c r="U151" s="6" t="s">
        <v>3159</v>
      </c>
      <c r="V151" s="6" t="s">
        <v>4547</v>
      </c>
      <c r="W151" s="6" t="s">
        <v>4161</v>
      </c>
      <c r="X151" s="6" t="s">
        <v>85</v>
      </c>
      <c r="Y151" s="6" t="s">
        <v>3159</v>
      </c>
      <c r="Z151" s="6" t="s">
        <v>3664</v>
      </c>
      <c r="AA151" s="6" t="s">
        <v>3683</v>
      </c>
      <c r="AB151" s="6"/>
      <c r="AC151" s="6" t="s">
        <v>3159</v>
      </c>
      <c r="AD151" s="6" t="s">
        <v>3160</v>
      </c>
      <c r="AE151" s="6" t="s">
        <v>3279</v>
      </c>
      <c r="AF151" s="6" t="s">
        <v>4548</v>
      </c>
      <c r="AG151" s="6" t="s">
        <v>4549</v>
      </c>
      <c r="AH151" s="6" t="s">
        <v>79</v>
      </c>
    </row>
    <row r="152" spans="1:34" x14ac:dyDescent="0.25">
      <c r="A152" s="6" t="s">
        <v>582</v>
      </c>
      <c r="B152" s="6" t="s">
        <v>583</v>
      </c>
      <c r="C152" s="6" t="s">
        <v>4550</v>
      </c>
      <c r="D152" s="6" t="s">
        <v>584</v>
      </c>
      <c r="E152" s="6" t="s">
        <v>3279</v>
      </c>
      <c r="F152" s="6" t="s">
        <v>89</v>
      </c>
      <c r="G152" s="6" t="s">
        <v>131</v>
      </c>
      <c r="H152" s="6" t="s">
        <v>166</v>
      </c>
      <c r="I152" s="6" t="s">
        <v>74</v>
      </c>
      <c r="J152" s="6" t="s">
        <v>4551</v>
      </c>
      <c r="K152" s="6" t="s">
        <v>3159</v>
      </c>
      <c r="L152" s="6" t="s">
        <v>3142</v>
      </c>
      <c r="M152" s="6" t="s">
        <v>3243</v>
      </c>
      <c r="N152" s="6" t="s">
        <v>3141</v>
      </c>
      <c r="O152" s="6" t="s">
        <v>75</v>
      </c>
      <c r="P152" s="6" t="s">
        <v>3244</v>
      </c>
      <c r="Q152" s="6" t="s">
        <v>4552</v>
      </c>
      <c r="R152" s="6" t="s">
        <v>4553</v>
      </c>
      <c r="S152" s="6" t="s">
        <v>22</v>
      </c>
      <c r="T152" s="6" t="s">
        <v>4554</v>
      </c>
      <c r="U152" s="6" t="s">
        <v>3141</v>
      </c>
      <c r="V152" s="6" t="s">
        <v>4555</v>
      </c>
      <c r="W152" s="6" t="s">
        <v>3847</v>
      </c>
      <c r="X152" s="6" t="s">
        <v>4030</v>
      </c>
      <c r="Y152" s="6" t="s">
        <v>3292</v>
      </c>
      <c r="Z152" s="6" t="s">
        <v>93</v>
      </c>
      <c r="AA152" s="6" t="s">
        <v>3317</v>
      </c>
      <c r="AB152" s="6"/>
      <c r="AC152" s="6" t="s">
        <v>3140</v>
      </c>
      <c r="AD152" s="6" t="s">
        <v>3152</v>
      </c>
      <c r="AE152" s="6" t="s">
        <v>3235</v>
      </c>
      <c r="AF152" s="6" t="s">
        <v>4556</v>
      </c>
      <c r="AG152" s="6" t="s">
        <v>3720</v>
      </c>
      <c r="AH152" s="6" t="s">
        <v>79</v>
      </c>
    </row>
    <row r="153" spans="1:34" x14ac:dyDescent="0.25">
      <c r="A153" s="6" t="s">
        <v>585</v>
      </c>
      <c r="B153" s="6" t="s">
        <v>540</v>
      </c>
      <c r="C153" s="6" t="s">
        <v>4557</v>
      </c>
      <c r="D153" s="6" t="s">
        <v>4558</v>
      </c>
      <c r="E153" s="6" t="s">
        <v>3483</v>
      </c>
      <c r="F153" s="6" t="s">
        <v>3283</v>
      </c>
      <c r="G153" s="6" t="s">
        <v>226</v>
      </c>
      <c r="H153" s="6" t="s">
        <v>166</v>
      </c>
      <c r="I153" s="6" t="s">
        <v>74</v>
      </c>
      <c r="J153" s="6" t="s">
        <v>4559</v>
      </c>
      <c r="K153" s="6" t="s">
        <v>3292</v>
      </c>
      <c r="L153" s="6" t="s">
        <v>76</v>
      </c>
      <c r="M153" s="6" t="s">
        <v>3243</v>
      </c>
      <c r="N153" s="6" t="s">
        <v>3159</v>
      </c>
      <c r="O153" s="6" t="s">
        <v>3188</v>
      </c>
      <c r="P153" s="6" t="s">
        <v>4223</v>
      </c>
      <c r="Q153" s="6" t="s">
        <v>4560</v>
      </c>
      <c r="R153" s="6" t="s">
        <v>4561</v>
      </c>
      <c r="S153" s="6" t="s">
        <v>20</v>
      </c>
      <c r="T153" s="6" t="s">
        <v>4562</v>
      </c>
      <c r="U153" s="6" t="s">
        <v>3141</v>
      </c>
      <c r="V153" s="6" t="s">
        <v>3783</v>
      </c>
      <c r="W153" s="6" t="s">
        <v>4563</v>
      </c>
      <c r="X153" s="6" t="s">
        <v>3167</v>
      </c>
      <c r="Y153" s="6" t="s">
        <v>3140</v>
      </c>
      <c r="Z153" s="6" t="s">
        <v>93</v>
      </c>
      <c r="AA153" s="6" t="s">
        <v>4117</v>
      </c>
      <c r="AB153" s="6"/>
      <c r="AC153" s="6" t="s">
        <v>3141</v>
      </c>
      <c r="AD153" s="6" t="s">
        <v>3143</v>
      </c>
      <c r="AE153" s="6" t="s">
        <v>3169</v>
      </c>
      <c r="AF153" s="6"/>
      <c r="AG153" s="6" t="s">
        <v>4564</v>
      </c>
      <c r="AH153" s="6" t="s">
        <v>79</v>
      </c>
    </row>
    <row r="154" spans="1:34" x14ac:dyDescent="0.25">
      <c r="A154" s="6" t="s">
        <v>587</v>
      </c>
      <c r="B154" s="6" t="s">
        <v>588</v>
      </c>
      <c r="C154" s="6" t="s">
        <v>4565</v>
      </c>
      <c r="D154" s="6" t="s">
        <v>589</v>
      </c>
      <c r="E154" s="6" t="s">
        <v>3471</v>
      </c>
      <c r="F154" s="6" t="s">
        <v>89</v>
      </c>
      <c r="G154" s="6" t="s">
        <v>153</v>
      </c>
      <c r="H154" s="6" t="s">
        <v>166</v>
      </c>
      <c r="I154" s="6" t="s">
        <v>74</v>
      </c>
      <c r="J154" s="6" t="s">
        <v>3217</v>
      </c>
      <c r="K154" s="6" t="s">
        <v>3141</v>
      </c>
      <c r="L154" s="6" t="s">
        <v>3152</v>
      </c>
      <c r="M154" s="6" t="s">
        <v>3141</v>
      </c>
      <c r="N154" s="6" t="s">
        <v>3152</v>
      </c>
      <c r="O154" s="6" t="s">
        <v>3152</v>
      </c>
      <c r="P154" s="6" t="s">
        <v>3750</v>
      </c>
      <c r="Q154" s="6" t="s">
        <v>4566</v>
      </c>
      <c r="R154" s="6" t="s">
        <v>4567</v>
      </c>
      <c r="S154" s="6" t="s">
        <v>21</v>
      </c>
      <c r="T154" s="6"/>
      <c r="U154" s="6" t="s">
        <v>3140</v>
      </c>
      <c r="V154" s="6" t="s">
        <v>4568</v>
      </c>
      <c r="W154" s="6" t="s">
        <v>4354</v>
      </c>
      <c r="X154" s="6" t="s">
        <v>85</v>
      </c>
      <c r="Y154" s="6" t="s">
        <v>3159</v>
      </c>
      <c r="Z154" s="6" t="s">
        <v>194</v>
      </c>
      <c r="AA154" s="6" t="s">
        <v>4117</v>
      </c>
      <c r="AB154" s="6" t="s">
        <v>4569</v>
      </c>
      <c r="AC154" s="6" t="s">
        <v>3159</v>
      </c>
      <c r="AD154" s="6" t="s">
        <v>3143</v>
      </c>
      <c r="AE154" s="6" t="s">
        <v>3293</v>
      </c>
      <c r="AF154" s="6"/>
      <c r="AG154" s="6" t="s">
        <v>4570</v>
      </c>
      <c r="AH154" s="6" t="s">
        <v>79</v>
      </c>
    </row>
    <row r="155" spans="1:34" x14ac:dyDescent="0.25">
      <c r="A155" s="6" t="s">
        <v>590</v>
      </c>
      <c r="B155" s="6" t="s">
        <v>591</v>
      </c>
      <c r="C155" s="6" t="s">
        <v>592</v>
      </c>
      <c r="D155" s="6" t="s">
        <v>4571</v>
      </c>
      <c r="E155" s="6" t="s">
        <v>3226</v>
      </c>
      <c r="F155" s="6" t="s">
        <v>71</v>
      </c>
      <c r="G155" s="6" t="s">
        <v>139</v>
      </c>
      <c r="H155" s="6" t="s">
        <v>91</v>
      </c>
      <c r="I155" s="6" t="s">
        <v>92</v>
      </c>
      <c r="J155" s="6" t="s">
        <v>4572</v>
      </c>
      <c r="K155" s="6" t="s">
        <v>3292</v>
      </c>
      <c r="L155" s="6" t="s">
        <v>3173</v>
      </c>
      <c r="M155" s="6" t="s">
        <v>3142</v>
      </c>
      <c r="N155" s="6" t="s">
        <v>3143</v>
      </c>
      <c r="O155" s="6" t="s">
        <v>3142</v>
      </c>
      <c r="P155" s="6" t="s">
        <v>3960</v>
      </c>
      <c r="Q155" s="6" t="s">
        <v>4573</v>
      </c>
      <c r="R155" s="6" t="s">
        <v>4574</v>
      </c>
      <c r="S155" s="6" t="s">
        <v>23</v>
      </c>
      <c r="T155" s="6" t="s">
        <v>4575</v>
      </c>
      <c r="U155" s="6" t="s">
        <v>3159</v>
      </c>
      <c r="V155" s="6" t="s">
        <v>4576</v>
      </c>
      <c r="W155" s="6" t="s">
        <v>4161</v>
      </c>
      <c r="X155" s="6" t="s">
        <v>3167</v>
      </c>
      <c r="Y155" s="6" t="s">
        <v>3141</v>
      </c>
      <c r="Z155" s="6" t="s">
        <v>3895</v>
      </c>
      <c r="AA155" s="6" t="s">
        <v>3207</v>
      </c>
      <c r="AB155" s="6"/>
      <c r="AC155" s="6" t="s">
        <v>3159</v>
      </c>
      <c r="AD155" s="6" t="s">
        <v>3141</v>
      </c>
      <c r="AE155" s="6" t="s">
        <v>3428</v>
      </c>
      <c r="AF155" s="6" t="s">
        <v>4577</v>
      </c>
      <c r="AG155" s="6" t="s">
        <v>4578</v>
      </c>
      <c r="AH155" s="6" t="s">
        <v>79</v>
      </c>
    </row>
    <row r="156" spans="1:34" x14ac:dyDescent="0.25">
      <c r="A156" s="6" t="s">
        <v>594</v>
      </c>
      <c r="B156" s="6" t="s">
        <v>4579</v>
      </c>
      <c r="C156" s="6" t="s">
        <v>596</v>
      </c>
      <c r="D156" s="6" t="s">
        <v>4580</v>
      </c>
      <c r="E156" s="6" t="s">
        <v>4025</v>
      </c>
      <c r="F156" s="6" t="s">
        <v>3283</v>
      </c>
      <c r="G156" s="6" t="s">
        <v>127</v>
      </c>
      <c r="H156" s="6" t="s">
        <v>99</v>
      </c>
      <c r="I156" s="6" t="s">
        <v>74</v>
      </c>
      <c r="J156" s="6" t="s">
        <v>4581</v>
      </c>
      <c r="K156" s="6" t="s">
        <v>3140</v>
      </c>
      <c r="L156" s="6" t="s">
        <v>75</v>
      </c>
      <c r="M156" s="6" t="s">
        <v>3196</v>
      </c>
      <c r="N156" s="6" t="s">
        <v>3196</v>
      </c>
      <c r="O156" s="6" t="s">
        <v>3160</v>
      </c>
      <c r="P156" s="6" t="s">
        <v>4582</v>
      </c>
      <c r="Q156" s="6"/>
      <c r="R156" s="6" t="s">
        <v>4583</v>
      </c>
      <c r="S156" s="6" t="s">
        <v>23</v>
      </c>
      <c r="T156" s="6" t="s">
        <v>4584</v>
      </c>
      <c r="U156" s="6" t="s">
        <v>3159</v>
      </c>
      <c r="V156" s="6" t="s">
        <v>4585</v>
      </c>
      <c r="W156" s="6" t="s">
        <v>3588</v>
      </c>
      <c r="X156" s="6" t="s">
        <v>85</v>
      </c>
      <c r="Y156" s="6" t="s">
        <v>3292</v>
      </c>
      <c r="Z156" s="6" t="s">
        <v>93</v>
      </c>
      <c r="AA156" s="6" t="s">
        <v>4001</v>
      </c>
      <c r="AB156" s="6" t="s">
        <v>4586</v>
      </c>
      <c r="AC156" s="6" t="s">
        <v>3141</v>
      </c>
      <c r="AD156" s="6" t="s">
        <v>75</v>
      </c>
      <c r="AE156" s="6" t="s">
        <v>3318</v>
      </c>
      <c r="AF156" s="6" t="s">
        <v>4587</v>
      </c>
      <c r="AG156" s="6" t="s">
        <v>4588</v>
      </c>
      <c r="AH156" s="6" t="s">
        <v>79</v>
      </c>
    </row>
    <row r="157" spans="1:34" x14ac:dyDescent="0.25">
      <c r="A157" s="6" t="s">
        <v>598</v>
      </c>
      <c r="B157" s="6" t="s">
        <v>599</v>
      </c>
      <c r="C157" s="6"/>
      <c r="D157" s="6"/>
      <c r="E157" s="6" t="s">
        <v>3323</v>
      </c>
      <c r="F157" s="6" t="s">
        <v>3227</v>
      </c>
      <c r="G157" s="6" t="s">
        <v>131</v>
      </c>
      <c r="H157" s="6" t="s">
        <v>103</v>
      </c>
      <c r="I157" s="6" t="s">
        <v>74</v>
      </c>
      <c r="J157" s="6"/>
      <c r="K157" s="6" t="s">
        <v>3141</v>
      </c>
      <c r="L157" s="6" t="s">
        <v>3152</v>
      </c>
      <c r="M157" s="6" t="s">
        <v>3243</v>
      </c>
      <c r="N157" s="6" t="s">
        <v>75</v>
      </c>
      <c r="O157" s="6" t="s">
        <v>3160</v>
      </c>
      <c r="P157" s="6" t="s">
        <v>4589</v>
      </c>
      <c r="Q157" s="6"/>
      <c r="R157" s="6" t="s">
        <v>4590</v>
      </c>
      <c r="S157" s="6" t="s">
        <v>22</v>
      </c>
      <c r="T157" s="6"/>
      <c r="U157" s="6" t="s">
        <v>3141</v>
      </c>
      <c r="V157" s="6" t="s">
        <v>4591</v>
      </c>
      <c r="W157" s="6" t="s">
        <v>4592</v>
      </c>
      <c r="X157" s="6" t="s">
        <v>77</v>
      </c>
      <c r="Y157" s="6" t="s">
        <v>3141</v>
      </c>
      <c r="Z157" s="6" t="s">
        <v>194</v>
      </c>
      <c r="AA157" s="6" t="s">
        <v>3166</v>
      </c>
      <c r="AB157" s="6" t="s">
        <v>4593</v>
      </c>
      <c r="AC157" s="6" t="s">
        <v>3141</v>
      </c>
      <c r="AD157" s="6" t="s">
        <v>75</v>
      </c>
      <c r="AE157" s="6" t="s">
        <v>3622</v>
      </c>
      <c r="AF157" s="6" t="s">
        <v>4594</v>
      </c>
      <c r="AG157" s="6" t="s">
        <v>4595</v>
      </c>
      <c r="AH157" s="6" t="s">
        <v>79</v>
      </c>
    </row>
    <row r="158" spans="1:34" x14ac:dyDescent="0.25">
      <c r="A158" s="6" t="s">
        <v>600</v>
      </c>
      <c r="B158" s="6" t="s">
        <v>601</v>
      </c>
      <c r="C158" s="6" t="s">
        <v>602</v>
      </c>
      <c r="D158" s="6" t="s">
        <v>4596</v>
      </c>
      <c r="E158" s="6" t="s">
        <v>3722</v>
      </c>
      <c r="F158" s="6" t="s">
        <v>3358</v>
      </c>
      <c r="G158" s="6" t="s">
        <v>3472</v>
      </c>
      <c r="H158" s="6" t="s">
        <v>166</v>
      </c>
      <c r="I158" s="6" t="s">
        <v>74</v>
      </c>
      <c r="J158" s="6" t="s">
        <v>3217</v>
      </c>
      <c r="K158" s="6" t="s">
        <v>3141</v>
      </c>
      <c r="L158" s="6" t="s">
        <v>3143</v>
      </c>
      <c r="M158" s="6" t="s">
        <v>75</v>
      </c>
      <c r="N158" s="6" t="s">
        <v>3243</v>
      </c>
      <c r="O158" s="6" t="s">
        <v>3243</v>
      </c>
      <c r="P158" s="6" t="s">
        <v>4597</v>
      </c>
      <c r="Q158" s="6" t="s">
        <v>4598</v>
      </c>
      <c r="R158" s="6" t="s">
        <v>4599</v>
      </c>
      <c r="S158" s="6" t="s">
        <v>23</v>
      </c>
      <c r="T158" s="6"/>
      <c r="U158" s="6" t="s">
        <v>3292</v>
      </c>
      <c r="V158" s="6" t="s">
        <v>3478</v>
      </c>
      <c r="W158" s="6" t="s">
        <v>3802</v>
      </c>
      <c r="X158" s="6" t="s">
        <v>85</v>
      </c>
      <c r="Y158" s="6" t="s">
        <v>3140</v>
      </c>
      <c r="Z158" s="6" t="s">
        <v>93</v>
      </c>
      <c r="AA158" s="6" t="s">
        <v>4126</v>
      </c>
      <c r="AB158" s="6" t="s">
        <v>4600</v>
      </c>
      <c r="AC158" s="6" t="s">
        <v>3141</v>
      </c>
      <c r="AD158" s="6" t="s">
        <v>3141</v>
      </c>
      <c r="AE158" s="6" t="s">
        <v>3331</v>
      </c>
      <c r="AF158" s="6" t="s">
        <v>4601</v>
      </c>
      <c r="AG158" s="6" t="s">
        <v>4602</v>
      </c>
      <c r="AH158" s="6" t="s">
        <v>79</v>
      </c>
    </row>
    <row r="159" spans="1:34" x14ac:dyDescent="0.25">
      <c r="A159" s="6" t="s">
        <v>604</v>
      </c>
      <c r="B159" s="6" t="s">
        <v>242</v>
      </c>
      <c r="C159" s="6" t="s">
        <v>4603</v>
      </c>
      <c r="D159" s="6" t="s">
        <v>605</v>
      </c>
      <c r="E159" s="6" t="s">
        <v>3296</v>
      </c>
      <c r="F159" s="6" t="s">
        <v>71</v>
      </c>
      <c r="G159" s="6" t="s">
        <v>4604</v>
      </c>
      <c r="H159" s="6" t="s">
        <v>107</v>
      </c>
      <c r="I159" s="6" t="s">
        <v>92</v>
      </c>
      <c r="J159" s="6" t="s">
        <v>4605</v>
      </c>
      <c r="K159" s="6" t="s">
        <v>3140</v>
      </c>
      <c r="L159" s="6" t="s">
        <v>3143</v>
      </c>
      <c r="M159" s="6" t="s">
        <v>3196</v>
      </c>
      <c r="N159" s="6" t="s">
        <v>3159</v>
      </c>
      <c r="O159" s="6" t="s">
        <v>3160</v>
      </c>
      <c r="P159" s="6" t="s">
        <v>4606</v>
      </c>
      <c r="Q159" s="6" t="s">
        <v>3217</v>
      </c>
      <c r="R159" s="6" t="s">
        <v>4607</v>
      </c>
      <c r="S159" s="6" t="s">
        <v>3671</v>
      </c>
      <c r="T159" s="6" t="s">
        <v>4608</v>
      </c>
      <c r="U159" s="6" t="s">
        <v>3192</v>
      </c>
      <c r="V159" s="6" t="s">
        <v>4609</v>
      </c>
      <c r="W159" s="6" t="s">
        <v>4610</v>
      </c>
      <c r="X159" s="6" t="s">
        <v>77</v>
      </c>
      <c r="Y159" s="6" t="s">
        <v>3159</v>
      </c>
      <c r="Z159" s="6" t="s">
        <v>93</v>
      </c>
      <c r="AA159" s="6" t="s">
        <v>3328</v>
      </c>
      <c r="AB159" s="6" t="s">
        <v>4611</v>
      </c>
      <c r="AC159" s="6" t="s">
        <v>3141</v>
      </c>
      <c r="AD159" s="6" t="s">
        <v>3143</v>
      </c>
      <c r="AE159" s="6" t="s">
        <v>3318</v>
      </c>
      <c r="AF159" s="6" t="s">
        <v>4612</v>
      </c>
      <c r="AG159" s="6"/>
      <c r="AH159" s="6" t="s">
        <v>79</v>
      </c>
    </row>
    <row r="160" spans="1:34" x14ac:dyDescent="0.25">
      <c r="A160" s="6" t="s">
        <v>606</v>
      </c>
      <c r="B160" s="6" t="s">
        <v>607</v>
      </c>
      <c r="C160" s="6" t="s">
        <v>4613</v>
      </c>
      <c r="D160" s="6"/>
      <c r="E160" s="6" t="s">
        <v>4358</v>
      </c>
      <c r="F160" s="6" t="s">
        <v>3358</v>
      </c>
      <c r="G160" s="6" t="s">
        <v>314</v>
      </c>
      <c r="H160" s="6" t="s">
        <v>132</v>
      </c>
      <c r="I160" s="6" t="s">
        <v>92</v>
      </c>
      <c r="J160" s="6" t="s">
        <v>4614</v>
      </c>
      <c r="K160" s="6" t="s">
        <v>3140</v>
      </c>
      <c r="L160" s="6" t="s">
        <v>3196</v>
      </c>
      <c r="M160" s="6" t="s">
        <v>3143</v>
      </c>
      <c r="N160" s="6" t="s">
        <v>3196</v>
      </c>
      <c r="O160" s="6" t="s">
        <v>3143</v>
      </c>
      <c r="P160" s="6" t="s">
        <v>4615</v>
      </c>
      <c r="Q160" s="6" t="s">
        <v>3217</v>
      </c>
      <c r="R160" s="6" t="s">
        <v>4616</v>
      </c>
      <c r="S160" s="6" t="s">
        <v>21</v>
      </c>
      <c r="T160" s="6" t="s">
        <v>3217</v>
      </c>
      <c r="U160" s="6" t="s">
        <v>3141</v>
      </c>
      <c r="V160" s="6" t="s">
        <v>4617</v>
      </c>
      <c r="W160" s="6" t="s">
        <v>4050</v>
      </c>
      <c r="X160" s="6" t="s">
        <v>85</v>
      </c>
      <c r="Y160" s="6" t="s">
        <v>3140</v>
      </c>
      <c r="Z160" s="6" t="s">
        <v>78</v>
      </c>
      <c r="AA160" s="6" t="s">
        <v>4618</v>
      </c>
      <c r="AB160" s="6" t="s">
        <v>4619</v>
      </c>
      <c r="AC160" s="6" t="s">
        <v>3140</v>
      </c>
      <c r="AD160" s="6" t="s">
        <v>75</v>
      </c>
      <c r="AE160" s="6" t="s">
        <v>3136</v>
      </c>
      <c r="AF160" s="6"/>
      <c r="AG160" s="6" t="s">
        <v>3469</v>
      </c>
      <c r="AH160" s="6" t="s">
        <v>79</v>
      </c>
    </row>
    <row r="161" spans="1:34" x14ac:dyDescent="0.25">
      <c r="A161" s="6" t="s">
        <v>608</v>
      </c>
      <c r="B161" s="6" t="s">
        <v>609</v>
      </c>
      <c r="C161" s="6" t="s">
        <v>610</v>
      </c>
      <c r="D161" s="6" t="s">
        <v>611</v>
      </c>
      <c r="E161" s="6" t="s">
        <v>3921</v>
      </c>
      <c r="F161" s="6" t="s">
        <v>3227</v>
      </c>
      <c r="G161" s="6" t="s">
        <v>90</v>
      </c>
      <c r="H161" s="6" t="s">
        <v>4620</v>
      </c>
      <c r="I161" s="6" t="s">
        <v>74</v>
      </c>
      <c r="J161" s="6" t="s">
        <v>4621</v>
      </c>
      <c r="K161" s="6" t="s">
        <v>3141</v>
      </c>
      <c r="L161" s="6" t="s">
        <v>3243</v>
      </c>
      <c r="M161" s="6" t="s">
        <v>75</v>
      </c>
      <c r="N161" s="6" t="s">
        <v>3141</v>
      </c>
      <c r="O161" s="6" t="s">
        <v>3141</v>
      </c>
      <c r="P161" s="6" t="s">
        <v>4622</v>
      </c>
      <c r="Q161" s="6" t="s">
        <v>4623</v>
      </c>
      <c r="R161" s="6" t="s">
        <v>4624</v>
      </c>
      <c r="S161" s="6" t="s">
        <v>21</v>
      </c>
      <c r="T161" s="6" t="s">
        <v>4625</v>
      </c>
      <c r="U161" s="6" t="s">
        <v>3140</v>
      </c>
      <c r="V161" s="6" t="s">
        <v>4626</v>
      </c>
      <c r="W161" s="6" t="s">
        <v>4176</v>
      </c>
      <c r="X161" s="6" t="s">
        <v>77</v>
      </c>
      <c r="Y161" s="6" t="s">
        <v>3159</v>
      </c>
      <c r="Z161" s="6" t="s">
        <v>78</v>
      </c>
      <c r="AA161" s="6" t="s">
        <v>4398</v>
      </c>
      <c r="AB161" s="6"/>
      <c r="AC161" s="6" t="s">
        <v>3141</v>
      </c>
      <c r="AD161" s="6" t="s">
        <v>3152</v>
      </c>
      <c r="AE161" s="6" t="s">
        <v>3235</v>
      </c>
      <c r="AF161" s="6"/>
      <c r="AG161" s="6" t="s">
        <v>4627</v>
      </c>
      <c r="AH161" s="6" t="s">
        <v>79</v>
      </c>
    </row>
    <row r="162" spans="1:34" x14ac:dyDescent="0.25">
      <c r="A162" s="6" t="s">
        <v>612</v>
      </c>
      <c r="B162" s="6" t="s">
        <v>4628</v>
      </c>
      <c r="C162" s="6" t="s">
        <v>4629</v>
      </c>
      <c r="D162" s="6" t="s">
        <v>4630</v>
      </c>
      <c r="E162" s="6" t="s">
        <v>3432</v>
      </c>
      <c r="F162" s="6" t="s">
        <v>71</v>
      </c>
      <c r="G162" s="6" t="s">
        <v>131</v>
      </c>
      <c r="H162" s="6" t="s">
        <v>99</v>
      </c>
      <c r="I162" s="6" t="s">
        <v>74</v>
      </c>
      <c r="J162" s="6" t="s">
        <v>4631</v>
      </c>
      <c r="K162" s="6" t="s">
        <v>3159</v>
      </c>
      <c r="L162" s="6" t="s">
        <v>3160</v>
      </c>
      <c r="M162" s="6" t="s">
        <v>76</v>
      </c>
      <c r="N162" s="6" t="s">
        <v>3243</v>
      </c>
      <c r="O162" s="6" t="s">
        <v>3141</v>
      </c>
      <c r="P162" s="6" t="s">
        <v>4632</v>
      </c>
      <c r="Q162" s="6"/>
      <c r="R162" s="6" t="s">
        <v>4633</v>
      </c>
      <c r="S162" s="6" t="s">
        <v>20</v>
      </c>
      <c r="T162" s="6" t="s">
        <v>4634</v>
      </c>
      <c r="U162" s="6" t="s">
        <v>3159</v>
      </c>
      <c r="V162" s="6" t="s">
        <v>4635</v>
      </c>
      <c r="W162" s="6" t="s">
        <v>4126</v>
      </c>
      <c r="X162" s="6" t="s">
        <v>85</v>
      </c>
      <c r="Y162" s="6" t="s">
        <v>3140</v>
      </c>
      <c r="Z162" s="6" t="s">
        <v>93</v>
      </c>
      <c r="AA162" s="6" t="s">
        <v>4636</v>
      </c>
      <c r="AB162" s="6" t="s">
        <v>4637</v>
      </c>
      <c r="AC162" s="6" t="s">
        <v>3159</v>
      </c>
      <c r="AD162" s="6" t="s">
        <v>3143</v>
      </c>
      <c r="AE162" s="6" t="s">
        <v>3293</v>
      </c>
      <c r="AF162" s="6"/>
      <c r="AG162" s="6" t="s">
        <v>4638</v>
      </c>
      <c r="AH162" s="6" t="s">
        <v>3494</v>
      </c>
    </row>
    <row r="163" spans="1:34" x14ac:dyDescent="0.25">
      <c r="A163" s="6" t="s">
        <v>615</v>
      </c>
      <c r="B163" s="6" t="s">
        <v>616</v>
      </c>
      <c r="C163" s="6" t="s">
        <v>617</v>
      </c>
      <c r="D163" s="6" t="s">
        <v>618</v>
      </c>
      <c r="E163" s="6" t="s">
        <v>3226</v>
      </c>
      <c r="F163" s="6" t="s">
        <v>3201</v>
      </c>
      <c r="G163" s="6" t="s">
        <v>174</v>
      </c>
      <c r="H163" s="6" t="s">
        <v>103</v>
      </c>
      <c r="I163" s="6" t="s">
        <v>74</v>
      </c>
      <c r="J163" s="6" t="s">
        <v>4639</v>
      </c>
      <c r="K163" s="6" t="s">
        <v>3159</v>
      </c>
      <c r="L163" s="6" t="s">
        <v>3159</v>
      </c>
      <c r="M163" s="6" t="s">
        <v>3143</v>
      </c>
      <c r="N163" s="6" t="s">
        <v>3143</v>
      </c>
      <c r="O163" s="6" t="s">
        <v>75</v>
      </c>
      <c r="P163" s="6" t="s">
        <v>4640</v>
      </c>
      <c r="Q163" s="6"/>
      <c r="R163" s="6" t="s">
        <v>4641</v>
      </c>
      <c r="S163" s="6" t="s">
        <v>23</v>
      </c>
      <c r="T163" s="6" t="s">
        <v>4642</v>
      </c>
      <c r="U163" s="6" t="s">
        <v>3141</v>
      </c>
      <c r="V163" s="6" t="s">
        <v>3802</v>
      </c>
      <c r="W163" s="6" t="s">
        <v>4643</v>
      </c>
      <c r="X163" s="6" t="s">
        <v>85</v>
      </c>
      <c r="Y163" s="6" t="s">
        <v>3159</v>
      </c>
      <c r="Z163" s="6" t="s">
        <v>93</v>
      </c>
      <c r="AA163" s="6" t="s">
        <v>4644</v>
      </c>
      <c r="AB163" s="6" t="s">
        <v>4645</v>
      </c>
      <c r="AC163" s="6" t="s">
        <v>3292</v>
      </c>
      <c r="AD163" s="6" t="s">
        <v>3188</v>
      </c>
      <c r="AE163" s="6" t="s">
        <v>3153</v>
      </c>
      <c r="AF163" s="6" t="s">
        <v>4646</v>
      </c>
      <c r="AG163" s="6" t="s">
        <v>4647</v>
      </c>
      <c r="AH163" s="6" t="s">
        <v>79</v>
      </c>
    </row>
    <row r="164" spans="1:34" x14ac:dyDescent="0.25">
      <c r="A164" s="6" t="s">
        <v>619</v>
      </c>
      <c r="B164" s="6" t="s">
        <v>620</v>
      </c>
      <c r="C164" s="6" t="s">
        <v>4648</v>
      </c>
      <c r="D164" s="6" t="s">
        <v>621</v>
      </c>
      <c r="E164" s="6" t="s">
        <v>3460</v>
      </c>
      <c r="F164" s="6" t="s">
        <v>3137</v>
      </c>
      <c r="G164" s="6" t="s">
        <v>388</v>
      </c>
      <c r="H164" s="6" t="s">
        <v>144</v>
      </c>
      <c r="I164" s="6" t="s">
        <v>92</v>
      </c>
      <c r="J164" s="6" t="s">
        <v>4649</v>
      </c>
      <c r="K164" s="6" t="s">
        <v>3141</v>
      </c>
      <c r="L164" s="6" t="s">
        <v>3143</v>
      </c>
      <c r="M164" s="6" t="s">
        <v>3143</v>
      </c>
      <c r="N164" s="6" t="s">
        <v>75</v>
      </c>
      <c r="O164" s="6" t="s">
        <v>3243</v>
      </c>
      <c r="P164" s="6" t="s">
        <v>4650</v>
      </c>
      <c r="Q164" s="6" t="s">
        <v>4651</v>
      </c>
      <c r="R164" s="6" t="s">
        <v>4652</v>
      </c>
      <c r="S164" s="6" t="s">
        <v>20</v>
      </c>
      <c r="T164" s="6"/>
      <c r="U164" s="6" t="s">
        <v>3141</v>
      </c>
      <c r="V164" s="6" t="s">
        <v>4653</v>
      </c>
      <c r="W164" s="6" t="s">
        <v>4654</v>
      </c>
      <c r="X164" s="6" t="s">
        <v>3918</v>
      </c>
      <c r="Y164" s="6" t="s">
        <v>3141</v>
      </c>
      <c r="Z164" s="6" t="s">
        <v>93</v>
      </c>
      <c r="AA164" s="6" t="s">
        <v>4176</v>
      </c>
      <c r="AB164" s="6"/>
      <c r="AC164" s="6" t="s">
        <v>3141</v>
      </c>
      <c r="AD164" s="6" t="s">
        <v>3243</v>
      </c>
      <c r="AE164" s="6" t="s">
        <v>3235</v>
      </c>
      <c r="AF164" s="6"/>
      <c r="AG164" s="6" t="s">
        <v>4655</v>
      </c>
      <c r="AH164" s="6" t="s">
        <v>4004</v>
      </c>
    </row>
    <row r="165" spans="1:34" x14ac:dyDescent="0.25">
      <c r="A165" s="6" t="s">
        <v>622</v>
      </c>
      <c r="B165" s="6" t="s">
        <v>623</v>
      </c>
      <c r="C165" s="6" t="s">
        <v>624</v>
      </c>
      <c r="D165" s="6" t="s">
        <v>4656</v>
      </c>
      <c r="E165" s="6" t="s">
        <v>3157</v>
      </c>
      <c r="F165" s="6" t="s">
        <v>3283</v>
      </c>
      <c r="G165" s="6" t="s">
        <v>226</v>
      </c>
      <c r="H165" s="6" t="s">
        <v>107</v>
      </c>
      <c r="I165" s="6" t="s">
        <v>92</v>
      </c>
      <c r="J165" s="6"/>
      <c r="K165" s="6" t="s">
        <v>3159</v>
      </c>
      <c r="L165" s="6" t="s">
        <v>3159</v>
      </c>
      <c r="M165" s="6" t="s">
        <v>3152</v>
      </c>
      <c r="N165" s="6" t="s">
        <v>75</v>
      </c>
      <c r="O165" s="6" t="s">
        <v>3141</v>
      </c>
      <c r="P165" s="6" t="s">
        <v>4657</v>
      </c>
      <c r="Q165" s="6" t="s">
        <v>4658</v>
      </c>
      <c r="R165" s="6" t="s">
        <v>4659</v>
      </c>
      <c r="S165" s="6" t="s">
        <v>22</v>
      </c>
      <c r="T165" s="6"/>
      <c r="U165" s="6" t="s">
        <v>3159</v>
      </c>
      <c r="V165" s="6" t="s">
        <v>4660</v>
      </c>
      <c r="W165" s="6" t="s">
        <v>4398</v>
      </c>
      <c r="X165" s="6" t="s">
        <v>77</v>
      </c>
      <c r="Y165" s="6" t="s">
        <v>3159</v>
      </c>
      <c r="Z165" s="6" t="s">
        <v>78</v>
      </c>
      <c r="AA165" s="6" t="s">
        <v>3304</v>
      </c>
      <c r="AB165" s="6"/>
      <c r="AC165" s="6" t="s">
        <v>3141</v>
      </c>
      <c r="AD165" s="6" t="s">
        <v>75</v>
      </c>
      <c r="AE165" s="6" t="s">
        <v>3279</v>
      </c>
      <c r="AF165" s="6" t="s">
        <v>4661</v>
      </c>
      <c r="AG165" s="6" t="s">
        <v>4662</v>
      </c>
      <c r="AH165" s="6" t="s">
        <v>94</v>
      </c>
    </row>
    <row r="166" spans="1:34" x14ac:dyDescent="0.25">
      <c r="A166" s="6" t="s">
        <v>626</v>
      </c>
      <c r="B166" s="6" t="s">
        <v>627</v>
      </c>
      <c r="C166" s="6" t="s">
        <v>4663</v>
      </c>
      <c r="D166" s="6" t="s">
        <v>4664</v>
      </c>
      <c r="E166" s="6" t="s">
        <v>3226</v>
      </c>
      <c r="F166" s="6" t="s">
        <v>3201</v>
      </c>
      <c r="G166" s="6" t="s">
        <v>120</v>
      </c>
      <c r="H166" s="6" t="s">
        <v>99</v>
      </c>
      <c r="I166" s="6" t="s">
        <v>74</v>
      </c>
      <c r="J166" s="6" t="s">
        <v>4665</v>
      </c>
      <c r="K166" s="6" t="s">
        <v>3141</v>
      </c>
      <c r="L166" s="6" t="s">
        <v>3160</v>
      </c>
      <c r="M166" s="6" t="s">
        <v>3243</v>
      </c>
      <c r="N166" s="6" t="s">
        <v>75</v>
      </c>
      <c r="O166" s="6" t="s">
        <v>3143</v>
      </c>
      <c r="P166" s="6" t="s">
        <v>4666</v>
      </c>
      <c r="Q166" s="6" t="s">
        <v>4667</v>
      </c>
      <c r="R166" s="6" t="s">
        <v>4668</v>
      </c>
      <c r="S166" s="6" t="s">
        <v>22</v>
      </c>
      <c r="T166" s="6"/>
      <c r="U166" s="6" t="s">
        <v>3141</v>
      </c>
      <c r="V166" s="6" t="s">
        <v>4669</v>
      </c>
      <c r="W166" s="6" t="s">
        <v>3894</v>
      </c>
      <c r="X166" s="6" t="s">
        <v>85</v>
      </c>
      <c r="Y166" s="6" t="s">
        <v>3140</v>
      </c>
      <c r="Z166" s="6" t="s">
        <v>78</v>
      </c>
      <c r="AA166" s="6" t="s">
        <v>3150</v>
      </c>
      <c r="AB166" s="6"/>
      <c r="AC166" s="6" t="s">
        <v>3140</v>
      </c>
      <c r="AD166" s="6" t="s">
        <v>3173</v>
      </c>
      <c r="AE166" s="6" t="s">
        <v>3323</v>
      </c>
      <c r="AF166" s="6" t="s">
        <v>4670</v>
      </c>
      <c r="AG166" s="6" t="s">
        <v>4671</v>
      </c>
      <c r="AH166" s="6" t="s">
        <v>3494</v>
      </c>
    </row>
    <row r="167" spans="1:34" x14ac:dyDescent="0.25">
      <c r="A167" s="6" t="s">
        <v>629</v>
      </c>
      <c r="B167" s="6" t="s">
        <v>630</v>
      </c>
      <c r="C167" s="6" t="s">
        <v>631</v>
      </c>
      <c r="D167" s="6" t="s">
        <v>632</v>
      </c>
      <c r="E167" s="6" t="s">
        <v>3346</v>
      </c>
      <c r="F167" s="6" t="s">
        <v>3283</v>
      </c>
      <c r="G167" s="6" t="s">
        <v>3186</v>
      </c>
      <c r="H167" s="6" t="s">
        <v>3834</v>
      </c>
      <c r="I167" s="6" t="s">
        <v>74</v>
      </c>
      <c r="J167" s="6"/>
      <c r="K167" s="6" t="s">
        <v>3141</v>
      </c>
      <c r="L167" s="6" t="s">
        <v>3143</v>
      </c>
      <c r="M167" s="6" t="s">
        <v>3141</v>
      </c>
      <c r="N167" s="6" t="s">
        <v>3243</v>
      </c>
      <c r="O167" s="6" t="s">
        <v>3141</v>
      </c>
      <c r="P167" s="6" t="s">
        <v>3298</v>
      </c>
      <c r="Q167" s="6" t="s">
        <v>4672</v>
      </c>
      <c r="R167" s="6" t="s">
        <v>4673</v>
      </c>
      <c r="S167" s="6" t="s">
        <v>22</v>
      </c>
      <c r="T167" s="6" t="s">
        <v>3217</v>
      </c>
      <c r="U167" s="6" t="s">
        <v>3292</v>
      </c>
      <c r="V167" s="6" t="s">
        <v>4674</v>
      </c>
      <c r="W167" s="6" t="s">
        <v>4675</v>
      </c>
      <c r="X167" s="6" t="s">
        <v>77</v>
      </c>
      <c r="Y167" s="6" t="s">
        <v>3140</v>
      </c>
      <c r="Z167" s="6" t="s">
        <v>78</v>
      </c>
      <c r="AA167" s="6" t="s">
        <v>4676</v>
      </c>
      <c r="AB167" s="6" t="s">
        <v>4677</v>
      </c>
      <c r="AC167" s="6" t="s">
        <v>3159</v>
      </c>
      <c r="AD167" s="6" t="s">
        <v>75</v>
      </c>
      <c r="AE167" s="6" t="s">
        <v>3622</v>
      </c>
      <c r="AF167" s="6" t="s">
        <v>4678</v>
      </c>
      <c r="AG167" s="6" t="s">
        <v>4337</v>
      </c>
      <c r="AH167" s="6" t="s">
        <v>79</v>
      </c>
    </row>
    <row r="168" spans="1:34" x14ac:dyDescent="0.25">
      <c r="A168" s="6" t="s">
        <v>633</v>
      </c>
      <c r="B168" s="6" t="s">
        <v>634</v>
      </c>
      <c r="C168" s="6" t="s">
        <v>635</v>
      </c>
      <c r="D168" s="6" t="s">
        <v>636</v>
      </c>
      <c r="E168" s="6" t="s">
        <v>4155</v>
      </c>
      <c r="F168" s="6" t="s">
        <v>89</v>
      </c>
      <c r="G168" s="6" t="s">
        <v>115</v>
      </c>
      <c r="H168" s="6" t="s">
        <v>107</v>
      </c>
      <c r="I168" s="6" t="s">
        <v>92</v>
      </c>
      <c r="J168" s="6" t="s">
        <v>4679</v>
      </c>
      <c r="K168" s="6" t="s">
        <v>3140</v>
      </c>
      <c r="L168" s="6" t="s">
        <v>3173</v>
      </c>
      <c r="M168" s="6" t="s">
        <v>3173</v>
      </c>
      <c r="N168" s="6" t="s">
        <v>75</v>
      </c>
      <c r="O168" s="6" t="s">
        <v>3152</v>
      </c>
      <c r="P168" s="6" t="s">
        <v>4680</v>
      </c>
      <c r="Q168" s="6"/>
      <c r="R168" s="6" t="s">
        <v>4681</v>
      </c>
      <c r="S168" s="6" t="s">
        <v>21</v>
      </c>
      <c r="T168" s="6" t="s">
        <v>4682</v>
      </c>
      <c r="U168" s="6" t="s">
        <v>3141</v>
      </c>
      <c r="V168" s="6" t="s">
        <v>4683</v>
      </c>
      <c r="W168" s="6" t="s">
        <v>4684</v>
      </c>
      <c r="X168" s="6" t="s">
        <v>85</v>
      </c>
      <c r="Y168" s="6" t="s">
        <v>3140</v>
      </c>
      <c r="Z168" s="6" t="s">
        <v>93</v>
      </c>
      <c r="AA168" s="6" t="s">
        <v>3730</v>
      </c>
      <c r="AB168" s="6"/>
      <c r="AC168" s="6" t="s">
        <v>3141</v>
      </c>
      <c r="AD168" s="6" t="s">
        <v>3141</v>
      </c>
      <c r="AE168" s="6" t="s">
        <v>3323</v>
      </c>
      <c r="AF168" s="6"/>
      <c r="AG168" s="6" t="s">
        <v>4685</v>
      </c>
      <c r="AH168" s="6" t="s">
        <v>79</v>
      </c>
    </row>
    <row r="169" spans="1:34" x14ac:dyDescent="0.25">
      <c r="A169" s="6" t="s">
        <v>637</v>
      </c>
      <c r="B169" s="6" t="s">
        <v>638</v>
      </c>
      <c r="C169" s="6" t="s">
        <v>4686</v>
      </c>
      <c r="D169" s="6" t="s">
        <v>639</v>
      </c>
      <c r="E169" s="6" t="s">
        <v>4687</v>
      </c>
      <c r="F169" s="6" t="s">
        <v>3283</v>
      </c>
      <c r="G169" s="6" t="s">
        <v>314</v>
      </c>
      <c r="H169" s="6" t="s">
        <v>73</v>
      </c>
      <c r="I169" s="6" t="s">
        <v>74</v>
      </c>
      <c r="J169" s="6" t="s">
        <v>4688</v>
      </c>
      <c r="K169" s="6" t="s">
        <v>3159</v>
      </c>
      <c r="L169" s="6" t="s">
        <v>3173</v>
      </c>
      <c r="M169" s="6" t="s">
        <v>75</v>
      </c>
      <c r="N169" s="6" t="s">
        <v>3141</v>
      </c>
      <c r="O169" s="6" t="s">
        <v>3243</v>
      </c>
      <c r="P169" s="6" t="s">
        <v>3536</v>
      </c>
      <c r="Q169" s="6" t="s">
        <v>4689</v>
      </c>
      <c r="R169" s="6" t="s">
        <v>4690</v>
      </c>
      <c r="S169" s="6" t="s">
        <v>20</v>
      </c>
      <c r="T169" s="6" t="s">
        <v>4691</v>
      </c>
      <c r="U169" s="6" t="s">
        <v>3141</v>
      </c>
      <c r="V169" s="6" t="s">
        <v>4248</v>
      </c>
      <c r="W169" s="6" t="s">
        <v>3755</v>
      </c>
      <c r="X169" s="6" t="s">
        <v>85</v>
      </c>
      <c r="Y169" s="6" t="s">
        <v>3159</v>
      </c>
      <c r="Z169" s="6" t="s">
        <v>93</v>
      </c>
      <c r="AA169" s="6" t="s">
        <v>4692</v>
      </c>
      <c r="AB169" s="6" t="s">
        <v>4693</v>
      </c>
      <c r="AC169" s="6" t="s">
        <v>3141</v>
      </c>
      <c r="AD169" s="6" t="s">
        <v>3188</v>
      </c>
      <c r="AE169" s="6" t="s">
        <v>3169</v>
      </c>
      <c r="AF169" s="6"/>
      <c r="AG169" s="6" t="s">
        <v>4694</v>
      </c>
      <c r="AH169" s="6" t="s">
        <v>79</v>
      </c>
    </row>
    <row r="170" spans="1:34" x14ac:dyDescent="0.25">
      <c r="A170" s="6" t="s">
        <v>640</v>
      </c>
      <c r="B170" s="6" t="s">
        <v>641</v>
      </c>
      <c r="C170" s="6"/>
      <c r="D170" s="6" t="s">
        <v>4695</v>
      </c>
      <c r="E170" s="6" t="s">
        <v>4155</v>
      </c>
      <c r="F170" s="6" t="s">
        <v>3358</v>
      </c>
      <c r="G170" s="6" t="s">
        <v>153</v>
      </c>
      <c r="H170" s="6" t="s">
        <v>99</v>
      </c>
      <c r="I170" s="6" t="s">
        <v>74</v>
      </c>
      <c r="J170" s="6" t="s">
        <v>4696</v>
      </c>
      <c r="K170" s="6" t="s">
        <v>3140</v>
      </c>
      <c r="L170" s="6" t="s">
        <v>76</v>
      </c>
      <c r="M170" s="6" t="s">
        <v>3196</v>
      </c>
      <c r="N170" s="6" t="s">
        <v>3152</v>
      </c>
      <c r="O170" s="6" t="s">
        <v>3160</v>
      </c>
      <c r="P170" s="6" t="s">
        <v>4697</v>
      </c>
      <c r="Q170" s="6" t="s">
        <v>4698</v>
      </c>
      <c r="R170" s="6" t="s">
        <v>4699</v>
      </c>
      <c r="S170" s="6" t="s">
        <v>22</v>
      </c>
      <c r="T170" s="6" t="s">
        <v>4700</v>
      </c>
      <c r="U170" s="6" t="s">
        <v>3140</v>
      </c>
      <c r="V170" s="6" t="s">
        <v>4701</v>
      </c>
      <c r="W170" s="6" t="s">
        <v>4529</v>
      </c>
      <c r="X170" s="6" t="s">
        <v>77</v>
      </c>
      <c r="Y170" s="6" t="s">
        <v>3141</v>
      </c>
      <c r="Z170" s="6" t="s">
        <v>78</v>
      </c>
      <c r="AA170" s="6" t="s">
        <v>3477</v>
      </c>
      <c r="AB170" s="6"/>
      <c r="AC170" s="6" t="s">
        <v>3141</v>
      </c>
      <c r="AD170" s="6" t="s">
        <v>3143</v>
      </c>
      <c r="AE170" s="6" t="s">
        <v>3210</v>
      </c>
      <c r="AF170" s="6" t="s">
        <v>4702</v>
      </c>
      <c r="AG170" s="6" t="s">
        <v>4703</v>
      </c>
      <c r="AH170" s="6" t="s">
        <v>79</v>
      </c>
    </row>
    <row r="171" spans="1:34" x14ac:dyDescent="0.25">
      <c r="A171" s="6" t="s">
        <v>643</v>
      </c>
      <c r="B171" s="6" t="s">
        <v>644</v>
      </c>
      <c r="C171" s="6"/>
      <c r="D171" s="6"/>
      <c r="E171" s="6" t="s">
        <v>3432</v>
      </c>
      <c r="F171" s="6" t="s">
        <v>3201</v>
      </c>
      <c r="G171" s="6" t="s">
        <v>98</v>
      </c>
      <c r="H171" s="6" t="s">
        <v>4704</v>
      </c>
      <c r="I171" s="6" t="s">
        <v>92</v>
      </c>
      <c r="J171" s="6"/>
      <c r="K171" s="6" t="s">
        <v>3159</v>
      </c>
      <c r="L171" s="6" t="s">
        <v>3143</v>
      </c>
      <c r="M171" s="6" t="s">
        <v>76</v>
      </c>
      <c r="N171" s="6" t="s">
        <v>3141</v>
      </c>
      <c r="O171" s="6" t="s">
        <v>75</v>
      </c>
      <c r="P171" s="6" t="s">
        <v>4387</v>
      </c>
      <c r="Q171" s="6"/>
      <c r="R171" s="6" t="s">
        <v>4705</v>
      </c>
      <c r="S171" s="6" t="s">
        <v>20</v>
      </c>
      <c r="T171" s="6" t="s">
        <v>4706</v>
      </c>
      <c r="U171" s="6" t="s">
        <v>3141</v>
      </c>
      <c r="V171" s="6" t="s">
        <v>4707</v>
      </c>
      <c r="W171" s="6" t="s">
        <v>4013</v>
      </c>
      <c r="X171" s="6" t="s">
        <v>85</v>
      </c>
      <c r="Y171" s="6" t="s">
        <v>3159</v>
      </c>
      <c r="Z171" s="6" t="s">
        <v>93</v>
      </c>
      <c r="AA171" s="6" t="s">
        <v>4708</v>
      </c>
      <c r="AB171" s="6" t="s">
        <v>4709</v>
      </c>
      <c r="AC171" s="6" t="s">
        <v>3141</v>
      </c>
      <c r="AD171" s="6" t="s">
        <v>3152</v>
      </c>
      <c r="AE171" s="6" t="s">
        <v>3136</v>
      </c>
      <c r="AF171" s="6"/>
      <c r="AG171" s="6" t="s">
        <v>4710</v>
      </c>
      <c r="AH171" s="6" t="s">
        <v>79</v>
      </c>
    </row>
    <row r="172" spans="1:34" x14ac:dyDescent="0.25">
      <c r="A172" s="6" t="s">
        <v>645</v>
      </c>
      <c r="B172" s="6" t="s">
        <v>646</v>
      </c>
      <c r="C172" s="6" t="s">
        <v>4711</v>
      </c>
      <c r="D172" s="6" t="s">
        <v>4712</v>
      </c>
      <c r="E172" s="6" t="s">
        <v>3346</v>
      </c>
      <c r="F172" s="6" t="s">
        <v>89</v>
      </c>
      <c r="G172" s="6" t="s">
        <v>83</v>
      </c>
      <c r="H172" s="6" t="s">
        <v>91</v>
      </c>
      <c r="I172" s="6" t="s">
        <v>92</v>
      </c>
      <c r="J172" s="6" t="s">
        <v>4713</v>
      </c>
      <c r="K172" s="6" t="s">
        <v>3292</v>
      </c>
      <c r="L172" s="6" t="s">
        <v>3142</v>
      </c>
      <c r="M172" s="6" t="s">
        <v>76</v>
      </c>
      <c r="N172" s="6" t="s">
        <v>3243</v>
      </c>
      <c r="O172" s="6" t="s">
        <v>3173</v>
      </c>
      <c r="P172" s="6" t="s">
        <v>4714</v>
      </c>
      <c r="Q172" s="6" t="s">
        <v>4715</v>
      </c>
      <c r="R172" s="6" t="s">
        <v>4716</v>
      </c>
      <c r="S172" s="6" t="s">
        <v>3859</v>
      </c>
      <c r="T172" s="6" t="s">
        <v>4717</v>
      </c>
      <c r="U172" s="6" t="s">
        <v>3275</v>
      </c>
      <c r="V172" s="6" t="s">
        <v>3180</v>
      </c>
      <c r="W172" s="6" t="s">
        <v>3783</v>
      </c>
      <c r="X172" s="6" t="s">
        <v>85</v>
      </c>
      <c r="Y172" s="6" t="s">
        <v>3140</v>
      </c>
      <c r="Z172" s="6" t="s">
        <v>93</v>
      </c>
      <c r="AA172" s="6" t="s">
        <v>4718</v>
      </c>
      <c r="AB172" s="6"/>
      <c r="AC172" s="6" t="s">
        <v>3159</v>
      </c>
      <c r="AD172" s="6" t="s">
        <v>3141</v>
      </c>
      <c r="AE172" s="6" t="s">
        <v>3323</v>
      </c>
      <c r="AF172" s="6" t="s">
        <v>4719</v>
      </c>
      <c r="AG172" s="6" t="s">
        <v>4720</v>
      </c>
      <c r="AH172" s="6" t="s">
        <v>94</v>
      </c>
    </row>
    <row r="173" spans="1:34" x14ac:dyDescent="0.25">
      <c r="A173" s="6" t="s">
        <v>648</v>
      </c>
      <c r="B173" s="6" t="s">
        <v>649</v>
      </c>
      <c r="C173" s="6"/>
      <c r="D173" s="6" t="s">
        <v>4721</v>
      </c>
      <c r="E173" s="6" t="s">
        <v>3157</v>
      </c>
      <c r="F173" s="6" t="s">
        <v>3137</v>
      </c>
      <c r="G173" s="6" t="s">
        <v>174</v>
      </c>
      <c r="H173" s="6" t="s">
        <v>144</v>
      </c>
      <c r="I173" s="6" t="s">
        <v>92</v>
      </c>
      <c r="J173" s="6" t="s">
        <v>4722</v>
      </c>
      <c r="K173" s="6" t="s">
        <v>3140</v>
      </c>
      <c r="L173" s="6" t="s">
        <v>3173</v>
      </c>
      <c r="M173" s="6" t="s">
        <v>3173</v>
      </c>
      <c r="N173" s="6" t="s">
        <v>3141</v>
      </c>
      <c r="O173" s="6" t="s">
        <v>3143</v>
      </c>
      <c r="P173" s="6" t="s">
        <v>4723</v>
      </c>
      <c r="Q173" s="6" t="s">
        <v>4724</v>
      </c>
      <c r="R173" s="6" t="s">
        <v>4725</v>
      </c>
      <c r="S173" s="6" t="s">
        <v>21</v>
      </c>
      <c r="T173" s="6" t="s">
        <v>4726</v>
      </c>
      <c r="U173" s="6" t="s">
        <v>3141</v>
      </c>
      <c r="V173" s="6" t="s">
        <v>4216</v>
      </c>
      <c r="W173" s="6" t="s">
        <v>4618</v>
      </c>
      <c r="X173" s="6" t="s">
        <v>85</v>
      </c>
      <c r="Y173" s="6" t="s">
        <v>3141</v>
      </c>
      <c r="Z173" s="6" t="s">
        <v>93</v>
      </c>
      <c r="AA173" s="6" t="s">
        <v>3792</v>
      </c>
      <c r="AB173" s="6"/>
      <c r="AC173" s="6" t="s">
        <v>3159</v>
      </c>
      <c r="AD173" s="6" t="s">
        <v>3243</v>
      </c>
      <c r="AE173" s="6" t="s">
        <v>3136</v>
      </c>
      <c r="AF173" s="6"/>
      <c r="AG173" s="6" t="s">
        <v>4727</v>
      </c>
      <c r="AH173" s="6" t="s">
        <v>79</v>
      </c>
    </row>
    <row r="174" spans="1:34" x14ac:dyDescent="0.25">
      <c r="A174" s="6" t="s">
        <v>651</v>
      </c>
      <c r="B174" s="6" t="s">
        <v>652</v>
      </c>
      <c r="C174" s="6" t="s">
        <v>4728</v>
      </c>
      <c r="D174" s="6" t="s">
        <v>653</v>
      </c>
      <c r="E174" s="6" t="s">
        <v>3483</v>
      </c>
      <c r="F174" s="6" t="s">
        <v>3201</v>
      </c>
      <c r="G174" s="6" t="s">
        <v>115</v>
      </c>
      <c r="H174" s="6" t="s">
        <v>132</v>
      </c>
      <c r="I174" s="6" t="s">
        <v>92</v>
      </c>
      <c r="J174" s="6"/>
      <c r="K174" s="6" t="s">
        <v>3140</v>
      </c>
      <c r="L174" s="6" t="s">
        <v>75</v>
      </c>
      <c r="M174" s="6" t="s">
        <v>3143</v>
      </c>
      <c r="N174" s="6" t="s">
        <v>3188</v>
      </c>
      <c r="O174" s="6" t="s">
        <v>3173</v>
      </c>
      <c r="P174" s="6" t="s">
        <v>3878</v>
      </c>
      <c r="Q174" s="6"/>
      <c r="R174" s="6" t="s">
        <v>4729</v>
      </c>
      <c r="S174" s="6" t="s">
        <v>23</v>
      </c>
      <c r="T174" s="6"/>
      <c r="U174" s="6" t="s">
        <v>3141</v>
      </c>
      <c r="V174" s="6" t="s">
        <v>4730</v>
      </c>
      <c r="W174" s="6" t="s">
        <v>3489</v>
      </c>
      <c r="X174" s="6" t="s">
        <v>85</v>
      </c>
      <c r="Y174" s="6" t="s">
        <v>3140</v>
      </c>
      <c r="Z174" s="6" t="s">
        <v>93</v>
      </c>
      <c r="AA174" s="6" t="s">
        <v>3317</v>
      </c>
      <c r="AB174" s="6" t="s">
        <v>4731</v>
      </c>
      <c r="AC174" s="6" t="s">
        <v>3141</v>
      </c>
      <c r="AD174" s="6" t="s">
        <v>75</v>
      </c>
      <c r="AE174" s="6" t="s">
        <v>3513</v>
      </c>
      <c r="AF174" s="6" t="s">
        <v>4732</v>
      </c>
      <c r="AG174" s="6" t="s">
        <v>4733</v>
      </c>
      <c r="AH174" s="6" t="s">
        <v>79</v>
      </c>
    </row>
    <row r="175" spans="1:34" x14ac:dyDescent="0.25">
      <c r="A175" s="6" t="s">
        <v>654</v>
      </c>
      <c r="B175" s="6" t="s">
        <v>655</v>
      </c>
      <c r="C175" s="6" t="s">
        <v>4734</v>
      </c>
      <c r="D175" s="6"/>
      <c r="E175" s="6" t="s">
        <v>3471</v>
      </c>
      <c r="F175" s="6" t="s">
        <v>3214</v>
      </c>
      <c r="G175" s="6" t="s">
        <v>3592</v>
      </c>
      <c r="H175" s="6" t="s">
        <v>107</v>
      </c>
      <c r="I175" s="6" t="s">
        <v>92</v>
      </c>
      <c r="J175" s="6" t="s">
        <v>4735</v>
      </c>
      <c r="K175" s="6" t="s">
        <v>3141</v>
      </c>
      <c r="L175" s="6" t="s">
        <v>3243</v>
      </c>
      <c r="M175" s="6" t="s">
        <v>3141</v>
      </c>
      <c r="N175" s="6" t="s">
        <v>3141</v>
      </c>
      <c r="O175" s="6" t="s">
        <v>3160</v>
      </c>
      <c r="P175" s="6" t="s">
        <v>4736</v>
      </c>
      <c r="Q175" s="6" t="s">
        <v>4737</v>
      </c>
      <c r="R175" s="6" t="s">
        <v>4738</v>
      </c>
      <c r="S175" s="6" t="s">
        <v>23</v>
      </c>
      <c r="T175" s="6" t="s">
        <v>4739</v>
      </c>
      <c r="U175" s="6" t="s">
        <v>3141</v>
      </c>
      <c r="V175" s="6" t="s">
        <v>4740</v>
      </c>
      <c r="W175" s="6" t="s">
        <v>3208</v>
      </c>
      <c r="X175" s="6" t="s">
        <v>77</v>
      </c>
      <c r="Y175" s="6" t="s">
        <v>3140</v>
      </c>
      <c r="Z175" s="6" t="s">
        <v>78</v>
      </c>
      <c r="AA175" s="6" t="s">
        <v>4420</v>
      </c>
      <c r="AB175" s="6" t="s">
        <v>4741</v>
      </c>
      <c r="AC175" s="6" t="s">
        <v>3159</v>
      </c>
      <c r="AD175" s="6" t="s">
        <v>3243</v>
      </c>
      <c r="AE175" s="6" t="s">
        <v>3428</v>
      </c>
      <c r="AF175" s="6" t="s">
        <v>4742</v>
      </c>
      <c r="AG175" s="6" t="s">
        <v>4743</v>
      </c>
      <c r="AH175" s="6" t="s">
        <v>79</v>
      </c>
    </row>
    <row r="176" spans="1:34" x14ac:dyDescent="0.25">
      <c r="A176" s="6" t="s">
        <v>656</v>
      </c>
      <c r="B176" s="6" t="s">
        <v>550</v>
      </c>
      <c r="C176" s="6" t="s">
        <v>657</v>
      </c>
      <c r="D176" s="6"/>
      <c r="E176" s="6" t="s">
        <v>3432</v>
      </c>
      <c r="F176" s="6" t="s">
        <v>3214</v>
      </c>
      <c r="G176" s="6" t="s">
        <v>98</v>
      </c>
      <c r="H176" s="6" t="s">
        <v>73</v>
      </c>
      <c r="I176" s="6" t="s">
        <v>74</v>
      </c>
      <c r="J176" s="6" t="s">
        <v>4744</v>
      </c>
      <c r="K176" s="6" t="s">
        <v>3159</v>
      </c>
      <c r="L176" s="6" t="s">
        <v>3152</v>
      </c>
      <c r="M176" s="6" t="s">
        <v>3243</v>
      </c>
      <c r="N176" s="6" t="s">
        <v>3159</v>
      </c>
      <c r="O176" s="6" t="s">
        <v>75</v>
      </c>
      <c r="P176" s="6" t="s">
        <v>4745</v>
      </c>
      <c r="Q176" s="6" t="s">
        <v>4746</v>
      </c>
      <c r="R176" s="6" t="s">
        <v>4747</v>
      </c>
      <c r="S176" s="6" t="s">
        <v>23</v>
      </c>
      <c r="T176" s="6" t="s">
        <v>4748</v>
      </c>
      <c r="U176" s="6" t="s">
        <v>3141</v>
      </c>
      <c r="V176" s="6" t="s">
        <v>4749</v>
      </c>
      <c r="W176" s="6" t="s">
        <v>3277</v>
      </c>
      <c r="X176" s="6" t="s">
        <v>77</v>
      </c>
      <c r="Y176" s="6" t="s">
        <v>3140</v>
      </c>
      <c r="Z176" s="6" t="s">
        <v>194</v>
      </c>
      <c r="AA176" s="6" t="s">
        <v>3598</v>
      </c>
      <c r="AB176" s="6" t="s">
        <v>4750</v>
      </c>
      <c r="AC176" s="6" t="s">
        <v>3141</v>
      </c>
      <c r="AD176" s="6" t="s">
        <v>3160</v>
      </c>
      <c r="AE176" s="6" t="s">
        <v>3331</v>
      </c>
      <c r="AF176" s="6" t="s">
        <v>4751</v>
      </c>
      <c r="AG176" s="6" t="s">
        <v>4752</v>
      </c>
      <c r="AH176" s="6" t="s">
        <v>3334</v>
      </c>
    </row>
    <row r="177" spans="1:34" x14ac:dyDescent="0.25">
      <c r="A177" s="6" t="s">
        <v>658</v>
      </c>
      <c r="B177" s="6" t="s">
        <v>659</v>
      </c>
      <c r="C177" s="6" t="s">
        <v>660</v>
      </c>
      <c r="D177" s="6"/>
      <c r="E177" s="6" t="s">
        <v>3786</v>
      </c>
      <c r="F177" s="6" t="s">
        <v>3137</v>
      </c>
      <c r="G177" s="6" t="s">
        <v>388</v>
      </c>
      <c r="H177" s="6" t="s">
        <v>166</v>
      </c>
      <c r="I177" s="6" t="s">
        <v>74</v>
      </c>
      <c r="J177" s="6" t="s">
        <v>4753</v>
      </c>
      <c r="K177" s="6" t="s">
        <v>3140</v>
      </c>
      <c r="L177" s="6" t="s">
        <v>3188</v>
      </c>
      <c r="M177" s="6" t="s">
        <v>3243</v>
      </c>
      <c r="N177" s="6" t="s">
        <v>76</v>
      </c>
      <c r="O177" s="6" t="s">
        <v>3152</v>
      </c>
      <c r="P177" s="6" t="s">
        <v>4754</v>
      </c>
      <c r="Q177" s="6"/>
      <c r="R177" s="6" t="s">
        <v>4755</v>
      </c>
      <c r="S177" s="6" t="s">
        <v>20</v>
      </c>
      <c r="T177" s="6" t="s">
        <v>4756</v>
      </c>
      <c r="U177" s="6" t="s">
        <v>3159</v>
      </c>
      <c r="V177" s="6" t="s">
        <v>4013</v>
      </c>
      <c r="W177" s="6" t="s">
        <v>3317</v>
      </c>
      <c r="X177" s="6" t="s">
        <v>77</v>
      </c>
      <c r="Y177" s="6" t="s">
        <v>3159</v>
      </c>
      <c r="Z177" s="6" t="s">
        <v>93</v>
      </c>
      <c r="AA177" s="6" t="s">
        <v>3730</v>
      </c>
      <c r="AB177" s="6"/>
      <c r="AC177" s="6" t="s">
        <v>3141</v>
      </c>
      <c r="AD177" s="6" t="s">
        <v>3160</v>
      </c>
      <c r="AE177" s="6" t="s">
        <v>3235</v>
      </c>
      <c r="AF177" s="6"/>
      <c r="AG177" s="6" t="s">
        <v>4757</v>
      </c>
      <c r="AH177" s="6" t="s">
        <v>79</v>
      </c>
    </row>
    <row r="178" spans="1:34" x14ac:dyDescent="0.25">
      <c r="A178" s="6" t="s">
        <v>661</v>
      </c>
      <c r="B178" s="6" t="s">
        <v>662</v>
      </c>
      <c r="C178" s="6" t="s">
        <v>663</v>
      </c>
      <c r="D178" s="6" t="s">
        <v>664</v>
      </c>
      <c r="E178" s="6" t="s">
        <v>3240</v>
      </c>
      <c r="F178" s="6" t="s">
        <v>3283</v>
      </c>
      <c r="G178" s="6" t="s">
        <v>139</v>
      </c>
      <c r="H178" s="6" t="s">
        <v>166</v>
      </c>
      <c r="I178" s="6" t="s">
        <v>74</v>
      </c>
      <c r="J178" s="6" t="s">
        <v>4758</v>
      </c>
      <c r="K178" s="6" t="s">
        <v>3159</v>
      </c>
      <c r="L178" s="6" t="s">
        <v>3142</v>
      </c>
      <c r="M178" s="6" t="s">
        <v>3152</v>
      </c>
      <c r="N178" s="6" t="s">
        <v>3160</v>
      </c>
      <c r="O178" s="6" t="s">
        <v>3152</v>
      </c>
      <c r="P178" s="6" t="s">
        <v>4759</v>
      </c>
      <c r="Q178" s="6" t="s">
        <v>4760</v>
      </c>
      <c r="R178" s="6" t="s">
        <v>4761</v>
      </c>
      <c r="S178" s="6" t="s">
        <v>20</v>
      </c>
      <c r="T178" s="6" t="s">
        <v>4762</v>
      </c>
      <c r="U178" s="6" t="s">
        <v>3159</v>
      </c>
      <c r="V178" s="6" t="s">
        <v>4763</v>
      </c>
      <c r="W178" s="6" t="s">
        <v>3233</v>
      </c>
      <c r="X178" s="6" t="s">
        <v>85</v>
      </c>
      <c r="Y178" s="6" t="s">
        <v>3159</v>
      </c>
      <c r="Z178" s="6" t="s">
        <v>93</v>
      </c>
      <c r="AA178" s="6" t="s">
        <v>4764</v>
      </c>
      <c r="AB178" s="6" t="s">
        <v>4765</v>
      </c>
      <c r="AC178" s="6" t="s">
        <v>3141</v>
      </c>
      <c r="AD178" s="6" t="s">
        <v>75</v>
      </c>
      <c r="AE178" s="6" t="s">
        <v>3136</v>
      </c>
      <c r="AF178" s="6"/>
      <c r="AG178" s="6" t="s">
        <v>4766</v>
      </c>
      <c r="AH178" s="6" t="s">
        <v>79</v>
      </c>
    </row>
    <row r="179" spans="1:34" x14ac:dyDescent="0.25">
      <c r="A179" s="6" t="s">
        <v>665</v>
      </c>
      <c r="B179" s="6" t="s">
        <v>666</v>
      </c>
      <c r="C179" s="6" t="s">
        <v>4767</v>
      </c>
      <c r="D179" s="6" t="s">
        <v>4768</v>
      </c>
      <c r="E179" s="6" t="s">
        <v>3254</v>
      </c>
      <c r="F179" s="6" t="s">
        <v>3283</v>
      </c>
      <c r="G179" s="6" t="s">
        <v>72</v>
      </c>
      <c r="H179" s="6" t="s">
        <v>73</v>
      </c>
      <c r="I179" s="6" t="s">
        <v>74</v>
      </c>
      <c r="J179" s="6" t="s">
        <v>4769</v>
      </c>
      <c r="K179" s="6" t="s">
        <v>3159</v>
      </c>
      <c r="L179" s="6" t="s">
        <v>3188</v>
      </c>
      <c r="M179" s="6" t="s">
        <v>3243</v>
      </c>
      <c r="N179" s="6" t="s">
        <v>3243</v>
      </c>
      <c r="O179" s="6" t="s">
        <v>3141</v>
      </c>
      <c r="P179" s="6" t="s">
        <v>4770</v>
      </c>
      <c r="Q179" s="6" t="s">
        <v>4771</v>
      </c>
      <c r="R179" s="6" t="s">
        <v>4772</v>
      </c>
      <c r="S179" s="6" t="s">
        <v>21</v>
      </c>
      <c r="T179" s="6"/>
      <c r="U179" s="6" t="s">
        <v>3192</v>
      </c>
      <c r="V179" s="6" t="s">
        <v>4773</v>
      </c>
      <c r="W179" s="6" t="s">
        <v>3166</v>
      </c>
      <c r="X179" s="6" t="s">
        <v>85</v>
      </c>
      <c r="Y179" s="6" t="s">
        <v>3292</v>
      </c>
      <c r="Z179" s="6" t="s">
        <v>78</v>
      </c>
      <c r="AA179" s="6" t="s">
        <v>3405</v>
      </c>
      <c r="AB179" s="6" t="s">
        <v>4774</v>
      </c>
      <c r="AC179" s="6" t="s">
        <v>3141</v>
      </c>
      <c r="AD179" s="6" t="s">
        <v>3160</v>
      </c>
      <c r="AE179" s="6" t="s">
        <v>3279</v>
      </c>
      <c r="AF179" s="6"/>
      <c r="AG179" s="6" t="s">
        <v>4775</v>
      </c>
      <c r="AH179" s="6" t="s">
        <v>79</v>
      </c>
    </row>
    <row r="180" spans="1:34" x14ac:dyDescent="0.25">
      <c r="A180" s="6" t="s">
        <v>668</v>
      </c>
      <c r="B180" s="6" t="s">
        <v>669</v>
      </c>
      <c r="C180" s="6" t="s">
        <v>670</v>
      </c>
      <c r="D180" s="6" t="s">
        <v>671</v>
      </c>
      <c r="E180" s="6" t="s">
        <v>3970</v>
      </c>
      <c r="F180" s="6" t="s">
        <v>71</v>
      </c>
      <c r="G180" s="6" t="s">
        <v>153</v>
      </c>
      <c r="H180" s="6" t="s">
        <v>73</v>
      </c>
      <c r="I180" s="6" t="s">
        <v>74</v>
      </c>
      <c r="J180" s="6"/>
      <c r="K180" s="6" t="s">
        <v>3159</v>
      </c>
      <c r="L180" s="6" t="s">
        <v>3243</v>
      </c>
      <c r="M180" s="6" t="s">
        <v>3142</v>
      </c>
      <c r="N180" s="6" t="s">
        <v>3160</v>
      </c>
      <c r="O180" s="6" t="s">
        <v>75</v>
      </c>
      <c r="P180" s="6" t="s">
        <v>4776</v>
      </c>
      <c r="Q180" s="6" t="s">
        <v>4777</v>
      </c>
      <c r="R180" s="6" t="s">
        <v>4778</v>
      </c>
      <c r="S180" s="6" t="s">
        <v>21</v>
      </c>
      <c r="T180" s="6" t="s">
        <v>4779</v>
      </c>
      <c r="U180" s="6" t="s">
        <v>3141</v>
      </c>
      <c r="V180" s="6" t="s">
        <v>4780</v>
      </c>
      <c r="W180" s="6" t="s">
        <v>4781</v>
      </c>
      <c r="X180" s="6" t="s">
        <v>85</v>
      </c>
      <c r="Y180" s="6" t="s">
        <v>3140</v>
      </c>
      <c r="Z180" s="6" t="s">
        <v>3263</v>
      </c>
      <c r="AA180" s="6" t="s">
        <v>3783</v>
      </c>
      <c r="AB180" s="6"/>
      <c r="AC180" s="6" t="s">
        <v>3141</v>
      </c>
      <c r="AD180" s="6" t="s">
        <v>3143</v>
      </c>
      <c r="AE180" s="6" t="s">
        <v>3293</v>
      </c>
      <c r="AF180" s="6"/>
      <c r="AG180" s="6" t="s">
        <v>4782</v>
      </c>
      <c r="AH180" s="6" t="s">
        <v>79</v>
      </c>
    </row>
    <row r="181" spans="1:34" x14ac:dyDescent="0.25">
      <c r="A181" s="6" t="s">
        <v>672</v>
      </c>
      <c r="B181" s="6" t="s">
        <v>673</v>
      </c>
      <c r="C181" s="6" t="s">
        <v>674</v>
      </c>
      <c r="D181" s="6" t="s">
        <v>675</v>
      </c>
      <c r="E181" s="6" t="s">
        <v>3570</v>
      </c>
      <c r="F181" s="6" t="s">
        <v>3358</v>
      </c>
      <c r="G181" s="6" t="s">
        <v>417</v>
      </c>
      <c r="H181" s="6" t="s">
        <v>132</v>
      </c>
      <c r="I181" s="6" t="s">
        <v>92</v>
      </c>
      <c r="J181" s="6" t="s">
        <v>4783</v>
      </c>
      <c r="K181" s="6" t="s">
        <v>3140</v>
      </c>
      <c r="L181" s="6" t="s">
        <v>3141</v>
      </c>
      <c r="M181" s="6" t="s">
        <v>3173</v>
      </c>
      <c r="N181" s="6" t="s">
        <v>3196</v>
      </c>
      <c r="O181" s="6" t="s">
        <v>75</v>
      </c>
      <c r="P181" s="6" t="s">
        <v>4784</v>
      </c>
      <c r="Q181" s="6"/>
      <c r="R181" s="6" t="s">
        <v>4785</v>
      </c>
      <c r="S181" s="6" t="s">
        <v>20</v>
      </c>
      <c r="T181" s="6" t="s">
        <v>4786</v>
      </c>
      <c r="U181" s="6" t="s">
        <v>3141</v>
      </c>
      <c r="V181" s="6" t="s">
        <v>4787</v>
      </c>
      <c r="W181" s="6" t="s">
        <v>3830</v>
      </c>
      <c r="X181" s="6" t="s">
        <v>77</v>
      </c>
      <c r="Y181" s="6" t="s">
        <v>3292</v>
      </c>
      <c r="Z181" s="6" t="s">
        <v>93</v>
      </c>
      <c r="AA181" s="6" t="s">
        <v>4049</v>
      </c>
      <c r="AB181" s="6"/>
      <c r="AC181" s="6" t="s">
        <v>3141</v>
      </c>
      <c r="AD181" s="6" t="s">
        <v>3160</v>
      </c>
      <c r="AE181" s="6" t="s">
        <v>3136</v>
      </c>
      <c r="AF181" s="6"/>
      <c r="AG181" s="6" t="s">
        <v>4788</v>
      </c>
      <c r="AH181" s="6" t="s">
        <v>79</v>
      </c>
    </row>
    <row r="182" spans="1:34" x14ac:dyDescent="0.25">
      <c r="A182" s="6" t="s">
        <v>676</v>
      </c>
      <c r="B182" s="6" t="s">
        <v>677</v>
      </c>
      <c r="C182" s="6" t="s">
        <v>4789</v>
      </c>
      <c r="D182" s="6" t="s">
        <v>4790</v>
      </c>
      <c r="E182" s="6" t="s">
        <v>3279</v>
      </c>
      <c r="F182" s="6" t="s">
        <v>3283</v>
      </c>
      <c r="G182" s="6" t="s">
        <v>120</v>
      </c>
      <c r="H182" s="6" t="s">
        <v>166</v>
      </c>
      <c r="I182" s="6" t="s">
        <v>74</v>
      </c>
      <c r="J182" s="6" t="s">
        <v>4791</v>
      </c>
      <c r="K182" s="6" t="s">
        <v>3140</v>
      </c>
      <c r="L182" s="6" t="s">
        <v>3142</v>
      </c>
      <c r="M182" s="6" t="s">
        <v>3173</v>
      </c>
      <c r="N182" s="6" t="s">
        <v>3143</v>
      </c>
      <c r="O182" s="6" t="s">
        <v>3143</v>
      </c>
      <c r="P182" s="6" t="s">
        <v>4792</v>
      </c>
      <c r="Q182" s="6" t="s">
        <v>4793</v>
      </c>
      <c r="R182" s="6" t="s">
        <v>4794</v>
      </c>
      <c r="S182" s="6" t="s">
        <v>22</v>
      </c>
      <c r="T182" s="6"/>
      <c r="U182" s="6" t="s">
        <v>3192</v>
      </c>
      <c r="V182" s="6" t="s">
        <v>4795</v>
      </c>
      <c r="W182" s="6" t="s">
        <v>3262</v>
      </c>
      <c r="X182" s="6" t="s">
        <v>77</v>
      </c>
      <c r="Y182" s="6" t="s">
        <v>3159</v>
      </c>
      <c r="Z182" s="6" t="s">
        <v>78</v>
      </c>
      <c r="AA182" s="6" t="s">
        <v>3478</v>
      </c>
      <c r="AB182" s="6"/>
      <c r="AC182" s="6" t="s">
        <v>3141</v>
      </c>
      <c r="AD182" s="6" t="s">
        <v>3152</v>
      </c>
      <c r="AE182" s="6" t="s">
        <v>3323</v>
      </c>
      <c r="AF182" s="6" t="s">
        <v>4796</v>
      </c>
      <c r="AG182" s="6" t="s">
        <v>4797</v>
      </c>
      <c r="AH182" s="6" t="s">
        <v>79</v>
      </c>
    </row>
    <row r="183" spans="1:34" x14ac:dyDescent="0.25">
      <c r="A183" s="6" t="s">
        <v>679</v>
      </c>
      <c r="B183" s="6" t="s">
        <v>680</v>
      </c>
      <c r="C183" s="6" t="s">
        <v>4798</v>
      </c>
      <c r="D183" s="6" t="s">
        <v>681</v>
      </c>
      <c r="E183" s="6" t="s">
        <v>3226</v>
      </c>
      <c r="F183" s="6" t="s">
        <v>3358</v>
      </c>
      <c r="G183" s="6" t="s">
        <v>72</v>
      </c>
      <c r="H183" s="6" t="s">
        <v>166</v>
      </c>
      <c r="I183" s="6" t="s">
        <v>74</v>
      </c>
      <c r="J183" s="6" t="s">
        <v>4799</v>
      </c>
      <c r="K183" s="6" t="s">
        <v>3159</v>
      </c>
      <c r="L183" s="6" t="s">
        <v>3143</v>
      </c>
      <c r="M183" s="6" t="s">
        <v>76</v>
      </c>
      <c r="N183" s="6" t="s">
        <v>3143</v>
      </c>
      <c r="O183" s="6" t="s">
        <v>3143</v>
      </c>
      <c r="P183" s="6" t="s">
        <v>4800</v>
      </c>
      <c r="Q183" s="6" t="s">
        <v>4801</v>
      </c>
      <c r="R183" s="6" t="s">
        <v>4802</v>
      </c>
      <c r="S183" s="6" t="s">
        <v>23</v>
      </c>
      <c r="T183" s="6" t="s">
        <v>4803</v>
      </c>
      <c r="U183" s="6" t="s">
        <v>3192</v>
      </c>
      <c r="V183" s="6" t="s">
        <v>4804</v>
      </c>
      <c r="W183" s="6" t="s">
        <v>3456</v>
      </c>
      <c r="X183" s="6" t="s">
        <v>77</v>
      </c>
      <c r="Y183" s="6" t="s">
        <v>3159</v>
      </c>
      <c r="Z183" s="6" t="s">
        <v>78</v>
      </c>
      <c r="AA183" s="6" t="s">
        <v>3698</v>
      </c>
      <c r="AB183" s="6"/>
      <c r="AC183" s="6" t="s">
        <v>3141</v>
      </c>
      <c r="AD183" s="6" t="s">
        <v>3243</v>
      </c>
      <c r="AE183" s="6" t="s">
        <v>3513</v>
      </c>
      <c r="AF183" s="6" t="s">
        <v>4805</v>
      </c>
      <c r="AG183" s="6"/>
      <c r="AH183" s="6" t="s">
        <v>79</v>
      </c>
    </row>
    <row r="184" spans="1:34" x14ac:dyDescent="0.25">
      <c r="A184" s="6" t="s">
        <v>682</v>
      </c>
      <c r="B184" s="6" t="s">
        <v>683</v>
      </c>
      <c r="C184" s="6" t="s">
        <v>684</v>
      </c>
      <c r="D184" s="6" t="s">
        <v>685</v>
      </c>
      <c r="E184" s="6" t="s">
        <v>3703</v>
      </c>
      <c r="F184" s="6" t="s">
        <v>3358</v>
      </c>
      <c r="G184" s="6" t="s">
        <v>115</v>
      </c>
      <c r="H184" s="6" t="s">
        <v>103</v>
      </c>
      <c r="I184" s="6" t="s">
        <v>74</v>
      </c>
      <c r="J184" s="6"/>
      <c r="K184" s="6" t="s">
        <v>3159</v>
      </c>
      <c r="L184" s="6" t="s">
        <v>3141</v>
      </c>
      <c r="M184" s="6" t="s">
        <v>3160</v>
      </c>
      <c r="N184" s="6" t="s">
        <v>3196</v>
      </c>
      <c r="O184" s="6" t="s">
        <v>3141</v>
      </c>
      <c r="P184" s="6" t="s">
        <v>4723</v>
      </c>
      <c r="Q184" s="6"/>
      <c r="R184" s="6" t="s">
        <v>4806</v>
      </c>
      <c r="S184" s="6" t="s">
        <v>3859</v>
      </c>
      <c r="T184" s="6" t="s">
        <v>4807</v>
      </c>
      <c r="U184" s="6" t="s">
        <v>3159</v>
      </c>
      <c r="V184" s="6" t="s">
        <v>4808</v>
      </c>
      <c r="W184" s="6" t="s">
        <v>3316</v>
      </c>
      <c r="X184" s="6" t="s">
        <v>3290</v>
      </c>
      <c r="Y184" s="6" t="s">
        <v>3140</v>
      </c>
      <c r="Z184" s="6" t="s">
        <v>93</v>
      </c>
      <c r="AA184" s="6" t="s">
        <v>4227</v>
      </c>
      <c r="AB184" s="6"/>
      <c r="AC184" s="6" t="s">
        <v>3141</v>
      </c>
      <c r="AD184" s="6" t="s">
        <v>3143</v>
      </c>
      <c r="AE184" s="6" t="s">
        <v>3210</v>
      </c>
      <c r="AF184" s="6" t="s">
        <v>4809</v>
      </c>
      <c r="AG184" s="6" t="s">
        <v>4810</v>
      </c>
      <c r="AH184" s="6" t="s">
        <v>79</v>
      </c>
    </row>
    <row r="185" spans="1:34" x14ac:dyDescent="0.25">
      <c r="A185" s="6" t="s">
        <v>686</v>
      </c>
      <c r="B185" s="6" t="s">
        <v>687</v>
      </c>
      <c r="C185" s="6" t="s">
        <v>4811</v>
      </c>
      <c r="D185" s="6" t="s">
        <v>688</v>
      </c>
      <c r="E185" s="6" t="s">
        <v>3432</v>
      </c>
      <c r="F185" s="6" t="s">
        <v>3201</v>
      </c>
      <c r="G185" s="6" t="s">
        <v>3704</v>
      </c>
      <c r="H185" s="6" t="s">
        <v>103</v>
      </c>
      <c r="I185" s="6" t="s">
        <v>74</v>
      </c>
      <c r="J185" s="6"/>
      <c r="K185" s="6" t="s">
        <v>3140</v>
      </c>
      <c r="L185" s="6" t="s">
        <v>76</v>
      </c>
      <c r="M185" s="6" t="s">
        <v>3173</v>
      </c>
      <c r="N185" s="6" t="s">
        <v>3243</v>
      </c>
      <c r="O185" s="6" t="s">
        <v>3152</v>
      </c>
      <c r="P185" s="6" t="s">
        <v>4157</v>
      </c>
      <c r="Q185" s="6" t="s">
        <v>4812</v>
      </c>
      <c r="R185" s="6" t="s">
        <v>4813</v>
      </c>
      <c r="S185" s="6" t="s">
        <v>23</v>
      </c>
      <c r="T185" s="6" t="s">
        <v>4814</v>
      </c>
      <c r="U185" s="6" t="s">
        <v>3141</v>
      </c>
      <c r="V185" s="6" t="s">
        <v>3894</v>
      </c>
      <c r="W185" s="6" t="s">
        <v>4494</v>
      </c>
      <c r="X185" s="6" t="s">
        <v>77</v>
      </c>
      <c r="Y185" s="6" t="s">
        <v>3140</v>
      </c>
      <c r="Z185" s="6" t="s">
        <v>78</v>
      </c>
      <c r="AA185" s="6" t="s">
        <v>3448</v>
      </c>
      <c r="AB185" s="6"/>
      <c r="AC185" s="6" t="s">
        <v>3140</v>
      </c>
      <c r="AD185" s="6" t="s">
        <v>3152</v>
      </c>
      <c r="AE185" s="6" t="s">
        <v>3428</v>
      </c>
      <c r="AF185" s="6" t="s">
        <v>4815</v>
      </c>
      <c r="AG185" s="6" t="s">
        <v>4816</v>
      </c>
      <c r="AH185" s="6" t="s">
        <v>79</v>
      </c>
    </row>
    <row r="186" spans="1:34" x14ac:dyDescent="0.25">
      <c r="A186" s="6" t="s">
        <v>689</v>
      </c>
      <c r="B186" s="6" t="s">
        <v>4817</v>
      </c>
      <c r="C186" s="6"/>
      <c r="D186" s="6" t="s">
        <v>691</v>
      </c>
      <c r="E186" s="6" t="s">
        <v>3617</v>
      </c>
      <c r="F186" s="6" t="s">
        <v>71</v>
      </c>
      <c r="G186" s="6" t="s">
        <v>417</v>
      </c>
      <c r="H186" s="6" t="s">
        <v>3834</v>
      </c>
      <c r="I186" s="6" t="s">
        <v>74</v>
      </c>
      <c r="J186" s="6" t="s">
        <v>4818</v>
      </c>
      <c r="K186" s="6" t="s">
        <v>3159</v>
      </c>
      <c r="L186" s="6" t="s">
        <v>3188</v>
      </c>
      <c r="M186" s="6" t="s">
        <v>3160</v>
      </c>
      <c r="N186" s="6" t="s">
        <v>3243</v>
      </c>
      <c r="O186" s="6" t="s">
        <v>3141</v>
      </c>
      <c r="P186" s="6" t="s">
        <v>4714</v>
      </c>
      <c r="Q186" s="6" t="s">
        <v>4819</v>
      </c>
      <c r="R186" s="6" t="s">
        <v>4820</v>
      </c>
      <c r="S186" s="6" t="s">
        <v>21</v>
      </c>
      <c r="T186" s="6"/>
      <c r="U186" s="6" t="s">
        <v>3275</v>
      </c>
      <c r="V186" s="6" t="s">
        <v>3692</v>
      </c>
      <c r="W186" s="6" t="s">
        <v>3673</v>
      </c>
      <c r="X186" s="6" t="s">
        <v>161</v>
      </c>
      <c r="Y186" s="6" t="s">
        <v>3140</v>
      </c>
      <c r="Z186" s="6" t="s">
        <v>78</v>
      </c>
      <c r="AA186" s="6" t="s">
        <v>3577</v>
      </c>
      <c r="AB186" s="6"/>
      <c r="AC186" s="6" t="s">
        <v>3141</v>
      </c>
      <c r="AD186" s="6" t="s">
        <v>75</v>
      </c>
      <c r="AE186" s="6" t="s">
        <v>3136</v>
      </c>
      <c r="AF186" s="6"/>
      <c r="AG186" s="6" t="s">
        <v>4821</v>
      </c>
      <c r="AH186" s="6" t="s">
        <v>79</v>
      </c>
    </row>
    <row r="187" spans="1:34" x14ac:dyDescent="0.25">
      <c r="A187" s="6" t="s">
        <v>692</v>
      </c>
      <c r="B187" s="6" t="s">
        <v>693</v>
      </c>
      <c r="C187" s="6" t="s">
        <v>4822</v>
      </c>
      <c r="D187" s="6" t="s">
        <v>694</v>
      </c>
      <c r="E187" s="6" t="s">
        <v>4542</v>
      </c>
      <c r="F187" s="6" t="s">
        <v>3227</v>
      </c>
      <c r="G187" s="6" t="s">
        <v>4823</v>
      </c>
      <c r="H187" s="6" t="s">
        <v>84</v>
      </c>
      <c r="I187" s="6" t="s">
        <v>74</v>
      </c>
      <c r="J187" s="6"/>
      <c r="K187" s="6" t="s">
        <v>3141</v>
      </c>
      <c r="L187" s="6" t="s">
        <v>3243</v>
      </c>
      <c r="M187" s="6" t="s">
        <v>3243</v>
      </c>
      <c r="N187" s="6" t="s">
        <v>3152</v>
      </c>
      <c r="O187" s="6" t="s">
        <v>3143</v>
      </c>
      <c r="P187" s="6" t="s">
        <v>3244</v>
      </c>
      <c r="Q187" s="6"/>
      <c r="R187" s="6" t="s">
        <v>4824</v>
      </c>
      <c r="S187" s="6" t="s">
        <v>3881</v>
      </c>
      <c r="T187" s="6" t="s">
        <v>4825</v>
      </c>
      <c r="U187" s="6" t="s">
        <v>3141</v>
      </c>
      <c r="V187" s="6" t="s">
        <v>4365</v>
      </c>
      <c r="W187" s="6" t="s">
        <v>3303</v>
      </c>
      <c r="X187" s="6" t="s">
        <v>85</v>
      </c>
      <c r="Y187" s="6" t="s">
        <v>3140</v>
      </c>
      <c r="Z187" s="6" t="s">
        <v>194</v>
      </c>
      <c r="AA187" s="6" t="s">
        <v>3613</v>
      </c>
      <c r="AB187" s="6"/>
      <c r="AC187" s="6" t="s">
        <v>3141</v>
      </c>
      <c r="AD187" s="6" t="s">
        <v>3143</v>
      </c>
      <c r="AE187" s="6" t="s">
        <v>3318</v>
      </c>
      <c r="AF187" s="6" t="s">
        <v>4826</v>
      </c>
      <c r="AG187" s="6" t="s">
        <v>4827</v>
      </c>
      <c r="AH187" s="6" t="s">
        <v>79</v>
      </c>
    </row>
    <row r="188" spans="1:34" x14ac:dyDescent="0.25">
      <c r="A188" s="6" t="s">
        <v>695</v>
      </c>
      <c r="B188" s="6" t="s">
        <v>696</v>
      </c>
      <c r="C188" s="6" t="s">
        <v>697</v>
      </c>
      <c r="D188" s="6" t="s">
        <v>698</v>
      </c>
      <c r="E188" s="6" t="s">
        <v>4828</v>
      </c>
      <c r="F188" s="6" t="s">
        <v>3283</v>
      </c>
      <c r="G188" s="6" t="s">
        <v>3297</v>
      </c>
      <c r="H188" s="6" t="s">
        <v>91</v>
      </c>
      <c r="I188" s="6" t="s">
        <v>92</v>
      </c>
      <c r="J188" s="6"/>
      <c r="K188" s="6" t="s">
        <v>3140</v>
      </c>
      <c r="L188" s="6" t="s">
        <v>76</v>
      </c>
      <c r="M188" s="6" t="s">
        <v>3141</v>
      </c>
      <c r="N188" s="6" t="s">
        <v>3196</v>
      </c>
      <c r="O188" s="6" t="s">
        <v>3141</v>
      </c>
      <c r="P188" s="6" t="s">
        <v>3762</v>
      </c>
      <c r="Q188" s="6" t="s">
        <v>4829</v>
      </c>
      <c r="R188" s="6" t="s">
        <v>4830</v>
      </c>
      <c r="S188" s="6" t="s">
        <v>23</v>
      </c>
      <c r="T188" s="6" t="s">
        <v>4831</v>
      </c>
      <c r="U188" s="6" t="s">
        <v>3159</v>
      </c>
      <c r="V188" s="6" t="s">
        <v>4832</v>
      </c>
      <c r="W188" s="6" t="s">
        <v>3854</v>
      </c>
      <c r="X188" s="6" t="s">
        <v>77</v>
      </c>
      <c r="Y188" s="6" t="s">
        <v>3159</v>
      </c>
      <c r="Z188" s="6" t="s">
        <v>78</v>
      </c>
      <c r="AA188" s="6" t="s">
        <v>3819</v>
      </c>
      <c r="AB188" s="6" t="s">
        <v>4833</v>
      </c>
      <c r="AC188" s="6" t="s">
        <v>3140</v>
      </c>
      <c r="AD188" s="6" t="s">
        <v>3160</v>
      </c>
      <c r="AE188" s="6" t="s">
        <v>3318</v>
      </c>
      <c r="AF188" s="6" t="s">
        <v>4834</v>
      </c>
      <c r="AG188" s="6" t="s">
        <v>4835</v>
      </c>
      <c r="AH188" s="6" t="s">
        <v>94</v>
      </c>
    </row>
    <row r="189" spans="1:34" x14ac:dyDescent="0.25">
      <c r="A189" s="6" t="s">
        <v>699</v>
      </c>
      <c r="B189" s="6" t="s">
        <v>700</v>
      </c>
      <c r="C189" s="6" t="s">
        <v>4836</v>
      </c>
      <c r="D189" s="6" t="s">
        <v>701</v>
      </c>
      <c r="E189" s="6" t="s">
        <v>3226</v>
      </c>
      <c r="F189" s="6" t="s">
        <v>3358</v>
      </c>
      <c r="G189" s="6" t="s">
        <v>139</v>
      </c>
      <c r="H189" s="6" t="s">
        <v>132</v>
      </c>
      <c r="I189" s="6" t="s">
        <v>92</v>
      </c>
      <c r="J189" s="6" t="s">
        <v>3217</v>
      </c>
      <c r="K189" s="6" t="s">
        <v>3140</v>
      </c>
      <c r="L189" s="6" t="s">
        <v>76</v>
      </c>
      <c r="M189" s="6" t="s">
        <v>3160</v>
      </c>
      <c r="N189" s="6" t="s">
        <v>76</v>
      </c>
      <c r="O189" s="6" t="s">
        <v>3143</v>
      </c>
      <c r="P189" s="6" t="s">
        <v>4837</v>
      </c>
      <c r="Q189" s="6"/>
      <c r="R189" s="6" t="s">
        <v>4838</v>
      </c>
      <c r="S189" s="6" t="s">
        <v>22</v>
      </c>
      <c r="T189" s="6" t="s">
        <v>4839</v>
      </c>
      <c r="U189" s="6" t="s">
        <v>3141</v>
      </c>
      <c r="V189" s="6" t="s">
        <v>4529</v>
      </c>
      <c r="W189" s="6" t="s">
        <v>3344</v>
      </c>
      <c r="X189" s="6" t="s">
        <v>85</v>
      </c>
      <c r="Y189" s="6" t="s">
        <v>3159</v>
      </c>
      <c r="Z189" s="6" t="s">
        <v>78</v>
      </c>
      <c r="AA189" s="6" t="s">
        <v>4840</v>
      </c>
      <c r="AB189" s="6" t="s">
        <v>4841</v>
      </c>
      <c r="AC189" s="6" t="s">
        <v>3141</v>
      </c>
      <c r="AD189" s="6" t="s">
        <v>76</v>
      </c>
      <c r="AE189" s="6" t="s">
        <v>3210</v>
      </c>
      <c r="AF189" s="6" t="s">
        <v>4842</v>
      </c>
      <c r="AG189" s="6" t="s">
        <v>4843</v>
      </c>
      <c r="AH189" s="6" t="s">
        <v>79</v>
      </c>
    </row>
    <row r="190" spans="1:34" x14ac:dyDescent="0.25">
      <c r="A190" s="6" t="s">
        <v>702</v>
      </c>
      <c r="B190" s="6" t="s">
        <v>703</v>
      </c>
      <c r="C190" s="6"/>
      <c r="D190" s="6" t="s">
        <v>704</v>
      </c>
      <c r="E190" s="6" t="s">
        <v>3323</v>
      </c>
      <c r="F190" s="6" t="s">
        <v>3283</v>
      </c>
      <c r="G190" s="6" t="s">
        <v>417</v>
      </c>
      <c r="H190" s="6" t="s">
        <v>84</v>
      </c>
      <c r="I190" s="6" t="s">
        <v>74</v>
      </c>
      <c r="J190" s="6" t="s">
        <v>4844</v>
      </c>
      <c r="K190" s="6" t="s">
        <v>3140</v>
      </c>
      <c r="L190" s="6" t="s">
        <v>3196</v>
      </c>
      <c r="M190" s="6" t="s">
        <v>76</v>
      </c>
      <c r="N190" s="6" t="s">
        <v>3152</v>
      </c>
      <c r="O190" s="6" t="s">
        <v>3243</v>
      </c>
      <c r="P190" s="6" t="s">
        <v>4276</v>
      </c>
      <c r="Q190" s="6" t="s">
        <v>3217</v>
      </c>
      <c r="R190" s="6" t="s">
        <v>4845</v>
      </c>
      <c r="S190" s="6" t="s">
        <v>20</v>
      </c>
      <c r="T190" s="6" t="s">
        <v>4846</v>
      </c>
      <c r="U190" s="6" t="s">
        <v>3140</v>
      </c>
      <c r="V190" s="6" t="s">
        <v>4847</v>
      </c>
      <c r="W190" s="6" t="s">
        <v>3221</v>
      </c>
      <c r="X190" s="6" t="s">
        <v>77</v>
      </c>
      <c r="Y190" s="6" t="s">
        <v>3140</v>
      </c>
      <c r="Z190" s="6" t="s">
        <v>93</v>
      </c>
      <c r="AA190" s="6" t="s">
        <v>4848</v>
      </c>
      <c r="AB190" s="6"/>
      <c r="AC190" s="6" t="s">
        <v>3141</v>
      </c>
      <c r="AD190" s="6" t="s">
        <v>3143</v>
      </c>
      <c r="AE190" s="6" t="s">
        <v>3293</v>
      </c>
      <c r="AF190" s="6"/>
      <c r="AG190" s="6" t="s">
        <v>3237</v>
      </c>
      <c r="AH190" s="6" t="s">
        <v>3494</v>
      </c>
    </row>
    <row r="191" spans="1:34" x14ac:dyDescent="0.25">
      <c r="A191" s="6" t="s">
        <v>705</v>
      </c>
      <c r="B191" s="6" t="s">
        <v>706</v>
      </c>
      <c r="C191" s="6" t="s">
        <v>4849</v>
      </c>
      <c r="D191" s="6" t="s">
        <v>707</v>
      </c>
      <c r="E191" s="6" t="s">
        <v>3185</v>
      </c>
      <c r="F191" s="6" t="s">
        <v>3283</v>
      </c>
      <c r="G191" s="6" t="s">
        <v>226</v>
      </c>
      <c r="H191" s="6" t="s">
        <v>84</v>
      </c>
      <c r="I191" s="6" t="s">
        <v>74</v>
      </c>
      <c r="J191" s="6" t="s">
        <v>4850</v>
      </c>
      <c r="K191" s="6" t="s">
        <v>3159</v>
      </c>
      <c r="L191" s="6" t="s">
        <v>3142</v>
      </c>
      <c r="M191" s="6" t="s">
        <v>3143</v>
      </c>
      <c r="N191" s="6" t="s">
        <v>3243</v>
      </c>
      <c r="O191" s="6" t="s">
        <v>3160</v>
      </c>
      <c r="P191" s="6" t="s">
        <v>4851</v>
      </c>
      <c r="Q191" s="6" t="s">
        <v>4852</v>
      </c>
      <c r="R191" s="6" t="s">
        <v>4853</v>
      </c>
      <c r="S191" s="6" t="s">
        <v>22</v>
      </c>
      <c r="T191" s="6" t="s">
        <v>4854</v>
      </c>
      <c r="U191" s="6" t="s">
        <v>3141</v>
      </c>
      <c r="V191" s="6" t="s">
        <v>3747</v>
      </c>
      <c r="W191" s="6" t="s">
        <v>3303</v>
      </c>
      <c r="X191" s="6" t="s">
        <v>85</v>
      </c>
      <c r="Y191" s="6" t="s">
        <v>3140</v>
      </c>
      <c r="Z191" s="6" t="s">
        <v>93</v>
      </c>
      <c r="AA191" s="6" t="s">
        <v>3691</v>
      </c>
      <c r="AB191" s="6"/>
      <c r="AC191" s="6" t="s">
        <v>3141</v>
      </c>
      <c r="AD191" s="6" t="s">
        <v>3143</v>
      </c>
      <c r="AE191" s="6" t="s">
        <v>3622</v>
      </c>
      <c r="AF191" s="6" t="s">
        <v>4855</v>
      </c>
      <c r="AG191" s="6" t="s">
        <v>3693</v>
      </c>
      <c r="AH191" s="6" t="s">
        <v>79</v>
      </c>
    </row>
    <row r="192" spans="1:34" x14ac:dyDescent="0.25">
      <c r="A192" s="6" t="s">
        <v>708</v>
      </c>
      <c r="B192" s="6" t="s">
        <v>709</v>
      </c>
      <c r="C192" s="6" t="s">
        <v>4856</v>
      </c>
      <c r="D192" s="6"/>
      <c r="E192" s="6" t="s">
        <v>3268</v>
      </c>
      <c r="F192" s="6" t="s">
        <v>3227</v>
      </c>
      <c r="G192" s="6" t="s">
        <v>3712</v>
      </c>
      <c r="H192" s="6" t="s">
        <v>144</v>
      </c>
      <c r="I192" s="6" t="s">
        <v>92</v>
      </c>
      <c r="J192" s="6" t="s">
        <v>3217</v>
      </c>
      <c r="K192" s="6" t="s">
        <v>3159</v>
      </c>
      <c r="L192" s="6" t="s">
        <v>75</v>
      </c>
      <c r="M192" s="6" t="s">
        <v>3173</v>
      </c>
      <c r="N192" s="6" t="s">
        <v>3243</v>
      </c>
      <c r="O192" s="6" t="s">
        <v>3152</v>
      </c>
      <c r="P192" s="6" t="s">
        <v>4857</v>
      </c>
      <c r="Q192" s="6" t="s">
        <v>4858</v>
      </c>
      <c r="R192" s="6" t="s">
        <v>4859</v>
      </c>
      <c r="S192" s="6" t="s">
        <v>23</v>
      </c>
      <c r="T192" s="6" t="s">
        <v>4860</v>
      </c>
      <c r="U192" s="6" t="s">
        <v>3192</v>
      </c>
      <c r="V192" s="6" t="s">
        <v>4861</v>
      </c>
      <c r="W192" s="6" t="s">
        <v>3728</v>
      </c>
      <c r="X192" s="6" t="s">
        <v>85</v>
      </c>
      <c r="Y192" s="6" t="s">
        <v>3141</v>
      </c>
      <c r="Z192" s="6" t="s">
        <v>93</v>
      </c>
      <c r="AA192" s="6" t="s">
        <v>4126</v>
      </c>
      <c r="AB192" s="6" t="s">
        <v>4862</v>
      </c>
      <c r="AC192" s="6" t="s">
        <v>3159</v>
      </c>
      <c r="AD192" s="6" t="s">
        <v>75</v>
      </c>
      <c r="AE192" s="6" t="s">
        <v>3428</v>
      </c>
      <c r="AF192" s="6" t="s">
        <v>4863</v>
      </c>
      <c r="AG192" s="6" t="s">
        <v>4864</v>
      </c>
      <c r="AH192" s="6" t="s">
        <v>79</v>
      </c>
    </row>
    <row r="193" spans="1:34" x14ac:dyDescent="0.25">
      <c r="A193" s="6" t="s">
        <v>710</v>
      </c>
      <c r="B193" s="6" t="s">
        <v>711</v>
      </c>
      <c r="C193" s="6" t="s">
        <v>4865</v>
      </c>
      <c r="D193" s="6" t="s">
        <v>4866</v>
      </c>
      <c r="E193" s="6" t="s">
        <v>3323</v>
      </c>
      <c r="F193" s="6" t="s">
        <v>71</v>
      </c>
      <c r="G193" s="6" t="s">
        <v>120</v>
      </c>
      <c r="H193" s="6" t="s">
        <v>73</v>
      </c>
      <c r="I193" s="6" t="s">
        <v>74</v>
      </c>
      <c r="J193" s="6" t="s">
        <v>4867</v>
      </c>
      <c r="K193" s="6" t="s">
        <v>3140</v>
      </c>
      <c r="L193" s="6" t="s">
        <v>3173</v>
      </c>
      <c r="M193" s="6" t="s">
        <v>3160</v>
      </c>
      <c r="N193" s="6" t="s">
        <v>3188</v>
      </c>
      <c r="O193" s="6" t="s">
        <v>3152</v>
      </c>
      <c r="P193" s="6" t="s">
        <v>4868</v>
      </c>
      <c r="Q193" s="6" t="s">
        <v>4869</v>
      </c>
      <c r="R193" s="6" t="s">
        <v>4870</v>
      </c>
      <c r="S193" s="6" t="s">
        <v>23</v>
      </c>
      <c r="T193" s="6" t="s">
        <v>4871</v>
      </c>
      <c r="U193" s="6" t="s">
        <v>3141</v>
      </c>
      <c r="V193" s="6" t="s">
        <v>4872</v>
      </c>
      <c r="W193" s="6" t="s">
        <v>4108</v>
      </c>
      <c r="X193" s="6" t="s">
        <v>85</v>
      </c>
      <c r="Y193" s="6" t="s">
        <v>3192</v>
      </c>
      <c r="Z193" s="6" t="s">
        <v>78</v>
      </c>
      <c r="AA193" s="6" t="s">
        <v>4873</v>
      </c>
      <c r="AB193" s="6" t="s">
        <v>4874</v>
      </c>
      <c r="AC193" s="6" t="s">
        <v>3141</v>
      </c>
      <c r="AD193" s="6" t="s">
        <v>3152</v>
      </c>
      <c r="AE193" s="6" t="s">
        <v>3428</v>
      </c>
      <c r="AF193" s="6" t="s">
        <v>4875</v>
      </c>
      <c r="AG193" s="6" t="s">
        <v>4876</v>
      </c>
      <c r="AH193" s="6" t="s">
        <v>79</v>
      </c>
    </row>
    <row r="194" spans="1:34" x14ac:dyDescent="0.25">
      <c r="A194" s="6" t="s">
        <v>713</v>
      </c>
      <c r="B194" s="6" t="s">
        <v>714</v>
      </c>
      <c r="C194" s="6" t="s">
        <v>715</v>
      </c>
      <c r="D194" s="6" t="s">
        <v>716</v>
      </c>
      <c r="E194" s="6" t="s">
        <v>3921</v>
      </c>
      <c r="F194" s="6" t="s">
        <v>3214</v>
      </c>
      <c r="G194" s="6" t="s">
        <v>98</v>
      </c>
      <c r="H194" s="6" t="s">
        <v>166</v>
      </c>
      <c r="I194" s="6" t="s">
        <v>74</v>
      </c>
      <c r="J194" s="6" t="s">
        <v>4877</v>
      </c>
      <c r="K194" s="6" t="s">
        <v>3140</v>
      </c>
      <c r="L194" s="6" t="s">
        <v>3173</v>
      </c>
      <c r="M194" s="6" t="s">
        <v>3173</v>
      </c>
      <c r="N194" s="6" t="s">
        <v>3243</v>
      </c>
      <c r="O194" s="6" t="s">
        <v>75</v>
      </c>
      <c r="P194" s="6" t="s">
        <v>4759</v>
      </c>
      <c r="Q194" s="6" t="s">
        <v>4878</v>
      </c>
      <c r="R194" s="6" t="s">
        <v>4879</v>
      </c>
      <c r="S194" s="6" t="s">
        <v>21</v>
      </c>
      <c r="T194" s="6" t="s">
        <v>4880</v>
      </c>
      <c r="U194" s="6" t="s">
        <v>3141</v>
      </c>
      <c r="V194" s="6" t="s">
        <v>4881</v>
      </c>
      <c r="W194" s="6" t="s">
        <v>3342</v>
      </c>
      <c r="X194" s="6" t="s">
        <v>3290</v>
      </c>
      <c r="Y194" s="6" t="s">
        <v>3141</v>
      </c>
      <c r="Z194" s="6" t="s">
        <v>93</v>
      </c>
      <c r="AA194" s="6" t="s">
        <v>3262</v>
      </c>
      <c r="AB194" s="6"/>
      <c r="AC194" s="6" t="s">
        <v>3159</v>
      </c>
      <c r="AD194" s="6" t="s">
        <v>3243</v>
      </c>
      <c r="AE194" s="6" t="s">
        <v>3136</v>
      </c>
      <c r="AF194" s="6"/>
      <c r="AG194" s="6" t="s">
        <v>4882</v>
      </c>
      <c r="AH194" s="6" t="s">
        <v>79</v>
      </c>
    </row>
    <row r="195" spans="1:34" x14ac:dyDescent="0.25">
      <c r="A195" s="6" t="s">
        <v>717</v>
      </c>
      <c r="B195" s="6" t="s">
        <v>718</v>
      </c>
      <c r="C195" s="6" t="s">
        <v>4883</v>
      </c>
      <c r="D195" s="6" t="s">
        <v>719</v>
      </c>
      <c r="E195" s="6" t="s">
        <v>3921</v>
      </c>
      <c r="F195" s="6" t="s">
        <v>89</v>
      </c>
      <c r="G195" s="6" t="s">
        <v>83</v>
      </c>
      <c r="H195" s="6" t="s">
        <v>144</v>
      </c>
      <c r="I195" s="6" t="s">
        <v>92</v>
      </c>
      <c r="J195" s="6" t="s">
        <v>4884</v>
      </c>
      <c r="K195" s="6" t="s">
        <v>3292</v>
      </c>
      <c r="L195" s="6" t="s">
        <v>76</v>
      </c>
      <c r="M195" s="6" t="s">
        <v>3141</v>
      </c>
      <c r="N195" s="6" t="s">
        <v>3159</v>
      </c>
      <c r="O195" s="6" t="s">
        <v>3159</v>
      </c>
      <c r="P195" s="6" t="s">
        <v>4885</v>
      </c>
      <c r="Q195" s="6" t="s">
        <v>4886</v>
      </c>
      <c r="R195" s="6" t="s">
        <v>4887</v>
      </c>
      <c r="S195" s="6" t="s">
        <v>23</v>
      </c>
      <c r="T195" s="6" t="s">
        <v>4888</v>
      </c>
      <c r="U195" s="6" t="s">
        <v>3141</v>
      </c>
      <c r="V195" s="6" t="s">
        <v>4889</v>
      </c>
      <c r="W195" s="6" t="s">
        <v>3718</v>
      </c>
      <c r="X195" s="6" t="s">
        <v>77</v>
      </c>
      <c r="Y195" s="6" t="s">
        <v>3159</v>
      </c>
      <c r="Z195" s="6" t="s">
        <v>78</v>
      </c>
      <c r="AA195" s="6" t="s">
        <v>4050</v>
      </c>
      <c r="AB195" s="6"/>
      <c r="AC195" s="6" t="s">
        <v>3159</v>
      </c>
      <c r="AD195" s="6" t="s">
        <v>3143</v>
      </c>
      <c r="AE195" s="6" t="s">
        <v>3513</v>
      </c>
      <c r="AF195" s="6" t="s">
        <v>4890</v>
      </c>
      <c r="AG195" s="6" t="s">
        <v>4891</v>
      </c>
      <c r="AH195" s="6" t="s">
        <v>79</v>
      </c>
    </row>
    <row r="196" spans="1:34" x14ac:dyDescent="0.25">
      <c r="A196" s="6" t="s">
        <v>720</v>
      </c>
      <c r="B196" s="6" t="s">
        <v>721</v>
      </c>
      <c r="C196" s="6" t="s">
        <v>722</v>
      </c>
      <c r="D196" s="6" t="s">
        <v>723</v>
      </c>
      <c r="E196" s="6" t="s">
        <v>3136</v>
      </c>
      <c r="F196" s="6" t="s">
        <v>89</v>
      </c>
      <c r="G196" s="6" t="s">
        <v>226</v>
      </c>
      <c r="H196" s="6" t="s">
        <v>99</v>
      </c>
      <c r="I196" s="6" t="s">
        <v>74</v>
      </c>
      <c r="J196" s="6" t="s">
        <v>4892</v>
      </c>
      <c r="K196" s="6" t="s">
        <v>3140</v>
      </c>
      <c r="L196" s="6" t="s">
        <v>3143</v>
      </c>
      <c r="M196" s="6" t="s">
        <v>3141</v>
      </c>
      <c r="N196" s="6" t="s">
        <v>76</v>
      </c>
      <c r="O196" s="6" t="s">
        <v>3142</v>
      </c>
      <c r="P196" s="6" t="s">
        <v>4893</v>
      </c>
      <c r="Q196" s="6" t="s">
        <v>4894</v>
      </c>
      <c r="R196" s="6" t="s">
        <v>4895</v>
      </c>
      <c r="S196" s="6" t="s">
        <v>23</v>
      </c>
      <c r="T196" s="6"/>
      <c r="U196" s="6" t="s">
        <v>3141</v>
      </c>
      <c r="V196" s="6" t="s">
        <v>4896</v>
      </c>
      <c r="W196" s="6" t="s">
        <v>4217</v>
      </c>
      <c r="X196" s="6" t="s">
        <v>85</v>
      </c>
      <c r="Y196" s="6" t="s">
        <v>3292</v>
      </c>
      <c r="Z196" s="6" t="s">
        <v>3329</v>
      </c>
      <c r="AA196" s="6" t="s">
        <v>4568</v>
      </c>
      <c r="AB196" s="6"/>
      <c r="AC196" s="6" t="s">
        <v>3141</v>
      </c>
      <c r="AD196" s="6" t="s">
        <v>3152</v>
      </c>
      <c r="AE196" s="6" t="s">
        <v>3428</v>
      </c>
      <c r="AF196" s="6" t="s">
        <v>4897</v>
      </c>
      <c r="AG196" s="6" t="s">
        <v>4898</v>
      </c>
      <c r="AH196" s="6" t="s">
        <v>79</v>
      </c>
    </row>
    <row r="197" spans="1:34" x14ac:dyDescent="0.25">
      <c r="A197" s="6" t="s">
        <v>724</v>
      </c>
      <c r="B197" s="6" t="s">
        <v>725</v>
      </c>
      <c r="C197" s="6" t="s">
        <v>726</v>
      </c>
      <c r="D197" s="6" t="s">
        <v>727</v>
      </c>
      <c r="E197" s="6" t="s">
        <v>3282</v>
      </c>
      <c r="F197" s="6" t="s">
        <v>3269</v>
      </c>
      <c r="G197" s="6" t="s">
        <v>139</v>
      </c>
      <c r="H197" s="6" t="s">
        <v>107</v>
      </c>
      <c r="I197" s="6" t="s">
        <v>92</v>
      </c>
      <c r="J197" s="6"/>
      <c r="K197" s="6" t="s">
        <v>3140</v>
      </c>
      <c r="L197" s="6" t="s">
        <v>3196</v>
      </c>
      <c r="M197" s="6" t="s">
        <v>3141</v>
      </c>
      <c r="N197" s="6" t="s">
        <v>76</v>
      </c>
      <c r="O197" s="6" t="s">
        <v>3141</v>
      </c>
      <c r="P197" s="6" t="s">
        <v>3434</v>
      </c>
      <c r="Q197" s="6" t="s">
        <v>4899</v>
      </c>
      <c r="R197" s="6" t="s">
        <v>4900</v>
      </c>
      <c r="S197" s="6" t="s">
        <v>21</v>
      </c>
      <c r="T197" s="6"/>
      <c r="U197" s="6" t="s">
        <v>4264</v>
      </c>
      <c r="V197" s="6" t="s">
        <v>4901</v>
      </c>
      <c r="W197" s="6" t="s">
        <v>4161</v>
      </c>
      <c r="X197" s="6" t="s">
        <v>77</v>
      </c>
      <c r="Y197" s="6" t="s">
        <v>3159</v>
      </c>
      <c r="Z197" s="6" t="s">
        <v>194</v>
      </c>
      <c r="AA197" s="6" t="s">
        <v>3531</v>
      </c>
      <c r="AB197" s="6"/>
      <c r="AC197" s="6" t="s">
        <v>3141</v>
      </c>
      <c r="AD197" s="6" t="s">
        <v>3143</v>
      </c>
      <c r="AE197" s="6" t="s">
        <v>3235</v>
      </c>
      <c r="AF197" s="6"/>
      <c r="AG197" s="6" t="s">
        <v>4902</v>
      </c>
      <c r="AH197" s="6" t="s">
        <v>79</v>
      </c>
    </row>
    <row r="198" spans="1:34" x14ac:dyDescent="0.25">
      <c r="A198" s="6" t="s">
        <v>728</v>
      </c>
      <c r="B198" s="6" t="s">
        <v>729</v>
      </c>
      <c r="C198" s="6" t="s">
        <v>4903</v>
      </c>
      <c r="D198" s="6" t="s">
        <v>4904</v>
      </c>
      <c r="E198" s="6" t="s">
        <v>3432</v>
      </c>
      <c r="F198" s="6" t="s">
        <v>3283</v>
      </c>
      <c r="G198" s="6" t="s">
        <v>174</v>
      </c>
      <c r="H198" s="6" t="s">
        <v>166</v>
      </c>
      <c r="I198" s="6" t="s">
        <v>74</v>
      </c>
      <c r="J198" s="6" t="s">
        <v>4905</v>
      </c>
      <c r="K198" s="6" t="s">
        <v>3141</v>
      </c>
      <c r="L198" s="6" t="s">
        <v>3160</v>
      </c>
      <c r="M198" s="6" t="s">
        <v>75</v>
      </c>
      <c r="N198" s="6" t="s">
        <v>75</v>
      </c>
      <c r="O198" s="6" t="s">
        <v>75</v>
      </c>
      <c r="P198" s="6" t="s">
        <v>4906</v>
      </c>
      <c r="Q198" s="6" t="s">
        <v>4907</v>
      </c>
      <c r="R198" s="6" t="s">
        <v>4908</v>
      </c>
      <c r="S198" s="6" t="s">
        <v>20</v>
      </c>
      <c r="T198" s="6" t="s">
        <v>4909</v>
      </c>
      <c r="U198" s="6" t="s">
        <v>3159</v>
      </c>
      <c r="V198" s="6" t="s">
        <v>4910</v>
      </c>
      <c r="W198" s="6" t="s">
        <v>4117</v>
      </c>
      <c r="X198" s="6" t="s">
        <v>77</v>
      </c>
      <c r="Y198" s="6" t="s">
        <v>3159</v>
      </c>
      <c r="Z198" s="6" t="s">
        <v>78</v>
      </c>
      <c r="AA198" s="6" t="s">
        <v>3415</v>
      </c>
      <c r="AB198" s="6" t="s">
        <v>4911</v>
      </c>
      <c r="AC198" s="6" t="s">
        <v>3141</v>
      </c>
      <c r="AD198" s="6" t="s">
        <v>3243</v>
      </c>
      <c r="AE198" s="6" t="s">
        <v>3169</v>
      </c>
      <c r="AF198" s="6"/>
      <c r="AG198" s="6" t="s">
        <v>4912</v>
      </c>
      <c r="AH198" s="6" t="s">
        <v>79</v>
      </c>
    </row>
    <row r="199" spans="1:34" x14ac:dyDescent="0.25">
      <c r="A199" s="6" t="s">
        <v>731</v>
      </c>
      <c r="B199" s="6" t="s">
        <v>732</v>
      </c>
      <c r="C199" s="6" t="s">
        <v>733</v>
      </c>
      <c r="D199" s="6" t="s">
        <v>734</v>
      </c>
      <c r="E199" s="6" t="s">
        <v>4542</v>
      </c>
      <c r="F199" s="6" t="s">
        <v>3137</v>
      </c>
      <c r="G199" s="6" t="s">
        <v>153</v>
      </c>
      <c r="H199" s="6" t="s">
        <v>132</v>
      </c>
      <c r="I199" s="6" t="s">
        <v>92</v>
      </c>
      <c r="J199" s="6" t="s">
        <v>4913</v>
      </c>
      <c r="K199" s="6" t="s">
        <v>3159</v>
      </c>
      <c r="L199" s="6" t="s">
        <v>75</v>
      </c>
      <c r="M199" s="6" t="s">
        <v>3160</v>
      </c>
      <c r="N199" s="6" t="s">
        <v>76</v>
      </c>
      <c r="O199" s="6" t="s">
        <v>75</v>
      </c>
      <c r="P199" s="6" t="s">
        <v>4914</v>
      </c>
      <c r="Q199" s="6" t="s">
        <v>3217</v>
      </c>
      <c r="R199" s="6" t="s">
        <v>4915</v>
      </c>
      <c r="S199" s="6" t="s">
        <v>20</v>
      </c>
      <c r="T199" s="6" t="s">
        <v>4916</v>
      </c>
      <c r="U199" s="6" t="s">
        <v>3141</v>
      </c>
      <c r="V199" s="6" t="s">
        <v>4917</v>
      </c>
      <c r="W199" s="6" t="s">
        <v>4918</v>
      </c>
      <c r="X199" s="6" t="s">
        <v>85</v>
      </c>
      <c r="Y199" s="6" t="s">
        <v>3140</v>
      </c>
      <c r="Z199" s="6" t="s">
        <v>93</v>
      </c>
      <c r="AA199" s="6" t="s">
        <v>4919</v>
      </c>
      <c r="AB199" s="6"/>
      <c r="AC199" s="6" t="s">
        <v>3159</v>
      </c>
      <c r="AD199" s="6" t="s">
        <v>3141</v>
      </c>
      <c r="AE199" s="6" t="s">
        <v>3235</v>
      </c>
      <c r="AF199" s="6"/>
      <c r="AG199" s="6" t="s">
        <v>4920</v>
      </c>
      <c r="AH199" s="6" t="s">
        <v>79</v>
      </c>
    </row>
    <row r="200" spans="1:34" x14ac:dyDescent="0.25">
      <c r="A200" s="6" t="s">
        <v>735</v>
      </c>
      <c r="B200" s="6" t="s">
        <v>736</v>
      </c>
      <c r="C200" s="6" t="s">
        <v>4921</v>
      </c>
      <c r="D200" s="6" t="s">
        <v>737</v>
      </c>
      <c r="E200" s="6" t="s">
        <v>3722</v>
      </c>
      <c r="F200" s="6" t="s">
        <v>3283</v>
      </c>
      <c r="G200" s="6" t="s">
        <v>83</v>
      </c>
      <c r="H200" s="6" t="s">
        <v>73</v>
      </c>
      <c r="I200" s="6" t="s">
        <v>74</v>
      </c>
      <c r="J200" s="6" t="s">
        <v>3217</v>
      </c>
      <c r="K200" s="6" t="s">
        <v>3159</v>
      </c>
      <c r="L200" s="6" t="s">
        <v>76</v>
      </c>
      <c r="M200" s="6" t="s">
        <v>3141</v>
      </c>
      <c r="N200" s="6" t="s">
        <v>3152</v>
      </c>
      <c r="O200" s="6" t="s">
        <v>3243</v>
      </c>
      <c r="P200" s="6" t="s">
        <v>4922</v>
      </c>
      <c r="Q200" s="6" t="s">
        <v>4923</v>
      </c>
      <c r="R200" s="6" t="s">
        <v>4924</v>
      </c>
      <c r="S200" s="6" t="s">
        <v>21</v>
      </c>
      <c r="T200" s="6" t="s">
        <v>3217</v>
      </c>
      <c r="U200" s="6" t="s">
        <v>3140</v>
      </c>
      <c r="V200" s="6" t="s">
        <v>3791</v>
      </c>
      <c r="W200" s="6" t="s">
        <v>3854</v>
      </c>
      <c r="X200" s="6" t="s">
        <v>85</v>
      </c>
      <c r="Y200" s="6" t="s">
        <v>3140</v>
      </c>
      <c r="Z200" s="6" t="s">
        <v>78</v>
      </c>
      <c r="AA200" s="6" t="s">
        <v>4873</v>
      </c>
      <c r="AB200" s="6" t="s">
        <v>4925</v>
      </c>
      <c r="AC200" s="6" t="s">
        <v>3141</v>
      </c>
      <c r="AD200" s="6" t="s">
        <v>3141</v>
      </c>
      <c r="AE200" s="6" t="s">
        <v>3323</v>
      </c>
      <c r="AF200" s="6"/>
      <c r="AG200" s="6" t="s">
        <v>4926</v>
      </c>
      <c r="AH200" s="6" t="s">
        <v>79</v>
      </c>
    </row>
    <row r="201" spans="1:34" x14ac:dyDescent="0.25">
      <c r="A201" s="6" t="s">
        <v>738</v>
      </c>
      <c r="B201" s="6" t="s">
        <v>205</v>
      </c>
      <c r="C201" s="6" t="s">
        <v>4927</v>
      </c>
      <c r="D201" s="6" t="s">
        <v>4928</v>
      </c>
      <c r="E201" s="6" t="s">
        <v>3505</v>
      </c>
      <c r="F201" s="6" t="s">
        <v>3283</v>
      </c>
      <c r="G201" s="6" t="s">
        <v>388</v>
      </c>
      <c r="H201" s="6" t="s">
        <v>107</v>
      </c>
      <c r="I201" s="6" t="s">
        <v>92</v>
      </c>
      <c r="J201" s="6" t="s">
        <v>4929</v>
      </c>
      <c r="K201" s="6" t="s">
        <v>3159</v>
      </c>
      <c r="L201" s="6" t="s">
        <v>3142</v>
      </c>
      <c r="M201" s="6" t="s">
        <v>3160</v>
      </c>
      <c r="N201" s="6" t="s">
        <v>3141</v>
      </c>
      <c r="O201" s="6" t="s">
        <v>3141</v>
      </c>
      <c r="P201" s="6"/>
      <c r="Q201" s="6" t="s">
        <v>4930</v>
      </c>
      <c r="R201" s="6" t="s">
        <v>4931</v>
      </c>
      <c r="S201" s="6" t="s">
        <v>21</v>
      </c>
      <c r="T201" s="6" t="s">
        <v>4932</v>
      </c>
      <c r="U201" s="6" t="s">
        <v>3141</v>
      </c>
      <c r="V201" s="6" t="s">
        <v>4933</v>
      </c>
      <c r="W201" s="6" t="s">
        <v>4684</v>
      </c>
      <c r="X201" s="6" t="s">
        <v>85</v>
      </c>
      <c r="Y201" s="6" t="s">
        <v>3159</v>
      </c>
      <c r="Z201" s="6" t="s">
        <v>93</v>
      </c>
      <c r="AA201" s="6" t="s">
        <v>4934</v>
      </c>
      <c r="AB201" s="6"/>
      <c r="AC201" s="6" t="s">
        <v>3141</v>
      </c>
      <c r="AD201" s="6" t="s">
        <v>3160</v>
      </c>
      <c r="AE201" s="6" t="s">
        <v>3293</v>
      </c>
      <c r="AF201" s="6"/>
      <c r="AG201" s="6" t="s">
        <v>4935</v>
      </c>
      <c r="AH201" s="6" t="s">
        <v>79</v>
      </c>
    </row>
    <row r="202" spans="1:34" x14ac:dyDescent="0.25">
      <c r="A202" s="6" t="s">
        <v>740</v>
      </c>
      <c r="B202" s="6" t="s">
        <v>741</v>
      </c>
      <c r="C202" s="6" t="s">
        <v>4936</v>
      </c>
      <c r="D202" s="6" t="s">
        <v>4937</v>
      </c>
      <c r="E202" s="6" t="s">
        <v>3309</v>
      </c>
      <c r="F202" s="6" t="s">
        <v>3214</v>
      </c>
      <c r="G202" s="6" t="s">
        <v>174</v>
      </c>
      <c r="H202" s="6" t="s">
        <v>103</v>
      </c>
      <c r="I202" s="6" t="s">
        <v>74</v>
      </c>
      <c r="J202" s="6" t="s">
        <v>4938</v>
      </c>
      <c r="K202" s="6" t="s">
        <v>3159</v>
      </c>
      <c r="L202" s="6" t="s">
        <v>3142</v>
      </c>
      <c r="M202" s="6" t="s">
        <v>3141</v>
      </c>
      <c r="N202" s="6" t="s">
        <v>3141</v>
      </c>
      <c r="O202" s="6" t="s">
        <v>3160</v>
      </c>
      <c r="P202" s="6" t="s">
        <v>4939</v>
      </c>
      <c r="Q202" s="6" t="s">
        <v>4940</v>
      </c>
      <c r="R202" s="6" t="s">
        <v>4941</v>
      </c>
      <c r="S202" s="6" t="s">
        <v>22</v>
      </c>
      <c r="T202" s="6" t="s">
        <v>4942</v>
      </c>
      <c r="U202" s="6" t="s">
        <v>3292</v>
      </c>
      <c r="V202" s="6" t="s">
        <v>4943</v>
      </c>
      <c r="W202" s="6" t="s">
        <v>4463</v>
      </c>
      <c r="X202" s="6" t="s">
        <v>85</v>
      </c>
      <c r="Y202" s="6" t="s">
        <v>3292</v>
      </c>
      <c r="Z202" s="6" t="s">
        <v>78</v>
      </c>
      <c r="AA202" s="6" t="s">
        <v>3747</v>
      </c>
      <c r="AB202" s="6"/>
      <c r="AC202" s="6" t="s">
        <v>3159</v>
      </c>
      <c r="AD202" s="6" t="s">
        <v>3160</v>
      </c>
      <c r="AE202" s="6" t="s">
        <v>3210</v>
      </c>
      <c r="AF202" s="6" t="s">
        <v>4944</v>
      </c>
      <c r="AG202" s="6" t="s">
        <v>4945</v>
      </c>
      <c r="AH202" s="6" t="s">
        <v>79</v>
      </c>
    </row>
    <row r="203" spans="1:34" x14ac:dyDescent="0.25">
      <c r="A203" s="6" t="s">
        <v>743</v>
      </c>
      <c r="B203" s="6" t="s">
        <v>744</v>
      </c>
      <c r="C203" s="6" t="s">
        <v>4946</v>
      </c>
      <c r="D203" s="6" t="s">
        <v>745</v>
      </c>
      <c r="E203" s="6" t="s">
        <v>3240</v>
      </c>
      <c r="F203" s="6" t="s">
        <v>71</v>
      </c>
      <c r="G203" s="6" t="s">
        <v>139</v>
      </c>
      <c r="H203" s="6" t="s">
        <v>166</v>
      </c>
      <c r="I203" s="6" t="s">
        <v>74</v>
      </c>
      <c r="J203" s="6" t="s">
        <v>4947</v>
      </c>
      <c r="K203" s="6" t="s">
        <v>3141</v>
      </c>
      <c r="L203" s="6" t="s">
        <v>3152</v>
      </c>
      <c r="M203" s="6" t="s">
        <v>3160</v>
      </c>
      <c r="N203" s="6" t="s">
        <v>75</v>
      </c>
      <c r="O203" s="6" t="s">
        <v>3152</v>
      </c>
      <c r="P203" s="6" t="s">
        <v>4948</v>
      </c>
      <c r="Q203" s="6" t="s">
        <v>4949</v>
      </c>
      <c r="R203" s="6" t="s">
        <v>4950</v>
      </c>
      <c r="S203" s="6" t="s">
        <v>21</v>
      </c>
      <c r="T203" s="6" t="s">
        <v>4951</v>
      </c>
      <c r="U203" s="6" t="s">
        <v>3141</v>
      </c>
      <c r="V203" s="6" t="s">
        <v>4952</v>
      </c>
      <c r="W203" s="6" t="s">
        <v>3365</v>
      </c>
      <c r="X203" s="6" t="s">
        <v>85</v>
      </c>
      <c r="Y203" s="6" t="s">
        <v>3141</v>
      </c>
      <c r="Z203" s="6" t="s">
        <v>194</v>
      </c>
      <c r="AA203" s="6" t="s">
        <v>4290</v>
      </c>
      <c r="AB203" s="6"/>
      <c r="AC203" s="6" t="s">
        <v>3140</v>
      </c>
      <c r="AD203" s="6" t="s">
        <v>3160</v>
      </c>
      <c r="AE203" s="6" t="s">
        <v>3323</v>
      </c>
      <c r="AF203" s="6"/>
      <c r="AG203" s="6" t="s">
        <v>4953</v>
      </c>
      <c r="AH203" s="6" t="s">
        <v>79</v>
      </c>
    </row>
    <row r="204" spans="1:34" x14ac:dyDescent="0.25">
      <c r="A204" s="6" t="s">
        <v>746</v>
      </c>
      <c r="B204" s="6" t="s">
        <v>747</v>
      </c>
      <c r="C204" s="6" t="s">
        <v>748</v>
      </c>
      <c r="D204" s="6"/>
      <c r="E204" s="6" t="s">
        <v>3432</v>
      </c>
      <c r="F204" s="6" t="s">
        <v>3201</v>
      </c>
      <c r="G204" s="6" t="s">
        <v>417</v>
      </c>
      <c r="H204" s="6" t="s">
        <v>103</v>
      </c>
      <c r="I204" s="6" t="s">
        <v>74</v>
      </c>
      <c r="J204" s="6" t="s">
        <v>3217</v>
      </c>
      <c r="K204" s="6" t="s">
        <v>3159</v>
      </c>
      <c r="L204" s="6" t="s">
        <v>75</v>
      </c>
      <c r="M204" s="6" t="s">
        <v>3243</v>
      </c>
      <c r="N204" s="6" t="s">
        <v>3188</v>
      </c>
      <c r="O204" s="6" t="s">
        <v>3243</v>
      </c>
      <c r="P204" s="6" t="s">
        <v>4954</v>
      </c>
      <c r="Q204" s="6" t="s">
        <v>4955</v>
      </c>
      <c r="R204" s="6" t="s">
        <v>4956</v>
      </c>
      <c r="S204" s="6" t="s">
        <v>21</v>
      </c>
      <c r="T204" s="6" t="s">
        <v>4957</v>
      </c>
      <c r="U204" s="6" t="s">
        <v>3141</v>
      </c>
      <c r="V204" s="6" t="s">
        <v>4958</v>
      </c>
      <c r="W204" s="6" t="s">
        <v>3316</v>
      </c>
      <c r="X204" s="6" t="s">
        <v>85</v>
      </c>
      <c r="Y204" s="6" t="s">
        <v>3140</v>
      </c>
      <c r="Z204" s="6" t="s">
        <v>93</v>
      </c>
      <c r="AA204" s="6" t="s">
        <v>3232</v>
      </c>
      <c r="AB204" s="6" t="s">
        <v>4959</v>
      </c>
      <c r="AC204" s="6" t="s">
        <v>3140</v>
      </c>
      <c r="AD204" s="6" t="s">
        <v>3243</v>
      </c>
      <c r="AE204" s="6" t="s">
        <v>3293</v>
      </c>
      <c r="AF204" s="6"/>
      <c r="AG204" s="6" t="s">
        <v>4960</v>
      </c>
      <c r="AH204" s="6" t="s">
        <v>79</v>
      </c>
    </row>
    <row r="205" spans="1:34" x14ac:dyDescent="0.25">
      <c r="A205" s="6" t="s">
        <v>749</v>
      </c>
      <c r="B205" s="6" t="s">
        <v>750</v>
      </c>
      <c r="C205" s="6" t="s">
        <v>4961</v>
      </c>
      <c r="D205" s="6"/>
      <c r="E205" s="6" t="s">
        <v>3235</v>
      </c>
      <c r="F205" s="6" t="s">
        <v>3201</v>
      </c>
      <c r="G205" s="6" t="s">
        <v>153</v>
      </c>
      <c r="H205" s="6" t="s">
        <v>132</v>
      </c>
      <c r="I205" s="6" t="s">
        <v>92</v>
      </c>
      <c r="J205" s="6" t="s">
        <v>4962</v>
      </c>
      <c r="K205" s="6" t="s">
        <v>3159</v>
      </c>
      <c r="L205" s="6" t="s">
        <v>3142</v>
      </c>
      <c r="M205" s="6" t="s">
        <v>3152</v>
      </c>
      <c r="N205" s="6" t="s">
        <v>75</v>
      </c>
      <c r="O205" s="6" t="s">
        <v>3160</v>
      </c>
      <c r="P205" s="6" t="s">
        <v>4387</v>
      </c>
      <c r="Q205" s="6" t="s">
        <v>4963</v>
      </c>
      <c r="R205" s="6" t="s">
        <v>4964</v>
      </c>
      <c r="S205" s="6" t="s">
        <v>21</v>
      </c>
      <c r="T205" s="6" t="s">
        <v>4965</v>
      </c>
      <c r="U205" s="6" t="s">
        <v>3192</v>
      </c>
      <c r="V205" s="6" t="s">
        <v>4966</v>
      </c>
      <c r="W205" s="6" t="s">
        <v>3783</v>
      </c>
      <c r="X205" s="6" t="s">
        <v>85</v>
      </c>
      <c r="Y205" s="6" t="s">
        <v>3141</v>
      </c>
      <c r="Z205" s="6" t="s">
        <v>93</v>
      </c>
      <c r="AA205" s="6" t="s">
        <v>3490</v>
      </c>
      <c r="AB205" s="6"/>
      <c r="AC205" s="6" t="s">
        <v>3141</v>
      </c>
      <c r="AD205" s="6" t="s">
        <v>3243</v>
      </c>
      <c r="AE205" s="6" t="s">
        <v>3323</v>
      </c>
      <c r="AF205" s="6"/>
      <c r="AG205" s="6" t="s">
        <v>4967</v>
      </c>
      <c r="AH205" s="6" t="s">
        <v>79</v>
      </c>
    </row>
    <row r="206" spans="1:34" x14ac:dyDescent="0.25">
      <c r="A206" s="6" t="s">
        <v>751</v>
      </c>
      <c r="B206" s="6" t="s">
        <v>4968</v>
      </c>
      <c r="C206" s="6"/>
      <c r="D206" s="6" t="s">
        <v>753</v>
      </c>
      <c r="E206" s="6" t="s">
        <v>3617</v>
      </c>
      <c r="F206" s="6" t="s">
        <v>3201</v>
      </c>
      <c r="G206" s="6" t="s">
        <v>120</v>
      </c>
      <c r="H206" s="6" t="s">
        <v>166</v>
      </c>
      <c r="I206" s="6" t="s">
        <v>74</v>
      </c>
      <c r="J206" s="6" t="s">
        <v>4969</v>
      </c>
      <c r="K206" s="6" t="s">
        <v>3140</v>
      </c>
      <c r="L206" s="6" t="s">
        <v>3243</v>
      </c>
      <c r="M206" s="6" t="s">
        <v>76</v>
      </c>
      <c r="N206" s="6" t="s">
        <v>3159</v>
      </c>
      <c r="O206" s="6" t="s">
        <v>3141</v>
      </c>
      <c r="P206" s="6" t="s">
        <v>4970</v>
      </c>
      <c r="Q206" s="6"/>
      <c r="R206" s="6" t="s">
        <v>4971</v>
      </c>
      <c r="S206" s="6" t="s">
        <v>21</v>
      </c>
      <c r="T206" s="6" t="s">
        <v>4972</v>
      </c>
      <c r="U206" s="6" t="s">
        <v>3292</v>
      </c>
      <c r="V206" s="6" t="s">
        <v>4973</v>
      </c>
      <c r="W206" s="6" t="s">
        <v>3673</v>
      </c>
      <c r="X206" s="6" t="s">
        <v>77</v>
      </c>
      <c r="Y206" s="6" t="s">
        <v>3159</v>
      </c>
      <c r="Z206" s="6" t="s">
        <v>93</v>
      </c>
      <c r="AA206" s="6" t="s">
        <v>4610</v>
      </c>
      <c r="AB206" s="6"/>
      <c r="AC206" s="6" t="s">
        <v>3141</v>
      </c>
      <c r="AD206" s="6" t="s">
        <v>3141</v>
      </c>
      <c r="AE206" s="6" t="s">
        <v>3235</v>
      </c>
      <c r="AF206" s="6"/>
      <c r="AG206" s="6" t="s">
        <v>4974</v>
      </c>
      <c r="AH206" s="6" t="s">
        <v>79</v>
      </c>
    </row>
    <row r="207" spans="1:34" x14ac:dyDescent="0.25">
      <c r="A207" s="6" t="s">
        <v>754</v>
      </c>
      <c r="B207" s="6" t="s">
        <v>755</v>
      </c>
      <c r="C207" s="6" t="s">
        <v>756</v>
      </c>
      <c r="D207" s="6" t="s">
        <v>757</v>
      </c>
      <c r="E207" s="6" t="s">
        <v>3309</v>
      </c>
      <c r="F207" s="6" t="s">
        <v>3283</v>
      </c>
      <c r="G207" s="6" t="s">
        <v>174</v>
      </c>
      <c r="H207" s="6" t="s">
        <v>132</v>
      </c>
      <c r="I207" s="6" t="s">
        <v>92</v>
      </c>
      <c r="J207" s="6" t="s">
        <v>4975</v>
      </c>
      <c r="K207" s="6" t="s">
        <v>3159</v>
      </c>
      <c r="L207" s="6" t="s">
        <v>3160</v>
      </c>
      <c r="M207" s="6" t="s">
        <v>3243</v>
      </c>
      <c r="N207" s="6" t="s">
        <v>3173</v>
      </c>
      <c r="O207" s="6" t="s">
        <v>3243</v>
      </c>
      <c r="P207" s="6" t="s">
        <v>4976</v>
      </c>
      <c r="Q207" s="6" t="s">
        <v>4977</v>
      </c>
      <c r="R207" s="6" t="s">
        <v>4978</v>
      </c>
      <c r="S207" s="6" t="s">
        <v>22</v>
      </c>
      <c r="T207" s="6" t="s">
        <v>4979</v>
      </c>
      <c r="U207" s="6" t="s">
        <v>3159</v>
      </c>
      <c r="V207" s="6" t="s">
        <v>4980</v>
      </c>
      <c r="W207" s="6" t="s">
        <v>4981</v>
      </c>
      <c r="X207" s="6" t="s">
        <v>85</v>
      </c>
      <c r="Y207" s="6" t="s">
        <v>3140</v>
      </c>
      <c r="Z207" s="6" t="s">
        <v>78</v>
      </c>
      <c r="AA207" s="6" t="s">
        <v>4982</v>
      </c>
      <c r="AB207" s="6"/>
      <c r="AC207" s="6" t="s">
        <v>3140</v>
      </c>
      <c r="AD207" s="6" t="s">
        <v>3141</v>
      </c>
      <c r="AE207" s="6" t="s">
        <v>3235</v>
      </c>
      <c r="AF207" s="6" t="s">
        <v>4983</v>
      </c>
      <c r="AG207" s="6" t="s">
        <v>4775</v>
      </c>
      <c r="AH207" s="6" t="s">
        <v>79</v>
      </c>
    </row>
    <row r="208" spans="1:34" x14ac:dyDescent="0.25">
      <c r="A208" s="6" t="s">
        <v>758</v>
      </c>
      <c r="B208" s="6" t="s">
        <v>759</v>
      </c>
      <c r="C208" s="6" t="s">
        <v>760</v>
      </c>
      <c r="D208" s="6" t="s">
        <v>4984</v>
      </c>
      <c r="E208" s="6" t="s">
        <v>3722</v>
      </c>
      <c r="F208" s="6" t="s">
        <v>3227</v>
      </c>
      <c r="G208" s="6" t="s">
        <v>106</v>
      </c>
      <c r="H208" s="6" t="s">
        <v>166</v>
      </c>
      <c r="I208" s="6" t="s">
        <v>74</v>
      </c>
      <c r="J208" s="6" t="s">
        <v>3217</v>
      </c>
      <c r="K208" s="6" t="s">
        <v>3140</v>
      </c>
      <c r="L208" s="6" t="s">
        <v>3173</v>
      </c>
      <c r="M208" s="6" t="s">
        <v>3141</v>
      </c>
      <c r="N208" s="6" t="s">
        <v>3159</v>
      </c>
      <c r="O208" s="6" t="s">
        <v>3160</v>
      </c>
      <c r="P208" s="6" t="s">
        <v>4985</v>
      </c>
      <c r="Q208" s="6"/>
      <c r="R208" s="6" t="s">
        <v>4986</v>
      </c>
      <c r="S208" s="6" t="s">
        <v>21</v>
      </c>
      <c r="T208" s="6"/>
      <c r="U208" s="6" t="s">
        <v>3141</v>
      </c>
      <c r="V208" s="6" t="s">
        <v>4987</v>
      </c>
      <c r="W208" s="6" t="s">
        <v>3467</v>
      </c>
      <c r="X208" s="6" t="s">
        <v>77</v>
      </c>
      <c r="Y208" s="6" t="s">
        <v>3159</v>
      </c>
      <c r="Z208" s="6" t="s">
        <v>93</v>
      </c>
      <c r="AA208" s="6" t="s">
        <v>3354</v>
      </c>
      <c r="AB208" s="6"/>
      <c r="AC208" s="6" t="s">
        <v>3141</v>
      </c>
      <c r="AD208" s="6" t="s">
        <v>3141</v>
      </c>
      <c r="AE208" s="6" t="s">
        <v>3235</v>
      </c>
      <c r="AF208" s="6"/>
      <c r="AG208" s="6" t="s">
        <v>4312</v>
      </c>
      <c r="AH208" s="6" t="s">
        <v>79</v>
      </c>
    </row>
    <row r="209" spans="1:34" x14ac:dyDescent="0.25">
      <c r="A209" s="6" t="s">
        <v>762</v>
      </c>
      <c r="B209" s="6" t="s">
        <v>763</v>
      </c>
      <c r="C209" s="6" t="s">
        <v>4988</v>
      </c>
      <c r="D209" s="6" t="s">
        <v>4989</v>
      </c>
      <c r="E209" s="6" t="s">
        <v>3921</v>
      </c>
      <c r="F209" s="6" t="s">
        <v>71</v>
      </c>
      <c r="G209" s="6" t="s">
        <v>4990</v>
      </c>
      <c r="H209" s="6" t="s">
        <v>144</v>
      </c>
      <c r="I209" s="6" t="s">
        <v>92</v>
      </c>
      <c r="J209" s="6" t="s">
        <v>4991</v>
      </c>
      <c r="K209" s="6" t="s">
        <v>3141</v>
      </c>
      <c r="L209" s="6" t="s">
        <v>3141</v>
      </c>
      <c r="M209" s="6" t="s">
        <v>3141</v>
      </c>
      <c r="N209" s="6" t="s">
        <v>3160</v>
      </c>
      <c r="O209" s="6" t="s">
        <v>3141</v>
      </c>
      <c r="P209" s="6" t="s">
        <v>4992</v>
      </c>
      <c r="Q209" s="6" t="s">
        <v>4993</v>
      </c>
      <c r="R209" s="6" t="s">
        <v>4994</v>
      </c>
      <c r="S209" s="6" t="s">
        <v>20</v>
      </c>
      <c r="T209" s="6" t="s">
        <v>4995</v>
      </c>
      <c r="U209" s="6" t="s">
        <v>3159</v>
      </c>
      <c r="V209" s="6" t="s">
        <v>4643</v>
      </c>
      <c r="W209" s="6" t="s">
        <v>4643</v>
      </c>
      <c r="X209" s="6" t="s">
        <v>77</v>
      </c>
      <c r="Y209" s="6" t="s">
        <v>3159</v>
      </c>
      <c r="Z209" s="6" t="s">
        <v>78</v>
      </c>
      <c r="AA209" s="6" t="s">
        <v>3250</v>
      </c>
      <c r="AB209" s="6"/>
      <c r="AC209" s="6" t="s">
        <v>3140</v>
      </c>
      <c r="AD209" s="6" t="s">
        <v>3143</v>
      </c>
      <c r="AE209" s="6" t="s">
        <v>3235</v>
      </c>
      <c r="AF209" s="6"/>
      <c r="AG209" s="6" t="s">
        <v>4996</v>
      </c>
      <c r="AH209" s="6" t="s">
        <v>79</v>
      </c>
    </row>
    <row r="210" spans="1:34" x14ac:dyDescent="0.25">
      <c r="A210" s="6" t="s">
        <v>765</v>
      </c>
      <c r="B210" s="6" t="s">
        <v>766</v>
      </c>
      <c r="C210" s="6" t="s">
        <v>4997</v>
      </c>
      <c r="D210" s="6" t="s">
        <v>767</v>
      </c>
      <c r="E210" s="6" t="s">
        <v>3970</v>
      </c>
      <c r="F210" s="6" t="s">
        <v>3201</v>
      </c>
      <c r="G210" s="6" t="s">
        <v>131</v>
      </c>
      <c r="H210" s="6" t="s">
        <v>84</v>
      </c>
      <c r="I210" s="6" t="s">
        <v>74</v>
      </c>
      <c r="J210" s="6"/>
      <c r="K210" s="6" t="s">
        <v>3159</v>
      </c>
      <c r="L210" s="6" t="s">
        <v>76</v>
      </c>
      <c r="M210" s="6" t="s">
        <v>75</v>
      </c>
      <c r="N210" s="6" t="s">
        <v>3243</v>
      </c>
      <c r="O210" s="6" t="s">
        <v>3160</v>
      </c>
      <c r="P210" s="6" t="s">
        <v>4998</v>
      </c>
      <c r="Q210" s="6" t="s">
        <v>4999</v>
      </c>
      <c r="R210" s="6" t="s">
        <v>5000</v>
      </c>
      <c r="S210" s="6" t="s">
        <v>3881</v>
      </c>
      <c r="T210" s="6" t="s">
        <v>5001</v>
      </c>
      <c r="U210" s="6" t="s">
        <v>3141</v>
      </c>
      <c r="V210" s="6" t="s">
        <v>3365</v>
      </c>
      <c r="W210" s="6" t="s">
        <v>5002</v>
      </c>
      <c r="X210" s="6" t="s">
        <v>85</v>
      </c>
      <c r="Y210" s="6" t="s">
        <v>3159</v>
      </c>
      <c r="Z210" s="6" t="s">
        <v>194</v>
      </c>
      <c r="AA210" s="6" t="s">
        <v>3683</v>
      </c>
      <c r="AB210" s="6" t="s">
        <v>5003</v>
      </c>
      <c r="AC210" s="6" t="s">
        <v>3141</v>
      </c>
      <c r="AD210" s="6" t="s">
        <v>3143</v>
      </c>
      <c r="AE210" s="6" t="s">
        <v>3318</v>
      </c>
      <c r="AF210" s="6" t="s">
        <v>5004</v>
      </c>
      <c r="AG210" s="6" t="s">
        <v>5005</v>
      </c>
      <c r="AH210" s="6" t="s">
        <v>3494</v>
      </c>
    </row>
    <row r="211" spans="1:34" x14ac:dyDescent="0.25">
      <c r="A211" s="6" t="s">
        <v>768</v>
      </c>
      <c r="B211" s="6" t="s">
        <v>769</v>
      </c>
      <c r="C211" s="6" t="s">
        <v>770</v>
      </c>
      <c r="D211" s="6" t="s">
        <v>5006</v>
      </c>
      <c r="E211" s="6" t="s">
        <v>3617</v>
      </c>
      <c r="F211" s="6" t="s">
        <v>3201</v>
      </c>
      <c r="G211" s="6" t="s">
        <v>106</v>
      </c>
      <c r="H211" s="6" t="s">
        <v>132</v>
      </c>
      <c r="I211" s="6" t="s">
        <v>92</v>
      </c>
      <c r="J211" s="6" t="s">
        <v>3217</v>
      </c>
      <c r="K211" s="6" t="s">
        <v>3159</v>
      </c>
      <c r="L211" s="6" t="s">
        <v>75</v>
      </c>
      <c r="M211" s="6" t="s">
        <v>3143</v>
      </c>
      <c r="N211" s="6" t="s">
        <v>3160</v>
      </c>
      <c r="O211" s="6" t="s">
        <v>3159</v>
      </c>
      <c r="P211" s="6" t="s">
        <v>5007</v>
      </c>
      <c r="Q211" s="6" t="s">
        <v>5008</v>
      </c>
      <c r="R211" s="6" t="s">
        <v>5009</v>
      </c>
      <c r="S211" s="6" t="s">
        <v>21</v>
      </c>
      <c r="T211" s="6" t="s">
        <v>5010</v>
      </c>
      <c r="U211" s="6" t="s">
        <v>3141</v>
      </c>
      <c r="V211" s="6" t="s">
        <v>5011</v>
      </c>
      <c r="W211" s="6" t="s">
        <v>3598</v>
      </c>
      <c r="X211" s="6" t="s">
        <v>85</v>
      </c>
      <c r="Y211" s="6" t="s">
        <v>3192</v>
      </c>
      <c r="Z211" s="6" t="s">
        <v>78</v>
      </c>
      <c r="AA211" s="6" t="s">
        <v>3603</v>
      </c>
      <c r="AB211" s="6"/>
      <c r="AC211" s="6" t="s">
        <v>3159</v>
      </c>
      <c r="AD211" s="6" t="s">
        <v>75</v>
      </c>
      <c r="AE211" s="6" t="s">
        <v>3323</v>
      </c>
      <c r="AF211" s="6"/>
      <c r="AG211" s="6"/>
      <c r="AH211" s="6" t="s">
        <v>79</v>
      </c>
    </row>
    <row r="212" spans="1:34" x14ac:dyDescent="0.25">
      <c r="A212" s="6" t="s">
        <v>772</v>
      </c>
      <c r="B212" s="6" t="s">
        <v>773</v>
      </c>
      <c r="C212" s="6" t="s">
        <v>5012</v>
      </c>
      <c r="D212" s="6" t="s">
        <v>5013</v>
      </c>
      <c r="E212" s="6" t="s">
        <v>3279</v>
      </c>
      <c r="F212" s="6" t="s">
        <v>71</v>
      </c>
      <c r="G212" s="6" t="s">
        <v>314</v>
      </c>
      <c r="H212" s="6" t="s">
        <v>91</v>
      </c>
      <c r="I212" s="6" t="s">
        <v>92</v>
      </c>
      <c r="J212" s="6" t="s">
        <v>5014</v>
      </c>
      <c r="K212" s="6" t="s">
        <v>3292</v>
      </c>
      <c r="L212" s="6" t="s">
        <v>3173</v>
      </c>
      <c r="M212" s="6" t="s">
        <v>3141</v>
      </c>
      <c r="N212" s="6" t="s">
        <v>3173</v>
      </c>
      <c r="O212" s="6" t="s">
        <v>76</v>
      </c>
      <c r="P212" s="6" t="s">
        <v>4800</v>
      </c>
      <c r="Q212" s="6" t="s">
        <v>5015</v>
      </c>
      <c r="R212" s="6" t="s">
        <v>5016</v>
      </c>
      <c r="S212" s="6" t="s">
        <v>22</v>
      </c>
      <c r="T212" s="6"/>
      <c r="U212" s="6" t="s">
        <v>3140</v>
      </c>
      <c r="V212" s="6" t="s">
        <v>5017</v>
      </c>
      <c r="W212" s="6" t="s">
        <v>3673</v>
      </c>
      <c r="X212" s="6" t="s">
        <v>85</v>
      </c>
      <c r="Y212" s="6" t="s">
        <v>3159</v>
      </c>
      <c r="Z212" s="6" t="s">
        <v>93</v>
      </c>
      <c r="AA212" s="6" t="s">
        <v>3556</v>
      </c>
      <c r="AB212" s="6"/>
      <c r="AC212" s="6" t="s">
        <v>3141</v>
      </c>
      <c r="AD212" s="6" t="s">
        <v>75</v>
      </c>
      <c r="AE212" s="6" t="s">
        <v>3323</v>
      </c>
      <c r="AF212" s="6" t="s">
        <v>5018</v>
      </c>
      <c r="AG212" s="6" t="s">
        <v>3968</v>
      </c>
      <c r="AH212" s="6" t="s">
        <v>4004</v>
      </c>
    </row>
    <row r="213" spans="1:34" x14ac:dyDescent="0.25">
      <c r="A213" s="6" t="s">
        <v>775</v>
      </c>
      <c r="B213" s="6" t="s">
        <v>776</v>
      </c>
      <c r="C213" s="6" t="s">
        <v>5019</v>
      </c>
      <c r="D213" s="6" t="s">
        <v>777</v>
      </c>
      <c r="E213" s="6" t="s">
        <v>3843</v>
      </c>
      <c r="F213" s="6" t="s">
        <v>3227</v>
      </c>
      <c r="G213" s="6" t="s">
        <v>5020</v>
      </c>
      <c r="H213" s="6" t="s">
        <v>99</v>
      </c>
      <c r="I213" s="6" t="s">
        <v>74</v>
      </c>
      <c r="J213" s="6" t="s">
        <v>5021</v>
      </c>
      <c r="K213" s="6" t="s">
        <v>3140</v>
      </c>
      <c r="L213" s="6" t="s">
        <v>3173</v>
      </c>
      <c r="M213" s="6" t="s">
        <v>3160</v>
      </c>
      <c r="N213" s="6" t="s">
        <v>3196</v>
      </c>
      <c r="O213" s="6" t="s">
        <v>3243</v>
      </c>
      <c r="P213" s="6" t="s">
        <v>5022</v>
      </c>
      <c r="Q213" s="6" t="s">
        <v>5023</v>
      </c>
      <c r="R213" s="6" t="s">
        <v>5024</v>
      </c>
      <c r="S213" s="6" t="s">
        <v>20</v>
      </c>
      <c r="T213" s="6" t="s">
        <v>5025</v>
      </c>
      <c r="U213" s="6" t="s">
        <v>4264</v>
      </c>
      <c r="V213" s="6" t="s">
        <v>4763</v>
      </c>
      <c r="W213" s="6" t="s">
        <v>3965</v>
      </c>
      <c r="X213" s="6" t="s">
        <v>161</v>
      </c>
      <c r="Y213" s="6" t="s">
        <v>3141</v>
      </c>
      <c r="Z213" s="6" t="s">
        <v>93</v>
      </c>
      <c r="AA213" s="6" t="s">
        <v>3195</v>
      </c>
      <c r="AB213" s="6"/>
      <c r="AC213" s="6" t="s">
        <v>3141</v>
      </c>
      <c r="AD213" s="6" t="s">
        <v>3143</v>
      </c>
      <c r="AE213" s="6" t="s">
        <v>3235</v>
      </c>
      <c r="AF213" s="6"/>
      <c r="AG213" s="6" t="s">
        <v>5026</v>
      </c>
      <c r="AH213" s="6" t="s">
        <v>94</v>
      </c>
    </row>
    <row r="214" spans="1:34" x14ac:dyDescent="0.25">
      <c r="A214" s="6" t="s">
        <v>778</v>
      </c>
      <c r="B214" s="6" t="s">
        <v>779</v>
      </c>
      <c r="C214" s="6" t="s">
        <v>5027</v>
      </c>
      <c r="D214" s="6" t="s">
        <v>780</v>
      </c>
      <c r="E214" s="6"/>
      <c r="F214" s="6" t="s">
        <v>3214</v>
      </c>
      <c r="G214" s="6" t="s">
        <v>72</v>
      </c>
      <c r="H214" s="6" t="s">
        <v>107</v>
      </c>
      <c r="I214" s="6" t="s">
        <v>92</v>
      </c>
      <c r="J214" s="6" t="s">
        <v>5028</v>
      </c>
      <c r="K214" s="6" t="s">
        <v>3140</v>
      </c>
      <c r="L214" s="6" t="s">
        <v>3196</v>
      </c>
      <c r="M214" s="6" t="s">
        <v>3141</v>
      </c>
      <c r="N214" s="6" t="s">
        <v>3196</v>
      </c>
      <c r="O214" s="6" t="s">
        <v>3143</v>
      </c>
      <c r="P214" s="6"/>
      <c r="Q214" s="6"/>
      <c r="R214" s="6" t="s">
        <v>5029</v>
      </c>
      <c r="S214" s="6" t="s">
        <v>20</v>
      </c>
      <c r="T214" s="6" t="s">
        <v>5030</v>
      </c>
      <c r="U214" s="6" t="s">
        <v>3140</v>
      </c>
      <c r="V214" s="6" t="s">
        <v>5031</v>
      </c>
      <c r="W214" s="6" t="s">
        <v>3303</v>
      </c>
      <c r="X214" s="6" t="s">
        <v>77</v>
      </c>
      <c r="Y214" s="6" t="s">
        <v>3141</v>
      </c>
      <c r="Z214" s="6" t="s">
        <v>93</v>
      </c>
      <c r="AA214" s="6" t="s">
        <v>5032</v>
      </c>
      <c r="AB214" s="6" t="s">
        <v>5033</v>
      </c>
      <c r="AC214" s="6" t="s">
        <v>3159</v>
      </c>
      <c r="AD214" s="6" t="s">
        <v>75</v>
      </c>
      <c r="AE214" s="6" t="s">
        <v>3169</v>
      </c>
      <c r="AF214" s="6"/>
      <c r="AG214" s="6" t="s">
        <v>5034</v>
      </c>
      <c r="AH214" s="6" t="s">
        <v>79</v>
      </c>
    </row>
    <row r="215" spans="1:34" x14ac:dyDescent="0.25">
      <c r="A215" s="6" t="s">
        <v>781</v>
      </c>
      <c r="B215" s="6" t="s">
        <v>782</v>
      </c>
      <c r="C215" s="6"/>
      <c r="D215" s="6" t="s">
        <v>783</v>
      </c>
      <c r="E215" s="6" t="s">
        <v>4687</v>
      </c>
      <c r="F215" s="6" t="s">
        <v>3201</v>
      </c>
      <c r="G215" s="6" t="s">
        <v>90</v>
      </c>
      <c r="H215" s="6" t="s">
        <v>99</v>
      </c>
      <c r="I215" s="6" t="s">
        <v>74</v>
      </c>
      <c r="J215" s="6" t="s">
        <v>5035</v>
      </c>
      <c r="K215" s="6" t="s">
        <v>3159</v>
      </c>
      <c r="L215" s="6" t="s">
        <v>3196</v>
      </c>
      <c r="M215" s="6" t="s">
        <v>3160</v>
      </c>
      <c r="N215" s="6" t="s">
        <v>3160</v>
      </c>
      <c r="O215" s="6" t="s">
        <v>3143</v>
      </c>
      <c r="P215" s="6" t="s">
        <v>4714</v>
      </c>
      <c r="Q215" s="6" t="s">
        <v>3217</v>
      </c>
      <c r="R215" s="6" t="s">
        <v>5036</v>
      </c>
      <c r="S215" s="6" t="s">
        <v>22</v>
      </c>
      <c r="T215" s="6" t="s">
        <v>5037</v>
      </c>
      <c r="U215" s="6" t="s">
        <v>3159</v>
      </c>
      <c r="V215" s="6" t="s">
        <v>3276</v>
      </c>
      <c r="W215" s="6" t="s">
        <v>5038</v>
      </c>
      <c r="X215" s="6" t="s">
        <v>85</v>
      </c>
      <c r="Y215" s="6" t="s">
        <v>3141</v>
      </c>
      <c r="Z215" s="6" t="s">
        <v>93</v>
      </c>
      <c r="AA215" s="6" t="s">
        <v>4440</v>
      </c>
      <c r="AB215" s="6"/>
      <c r="AC215" s="6" t="s">
        <v>3159</v>
      </c>
      <c r="AD215" s="6" t="s">
        <v>3141</v>
      </c>
      <c r="AE215" s="6" t="s">
        <v>3136</v>
      </c>
      <c r="AF215" s="6" t="s">
        <v>5039</v>
      </c>
      <c r="AG215" s="6" t="s">
        <v>5040</v>
      </c>
      <c r="AH215" s="6" t="s">
        <v>79</v>
      </c>
    </row>
    <row r="216" spans="1:34" x14ac:dyDescent="0.25">
      <c r="A216" s="6" t="s">
        <v>784</v>
      </c>
      <c r="B216" s="6" t="s">
        <v>785</v>
      </c>
      <c r="C216" s="6" t="s">
        <v>5041</v>
      </c>
      <c r="D216" s="6" t="s">
        <v>5042</v>
      </c>
      <c r="E216" s="6" t="s">
        <v>4358</v>
      </c>
      <c r="F216" s="6" t="s">
        <v>89</v>
      </c>
      <c r="G216" s="6" t="s">
        <v>90</v>
      </c>
      <c r="H216" s="6" t="s">
        <v>166</v>
      </c>
      <c r="I216" s="6" t="s">
        <v>74</v>
      </c>
      <c r="J216" s="6" t="s">
        <v>5043</v>
      </c>
      <c r="K216" s="6" t="s">
        <v>3159</v>
      </c>
      <c r="L216" s="6" t="s">
        <v>3142</v>
      </c>
      <c r="M216" s="6" t="s">
        <v>3243</v>
      </c>
      <c r="N216" s="6" t="s">
        <v>3243</v>
      </c>
      <c r="O216" s="6" t="s">
        <v>3243</v>
      </c>
      <c r="P216" s="6" t="s">
        <v>5044</v>
      </c>
      <c r="Q216" s="6" t="s">
        <v>3217</v>
      </c>
      <c r="R216" s="6" t="s">
        <v>5045</v>
      </c>
      <c r="S216" s="6" t="s">
        <v>22</v>
      </c>
      <c r="T216" s="6"/>
      <c r="U216" s="6" t="s">
        <v>3141</v>
      </c>
      <c r="V216" s="6" t="s">
        <v>3621</v>
      </c>
      <c r="W216" s="6" t="s">
        <v>5046</v>
      </c>
      <c r="X216" s="6" t="s">
        <v>85</v>
      </c>
      <c r="Y216" s="6" t="s">
        <v>3159</v>
      </c>
      <c r="Z216" s="6" t="s">
        <v>78</v>
      </c>
      <c r="AA216" s="6" t="s">
        <v>3395</v>
      </c>
      <c r="AB216" s="6"/>
      <c r="AC216" s="6" t="s">
        <v>3141</v>
      </c>
      <c r="AD216" s="6" t="s">
        <v>3141</v>
      </c>
      <c r="AE216" s="6" t="s">
        <v>3210</v>
      </c>
      <c r="AF216" s="6" t="s">
        <v>5047</v>
      </c>
      <c r="AG216" s="6" t="s">
        <v>5048</v>
      </c>
      <c r="AH216" s="6" t="s">
        <v>79</v>
      </c>
    </row>
    <row r="217" spans="1:34" x14ac:dyDescent="0.25">
      <c r="A217" s="6" t="s">
        <v>787</v>
      </c>
      <c r="B217" s="6" t="s">
        <v>547</v>
      </c>
      <c r="C217" s="6" t="s">
        <v>788</v>
      </c>
      <c r="D217" s="6" t="s">
        <v>5049</v>
      </c>
      <c r="E217" s="6" t="s">
        <v>3282</v>
      </c>
      <c r="F217" s="6" t="s">
        <v>3201</v>
      </c>
      <c r="G217" s="6" t="s">
        <v>115</v>
      </c>
      <c r="H217" s="6" t="s">
        <v>4359</v>
      </c>
      <c r="I217" s="6" t="s">
        <v>74</v>
      </c>
      <c r="J217" s="6" t="s">
        <v>5050</v>
      </c>
      <c r="K217" s="6" t="s">
        <v>3159</v>
      </c>
      <c r="L217" s="6" t="s">
        <v>3173</v>
      </c>
      <c r="M217" s="6" t="s">
        <v>3160</v>
      </c>
      <c r="N217" s="6" t="s">
        <v>75</v>
      </c>
      <c r="O217" s="6" t="s">
        <v>3243</v>
      </c>
      <c r="P217" s="6" t="s">
        <v>5051</v>
      </c>
      <c r="Q217" s="6" t="s">
        <v>5052</v>
      </c>
      <c r="R217" s="6" t="s">
        <v>5053</v>
      </c>
      <c r="S217" s="6" t="s">
        <v>22</v>
      </c>
      <c r="T217" s="6" t="s">
        <v>5054</v>
      </c>
      <c r="U217" s="6" t="s">
        <v>3159</v>
      </c>
      <c r="V217" s="6" t="s">
        <v>4248</v>
      </c>
      <c r="W217" s="6" t="s">
        <v>3383</v>
      </c>
      <c r="X217" s="6" t="s">
        <v>77</v>
      </c>
      <c r="Y217" s="6" t="s">
        <v>3159</v>
      </c>
      <c r="Z217" s="6" t="s">
        <v>78</v>
      </c>
      <c r="AA217" s="6" t="s">
        <v>3208</v>
      </c>
      <c r="AB217" s="6"/>
      <c r="AC217" s="6" t="s">
        <v>3159</v>
      </c>
      <c r="AD217" s="6" t="s">
        <v>3152</v>
      </c>
      <c r="AE217" s="6" t="s">
        <v>3210</v>
      </c>
      <c r="AF217" s="6" t="s">
        <v>5055</v>
      </c>
      <c r="AG217" s="6" t="s">
        <v>5056</v>
      </c>
      <c r="AH217" s="6" t="s">
        <v>79</v>
      </c>
    </row>
    <row r="218" spans="1:34" x14ac:dyDescent="0.25">
      <c r="A218" s="6" t="s">
        <v>790</v>
      </c>
      <c r="B218" s="6" t="s">
        <v>791</v>
      </c>
      <c r="C218" s="6" t="s">
        <v>5057</v>
      </c>
      <c r="D218" s="6" t="s">
        <v>5058</v>
      </c>
      <c r="E218" s="6" t="s">
        <v>3254</v>
      </c>
      <c r="F218" s="6" t="s">
        <v>3358</v>
      </c>
      <c r="G218" s="6" t="s">
        <v>226</v>
      </c>
      <c r="H218" s="6" t="s">
        <v>84</v>
      </c>
      <c r="I218" s="6" t="s">
        <v>74</v>
      </c>
      <c r="J218" s="6" t="s">
        <v>5059</v>
      </c>
      <c r="K218" s="6" t="s">
        <v>3141</v>
      </c>
      <c r="L218" s="6" t="s">
        <v>3143</v>
      </c>
      <c r="M218" s="6" t="s">
        <v>3141</v>
      </c>
      <c r="N218" s="6" t="s">
        <v>3160</v>
      </c>
      <c r="O218" s="6" t="s">
        <v>3243</v>
      </c>
      <c r="P218" s="6" t="s">
        <v>5060</v>
      </c>
      <c r="Q218" s="6" t="s">
        <v>5061</v>
      </c>
      <c r="R218" s="6" t="s">
        <v>5062</v>
      </c>
      <c r="S218" s="6" t="s">
        <v>22</v>
      </c>
      <c r="T218" s="6" t="s">
        <v>5063</v>
      </c>
      <c r="U218" s="6" t="s">
        <v>3140</v>
      </c>
      <c r="V218" s="6" t="s">
        <v>3315</v>
      </c>
      <c r="W218" s="6" t="s">
        <v>5064</v>
      </c>
      <c r="X218" s="6" t="s">
        <v>85</v>
      </c>
      <c r="Y218" s="6" t="s">
        <v>3140</v>
      </c>
      <c r="Z218" s="6" t="s">
        <v>93</v>
      </c>
      <c r="AA218" s="6" t="s">
        <v>4675</v>
      </c>
      <c r="AB218" s="6"/>
      <c r="AC218" s="6" t="s">
        <v>3159</v>
      </c>
      <c r="AD218" s="6" t="s">
        <v>75</v>
      </c>
      <c r="AE218" s="6" t="s">
        <v>3136</v>
      </c>
      <c r="AF218" s="6" t="s">
        <v>5065</v>
      </c>
      <c r="AG218" s="6" t="s">
        <v>3333</v>
      </c>
      <c r="AH218" s="6" t="s">
        <v>3494</v>
      </c>
    </row>
    <row r="219" spans="1:34" x14ac:dyDescent="0.25">
      <c r="A219" s="6" t="s">
        <v>793</v>
      </c>
      <c r="B219" s="6" t="s">
        <v>794</v>
      </c>
      <c r="C219" s="6"/>
      <c r="D219" s="6" t="s">
        <v>795</v>
      </c>
      <c r="E219" s="6" t="s">
        <v>3323</v>
      </c>
      <c r="F219" s="6" t="s">
        <v>3283</v>
      </c>
      <c r="G219" s="6" t="s">
        <v>3761</v>
      </c>
      <c r="H219" s="6" t="s">
        <v>5066</v>
      </c>
      <c r="I219" s="6" t="s">
        <v>92</v>
      </c>
      <c r="J219" s="6" t="s">
        <v>5067</v>
      </c>
      <c r="K219" s="6" t="s">
        <v>3292</v>
      </c>
      <c r="L219" s="6" t="s">
        <v>3142</v>
      </c>
      <c r="M219" s="6" t="s">
        <v>3188</v>
      </c>
      <c r="N219" s="6" t="s">
        <v>76</v>
      </c>
      <c r="O219" s="6" t="s">
        <v>3141</v>
      </c>
      <c r="P219" s="6" t="s">
        <v>3868</v>
      </c>
      <c r="Q219" s="6" t="s">
        <v>5068</v>
      </c>
      <c r="R219" s="6" t="s">
        <v>5069</v>
      </c>
      <c r="S219" s="6" t="s">
        <v>22</v>
      </c>
      <c r="T219" s="6" t="s">
        <v>5070</v>
      </c>
      <c r="U219" s="6" t="s">
        <v>3159</v>
      </c>
      <c r="V219" s="6" t="s">
        <v>5071</v>
      </c>
      <c r="W219" s="6" t="s">
        <v>3587</v>
      </c>
      <c r="X219" s="6" t="s">
        <v>85</v>
      </c>
      <c r="Y219" s="6" t="s">
        <v>3141</v>
      </c>
      <c r="Z219" s="6" t="s">
        <v>93</v>
      </c>
      <c r="AA219" s="6" t="s">
        <v>3364</v>
      </c>
      <c r="AB219" s="6" t="s">
        <v>5072</v>
      </c>
      <c r="AC219" s="6" t="s">
        <v>3141</v>
      </c>
      <c r="AD219" s="6" t="s">
        <v>3160</v>
      </c>
      <c r="AE219" s="6" t="s">
        <v>3279</v>
      </c>
      <c r="AF219" s="6" t="s">
        <v>5073</v>
      </c>
      <c r="AG219" s="6" t="s">
        <v>3945</v>
      </c>
      <c r="AH219" s="6" t="s">
        <v>94</v>
      </c>
    </row>
    <row r="220" spans="1:34" x14ac:dyDescent="0.25">
      <c r="A220" s="6" t="s">
        <v>796</v>
      </c>
      <c r="B220" s="6" t="s">
        <v>340</v>
      </c>
      <c r="C220" s="6" t="s">
        <v>5074</v>
      </c>
      <c r="D220" s="6" t="s">
        <v>5075</v>
      </c>
      <c r="E220" s="6" t="s">
        <v>3282</v>
      </c>
      <c r="F220" s="6" t="s">
        <v>3201</v>
      </c>
      <c r="G220" s="6" t="s">
        <v>127</v>
      </c>
      <c r="H220" s="6" t="s">
        <v>84</v>
      </c>
      <c r="I220" s="6" t="s">
        <v>74</v>
      </c>
      <c r="J220" s="6" t="s">
        <v>5076</v>
      </c>
      <c r="K220" s="6" t="s">
        <v>3159</v>
      </c>
      <c r="L220" s="6" t="s">
        <v>3160</v>
      </c>
      <c r="M220" s="6" t="s">
        <v>3173</v>
      </c>
      <c r="N220" s="6" t="s">
        <v>75</v>
      </c>
      <c r="O220" s="6" t="s">
        <v>3141</v>
      </c>
      <c r="P220" s="6" t="s">
        <v>5077</v>
      </c>
      <c r="Q220" s="6" t="s">
        <v>5078</v>
      </c>
      <c r="R220" s="6" t="s">
        <v>5079</v>
      </c>
      <c r="S220" s="6" t="s">
        <v>3219</v>
      </c>
      <c r="T220" s="6"/>
      <c r="U220" s="6" t="s">
        <v>3159</v>
      </c>
      <c r="V220" s="6" t="s">
        <v>5080</v>
      </c>
      <c r="W220" s="6" t="s">
        <v>3598</v>
      </c>
      <c r="X220" s="6" t="s">
        <v>85</v>
      </c>
      <c r="Y220" s="6" t="s">
        <v>3159</v>
      </c>
      <c r="Z220" s="6" t="s">
        <v>93</v>
      </c>
      <c r="AA220" s="6" t="s">
        <v>3264</v>
      </c>
      <c r="AB220" s="6"/>
      <c r="AC220" s="6" t="s">
        <v>3159</v>
      </c>
      <c r="AD220" s="6" t="s">
        <v>3141</v>
      </c>
      <c r="AE220" s="6" t="s">
        <v>3293</v>
      </c>
      <c r="AF220" s="6"/>
      <c r="AG220" s="6" t="s">
        <v>5081</v>
      </c>
      <c r="AH220" s="6" t="s">
        <v>79</v>
      </c>
    </row>
    <row r="221" spans="1:34" x14ac:dyDescent="0.25">
      <c r="A221" s="6" t="s">
        <v>798</v>
      </c>
      <c r="B221" s="6" t="s">
        <v>799</v>
      </c>
      <c r="C221" s="6" t="s">
        <v>5082</v>
      </c>
      <c r="D221" s="6" t="s">
        <v>5083</v>
      </c>
      <c r="E221" s="6" t="s">
        <v>3786</v>
      </c>
      <c r="F221" s="6" t="s">
        <v>3283</v>
      </c>
      <c r="G221" s="6" t="s">
        <v>115</v>
      </c>
      <c r="H221" s="6" t="s">
        <v>73</v>
      </c>
      <c r="I221" s="6" t="s">
        <v>74</v>
      </c>
      <c r="J221" s="6" t="s">
        <v>5084</v>
      </c>
      <c r="K221" s="6" t="s">
        <v>3141</v>
      </c>
      <c r="L221" s="6" t="s">
        <v>3152</v>
      </c>
      <c r="M221" s="6" t="s">
        <v>3243</v>
      </c>
      <c r="N221" s="6" t="s">
        <v>3160</v>
      </c>
      <c r="O221" s="6" t="s">
        <v>3160</v>
      </c>
      <c r="P221" s="6" t="s">
        <v>3244</v>
      </c>
      <c r="Q221" s="6"/>
      <c r="R221" s="6" t="s">
        <v>5085</v>
      </c>
      <c r="S221" s="6" t="s">
        <v>21</v>
      </c>
      <c r="T221" s="6" t="s">
        <v>5086</v>
      </c>
      <c r="U221" s="6" t="s">
        <v>3141</v>
      </c>
      <c r="V221" s="6" t="s">
        <v>4674</v>
      </c>
      <c r="W221" s="6" t="s">
        <v>4563</v>
      </c>
      <c r="X221" s="6" t="s">
        <v>85</v>
      </c>
      <c r="Y221" s="6" t="s">
        <v>3159</v>
      </c>
      <c r="Z221" s="6" t="s">
        <v>93</v>
      </c>
      <c r="AA221" s="6" t="s">
        <v>4470</v>
      </c>
      <c r="AB221" s="6"/>
      <c r="AC221" s="6" t="s">
        <v>3159</v>
      </c>
      <c r="AD221" s="6" t="s">
        <v>3143</v>
      </c>
      <c r="AE221" s="6" t="s">
        <v>3323</v>
      </c>
      <c r="AF221" s="6"/>
      <c r="AG221" s="6" t="s">
        <v>5087</v>
      </c>
      <c r="AH221" s="6" t="s">
        <v>79</v>
      </c>
    </row>
    <row r="222" spans="1:34" x14ac:dyDescent="0.25">
      <c r="A222" s="6" t="s">
        <v>801</v>
      </c>
      <c r="B222" s="6" t="s">
        <v>802</v>
      </c>
      <c r="C222" s="6" t="s">
        <v>5088</v>
      </c>
      <c r="D222" s="6" t="s">
        <v>803</v>
      </c>
      <c r="E222" s="6" t="s">
        <v>3722</v>
      </c>
      <c r="F222" s="6" t="s">
        <v>3214</v>
      </c>
      <c r="G222" s="6" t="s">
        <v>4604</v>
      </c>
      <c r="H222" s="6" t="s">
        <v>84</v>
      </c>
      <c r="I222" s="6" t="s">
        <v>74</v>
      </c>
      <c r="J222" s="6" t="s">
        <v>5089</v>
      </c>
      <c r="K222" s="6" t="s">
        <v>3159</v>
      </c>
      <c r="L222" s="6" t="s">
        <v>3141</v>
      </c>
      <c r="M222" s="6" t="s">
        <v>3160</v>
      </c>
      <c r="N222" s="6" t="s">
        <v>3196</v>
      </c>
      <c r="O222" s="6" t="s">
        <v>3141</v>
      </c>
      <c r="P222" s="6" t="s">
        <v>4535</v>
      </c>
      <c r="Q222" s="6" t="s">
        <v>5090</v>
      </c>
      <c r="R222" s="6" t="s">
        <v>5091</v>
      </c>
      <c r="S222" s="6" t="s">
        <v>21</v>
      </c>
      <c r="T222" s="6" t="s">
        <v>5092</v>
      </c>
      <c r="U222" s="6" t="s">
        <v>3159</v>
      </c>
      <c r="V222" s="6" t="s">
        <v>5093</v>
      </c>
      <c r="W222" s="6" t="s">
        <v>3755</v>
      </c>
      <c r="X222" s="6" t="s">
        <v>3167</v>
      </c>
      <c r="Y222" s="6" t="s">
        <v>3292</v>
      </c>
      <c r="Z222" s="6" t="s">
        <v>78</v>
      </c>
      <c r="AA222" s="6" t="s">
        <v>5094</v>
      </c>
      <c r="AB222" s="6"/>
      <c r="AC222" s="6" t="s">
        <v>3141</v>
      </c>
      <c r="AD222" s="6" t="s">
        <v>3142</v>
      </c>
      <c r="AE222" s="6" t="s">
        <v>3279</v>
      </c>
      <c r="AF222" s="6"/>
      <c r="AG222" s="6" t="s">
        <v>5095</v>
      </c>
      <c r="AH222" s="6" t="s">
        <v>79</v>
      </c>
    </row>
    <row r="223" spans="1:34" x14ac:dyDescent="0.25">
      <c r="A223" s="6" t="s">
        <v>804</v>
      </c>
      <c r="B223" s="6" t="s">
        <v>805</v>
      </c>
      <c r="C223" s="6" t="s">
        <v>5096</v>
      </c>
      <c r="D223" s="6" t="s">
        <v>5097</v>
      </c>
      <c r="E223" s="6"/>
      <c r="F223" s="6" t="s">
        <v>3269</v>
      </c>
      <c r="G223" s="6" t="s">
        <v>4139</v>
      </c>
      <c r="H223" s="6" t="s">
        <v>103</v>
      </c>
      <c r="I223" s="6" t="s">
        <v>74</v>
      </c>
      <c r="J223" s="6" t="s">
        <v>5098</v>
      </c>
      <c r="K223" s="6" t="s">
        <v>3140</v>
      </c>
      <c r="L223" s="6" t="s">
        <v>3141</v>
      </c>
      <c r="M223" s="6" t="s">
        <v>3159</v>
      </c>
      <c r="N223" s="6" t="s">
        <v>3188</v>
      </c>
      <c r="O223" s="6" t="s">
        <v>3141</v>
      </c>
      <c r="P223" s="6" t="s">
        <v>5099</v>
      </c>
      <c r="Q223" s="6" t="s">
        <v>5100</v>
      </c>
      <c r="R223" s="6" t="s">
        <v>5101</v>
      </c>
      <c r="S223" s="6" t="s">
        <v>22</v>
      </c>
      <c r="T223" s="6" t="s">
        <v>5102</v>
      </c>
      <c r="U223" s="6" t="s">
        <v>3192</v>
      </c>
      <c r="V223" s="6" t="s">
        <v>4476</v>
      </c>
      <c r="W223" s="6" t="s">
        <v>3541</v>
      </c>
      <c r="X223" s="6" t="s">
        <v>77</v>
      </c>
      <c r="Y223" s="6" t="s">
        <v>3140</v>
      </c>
      <c r="Z223" s="6" t="s">
        <v>78</v>
      </c>
      <c r="AA223" s="6" t="s">
        <v>3317</v>
      </c>
      <c r="AB223" s="6"/>
      <c r="AC223" s="6" t="s">
        <v>3159</v>
      </c>
      <c r="AD223" s="6" t="s">
        <v>3243</v>
      </c>
      <c r="AE223" s="6" t="s">
        <v>3235</v>
      </c>
      <c r="AF223" s="6" t="s">
        <v>5103</v>
      </c>
      <c r="AG223" s="6"/>
      <c r="AH223" s="6" t="s">
        <v>79</v>
      </c>
    </row>
    <row r="224" spans="1:34" x14ac:dyDescent="0.25">
      <c r="A224" s="6" t="s">
        <v>807</v>
      </c>
      <c r="B224" s="6" t="s">
        <v>808</v>
      </c>
      <c r="C224" s="6" t="s">
        <v>809</v>
      </c>
      <c r="D224" s="6" t="s">
        <v>810</v>
      </c>
      <c r="E224" s="6" t="s">
        <v>3843</v>
      </c>
      <c r="F224" s="6" t="s">
        <v>3283</v>
      </c>
      <c r="G224" s="6" t="s">
        <v>388</v>
      </c>
      <c r="H224" s="6" t="s">
        <v>84</v>
      </c>
      <c r="I224" s="6" t="s">
        <v>74</v>
      </c>
      <c r="J224" s="6" t="s">
        <v>5104</v>
      </c>
      <c r="K224" s="6" t="s">
        <v>3140</v>
      </c>
      <c r="L224" s="6" t="s">
        <v>3143</v>
      </c>
      <c r="M224" s="6" t="s">
        <v>76</v>
      </c>
      <c r="N224" s="6" t="s">
        <v>3173</v>
      </c>
      <c r="O224" s="6" t="s">
        <v>3141</v>
      </c>
      <c r="P224" s="6" t="s">
        <v>4309</v>
      </c>
      <c r="Q224" s="6" t="s">
        <v>5105</v>
      </c>
      <c r="R224" s="6" t="s">
        <v>5106</v>
      </c>
      <c r="S224" s="6" t="s">
        <v>23</v>
      </c>
      <c r="T224" s="6" t="s">
        <v>5107</v>
      </c>
      <c r="U224" s="6" t="s">
        <v>3159</v>
      </c>
      <c r="V224" s="6" t="s">
        <v>5108</v>
      </c>
      <c r="W224" s="6" t="s">
        <v>4050</v>
      </c>
      <c r="X224" s="6" t="s">
        <v>85</v>
      </c>
      <c r="Y224" s="6" t="s">
        <v>3140</v>
      </c>
      <c r="Z224" s="6" t="s">
        <v>78</v>
      </c>
      <c r="AA224" s="6" t="s">
        <v>3195</v>
      </c>
      <c r="AB224" s="6" t="s">
        <v>5109</v>
      </c>
      <c r="AC224" s="6" t="s">
        <v>3141</v>
      </c>
      <c r="AD224" s="6" t="s">
        <v>3243</v>
      </c>
      <c r="AE224" s="6" t="s">
        <v>3331</v>
      </c>
      <c r="AF224" s="6" t="s">
        <v>5110</v>
      </c>
      <c r="AG224" s="6" t="s">
        <v>5111</v>
      </c>
      <c r="AH224" s="6" t="s">
        <v>79</v>
      </c>
    </row>
    <row r="225" spans="1:34" x14ac:dyDescent="0.25">
      <c r="A225" s="6" t="s">
        <v>811</v>
      </c>
      <c r="B225" s="6" t="s">
        <v>5112</v>
      </c>
      <c r="C225" s="6" t="s">
        <v>5113</v>
      </c>
      <c r="D225" s="6" t="s">
        <v>813</v>
      </c>
      <c r="E225" s="6" t="s">
        <v>3420</v>
      </c>
      <c r="F225" s="6" t="s">
        <v>3201</v>
      </c>
      <c r="G225" s="6" t="s">
        <v>3255</v>
      </c>
      <c r="H225" s="6" t="s">
        <v>107</v>
      </c>
      <c r="I225" s="6" t="s">
        <v>92</v>
      </c>
      <c r="J225" s="6" t="s">
        <v>5114</v>
      </c>
      <c r="K225" s="6" t="s">
        <v>3140</v>
      </c>
      <c r="L225" s="6" t="s">
        <v>3142</v>
      </c>
      <c r="M225" s="6" t="s">
        <v>3152</v>
      </c>
      <c r="N225" s="6" t="s">
        <v>3142</v>
      </c>
      <c r="O225" s="6" t="s">
        <v>3143</v>
      </c>
      <c r="P225" s="6" t="s">
        <v>5115</v>
      </c>
      <c r="Q225" s="6"/>
      <c r="R225" s="6" t="s">
        <v>5116</v>
      </c>
      <c r="S225" s="6" t="s">
        <v>21</v>
      </c>
      <c r="T225" s="6" t="s">
        <v>5117</v>
      </c>
      <c r="U225" s="6" t="s">
        <v>3141</v>
      </c>
      <c r="V225" s="6" t="s">
        <v>5118</v>
      </c>
      <c r="W225" s="6" t="s">
        <v>3532</v>
      </c>
      <c r="X225" s="6" t="s">
        <v>77</v>
      </c>
      <c r="Y225" s="6" t="s">
        <v>3159</v>
      </c>
      <c r="Z225" s="6" t="s">
        <v>93</v>
      </c>
      <c r="AA225" s="6" t="s">
        <v>5046</v>
      </c>
      <c r="AB225" s="6"/>
      <c r="AC225" s="6" t="s">
        <v>3141</v>
      </c>
      <c r="AD225" s="6" t="s">
        <v>3243</v>
      </c>
      <c r="AE225" s="6" t="s">
        <v>3136</v>
      </c>
      <c r="AF225" s="6"/>
      <c r="AG225" s="6" t="s">
        <v>3795</v>
      </c>
      <c r="AH225" s="6" t="s">
        <v>79</v>
      </c>
    </row>
    <row r="226" spans="1:34" x14ac:dyDescent="0.25">
      <c r="A226" s="6" t="s">
        <v>814</v>
      </c>
      <c r="B226" s="6" t="s">
        <v>815</v>
      </c>
      <c r="C226" s="6" t="s">
        <v>5119</v>
      </c>
      <c r="D226" s="6" t="s">
        <v>5120</v>
      </c>
      <c r="E226" s="6" t="s">
        <v>3200</v>
      </c>
      <c r="F226" s="6" t="s">
        <v>3137</v>
      </c>
      <c r="G226" s="6" t="s">
        <v>143</v>
      </c>
      <c r="H226" s="6" t="s">
        <v>5121</v>
      </c>
      <c r="I226" s="6" t="s">
        <v>92</v>
      </c>
      <c r="J226" s="6" t="s">
        <v>5122</v>
      </c>
      <c r="K226" s="6" t="s">
        <v>3140</v>
      </c>
      <c r="L226" s="6" t="s">
        <v>76</v>
      </c>
      <c r="M226" s="6" t="s">
        <v>3143</v>
      </c>
      <c r="N226" s="6" t="s">
        <v>3173</v>
      </c>
      <c r="O226" s="6" t="s">
        <v>75</v>
      </c>
      <c r="P226" s="6" t="s">
        <v>5123</v>
      </c>
      <c r="Q226" s="6" t="s">
        <v>5124</v>
      </c>
      <c r="R226" s="6" t="s">
        <v>5125</v>
      </c>
      <c r="S226" s="6" t="s">
        <v>22</v>
      </c>
      <c r="T226" s="6" t="s">
        <v>5126</v>
      </c>
      <c r="U226" s="6" t="s">
        <v>3141</v>
      </c>
      <c r="V226" s="6" t="s">
        <v>5127</v>
      </c>
      <c r="W226" s="6" t="s">
        <v>3149</v>
      </c>
      <c r="X226" s="6" t="s">
        <v>161</v>
      </c>
      <c r="Y226" s="6" t="s">
        <v>3159</v>
      </c>
      <c r="Z226" s="6" t="s">
        <v>78</v>
      </c>
      <c r="AA226" s="6" t="s">
        <v>3344</v>
      </c>
      <c r="AB226" s="6"/>
      <c r="AC226" s="6" t="s">
        <v>3159</v>
      </c>
      <c r="AD226" s="6" t="s">
        <v>3141</v>
      </c>
      <c r="AE226" s="6" t="s">
        <v>3210</v>
      </c>
      <c r="AF226" s="6" t="s">
        <v>5128</v>
      </c>
      <c r="AG226" s="6" t="s">
        <v>5129</v>
      </c>
      <c r="AH226" s="6" t="s">
        <v>94</v>
      </c>
    </row>
    <row r="227" spans="1:34" x14ac:dyDescent="0.25">
      <c r="A227" s="6" t="s">
        <v>817</v>
      </c>
      <c r="B227" s="6" t="s">
        <v>818</v>
      </c>
      <c r="C227" s="6" t="s">
        <v>5130</v>
      </c>
      <c r="D227" s="6" t="s">
        <v>819</v>
      </c>
      <c r="E227" s="6" t="s">
        <v>3703</v>
      </c>
      <c r="F227" s="6" t="s">
        <v>71</v>
      </c>
      <c r="G227" s="6" t="s">
        <v>215</v>
      </c>
      <c r="H227" s="6" t="s">
        <v>5131</v>
      </c>
      <c r="I227" s="6" t="s">
        <v>92</v>
      </c>
      <c r="J227" s="6" t="s">
        <v>5132</v>
      </c>
      <c r="K227" s="6" t="s">
        <v>3159</v>
      </c>
      <c r="L227" s="6" t="s">
        <v>3188</v>
      </c>
      <c r="M227" s="6" t="s">
        <v>3152</v>
      </c>
      <c r="N227" s="6" t="s">
        <v>3160</v>
      </c>
      <c r="O227" s="6" t="s">
        <v>3152</v>
      </c>
      <c r="P227" s="6"/>
      <c r="Q227" s="6" t="s">
        <v>5133</v>
      </c>
      <c r="R227" s="6" t="s">
        <v>5134</v>
      </c>
      <c r="S227" s="6" t="s">
        <v>22</v>
      </c>
      <c r="T227" s="6" t="s">
        <v>5135</v>
      </c>
      <c r="U227" s="6" t="s">
        <v>3159</v>
      </c>
      <c r="V227" s="6" t="s">
        <v>5136</v>
      </c>
      <c r="W227" s="6" t="s">
        <v>5137</v>
      </c>
      <c r="X227" s="6" t="s">
        <v>85</v>
      </c>
      <c r="Y227" s="6" t="s">
        <v>3159</v>
      </c>
      <c r="Z227" s="6" t="s">
        <v>93</v>
      </c>
      <c r="AA227" s="6" t="s">
        <v>4398</v>
      </c>
      <c r="AB227" s="6" t="s">
        <v>5138</v>
      </c>
      <c r="AC227" s="6" t="s">
        <v>3141</v>
      </c>
      <c r="AD227" s="6" t="s">
        <v>3152</v>
      </c>
      <c r="AE227" s="6" t="s">
        <v>3279</v>
      </c>
      <c r="AF227" s="6" t="s">
        <v>5139</v>
      </c>
      <c r="AG227" s="6" t="s">
        <v>5140</v>
      </c>
      <c r="AH227" s="6" t="s">
        <v>79</v>
      </c>
    </row>
    <row r="228" spans="1:34" x14ac:dyDescent="0.25">
      <c r="A228" s="6" t="s">
        <v>820</v>
      </c>
      <c r="B228" s="6" t="s">
        <v>821</v>
      </c>
      <c r="C228" s="6"/>
      <c r="D228" s="6" t="s">
        <v>5141</v>
      </c>
      <c r="E228" s="6" t="s">
        <v>3786</v>
      </c>
      <c r="F228" s="6" t="s">
        <v>3227</v>
      </c>
      <c r="G228" s="6" t="s">
        <v>174</v>
      </c>
      <c r="H228" s="6" t="s">
        <v>132</v>
      </c>
      <c r="I228" s="6" t="s">
        <v>92</v>
      </c>
      <c r="J228" s="6" t="s">
        <v>5142</v>
      </c>
      <c r="K228" s="6" t="s">
        <v>3141</v>
      </c>
      <c r="L228" s="6" t="s">
        <v>3141</v>
      </c>
      <c r="M228" s="6" t="s">
        <v>3160</v>
      </c>
      <c r="N228" s="6" t="s">
        <v>3141</v>
      </c>
      <c r="O228" s="6" t="s">
        <v>3160</v>
      </c>
      <c r="P228" s="6" t="s">
        <v>4437</v>
      </c>
      <c r="Q228" s="6" t="s">
        <v>5143</v>
      </c>
      <c r="R228" s="6" t="s">
        <v>5144</v>
      </c>
      <c r="S228" s="6" t="s">
        <v>20</v>
      </c>
      <c r="T228" s="6" t="s">
        <v>5145</v>
      </c>
      <c r="U228" s="6" t="s">
        <v>3141</v>
      </c>
      <c r="V228" s="6" t="s">
        <v>5146</v>
      </c>
      <c r="W228" s="6" t="s">
        <v>4919</v>
      </c>
      <c r="X228" s="6" t="s">
        <v>85</v>
      </c>
      <c r="Y228" s="6" t="s">
        <v>3141</v>
      </c>
      <c r="Z228" s="6" t="s">
        <v>93</v>
      </c>
      <c r="AA228" s="6" t="s">
        <v>4610</v>
      </c>
      <c r="AB228" s="6"/>
      <c r="AC228" s="6" t="s">
        <v>3292</v>
      </c>
      <c r="AD228" s="6" t="s">
        <v>75</v>
      </c>
      <c r="AE228" s="6" t="s">
        <v>3136</v>
      </c>
      <c r="AF228" s="6"/>
      <c r="AG228" s="6" t="s">
        <v>5147</v>
      </c>
      <c r="AH228" s="6" t="s">
        <v>79</v>
      </c>
    </row>
    <row r="229" spans="1:34" x14ac:dyDescent="0.25">
      <c r="A229" s="6" t="s">
        <v>823</v>
      </c>
      <c r="B229" s="6" t="s">
        <v>824</v>
      </c>
      <c r="C229" s="6" t="s">
        <v>5148</v>
      </c>
      <c r="D229" s="6" t="s">
        <v>5149</v>
      </c>
      <c r="E229" s="6" t="s">
        <v>3254</v>
      </c>
      <c r="F229" s="6" t="s">
        <v>3137</v>
      </c>
      <c r="G229" s="6" t="s">
        <v>5150</v>
      </c>
      <c r="H229" s="6" t="s">
        <v>132</v>
      </c>
      <c r="I229" s="6" t="s">
        <v>92</v>
      </c>
      <c r="J229" s="6"/>
      <c r="K229" s="6" t="s">
        <v>3141</v>
      </c>
      <c r="L229" s="6" t="s">
        <v>3141</v>
      </c>
      <c r="M229" s="6" t="s">
        <v>3160</v>
      </c>
      <c r="N229" s="6" t="s">
        <v>75</v>
      </c>
      <c r="O229" s="6" t="s">
        <v>3152</v>
      </c>
      <c r="P229" s="6" t="s">
        <v>5151</v>
      </c>
      <c r="Q229" s="6" t="s">
        <v>5152</v>
      </c>
      <c r="R229" s="6" t="s">
        <v>5153</v>
      </c>
      <c r="S229" s="6" t="s">
        <v>21</v>
      </c>
      <c r="T229" s="6" t="s">
        <v>5154</v>
      </c>
      <c r="U229" s="6" t="s">
        <v>3275</v>
      </c>
      <c r="V229" s="6" t="s">
        <v>5155</v>
      </c>
      <c r="W229" s="6" t="s">
        <v>5156</v>
      </c>
      <c r="X229" s="6" t="s">
        <v>85</v>
      </c>
      <c r="Y229" s="6" t="s">
        <v>3159</v>
      </c>
      <c r="Z229" s="6" t="s">
        <v>78</v>
      </c>
      <c r="AA229" s="6" t="s">
        <v>3455</v>
      </c>
      <c r="AB229" s="6" t="s">
        <v>5157</v>
      </c>
      <c r="AC229" s="6" t="s">
        <v>3140</v>
      </c>
      <c r="AD229" s="6" t="s">
        <v>3141</v>
      </c>
      <c r="AE229" s="6" t="s">
        <v>3136</v>
      </c>
      <c r="AF229" s="6"/>
      <c r="AG229" s="6" t="s">
        <v>5158</v>
      </c>
      <c r="AH229" s="6" t="s">
        <v>79</v>
      </c>
    </row>
    <row r="230" spans="1:34" x14ac:dyDescent="0.25">
      <c r="A230" s="6" t="s">
        <v>826</v>
      </c>
      <c r="B230" s="6" t="s">
        <v>827</v>
      </c>
      <c r="C230" s="6" t="s">
        <v>828</v>
      </c>
      <c r="D230" s="6" t="s">
        <v>5159</v>
      </c>
      <c r="E230" s="6" t="s">
        <v>4542</v>
      </c>
      <c r="F230" s="6" t="s">
        <v>3214</v>
      </c>
      <c r="G230" s="6" t="s">
        <v>127</v>
      </c>
      <c r="H230" s="6" t="s">
        <v>103</v>
      </c>
      <c r="I230" s="6" t="s">
        <v>74</v>
      </c>
      <c r="J230" s="6" t="s">
        <v>5160</v>
      </c>
      <c r="K230" s="6" t="s">
        <v>3141</v>
      </c>
      <c r="L230" s="6" t="s">
        <v>3152</v>
      </c>
      <c r="M230" s="6" t="s">
        <v>3243</v>
      </c>
      <c r="N230" s="6" t="s">
        <v>3160</v>
      </c>
      <c r="O230" s="6" t="s">
        <v>75</v>
      </c>
      <c r="P230" s="6" t="s">
        <v>5161</v>
      </c>
      <c r="Q230" s="6" t="s">
        <v>5162</v>
      </c>
      <c r="R230" s="6" t="s">
        <v>5163</v>
      </c>
      <c r="S230" s="6" t="s">
        <v>22</v>
      </c>
      <c r="T230" s="6" t="s">
        <v>5164</v>
      </c>
      <c r="U230" s="6" t="s">
        <v>3292</v>
      </c>
      <c r="V230" s="6" t="s">
        <v>4660</v>
      </c>
      <c r="W230" s="6" t="s">
        <v>4108</v>
      </c>
      <c r="X230" s="6" t="s">
        <v>77</v>
      </c>
      <c r="Y230" s="6" t="s">
        <v>3141</v>
      </c>
      <c r="Z230" s="6" t="s">
        <v>78</v>
      </c>
      <c r="AA230" s="6" t="s">
        <v>4217</v>
      </c>
      <c r="AB230" s="6"/>
      <c r="AC230" s="6" t="s">
        <v>3141</v>
      </c>
      <c r="AD230" s="6" t="s">
        <v>3143</v>
      </c>
      <c r="AE230" s="6" t="s">
        <v>3136</v>
      </c>
      <c r="AF230" s="6" t="s">
        <v>5165</v>
      </c>
      <c r="AG230" s="6" t="s">
        <v>5166</v>
      </c>
      <c r="AH230" s="6" t="s">
        <v>79</v>
      </c>
    </row>
    <row r="231" spans="1:34" x14ac:dyDescent="0.25">
      <c r="A231" s="6" t="s">
        <v>830</v>
      </c>
      <c r="B231" s="6" t="s">
        <v>831</v>
      </c>
      <c r="C231" s="6"/>
      <c r="D231" s="6" t="s">
        <v>832</v>
      </c>
      <c r="E231" s="6" t="s">
        <v>3483</v>
      </c>
      <c r="F231" s="6" t="s">
        <v>3201</v>
      </c>
      <c r="G231" s="6" t="s">
        <v>143</v>
      </c>
      <c r="H231" s="6" t="s">
        <v>132</v>
      </c>
      <c r="I231" s="6" t="s">
        <v>92</v>
      </c>
      <c r="J231" s="6" t="s">
        <v>5167</v>
      </c>
      <c r="K231" s="6" t="s">
        <v>3141</v>
      </c>
      <c r="L231" s="6" t="s">
        <v>75</v>
      </c>
      <c r="M231" s="6" t="s">
        <v>3143</v>
      </c>
      <c r="N231" s="6" t="s">
        <v>3243</v>
      </c>
      <c r="O231" s="6" t="s">
        <v>3143</v>
      </c>
      <c r="P231" s="6" t="s">
        <v>4147</v>
      </c>
      <c r="Q231" s="6" t="s">
        <v>5168</v>
      </c>
      <c r="R231" s="6" t="s">
        <v>5169</v>
      </c>
      <c r="S231" s="6" t="s">
        <v>23</v>
      </c>
      <c r="T231" s="6" t="s">
        <v>5170</v>
      </c>
      <c r="U231" s="6" t="s">
        <v>3140</v>
      </c>
      <c r="V231" s="6" t="s">
        <v>4150</v>
      </c>
      <c r="W231" s="6" t="s">
        <v>3802</v>
      </c>
      <c r="X231" s="6" t="s">
        <v>85</v>
      </c>
      <c r="Y231" s="6" t="s">
        <v>3159</v>
      </c>
      <c r="Z231" s="6" t="s">
        <v>78</v>
      </c>
      <c r="AA231" s="6" t="s">
        <v>3621</v>
      </c>
      <c r="AB231" s="6"/>
      <c r="AC231" s="6" t="s">
        <v>3141</v>
      </c>
      <c r="AD231" s="6" t="s">
        <v>3152</v>
      </c>
      <c r="AE231" s="6" t="s">
        <v>3428</v>
      </c>
      <c r="AF231" s="6" t="s">
        <v>5171</v>
      </c>
      <c r="AG231" s="6" t="s">
        <v>5172</v>
      </c>
      <c r="AH231" s="6" t="s">
        <v>79</v>
      </c>
    </row>
    <row r="232" spans="1:34" x14ac:dyDescent="0.25">
      <c r="A232" s="6" t="s">
        <v>833</v>
      </c>
      <c r="B232" s="6" t="s">
        <v>834</v>
      </c>
      <c r="C232" s="6" t="s">
        <v>5173</v>
      </c>
      <c r="D232" s="6" t="s">
        <v>835</v>
      </c>
      <c r="E232" s="6" t="s">
        <v>3254</v>
      </c>
      <c r="F232" s="6" t="s">
        <v>3283</v>
      </c>
      <c r="G232" s="6" t="s">
        <v>143</v>
      </c>
      <c r="H232" s="6" t="s">
        <v>132</v>
      </c>
      <c r="I232" s="6" t="s">
        <v>92</v>
      </c>
      <c r="J232" s="6" t="s">
        <v>5174</v>
      </c>
      <c r="K232" s="6" t="s">
        <v>3159</v>
      </c>
      <c r="L232" s="6" t="s">
        <v>3160</v>
      </c>
      <c r="M232" s="6" t="s">
        <v>3143</v>
      </c>
      <c r="N232" s="6" t="s">
        <v>3173</v>
      </c>
      <c r="O232" s="6" t="s">
        <v>3141</v>
      </c>
      <c r="P232" s="6" t="s">
        <v>5161</v>
      </c>
      <c r="Q232" s="6" t="s">
        <v>5175</v>
      </c>
      <c r="R232" s="6" t="s">
        <v>5176</v>
      </c>
      <c r="S232" s="6" t="s">
        <v>20</v>
      </c>
      <c r="T232" s="6" t="s">
        <v>5177</v>
      </c>
      <c r="U232" s="6" t="s">
        <v>3141</v>
      </c>
      <c r="V232" s="6" t="s">
        <v>5178</v>
      </c>
      <c r="W232" s="6" t="s">
        <v>4592</v>
      </c>
      <c r="X232" s="6" t="s">
        <v>77</v>
      </c>
      <c r="Y232" s="6" t="s">
        <v>3140</v>
      </c>
      <c r="Z232" s="6" t="s">
        <v>78</v>
      </c>
      <c r="AA232" s="6" t="s">
        <v>4161</v>
      </c>
      <c r="AB232" s="6" t="s">
        <v>5179</v>
      </c>
      <c r="AC232" s="6" t="s">
        <v>3141</v>
      </c>
      <c r="AD232" s="6" t="s">
        <v>75</v>
      </c>
      <c r="AE232" s="6" t="s">
        <v>3169</v>
      </c>
      <c r="AF232" s="6"/>
      <c r="AG232" s="6" t="s">
        <v>5180</v>
      </c>
      <c r="AH232" s="6" t="s">
        <v>79</v>
      </c>
    </row>
    <row r="233" spans="1:34" x14ac:dyDescent="0.25">
      <c r="A233" s="6" t="s">
        <v>836</v>
      </c>
      <c r="B233" s="6" t="s">
        <v>837</v>
      </c>
      <c r="C233" s="6" t="s">
        <v>5181</v>
      </c>
      <c r="D233" s="6" t="s">
        <v>838</v>
      </c>
      <c r="E233" s="6" t="s">
        <v>3570</v>
      </c>
      <c r="F233" s="6" t="s">
        <v>3201</v>
      </c>
      <c r="G233" s="6" t="s">
        <v>417</v>
      </c>
      <c r="H233" s="6" t="s">
        <v>84</v>
      </c>
      <c r="I233" s="6" t="s">
        <v>74</v>
      </c>
      <c r="J233" s="6" t="s">
        <v>5182</v>
      </c>
      <c r="K233" s="6" t="s">
        <v>3159</v>
      </c>
      <c r="L233" s="6" t="s">
        <v>3243</v>
      </c>
      <c r="M233" s="6" t="s">
        <v>3243</v>
      </c>
      <c r="N233" s="6" t="s">
        <v>3173</v>
      </c>
      <c r="O233" s="6" t="s">
        <v>3143</v>
      </c>
      <c r="P233" s="6" t="s">
        <v>5183</v>
      </c>
      <c r="Q233" s="6"/>
      <c r="R233" s="6" t="s">
        <v>5184</v>
      </c>
      <c r="S233" s="6" t="s">
        <v>23</v>
      </c>
      <c r="T233" s="6"/>
      <c r="U233" s="6" t="s">
        <v>3141</v>
      </c>
      <c r="V233" s="6" t="s">
        <v>5185</v>
      </c>
      <c r="W233" s="6" t="s">
        <v>4176</v>
      </c>
      <c r="X233" s="6" t="s">
        <v>77</v>
      </c>
      <c r="Y233" s="6" t="s">
        <v>3159</v>
      </c>
      <c r="Z233" s="6" t="s">
        <v>3263</v>
      </c>
      <c r="AA233" s="6" t="s">
        <v>4049</v>
      </c>
      <c r="AB233" s="6"/>
      <c r="AC233" s="6" t="s">
        <v>3159</v>
      </c>
      <c r="AD233" s="6" t="s">
        <v>3152</v>
      </c>
      <c r="AE233" s="6" t="s">
        <v>3318</v>
      </c>
      <c r="AF233" s="6" t="s">
        <v>5186</v>
      </c>
      <c r="AG233" s="6" t="s">
        <v>5187</v>
      </c>
      <c r="AH233" s="6" t="s">
        <v>94</v>
      </c>
    </row>
    <row r="234" spans="1:34" x14ac:dyDescent="0.25">
      <c r="A234" s="6" t="s">
        <v>839</v>
      </c>
      <c r="B234" s="6" t="s">
        <v>5188</v>
      </c>
      <c r="C234" s="6" t="s">
        <v>5189</v>
      </c>
      <c r="D234" s="6" t="s">
        <v>5190</v>
      </c>
      <c r="E234" s="6" t="s">
        <v>3970</v>
      </c>
      <c r="F234" s="6" t="s">
        <v>3283</v>
      </c>
      <c r="G234" s="6" t="s">
        <v>127</v>
      </c>
      <c r="H234" s="6" t="s">
        <v>91</v>
      </c>
      <c r="I234" s="6" t="s">
        <v>92</v>
      </c>
      <c r="J234" s="6" t="s">
        <v>5191</v>
      </c>
      <c r="K234" s="6" t="s">
        <v>3140</v>
      </c>
      <c r="L234" s="6" t="s">
        <v>3160</v>
      </c>
      <c r="M234" s="6" t="s">
        <v>3141</v>
      </c>
      <c r="N234" s="6" t="s">
        <v>3159</v>
      </c>
      <c r="O234" s="6" t="s">
        <v>3142</v>
      </c>
      <c r="P234" s="6" t="s">
        <v>5192</v>
      </c>
      <c r="Q234" s="6" t="s">
        <v>5193</v>
      </c>
      <c r="R234" s="6" t="s">
        <v>5194</v>
      </c>
      <c r="S234" s="6" t="s">
        <v>21</v>
      </c>
      <c r="T234" s="6" t="s">
        <v>5195</v>
      </c>
      <c r="U234" s="6" t="s">
        <v>3292</v>
      </c>
      <c r="V234" s="6" t="s">
        <v>5196</v>
      </c>
      <c r="W234" s="6" t="s">
        <v>3439</v>
      </c>
      <c r="X234" s="6" t="s">
        <v>85</v>
      </c>
      <c r="Y234" s="6" t="s">
        <v>3140</v>
      </c>
      <c r="Z234" s="6" t="s">
        <v>78</v>
      </c>
      <c r="AA234" s="6" t="s">
        <v>4135</v>
      </c>
      <c r="AB234" s="6" t="s">
        <v>5197</v>
      </c>
      <c r="AC234" s="6" t="s">
        <v>3159</v>
      </c>
      <c r="AD234" s="6" t="s">
        <v>3243</v>
      </c>
      <c r="AE234" s="6" t="s">
        <v>3279</v>
      </c>
      <c r="AF234" s="6"/>
      <c r="AG234" s="6" t="s">
        <v>5198</v>
      </c>
      <c r="AH234" s="6" t="s">
        <v>79</v>
      </c>
    </row>
    <row r="235" spans="1:34" x14ac:dyDescent="0.25">
      <c r="A235" s="6" t="s">
        <v>842</v>
      </c>
      <c r="B235" s="6" t="s">
        <v>843</v>
      </c>
      <c r="C235" s="6" t="s">
        <v>5199</v>
      </c>
      <c r="D235" s="6" t="s">
        <v>5200</v>
      </c>
      <c r="E235" s="6" t="s">
        <v>3432</v>
      </c>
      <c r="F235" s="6" t="s">
        <v>3227</v>
      </c>
      <c r="G235" s="6" t="s">
        <v>3761</v>
      </c>
      <c r="H235" s="6" t="s">
        <v>103</v>
      </c>
      <c r="I235" s="6" t="s">
        <v>74</v>
      </c>
      <c r="J235" s="6" t="s">
        <v>5201</v>
      </c>
      <c r="K235" s="6" t="s">
        <v>3159</v>
      </c>
      <c r="L235" s="6" t="s">
        <v>3196</v>
      </c>
      <c r="M235" s="6" t="s">
        <v>3143</v>
      </c>
      <c r="N235" s="6" t="s">
        <v>3152</v>
      </c>
      <c r="O235" s="6" t="s">
        <v>3160</v>
      </c>
      <c r="P235" s="6" t="s">
        <v>4019</v>
      </c>
      <c r="Q235" s="6" t="s">
        <v>5202</v>
      </c>
      <c r="R235" s="6" t="s">
        <v>5203</v>
      </c>
      <c r="S235" s="6" t="s">
        <v>22</v>
      </c>
      <c r="T235" s="6" t="s">
        <v>5204</v>
      </c>
      <c r="U235" s="6" t="s">
        <v>3159</v>
      </c>
      <c r="V235" s="6" t="s">
        <v>5205</v>
      </c>
      <c r="W235" s="6" t="s">
        <v>3928</v>
      </c>
      <c r="X235" s="6" t="s">
        <v>77</v>
      </c>
      <c r="Y235" s="6" t="s">
        <v>3140</v>
      </c>
      <c r="Z235" s="6" t="s">
        <v>93</v>
      </c>
      <c r="AA235" s="6" t="s">
        <v>3862</v>
      </c>
      <c r="AB235" s="6"/>
      <c r="AC235" s="6" t="s">
        <v>3141</v>
      </c>
      <c r="AD235" s="6" t="s">
        <v>3243</v>
      </c>
      <c r="AE235" s="6" t="s">
        <v>3279</v>
      </c>
      <c r="AF235" s="6" t="s">
        <v>5206</v>
      </c>
      <c r="AG235" s="6" t="s">
        <v>5207</v>
      </c>
      <c r="AH235" s="6" t="s">
        <v>79</v>
      </c>
    </row>
    <row r="236" spans="1:34" x14ac:dyDescent="0.25">
      <c r="A236" s="6" t="s">
        <v>845</v>
      </c>
      <c r="B236" s="6" t="s">
        <v>846</v>
      </c>
      <c r="C236" s="6" t="s">
        <v>5208</v>
      </c>
      <c r="D236" s="6" t="s">
        <v>5209</v>
      </c>
      <c r="E236" s="6" t="s">
        <v>3323</v>
      </c>
      <c r="F236" s="6" t="s">
        <v>89</v>
      </c>
      <c r="G236" s="6" t="s">
        <v>417</v>
      </c>
      <c r="H236" s="6" t="s">
        <v>99</v>
      </c>
      <c r="I236" s="6" t="s">
        <v>74</v>
      </c>
      <c r="J236" s="6" t="s">
        <v>5210</v>
      </c>
      <c r="K236" s="6" t="s">
        <v>3159</v>
      </c>
      <c r="L236" s="6" t="s">
        <v>3159</v>
      </c>
      <c r="M236" s="6" t="s">
        <v>3141</v>
      </c>
      <c r="N236" s="6" t="s">
        <v>3243</v>
      </c>
      <c r="O236" s="6" t="s">
        <v>3152</v>
      </c>
      <c r="P236" s="6" t="s">
        <v>5211</v>
      </c>
      <c r="Q236" s="6"/>
      <c r="R236" s="6" t="s">
        <v>5212</v>
      </c>
      <c r="S236" s="6" t="s">
        <v>22</v>
      </c>
      <c r="T236" s="6" t="s">
        <v>5213</v>
      </c>
      <c r="U236" s="6" t="s">
        <v>3141</v>
      </c>
      <c r="V236" s="6" t="s">
        <v>5214</v>
      </c>
      <c r="W236" s="6" t="s">
        <v>5215</v>
      </c>
      <c r="X236" s="6" t="s">
        <v>161</v>
      </c>
      <c r="Y236" s="6" t="s">
        <v>3292</v>
      </c>
      <c r="Z236" s="6" t="s">
        <v>93</v>
      </c>
      <c r="AA236" s="6" t="s">
        <v>5216</v>
      </c>
      <c r="AB236" s="6"/>
      <c r="AC236" s="6" t="s">
        <v>3159</v>
      </c>
      <c r="AD236" s="6" t="s">
        <v>3141</v>
      </c>
      <c r="AE236" s="6" t="s">
        <v>3210</v>
      </c>
      <c r="AF236" s="6" t="s">
        <v>5217</v>
      </c>
      <c r="AG236" s="6" t="s">
        <v>5218</v>
      </c>
      <c r="AH236" s="6" t="s">
        <v>79</v>
      </c>
    </row>
    <row r="237" spans="1:34" x14ac:dyDescent="0.25">
      <c r="A237" s="6" t="s">
        <v>848</v>
      </c>
      <c r="B237" s="6" t="s">
        <v>849</v>
      </c>
      <c r="C237" s="6" t="s">
        <v>850</v>
      </c>
      <c r="D237" s="6" t="s">
        <v>851</v>
      </c>
      <c r="E237" s="6" t="s">
        <v>3240</v>
      </c>
      <c r="F237" s="6" t="s">
        <v>3214</v>
      </c>
      <c r="G237" s="6" t="s">
        <v>139</v>
      </c>
      <c r="H237" s="6" t="s">
        <v>99</v>
      </c>
      <c r="I237" s="6" t="s">
        <v>74</v>
      </c>
      <c r="J237" s="6" t="s">
        <v>5219</v>
      </c>
      <c r="K237" s="6" t="s">
        <v>3192</v>
      </c>
      <c r="L237" s="6" t="s">
        <v>3142</v>
      </c>
      <c r="M237" s="6" t="s">
        <v>3188</v>
      </c>
      <c r="N237" s="6" t="s">
        <v>3142</v>
      </c>
      <c r="O237" s="6" t="s">
        <v>3159</v>
      </c>
      <c r="P237" s="6" t="s">
        <v>5220</v>
      </c>
      <c r="Q237" s="6" t="s">
        <v>5221</v>
      </c>
      <c r="R237" s="6" t="s">
        <v>5222</v>
      </c>
      <c r="S237" s="6" t="s">
        <v>21</v>
      </c>
      <c r="T237" s="6" t="s">
        <v>5223</v>
      </c>
      <c r="U237" s="6" t="s">
        <v>3192</v>
      </c>
      <c r="V237" s="6" t="s">
        <v>5224</v>
      </c>
      <c r="W237" s="6" t="s">
        <v>3489</v>
      </c>
      <c r="X237" s="6" t="s">
        <v>85</v>
      </c>
      <c r="Y237" s="6" t="s">
        <v>3141</v>
      </c>
      <c r="Z237" s="6" t="s">
        <v>78</v>
      </c>
      <c r="AA237" s="6" t="s">
        <v>3375</v>
      </c>
      <c r="AB237" s="6"/>
      <c r="AC237" s="6" t="s">
        <v>3292</v>
      </c>
      <c r="AD237" s="6" t="s">
        <v>3243</v>
      </c>
      <c r="AE237" s="6" t="s">
        <v>3293</v>
      </c>
      <c r="AF237" s="6"/>
      <c r="AG237" s="6" t="s">
        <v>5225</v>
      </c>
      <c r="AH237" s="6" t="s">
        <v>79</v>
      </c>
    </row>
    <row r="238" spans="1:34" x14ac:dyDescent="0.25">
      <c r="A238" s="6" t="s">
        <v>852</v>
      </c>
      <c r="B238" s="6" t="s">
        <v>853</v>
      </c>
      <c r="C238" s="6" t="s">
        <v>5226</v>
      </c>
      <c r="D238" s="6"/>
      <c r="E238" s="6" t="s">
        <v>3200</v>
      </c>
      <c r="F238" s="6" t="s">
        <v>3137</v>
      </c>
      <c r="G238" s="6" t="s">
        <v>90</v>
      </c>
      <c r="H238" s="6" t="s">
        <v>107</v>
      </c>
      <c r="I238" s="6" t="s">
        <v>92</v>
      </c>
      <c r="J238" s="6" t="s">
        <v>5227</v>
      </c>
      <c r="K238" s="6" t="s">
        <v>3141</v>
      </c>
      <c r="L238" s="6" t="s">
        <v>3152</v>
      </c>
      <c r="M238" s="6" t="s">
        <v>3143</v>
      </c>
      <c r="N238" s="6" t="s">
        <v>3143</v>
      </c>
      <c r="O238" s="6" t="s">
        <v>3141</v>
      </c>
      <c r="P238" s="6" t="s">
        <v>5022</v>
      </c>
      <c r="Q238" s="6" t="s">
        <v>3217</v>
      </c>
      <c r="R238" s="6" t="s">
        <v>5228</v>
      </c>
      <c r="S238" s="6" t="s">
        <v>20</v>
      </c>
      <c r="T238" s="6" t="s">
        <v>5229</v>
      </c>
      <c r="U238" s="6" t="s">
        <v>3159</v>
      </c>
      <c r="V238" s="6" t="s">
        <v>5230</v>
      </c>
      <c r="W238" s="6" t="s">
        <v>5231</v>
      </c>
      <c r="X238" s="6" t="s">
        <v>85</v>
      </c>
      <c r="Y238" s="6" t="s">
        <v>3159</v>
      </c>
      <c r="Z238" s="6" t="s">
        <v>78</v>
      </c>
      <c r="AA238" s="6" t="s">
        <v>4495</v>
      </c>
      <c r="AB238" s="6"/>
      <c r="AC238" s="6" t="s">
        <v>3141</v>
      </c>
      <c r="AD238" s="6" t="s">
        <v>3143</v>
      </c>
      <c r="AE238" s="6" t="s">
        <v>3235</v>
      </c>
      <c r="AF238" s="6"/>
      <c r="AG238" s="6" t="s">
        <v>5232</v>
      </c>
      <c r="AH238" s="6" t="s">
        <v>79</v>
      </c>
    </row>
    <row r="239" spans="1:34" x14ac:dyDescent="0.25">
      <c r="A239" s="6" t="s">
        <v>854</v>
      </c>
      <c r="B239" s="6" t="s">
        <v>855</v>
      </c>
      <c r="C239" s="6" t="s">
        <v>5233</v>
      </c>
      <c r="D239" s="6" t="s">
        <v>5234</v>
      </c>
      <c r="E239" s="6" t="s">
        <v>3136</v>
      </c>
      <c r="F239" s="6" t="s">
        <v>3201</v>
      </c>
      <c r="G239" s="6" t="s">
        <v>5235</v>
      </c>
      <c r="H239" s="6" t="s">
        <v>84</v>
      </c>
      <c r="I239" s="6" t="s">
        <v>74</v>
      </c>
      <c r="J239" s="6" t="s">
        <v>5236</v>
      </c>
      <c r="K239" s="6" t="s">
        <v>3140</v>
      </c>
      <c r="L239" s="6" t="s">
        <v>3142</v>
      </c>
      <c r="M239" s="6" t="s">
        <v>3196</v>
      </c>
      <c r="N239" s="6" t="s">
        <v>3160</v>
      </c>
      <c r="O239" s="6" t="s">
        <v>75</v>
      </c>
      <c r="P239" s="6" t="s">
        <v>5237</v>
      </c>
      <c r="Q239" s="6" t="s">
        <v>5238</v>
      </c>
      <c r="R239" s="6" t="s">
        <v>5239</v>
      </c>
      <c r="S239" s="6" t="s">
        <v>23</v>
      </c>
      <c r="T239" s="6" t="s">
        <v>5240</v>
      </c>
      <c r="U239" s="6" t="s">
        <v>3141</v>
      </c>
      <c r="V239" s="6" t="s">
        <v>5241</v>
      </c>
      <c r="W239" s="6" t="s">
        <v>3811</v>
      </c>
      <c r="X239" s="6" t="s">
        <v>77</v>
      </c>
      <c r="Y239" s="6" t="s">
        <v>3192</v>
      </c>
      <c r="Z239" s="6" t="s">
        <v>3343</v>
      </c>
      <c r="AA239" s="6" t="s">
        <v>3501</v>
      </c>
      <c r="AB239" s="6"/>
      <c r="AC239" s="6" t="s">
        <v>3141</v>
      </c>
      <c r="AD239" s="6" t="s">
        <v>3152</v>
      </c>
      <c r="AE239" s="6" t="s">
        <v>3318</v>
      </c>
      <c r="AF239" s="6" t="s">
        <v>5242</v>
      </c>
      <c r="AG239" s="6" t="s">
        <v>5243</v>
      </c>
      <c r="AH239" s="6" t="s">
        <v>79</v>
      </c>
    </row>
    <row r="240" spans="1:34" x14ac:dyDescent="0.25">
      <c r="A240" s="6" t="s">
        <v>857</v>
      </c>
      <c r="B240" s="6" t="s">
        <v>858</v>
      </c>
      <c r="C240" s="6" t="s">
        <v>5244</v>
      </c>
      <c r="D240" s="6" t="s">
        <v>859</v>
      </c>
      <c r="E240" s="6" t="s">
        <v>4828</v>
      </c>
      <c r="F240" s="6" t="s">
        <v>3358</v>
      </c>
      <c r="G240" s="6" t="s">
        <v>72</v>
      </c>
      <c r="H240" s="6" t="s">
        <v>166</v>
      </c>
      <c r="I240" s="6" t="s">
        <v>74</v>
      </c>
      <c r="J240" s="6" t="s">
        <v>5245</v>
      </c>
      <c r="K240" s="6" t="s">
        <v>3141</v>
      </c>
      <c r="L240" s="6" t="s">
        <v>3243</v>
      </c>
      <c r="M240" s="6" t="s">
        <v>3160</v>
      </c>
      <c r="N240" s="6" t="s">
        <v>3160</v>
      </c>
      <c r="O240" s="6" t="s">
        <v>3243</v>
      </c>
      <c r="P240" s="6" t="s">
        <v>5246</v>
      </c>
      <c r="Q240" s="6" t="s">
        <v>3217</v>
      </c>
      <c r="R240" s="6" t="s">
        <v>5247</v>
      </c>
      <c r="S240" s="6" t="s">
        <v>22</v>
      </c>
      <c r="T240" s="6" t="s">
        <v>3217</v>
      </c>
      <c r="U240" s="6" t="s">
        <v>3292</v>
      </c>
      <c r="V240" s="6" t="s">
        <v>5248</v>
      </c>
      <c r="W240" s="6" t="s">
        <v>3316</v>
      </c>
      <c r="X240" s="6" t="s">
        <v>85</v>
      </c>
      <c r="Y240" s="6" t="s">
        <v>3159</v>
      </c>
      <c r="Z240" s="6" t="s">
        <v>93</v>
      </c>
      <c r="AA240" s="6" t="s">
        <v>5249</v>
      </c>
      <c r="AB240" s="6"/>
      <c r="AC240" s="6" t="s">
        <v>3159</v>
      </c>
      <c r="AD240" s="6" t="s">
        <v>75</v>
      </c>
      <c r="AE240" s="6" t="s">
        <v>3279</v>
      </c>
      <c r="AF240" s="6" t="s">
        <v>5250</v>
      </c>
      <c r="AG240" s="6" t="s">
        <v>5251</v>
      </c>
      <c r="AH240" s="6" t="s">
        <v>79</v>
      </c>
    </row>
    <row r="241" spans="1:34" x14ac:dyDescent="0.25">
      <c r="A241" s="6" t="s">
        <v>860</v>
      </c>
      <c r="B241" s="6" t="s">
        <v>861</v>
      </c>
      <c r="C241" s="6"/>
      <c r="D241" s="6" t="s">
        <v>5252</v>
      </c>
      <c r="E241" s="6" t="s">
        <v>4687</v>
      </c>
      <c r="F241" s="6" t="s">
        <v>3283</v>
      </c>
      <c r="G241" s="6" t="s">
        <v>153</v>
      </c>
      <c r="H241" s="6" t="s">
        <v>132</v>
      </c>
      <c r="I241" s="6" t="s">
        <v>92</v>
      </c>
      <c r="J241" s="6" t="s">
        <v>5253</v>
      </c>
      <c r="K241" s="6" t="s">
        <v>3140</v>
      </c>
      <c r="L241" s="6" t="s">
        <v>3243</v>
      </c>
      <c r="M241" s="6" t="s">
        <v>3142</v>
      </c>
      <c r="N241" s="6" t="s">
        <v>3196</v>
      </c>
      <c r="O241" s="6" t="s">
        <v>3160</v>
      </c>
      <c r="P241" s="6" t="s">
        <v>5254</v>
      </c>
      <c r="Q241" s="6" t="s">
        <v>5255</v>
      </c>
      <c r="R241" s="6" t="s">
        <v>5256</v>
      </c>
      <c r="S241" s="6" t="s">
        <v>3412</v>
      </c>
      <c r="T241" s="6" t="s">
        <v>5257</v>
      </c>
      <c r="U241" s="6" t="s">
        <v>3141</v>
      </c>
      <c r="V241" s="6" t="s">
        <v>4365</v>
      </c>
      <c r="W241" s="6" t="s">
        <v>3965</v>
      </c>
      <c r="X241" s="6" t="s">
        <v>85</v>
      </c>
      <c r="Y241" s="6" t="s">
        <v>3140</v>
      </c>
      <c r="Z241" s="6" t="s">
        <v>93</v>
      </c>
      <c r="AA241" s="6" t="s">
        <v>5258</v>
      </c>
      <c r="AB241" s="6" t="s">
        <v>5259</v>
      </c>
      <c r="AC241" s="6" t="s">
        <v>3141</v>
      </c>
      <c r="AD241" s="6" t="s">
        <v>3243</v>
      </c>
      <c r="AE241" s="6" t="s">
        <v>3136</v>
      </c>
      <c r="AF241" s="6"/>
      <c r="AG241" s="6" t="s">
        <v>5260</v>
      </c>
      <c r="AH241" s="6" t="s">
        <v>3494</v>
      </c>
    </row>
    <row r="242" spans="1:34" x14ac:dyDescent="0.25">
      <c r="A242" s="6" t="s">
        <v>863</v>
      </c>
      <c r="B242" s="6" t="s">
        <v>864</v>
      </c>
      <c r="C242" s="6" t="s">
        <v>865</v>
      </c>
      <c r="D242" s="6" t="s">
        <v>866</v>
      </c>
      <c r="E242" s="6" t="s">
        <v>3843</v>
      </c>
      <c r="F242" s="6" t="s">
        <v>3214</v>
      </c>
      <c r="G242" s="6" t="s">
        <v>226</v>
      </c>
      <c r="H242" s="6" t="s">
        <v>91</v>
      </c>
      <c r="I242" s="6" t="s">
        <v>92</v>
      </c>
      <c r="J242" s="6" t="s">
        <v>3217</v>
      </c>
      <c r="K242" s="6" t="s">
        <v>3140</v>
      </c>
      <c r="L242" s="6" t="s">
        <v>3196</v>
      </c>
      <c r="M242" s="6" t="s">
        <v>3159</v>
      </c>
      <c r="N242" s="6" t="s">
        <v>3143</v>
      </c>
      <c r="O242" s="6" t="s">
        <v>3160</v>
      </c>
      <c r="P242" s="6" t="s">
        <v>5261</v>
      </c>
      <c r="Q242" s="6"/>
      <c r="R242" s="6" t="s">
        <v>5262</v>
      </c>
      <c r="S242" s="6" t="s">
        <v>21</v>
      </c>
      <c r="T242" s="6" t="s">
        <v>5263</v>
      </c>
      <c r="U242" s="6" t="s">
        <v>3141</v>
      </c>
      <c r="V242" s="6" t="s">
        <v>5264</v>
      </c>
      <c r="W242" s="6" t="s">
        <v>3541</v>
      </c>
      <c r="X242" s="6" t="s">
        <v>85</v>
      </c>
      <c r="Y242" s="6" t="s">
        <v>3141</v>
      </c>
      <c r="Z242" s="6" t="s">
        <v>93</v>
      </c>
      <c r="AA242" s="6" t="s">
        <v>3195</v>
      </c>
      <c r="AB242" s="6"/>
      <c r="AC242" s="6" t="s">
        <v>3141</v>
      </c>
      <c r="AD242" s="6" t="s">
        <v>3160</v>
      </c>
      <c r="AE242" s="6" t="s">
        <v>3235</v>
      </c>
      <c r="AF242" s="6"/>
      <c r="AG242" s="6" t="s">
        <v>5265</v>
      </c>
      <c r="AH242" s="6" t="s">
        <v>79</v>
      </c>
    </row>
    <row r="243" spans="1:34" x14ac:dyDescent="0.25">
      <c r="A243" s="6" t="s">
        <v>867</v>
      </c>
      <c r="B243" s="6" t="s">
        <v>5266</v>
      </c>
      <c r="C243" s="6" t="s">
        <v>869</v>
      </c>
      <c r="D243" s="6" t="s">
        <v>5267</v>
      </c>
      <c r="E243" s="6" t="s">
        <v>3617</v>
      </c>
      <c r="F243" s="6" t="s">
        <v>89</v>
      </c>
      <c r="G243" s="6" t="s">
        <v>215</v>
      </c>
      <c r="H243" s="6" t="s">
        <v>107</v>
      </c>
      <c r="I243" s="6" t="s">
        <v>92</v>
      </c>
      <c r="J243" s="6" t="s">
        <v>5268</v>
      </c>
      <c r="K243" s="6" t="s">
        <v>3141</v>
      </c>
      <c r="L243" s="6" t="s">
        <v>3152</v>
      </c>
      <c r="M243" s="6" t="s">
        <v>3152</v>
      </c>
      <c r="N243" s="6" t="s">
        <v>3243</v>
      </c>
      <c r="O243" s="6" t="s">
        <v>3141</v>
      </c>
      <c r="P243" s="6" t="s">
        <v>5269</v>
      </c>
      <c r="Q243" s="6" t="s">
        <v>5270</v>
      </c>
      <c r="R243" s="6" t="s">
        <v>5271</v>
      </c>
      <c r="S243" s="6" t="s">
        <v>21</v>
      </c>
      <c r="T243" s="6" t="s">
        <v>5272</v>
      </c>
      <c r="U243" s="6" t="s">
        <v>3140</v>
      </c>
      <c r="V243" s="6" t="s">
        <v>5273</v>
      </c>
      <c r="W243" s="6" t="s">
        <v>3221</v>
      </c>
      <c r="X243" s="6" t="s">
        <v>77</v>
      </c>
      <c r="Y243" s="6" t="s">
        <v>3141</v>
      </c>
      <c r="Z243" s="6" t="s">
        <v>78</v>
      </c>
      <c r="AA243" s="6" t="s">
        <v>3755</v>
      </c>
      <c r="AB243" s="6"/>
      <c r="AC243" s="6" t="s">
        <v>3292</v>
      </c>
      <c r="AD243" s="6" t="s">
        <v>3160</v>
      </c>
      <c r="AE243" s="6" t="s">
        <v>3293</v>
      </c>
      <c r="AF243" s="6"/>
      <c r="AG243" s="6" t="s">
        <v>5274</v>
      </c>
      <c r="AH243" s="6" t="s">
        <v>79</v>
      </c>
    </row>
    <row r="244" spans="1:34" x14ac:dyDescent="0.25">
      <c r="A244" s="6" t="s">
        <v>871</v>
      </c>
      <c r="B244" s="6" t="s">
        <v>872</v>
      </c>
      <c r="C244" s="6" t="s">
        <v>5275</v>
      </c>
      <c r="D244" s="6" t="s">
        <v>873</v>
      </c>
      <c r="E244" s="6" t="s">
        <v>3703</v>
      </c>
      <c r="F244" s="6" t="s">
        <v>3358</v>
      </c>
      <c r="G244" s="6" t="s">
        <v>139</v>
      </c>
      <c r="H244" s="6" t="s">
        <v>103</v>
      </c>
      <c r="I244" s="6" t="s">
        <v>74</v>
      </c>
      <c r="J244" s="6" t="s">
        <v>5276</v>
      </c>
      <c r="K244" s="6" t="s">
        <v>3141</v>
      </c>
      <c r="L244" s="6" t="s">
        <v>3152</v>
      </c>
      <c r="M244" s="6" t="s">
        <v>3243</v>
      </c>
      <c r="N244" s="6" t="s">
        <v>3160</v>
      </c>
      <c r="O244" s="6" t="s">
        <v>75</v>
      </c>
      <c r="P244" s="6"/>
      <c r="Q244" s="6"/>
      <c r="R244" s="6" t="s">
        <v>5277</v>
      </c>
      <c r="S244" s="6" t="s">
        <v>20</v>
      </c>
      <c r="T244" s="6"/>
      <c r="U244" s="6" t="s">
        <v>3141</v>
      </c>
      <c r="V244" s="6" t="s">
        <v>5278</v>
      </c>
      <c r="W244" s="6" t="s">
        <v>4675</v>
      </c>
      <c r="X244" s="6" t="s">
        <v>3918</v>
      </c>
      <c r="Y244" s="6" t="s">
        <v>3141</v>
      </c>
      <c r="Z244" s="6" t="s">
        <v>93</v>
      </c>
      <c r="AA244" s="6" t="s">
        <v>4176</v>
      </c>
      <c r="AB244" s="6" t="s">
        <v>5279</v>
      </c>
      <c r="AC244" s="6" t="s">
        <v>3141</v>
      </c>
      <c r="AD244" s="6" t="s">
        <v>3243</v>
      </c>
      <c r="AE244" s="6" t="s">
        <v>3235</v>
      </c>
      <c r="AF244" s="6"/>
      <c r="AG244" s="6" t="s">
        <v>4178</v>
      </c>
      <c r="AH244" s="6" t="s">
        <v>79</v>
      </c>
    </row>
    <row r="245" spans="1:34" x14ac:dyDescent="0.25">
      <c r="A245" s="6" t="s">
        <v>874</v>
      </c>
      <c r="B245" s="6" t="s">
        <v>875</v>
      </c>
      <c r="C245" s="6" t="s">
        <v>5280</v>
      </c>
      <c r="D245" s="6" t="s">
        <v>5281</v>
      </c>
      <c r="E245" s="6" t="s">
        <v>3647</v>
      </c>
      <c r="F245" s="6" t="s">
        <v>89</v>
      </c>
      <c r="G245" s="6" t="s">
        <v>417</v>
      </c>
      <c r="H245" s="6" t="s">
        <v>3241</v>
      </c>
      <c r="I245" s="6" t="s">
        <v>92</v>
      </c>
      <c r="J245" s="6" t="s">
        <v>5282</v>
      </c>
      <c r="K245" s="6" t="s">
        <v>3141</v>
      </c>
      <c r="L245" s="6" t="s">
        <v>3141</v>
      </c>
      <c r="M245" s="6" t="s">
        <v>3143</v>
      </c>
      <c r="N245" s="6" t="s">
        <v>3243</v>
      </c>
      <c r="O245" s="6" t="s">
        <v>3141</v>
      </c>
      <c r="P245" s="6" t="s">
        <v>5283</v>
      </c>
      <c r="Q245" s="6" t="s">
        <v>5284</v>
      </c>
      <c r="R245" s="6" t="s">
        <v>5285</v>
      </c>
      <c r="S245" s="6" t="s">
        <v>22</v>
      </c>
      <c r="T245" s="6" t="s">
        <v>5286</v>
      </c>
      <c r="U245" s="6" t="s">
        <v>3141</v>
      </c>
      <c r="V245" s="6" t="s">
        <v>4889</v>
      </c>
      <c r="W245" s="6" t="s">
        <v>3233</v>
      </c>
      <c r="X245" s="6" t="s">
        <v>85</v>
      </c>
      <c r="Y245" s="6" t="s">
        <v>3141</v>
      </c>
      <c r="Z245" s="6" t="s">
        <v>3329</v>
      </c>
      <c r="AA245" s="6" t="s">
        <v>3291</v>
      </c>
      <c r="AB245" s="6"/>
      <c r="AC245" s="6" t="s">
        <v>3159</v>
      </c>
      <c r="AD245" s="6" t="s">
        <v>3152</v>
      </c>
      <c r="AE245" s="6" t="s">
        <v>3622</v>
      </c>
      <c r="AF245" s="6" t="s">
        <v>5287</v>
      </c>
      <c r="AG245" s="6" t="s">
        <v>5288</v>
      </c>
      <c r="AH245" s="6" t="s">
        <v>79</v>
      </c>
    </row>
    <row r="246" spans="1:34" x14ac:dyDescent="0.25">
      <c r="A246" s="6" t="s">
        <v>877</v>
      </c>
      <c r="B246" s="6" t="s">
        <v>878</v>
      </c>
      <c r="C246" s="6" t="s">
        <v>5289</v>
      </c>
      <c r="D246" s="6" t="s">
        <v>879</v>
      </c>
      <c r="E246" s="6" t="s">
        <v>3432</v>
      </c>
      <c r="F246" s="6" t="s">
        <v>3358</v>
      </c>
      <c r="G246" s="6" t="s">
        <v>115</v>
      </c>
      <c r="H246" s="6" t="s">
        <v>144</v>
      </c>
      <c r="I246" s="6" t="s">
        <v>92</v>
      </c>
      <c r="J246" s="6" t="s">
        <v>5290</v>
      </c>
      <c r="K246" s="6" t="s">
        <v>3292</v>
      </c>
      <c r="L246" s="6" t="s">
        <v>3159</v>
      </c>
      <c r="M246" s="6" t="s">
        <v>3152</v>
      </c>
      <c r="N246" s="6" t="s">
        <v>3159</v>
      </c>
      <c r="O246" s="6" t="s">
        <v>3159</v>
      </c>
      <c r="P246" s="6" t="s">
        <v>5291</v>
      </c>
      <c r="Q246" s="6" t="s">
        <v>5292</v>
      </c>
      <c r="R246" s="6" t="s">
        <v>5293</v>
      </c>
      <c r="S246" s="6" t="s">
        <v>23</v>
      </c>
      <c r="T246" s="6" t="s">
        <v>5294</v>
      </c>
      <c r="U246" s="6" t="s">
        <v>3292</v>
      </c>
      <c r="V246" s="6" t="s">
        <v>5295</v>
      </c>
      <c r="W246" s="6" t="s">
        <v>3729</v>
      </c>
      <c r="X246" s="6" t="s">
        <v>85</v>
      </c>
      <c r="Y246" s="6" t="s">
        <v>3292</v>
      </c>
      <c r="Z246" s="6" t="s">
        <v>78</v>
      </c>
      <c r="AA246" s="6" t="s">
        <v>4049</v>
      </c>
      <c r="AB246" s="6"/>
      <c r="AC246" s="6" t="s">
        <v>3140</v>
      </c>
      <c r="AD246" s="6" t="s">
        <v>3243</v>
      </c>
      <c r="AE246" s="6" t="s">
        <v>3153</v>
      </c>
      <c r="AF246" s="6" t="s">
        <v>5296</v>
      </c>
      <c r="AG246" s="6" t="s">
        <v>5297</v>
      </c>
      <c r="AH246" s="6" t="s">
        <v>79</v>
      </c>
    </row>
    <row r="247" spans="1:34" x14ac:dyDescent="0.25">
      <c r="A247" s="6" t="s">
        <v>880</v>
      </c>
      <c r="B247" s="6" t="s">
        <v>881</v>
      </c>
      <c r="C247" s="6" t="s">
        <v>5298</v>
      </c>
      <c r="D247" s="6" t="s">
        <v>5299</v>
      </c>
      <c r="E247" s="6" t="s">
        <v>3357</v>
      </c>
      <c r="F247" s="6" t="s">
        <v>3283</v>
      </c>
      <c r="G247" s="6" t="s">
        <v>174</v>
      </c>
      <c r="H247" s="6" t="s">
        <v>132</v>
      </c>
      <c r="I247" s="6" t="s">
        <v>92</v>
      </c>
      <c r="J247" s="6" t="s">
        <v>5300</v>
      </c>
      <c r="K247" s="6" t="s">
        <v>3140</v>
      </c>
      <c r="L247" s="6" t="s">
        <v>75</v>
      </c>
      <c r="M247" s="6" t="s">
        <v>3152</v>
      </c>
      <c r="N247" s="6" t="s">
        <v>3196</v>
      </c>
      <c r="O247" s="6" t="s">
        <v>76</v>
      </c>
      <c r="P247" s="6" t="s">
        <v>3244</v>
      </c>
      <c r="Q247" s="6" t="s">
        <v>5301</v>
      </c>
      <c r="R247" s="6" t="s">
        <v>5302</v>
      </c>
      <c r="S247" s="6" t="s">
        <v>23</v>
      </c>
      <c r="T247" s="6" t="s">
        <v>5303</v>
      </c>
      <c r="U247" s="6" t="s">
        <v>3141</v>
      </c>
      <c r="V247" s="6" t="s">
        <v>3829</v>
      </c>
      <c r="W247" s="6" t="s">
        <v>3598</v>
      </c>
      <c r="X247" s="6" t="s">
        <v>85</v>
      </c>
      <c r="Y247" s="6" t="s">
        <v>3141</v>
      </c>
      <c r="Z247" s="6" t="s">
        <v>93</v>
      </c>
      <c r="AA247" s="6" t="s">
        <v>3250</v>
      </c>
      <c r="AB247" s="6"/>
      <c r="AC247" s="6" t="s">
        <v>3141</v>
      </c>
      <c r="AD247" s="6" t="s">
        <v>3188</v>
      </c>
      <c r="AE247" s="6" t="s">
        <v>3153</v>
      </c>
      <c r="AF247" s="6" t="s">
        <v>5304</v>
      </c>
      <c r="AG247" s="6" t="s">
        <v>5305</v>
      </c>
      <c r="AH247" s="6" t="s">
        <v>79</v>
      </c>
    </row>
    <row r="248" spans="1:34" x14ac:dyDescent="0.25">
      <c r="A248" s="6" t="s">
        <v>883</v>
      </c>
      <c r="B248" s="6" t="s">
        <v>884</v>
      </c>
      <c r="C248" s="6" t="s">
        <v>5306</v>
      </c>
      <c r="D248" s="6" t="s">
        <v>885</v>
      </c>
      <c r="E248" s="6" t="s">
        <v>3677</v>
      </c>
      <c r="F248" s="6" t="s">
        <v>89</v>
      </c>
      <c r="G248" s="6" t="s">
        <v>83</v>
      </c>
      <c r="H248" s="6" t="s">
        <v>73</v>
      </c>
      <c r="I248" s="6" t="s">
        <v>74</v>
      </c>
      <c r="J248" s="6" t="s">
        <v>5307</v>
      </c>
      <c r="K248" s="6" t="s">
        <v>3159</v>
      </c>
      <c r="L248" s="6" t="s">
        <v>3141</v>
      </c>
      <c r="M248" s="6" t="s">
        <v>3160</v>
      </c>
      <c r="N248" s="6" t="s">
        <v>76</v>
      </c>
      <c r="O248" s="6" t="s">
        <v>75</v>
      </c>
      <c r="P248" s="6" t="s">
        <v>4387</v>
      </c>
      <c r="Q248" s="6" t="s">
        <v>5308</v>
      </c>
      <c r="R248" s="6" t="s">
        <v>5309</v>
      </c>
      <c r="S248" s="6" t="s">
        <v>21</v>
      </c>
      <c r="T248" s="6" t="s">
        <v>5310</v>
      </c>
      <c r="U248" s="6" t="s">
        <v>3394</v>
      </c>
      <c r="V248" s="6" t="s">
        <v>5311</v>
      </c>
      <c r="W248" s="6" t="s">
        <v>3862</v>
      </c>
      <c r="X248" s="6" t="s">
        <v>77</v>
      </c>
      <c r="Y248" s="6" t="s">
        <v>3140</v>
      </c>
      <c r="Z248" s="6" t="s">
        <v>78</v>
      </c>
      <c r="AA248" s="6" t="s">
        <v>3550</v>
      </c>
      <c r="AB248" s="6"/>
      <c r="AC248" s="6" t="s">
        <v>3141</v>
      </c>
      <c r="AD248" s="6" t="s">
        <v>3152</v>
      </c>
      <c r="AE248" s="6" t="s">
        <v>3323</v>
      </c>
      <c r="AF248" s="6"/>
      <c r="AG248" s="6" t="s">
        <v>3720</v>
      </c>
      <c r="AH248" s="6" t="s">
        <v>79</v>
      </c>
    </row>
    <row r="249" spans="1:34" x14ac:dyDescent="0.25">
      <c r="A249" s="6" t="s">
        <v>886</v>
      </c>
      <c r="B249" s="6" t="s">
        <v>887</v>
      </c>
      <c r="C249" s="6" t="s">
        <v>5312</v>
      </c>
      <c r="D249" s="6" t="s">
        <v>888</v>
      </c>
      <c r="E249" s="6" t="s">
        <v>3282</v>
      </c>
      <c r="F249" s="6" t="s">
        <v>89</v>
      </c>
      <c r="G249" s="6" t="s">
        <v>5313</v>
      </c>
      <c r="H249" s="6" t="s">
        <v>103</v>
      </c>
      <c r="I249" s="6" t="s">
        <v>74</v>
      </c>
      <c r="J249" s="6" t="s">
        <v>5314</v>
      </c>
      <c r="K249" s="6" t="s">
        <v>3159</v>
      </c>
      <c r="L249" s="6" t="s">
        <v>3243</v>
      </c>
      <c r="M249" s="6" t="s">
        <v>3143</v>
      </c>
      <c r="N249" s="6" t="s">
        <v>3159</v>
      </c>
      <c r="O249" s="6" t="s">
        <v>3243</v>
      </c>
      <c r="P249" s="6" t="s">
        <v>5315</v>
      </c>
      <c r="Q249" s="6" t="s">
        <v>5316</v>
      </c>
      <c r="R249" s="6" t="s">
        <v>5317</v>
      </c>
      <c r="S249" s="6" t="s">
        <v>23</v>
      </c>
      <c r="T249" s="6" t="s">
        <v>5318</v>
      </c>
      <c r="U249" s="6" t="s">
        <v>3141</v>
      </c>
      <c r="V249" s="6" t="s">
        <v>5319</v>
      </c>
      <c r="W249" s="6" t="s">
        <v>3873</v>
      </c>
      <c r="X249" s="6" t="s">
        <v>3290</v>
      </c>
      <c r="Y249" s="6" t="s">
        <v>3159</v>
      </c>
      <c r="Z249" s="6" t="s">
        <v>93</v>
      </c>
      <c r="AA249" s="6" t="s">
        <v>5320</v>
      </c>
      <c r="AB249" s="6" t="s">
        <v>5321</v>
      </c>
      <c r="AC249" s="6" t="s">
        <v>3141</v>
      </c>
      <c r="AD249" s="6" t="s">
        <v>3160</v>
      </c>
      <c r="AE249" s="6" t="s">
        <v>3331</v>
      </c>
      <c r="AF249" s="6" t="s">
        <v>5322</v>
      </c>
      <c r="AG249" s="6" t="s">
        <v>5323</v>
      </c>
      <c r="AH249" s="6" t="s">
        <v>94</v>
      </c>
    </row>
    <row r="250" spans="1:34" x14ac:dyDescent="0.25">
      <c r="A250" s="6" t="s">
        <v>889</v>
      </c>
      <c r="B250" s="6" t="s">
        <v>890</v>
      </c>
      <c r="C250" s="6" t="s">
        <v>5324</v>
      </c>
      <c r="D250" s="6" t="s">
        <v>891</v>
      </c>
      <c r="E250" s="6" t="s">
        <v>3636</v>
      </c>
      <c r="F250" s="6" t="s">
        <v>3137</v>
      </c>
      <c r="G250" s="6" t="s">
        <v>72</v>
      </c>
      <c r="H250" s="6" t="s">
        <v>166</v>
      </c>
      <c r="I250" s="6" t="s">
        <v>74</v>
      </c>
      <c r="J250" s="6" t="s">
        <v>5325</v>
      </c>
      <c r="K250" s="6" t="s">
        <v>3292</v>
      </c>
      <c r="L250" s="6" t="s">
        <v>76</v>
      </c>
      <c r="M250" s="6" t="s">
        <v>3142</v>
      </c>
      <c r="N250" s="6" t="s">
        <v>3188</v>
      </c>
      <c r="O250" s="6" t="s">
        <v>3152</v>
      </c>
      <c r="P250" s="6" t="s">
        <v>5326</v>
      </c>
      <c r="Q250" s="6"/>
      <c r="R250" s="6" t="s">
        <v>5327</v>
      </c>
      <c r="S250" s="6" t="s">
        <v>20</v>
      </c>
      <c r="T250" s="6"/>
      <c r="U250" s="6" t="s">
        <v>3192</v>
      </c>
      <c r="V250" s="6" t="s">
        <v>5328</v>
      </c>
      <c r="W250" s="6" t="s">
        <v>3439</v>
      </c>
      <c r="X250" s="6" t="s">
        <v>77</v>
      </c>
      <c r="Y250" s="6" t="s">
        <v>3292</v>
      </c>
      <c r="Z250" s="6" t="s">
        <v>78</v>
      </c>
      <c r="AA250" s="6" t="s">
        <v>4675</v>
      </c>
      <c r="AB250" s="6"/>
      <c r="AC250" s="6" t="s">
        <v>3141</v>
      </c>
      <c r="AD250" s="6" t="s">
        <v>3141</v>
      </c>
      <c r="AE250" s="6" t="s">
        <v>3136</v>
      </c>
      <c r="AF250" s="6"/>
      <c r="AG250" s="6" t="s">
        <v>5329</v>
      </c>
      <c r="AH250" s="6" t="s">
        <v>79</v>
      </c>
    </row>
    <row r="251" spans="1:34" x14ac:dyDescent="0.25">
      <c r="A251" s="6" t="s">
        <v>892</v>
      </c>
      <c r="B251" s="6" t="s">
        <v>146</v>
      </c>
      <c r="C251" s="6" t="s">
        <v>5330</v>
      </c>
      <c r="D251" s="6" t="s">
        <v>893</v>
      </c>
      <c r="E251" s="6" t="s">
        <v>3722</v>
      </c>
      <c r="F251" s="6" t="s">
        <v>71</v>
      </c>
      <c r="G251" s="6" t="s">
        <v>5331</v>
      </c>
      <c r="H251" s="6" t="s">
        <v>166</v>
      </c>
      <c r="I251" s="6" t="s">
        <v>74</v>
      </c>
      <c r="J251" s="6" t="s">
        <v>5332</v>
      </c>
      <c r="K251" s="6" t="s">
        <v>3141</v>
      </c>
      <c r="L251" s="6" t="s">
        <v>3143</v>
      </c>
      <c r="M251" s="6" t="s">
        <v>3152</v>
      </c>
      <c r="N251" s="6" t="s">
        <v>3141</v>
      </c>
      <c r="O251" s="6" t="s">
        <v>3160</v>
      </c>
      <c r="P251" s="6" t="s">
        <v>5333</v>
      </c>
      <c r="Q251" s="6" t="s">
        <v>5334</v>
      </c>
      <c r="R251" s="6" t="s">
        <v>5335</v>
      </c>
      <c r="S251" s="6" t="s">
        <v>22</v>
      </c>
      <c r="T251" s="6" t="s">
        <v>5336</v>
      </c>
      <c r="U251" s="6" t="s">
        <v>3141</v>
      </c>
      <c r="V251" s="6" t="s">
        <v>5337</v>
      </c>
      <c r="W251" s="6" t="s">
        <v>3166</v>
      </c>
      <c r="X251" s="6" t="s">
        <v>85</v>
      </c>
      <c r="Y251" s="6" t="s">
        <v>3292</v>
      </c>
      <c r="Z251" s="6" t="s">
        <v>93</v>
      </c>
      <c r="AA251" s="6" t="s">
        <v>3588</v>
      </c>
      <c r="AB251" s="6" t="s">
        <v>5338</v>
      </c>
      <c r="AC251" s="6" t="s">
        <v>3141</v>
      </c>
      <c r="AD251" s="6" t="s">
        <v>75</v>
      </c>
      <c r="AE251" s="6" t="s">
        <v>3210</v>
      </c>
      <c r="AF251" s="6" t="s">
        <v>5339</v>
      </c>
      <c r="AG251" s="6" t="s">
        <v>5340</v>
      </c>
      <c r="AH251" s="6" t="s">
        <v>79</v>
      </c>
    </row>
    <row r="252" spans="1:34" x14ac:dyDescent="0.25">
      <c r="A252" s="6" t="s">
        <v>894</v>
      </c>
      <c r="B252" s="6" t="s">
        <v>895</v>
      </c>
      <c r="C252" s="6" t="s">
        <v>896</v>
      </c>
      <c r="D252" s="6" t="s">
        <v>5341</v>
      </c>
      <c r="E252" s="6" t="s">
        <v>3432</v>
      </c>
      <c r="F252" s="6" t="s">
        <v>3283</v>
      </c>
      <c r="G252" s="6" t="s">
        <v>120</v>
      </c>
      <c r="H252" s="6" t="s">
        <v>132</v>
      </c>
      <c r="I252" s="6" t="s">
        <v>92</v>
      </c>
      <c r="J252" s="6" t="s">
        <v>3217</v>
      </c>
      <c r="K252" s="6" t="s">
        <v>3159</v>
      </c>
      <c r="L252" s="6" t="s">
        <v>76</v>
      </c>
      <c r="M252" s="6" t="s">
        <v>3243</v>
      </c>
      <c r="N252" s="6" t="s">
        <v>3143</v>
      </c>
      <c r="O252" s="6" t="s">
        <v>3143</v>
      </c>
      <c r="P252" s="6" t="s">
        <v>5342</v>
      </c>
      <c r="Q252" s="6" t="s">
        <v>5343</v>
      </c>
      <c r="R252" s="6" t="s">
        <v>5344</v>
      </c>
      <c r="S252" s="6" t="s">
        <v>20</v>
      </c>
      <c r="T252" s="6" t="s">
        <v>5345</v>
      </c>
      <c r="U252" s="6" t="s">
        <v>3140</v>
      </c>
      <c r="V252" s="6" t="s">
        <v>5346</v>
      </c>
      <c r="W252" s="6" t="s">
        <v>3501</v>
      </c>
      <c r="X252" s="6" t="s">
        <v>77</v>
      </c>
      <c r="Y252" s="6" t="s">
        <v>3141</v>
      </c>
      <c r="Z252" s="6" t="s">
        <v>78</v>
      </c>
      <c r="AA252" s="6" t="s">
        <v>4335</v>
      </c>
      <c r="AB252" s="6"/>
      <c r="AC252" s="6" t="s">
        <v>3140</v>
      </c>
      <c r="AD252" s="6" t="s">
        <v>3152</v>
      </c>
      <c r="AE252" s="6" t="s">
        <v>3136</v>
      </c>
      <c r="AF252" s="6"/>
      <c r="AG252" s="6" t="s">
        <v>5347</v>
      </c>
      <c r="AH252" s="6" t="s">
        <v>79</v>
      </c>
    </row>
    <row r="253" spans="1:34" x14ac:dyDescent="0.25">
      <c r="A253" s="6" t="s">
        <v>898</v>
      </c>
      <c r="B253" s="6" t="s">
        <v>899</v>
      </c>
      <c r="C253" s="6" t="s">
        <v>900</v>
      </c>
      <c r="D253" s="6" t="s">
        <v>901</v>
      </c>
      <c r="E253" s="6" t="s">
        <v>3703</v>
      </c>
      <c r="F253" s="6" t="s">
        <v>3201</v>
      </c>
      <c r="G253" s="6" t="s">
        <v>90</v>
      </c>
      <c r="H253" s="6" t="s">
        <v>5348</v>
      </c>
      <c r="I253" s="6" t="s">
        <v>74</v>
      </c>
      <c r="J253" s="6"/>
      <c r="K253" s="6" t="s">
        <v>3159</v>
      </c>
      <c r="L253" s="6" t="s">
        <v>76</v>
      </c>
      <c r="M253" s="6" t="s">
        <v>3141</v>
      </c>
      <c r="N253" s="6" t="s">
        <v>3160</v>
      </c>
      <c r="O253" s="6" t="s">
        <v>3243</v>
      </c>
      <c r="P253" s="6" t="s">
        <v>3742</v>
      </c>
      <c r="Q253" s="6" t="s">
        <v>5349</v>
      </c>
      <c r="R253" s="6" t="s">
        <v>5350</v>
      </c>
      <c r="S253" s="6" t="s">
        <v>21</v>
      </c>
      <c r="T253" s="6"/>
      <c r="U253" s="6" t="s">
        <v>3141</v>
      </c>
      <c r="V253" s="6" t="s">
        <v>3489</v>
      </c>
      <c r="W253" s="6" t="s">
        <v>4067</v>
      </c>
      <c r="X253" s="6" t="s">
        <v>85</v>
      </c>
      <c r="Y253" s="6" t="s">
        <v>3159</v>
      </c>
      <c r="Z253" s="6" t="s">
        <v>3343</v>
      </c>
      <c r="AA253" s="6" t="s">
        <v>4398</v>
      </c>
      <c r="AB253" s="6"/>
      <c r="AC253" s="6" t="s">
        <v>3140</v>
      </c>
      <c r="AD253" s="6" t="s">
        <v>3160</v>
      </c>
      <c r="AE253" s="6" t="s">
        <v>3136</v>
      </c>
      <c r="AF253" s="6"/>
      <c r="AG253" s="6" t="s">
        <v>5351</v>
      </c>
      <c r="AH253" s="6" t="s">
        <v>79</v>
      </c>
    </row>
    <row r="254" spans="1:34" x14ac:dyDescent="0.25">
      <c r="A254" s="6" t="s">
        <v>902</v>
      </c>
      <c r="B254" s="6" t="s">
        <v>903</v>
      </c>
      <c r="C254" s="6"/>
      <c r="D254" s="6" t="s">
        <v>5352</v>
      </c>
      <c r="E254" s="6" t="s">
        <v>3636</v>
      </c>
      <c r="F254" s="6" t="s">
        <v>3283</v>
      </c>
      <c r="G254" s="6" t="s">
        <v>120</v>
      </c>
      <c r="H254" s="6" t="s">
        <v>107</v>
      </c>
      <c r="I254" s="6" t="s">
        <v>92</v>
      </c>
      <c r="J254" s="6" t="s">
        <v>5353</v>
      </c>
      <c r="K254" s="6" t="s">
        <v>3140</v>
      </c>
      <c r="L254" s="6" t="s">
        <v>3143</v>
      </c>
      <c r="M254" s="6" t="s">
        <v>3152</v>
      </c>
      <c r="N254" s="6" t="s">
        <v>3188</v>
      </c>
      <c r="O254" s="6" t="s">
        <v>3159</v>
      </c>
      <c r="P254" s="6" t="s">
        <v>5354</v>
      </c>
      <c r="Q254" s="6" t="s">
        <v>5355</v>
      </c>
      <c r="R254" s="6" t="s">
        <v>5356</v>
      </c>
      <c r="S254" s="6" t="s">
        <v>20</v>
      </c>
      <c r="T254" s="6"/>
      <c r="U254" s="6" t="s">
        <v>3141</v>
      </c>
      <c r="V254" s="6" t="s">
        <v>5357</v>
      </c>
      <c r="W254" s="6" t="s">
        <v>3603</v>
      </c>
      <c r="X254" s="6" t="s">
        <v>85</v>
      </c>
      <c r="Y254" s="6" t="s">
        <v>3140</v>
      </c>
      <c r="Z254" s="6" t="s">
        <v>78</v>
      </c>
      <c r="AA254" s="6" t="s">
        <v>4684</v>
      </c>
      <c r="AB254" s="6"/>
      <c r="AC254" s="6" t="s">
        <v>3141</v>
      </c>
      <c r="AD254" s="6" t="s">
        <v>3160</v>
      </c>
      <c r="AE254" s="6" t="s">
        <v>3293</v>
      </c>
      <c r="AF254" s="6"/>
      <c r="AG254" s="6" t="s">
        <v>5358</v>
      </c>
      <c r="AH254" s="6" t="s">
        <v>79</v>
      </c>
    </row>
    <row r="255" spans="1:34" x14ac:dyDescent="0.25">
      <c r="A255" s="6" t="s">
        <v>905</v>
      </c>
      <c r="B255" s="6" t="s">
        <v>906</v>
      </c>
      <c r="C255" s="6" t="s">
        <v>5359</v>
      </c>
      <c r="D255" s="6" t="s">
        <v>5360</v>
      </c>
      <c r="E255" s="6" t="s">
        <v>3843</v>
      </c>
      <c r="F255" s="6" t="s">
        <v>89</v>
      </c>
      <c r="G255" s="6" t="s">
        <v>153</v>
      </c>
      <c r="H255" s="6" t="s">
        <v>107</v>
      </c>
      <c r="I255" s="6" t="s">
        <v>92</v>
      </c>
      <c r="J255" s="6" t="s">
        <v>5361</v>
      </c>
      <c r="K255" s="6" t="s">
        <v>3141</v>
      </c>
      <c r="L255" s="6" t="s">
        <v>3243</v>
      </c>
      <c r="M255" s="6" t="s">
        <v>3152</v>
      </c>
      <c r="N255" s="6" t="s">
        <v>3141</v>
      </c>
      <c r="O255" s="6" t="s">
        <v>3160</v>
      </c>
      <c r="P255" s="6" t="s">
        <v>5362</v>
      </c>
      <c r="Q255" s="6" t="s">
        <v>5363</v>
      </c>
      <c r="R255" s="6" t="s">
        <v>5364</v>
      </c>
      <c r="S255" s="6" t="s">
        <v>21</v>
      </c>
      <c r="T255" s="6" t="s">
        <v>3217</v>
      </c>
      <c r="U255" s="6" t="s">
        <v>3141</v>
      </c>
      <c r="V255" s="6" t="s">
        <v>5365</v>
      </c>
      <c r="W255" s="6" t="s">
        <v>3222</v>
      </c>
      <c r="X255" s="6" t="s">
        <v>77</v>
      </c>
      <c r="Y255" s="6" t="s">
        <v>3141</v>
      </c>
      <c r="Z255" s="6" t="s">
        <v>93</v>
      </c>
      <c r="AA255" s="6" t="s">
        <v>3195</v>
      </c>
      <c r="AB255" s="6"/>
      <c r="AC255" s="6" t="s">
        <v>3141</v>
      </c>
      <c r="AD255" s="6" t="s">
        <v>3141</v>
      </c>
      <c r="AE255" s="6" t="s">
        <v>3323</v>
      </c>
      <c r="AF255" s="6"/>
      <c r="AG255" s="6" t="s">
        <v>5366</v>
      </c>
      <c r="AH255" s="6" t="s">
        <v>79</v>
      </c>
    </row>
    <row r="256" spans="1:34" x14ac:dyDescent="0.25">
      <c r="A256" s="6" t="s">
        <v>908</v>
      </c>
      <c r="B256" s="6" t="s">
        <v>909</v>
      </c>
      <c r="C256" s="6" t="s">
        <v>5367</v>
      </c>
      <c r="D256" s="6" t="s">
        <v>910</v>
      </c>
      <c r="E256" s="6" t="s">
        <v>3213</v>
      </c>
      <c r="F256" s="6" t="s">
        <v>89</v>
      </c>
      <c r="G256" s="6" t="s">
        <v>314</v>
      </c>
      <c r="H256" s="6" t="s">
        <v>5368</v>
      </c>
      <c r="I256" s="6" t="s">
        <v>74</v>
      </c>
      <c r="J256" s="6" t="s">
        <v>5369</v>
      </c>
      <c r="K256" s="6" t="s">
        <v>3159</v>
      </c>
      <c r="L256" s="6" t="s">
        <v>3243</v>
      </c>
      <c r="M256" s="6" t="s">
        <v>3152</v>
      </c>
      <c r="N256" s="6" t="s">
        <v>3196</v>
      </c>
      <c r="O256" s="6" t="s">
        <v>3143</v>
      </c>
      <c r="P256" s="6" t="s">
        <v>4055</v>
      </c>
      <c r="Q256" s="6" t="s">
        <v>5370</v>
      </c>
      <c r="R256" s="6" t="s">
        <v>5371</v>
      </c>
      <c r="S256" s="6" t="s">
        <v>21</v>
      </c>
      <c r="T256" s="6" t="s">
        <v>5372</v>
      </c>
      <c r="U256" s="6" t="s">
        <v>3141</v>
      </c>
      <c r="V256" s="6" t="s">
        <v>5373</v>
      </c>
      <c r="W256" s="6" t="s">
        <v>3354</v>
      </c>
      <c r="X256" s="6" t="s">
        <v>85</v>
      </c>
      <c r="Y256" s="6" t="s">
        <v>3159</v>
      </c>
      <c r="Z256" s="6" t="s">
        <v>194</v>
      </c>
      <c r="AA256" s="6" t="s">
        <v>4643</v>
      </c>
      <c r="AB256" s="6" t="s">
        <v>5374</v>
      </c>
      <c r="AC256" s="6" t="s">
        <v>3141</v>
      </c>
      <c r="AD256" s="6" t="s">
        <v>3243</v>
      </c>
      <c r="AE256" s="6" t="s">
        <v>3279</v>
      </c>
      <c r="AF256" s="6"/>
      <c r="AG256" s="6"/>
      <c r="AH256" s="6" t="s">
        <v>79</v>
      </c>
    </row>
    <row r="257" spans="1:34" x14ac:dyDescent="0.25">
      <c r="A257" s="6" t="s">
        <v>911</v>
      </c>
      <c r="B257" s="6" t="s">
        <v>5375</v>
      </c>
      <c r="C257" s="6" t="s">
        <v>913</v>
      </c>
      <c r="D257" s="6" t="s">
        <v>914</v>
      </c>
      <c r="E257" s="6" t="s">
        <v>3323</v>
      </c>
      <c r="F257" s="6" t="s">
        <v>3214</v>
      </c>
      <c r="G257" s="6" t="s">
        <v>174</v>
      </c>
      <c r="H257" s="6" t="s">
        <v>103</v>
      </c>
      <c r="I257" s="6" t="s">
        <v>74</v>
      </c>
      <c r="J257" s="6" t="s">
        <v>5376</v>
      </c>
      <c r="K257" s="6" t="s">
        <v>3159</v>
      </c>
      <c r="L257" s="6" t="s">
        <v>3159</v>
      </c>
      <c r="M257" s="6" t="s">
        <v>3152</v>
      </c>
      <c r="N257" s="6" t="s">
        <v>3152</v>
      </c>
      <c r="O257" s="6" t="s">
        <v>75</v>
      </c>
      <c r="P257" s="6" t="s">
        <v>5377</v>
      </c>
      <c r="Q257" s="6" t="s">
        <v>5378</v>
      </c>
      <c r="R257" s="6" t="s">
        <v>5379</v>
      </c>
      <c r="S257" s="6" t="s">
        <v>3177</v>
      </c>
      <c r="T257" s="6" t="s">
        <v>5380</v>
      </c>
      <c r="U257" s="6" t="s">
        <v>3159</v>
      </c>
      <c r="V257" s="6" t="s">
        <v>3234</v>
      </c>
      <c r="W257" s="6" t="s">
        <v>3447</v>
      </c>
      <c r="X257" s="6" t="s">
        <v>161</v>
      </c>
      <c r="Y257" s="6" t="s">
        <v>3159</v>
      </c>
      <c r="Z257" s="6" t="s">
        <v>93</v>
      </c>
      <c r="AA257" s="6" t="s">
        <v>3783</v>
      </c>
      <c r="AB257" s="6" t="s">
        <v>5381</v>
      </c>
      <c r="AC257" s="6" t="s">
        <v>3141</v>
      </c>
      <c r="AD257" s="6" t="s">
        <v>3143</v>
      </c>
      <c r="AE257" s="6" t="s">
        <v>3293</v>
      </c>
      <c r="AF257" s="6"/>
      <c r="AG257" s="6" t="s">
        <v>4797</v>
      </c>
      <c r="AH257" s="6" t="s">
        <v>79</v>
      </c>
    </row>
    <row r="258" spans="1:34" x14ac:dyDescent="0.25">
      <c r="A258" s="6" t="s">
        <v>915</v>
      </c>
      <c r="B258" s="6" t="s">
        <v>916</v>
      </c>
      <c r="C258" s="6" t="s">
        <v>917</v>
      </c>
      <c r="D258" s="6" t="s">
        <v>5382</v>
      </c>
      <c r="E258" s="6" t="s">
        <v>3722</v>
      </c>
      <c r="F258" s="6" t="s">
        <v>71</v>
      </c>
      <c r="G258" s="6" t="s">
        <v>127</v>
      </c>
      <c r="H258" s="6" t="s">
        <v>91</v>
      </c>
      <c r="I258" s="6" t="s">
        <v>92</v>
      </c>
      <c r="J258" s="6" t="s">
        <v>5383</v>
      </c>
      <c r="K258" s="6" t="s">
        <v>3292</v>
      </c>
      <c r="L258" s="6" t="s">
        <v>3142</v>
      </c>
      <c r="M258" s="6" t="s">
        <v>76</v>
      </c>
      <c r="N258" s="6" t="s">
        <v>75</v>
      </c>
      <c r="O258" s="6" t="s">
        <v>3173</v>
      </c>
      <c r="P258" s="6" t="s">
        <v>3216</v>
      </c>
      <c r="Q258" s="6" t="s">
        <v>5384</v>
      </c>
      <c r="R258" s="6" t="s">
        <v>5385</v>
      </c>
      <c r="S258" s="6" t="s">
        <v>20</v>
      </c>
      <c r="T258" s="6" t="s">
        <v>5386</v>
      </c>
      <c r="U258" s="6" t="s">
        <v>3292</v>
      </c>
      <c r="V258" s="6" t="s">
        <v>5387</v>
      </c>
      <c r="W258" s="6" t="s">
        <v>4398</v>
      </c>
      <c r="X258" s="6" t="s">
        <v>77</v>
      </c>
      <c r="Y258" s="6" t="s">
        <v>3159</v>
      </c>
      <c r="Z258" s="6" t="s">
        <v>93</v>
      </c>
      <c r="AA258" s="6" t="s">
        <v>3448</v>
      </c>
      <c r="AB258" s="6"/>
      <c r="AC258" s="6" t="s">
        <v>3141</v>
      </c>
      <c r="AD258" s="6" t="s">
        <v>3152</v>
      </c>
      <c r="AE258" s="6" t="s">
        <v>3235</v>
      </c>
      <c r="AF258" s="6"/>
      <c r="AG258" s="6" t="s">
        <v>5388</v>
      </c>
      <c r="AH258" s="6" t="s">
        <v>3494</v>
      </c>
    </row>
    <row r="259" spans="1:34" x14ac:dyDescent="0.25">
      <c r="A259" s="6" t="s">
        <v>919</v>
      </c>
      <c r="B259" s="6" t="s">
        <v>920</v>
      </c>
      <c r="C259" s="6"/>
      <c r="D259" s="6" t="s">
        <v>921</v>
      </c>
      <c r="E259" s="6" t="s">
        <v>3268</v>
      </c>
      <c r="F259" s="6" t="s">
        <v>3283</v>
      </c>
      <c r="G259" s="6" t="s">
        <v>72</v>
      </c>
      <c r="H259" s="6" t="s">
        <v>132</v>
      </c>
      <c r="I259" s="6" t="s">
        <v>92</v>
      </c>
      <c r="J259" s="6" t="s">
        <v>5389</v>
      </c>
      <c r="K259" s="6" t="s">
        <v>3159</v>
      </c>
      <c r="L259" s="6" t="s">
        <v>3196</v>
      </c>
      <c r="M259" s="6" t="s">
        <v>75</v>
      </c>
      <c r="N259" s="6" t="s">
        <v>3143</v>
      </c>
      <c r="O259" s="6" t="s">
        <v>75</v>
      </c>
      <c r="P259" s="6" t="s">
        <v>5390</v>
      </c>
      <c r="Q259" s="6" t="s">
        <v>5391</v>
      </c>
      <c r="R259" s="6" t="s">
        <v>5392</v>
      </c>
      <c r="S259" s="6" t="s">
        <v>3412</v>
      </c>
      <c r="T259" s="6" t="s">
        <v>5393</v>
      </c>
      <c r="U259" s="6" t="s">
        <v>3159</v>
      </c>
      <c r="V259" s="6" t="s">
        <v>5394</v>
      </c>
      <c r="W259" s="6" t="s">
        <v>3588</v>
      </c>
      <c r="X259" s="6" t="s">
        <v>85</v>
      </c>
      <c r="Y259" s="6" t="s">
        <v>3140</v>
      </c>
      <c r="Z259" s="6" t="s">
        <v>93</v>
      </c>
      <c r="AA259" s="6" t="s">
        <v>4135</v>
      </c>
      <c r="AB259" s="6"/>
      <c r="AC259" s="6" t="s">
        <v>3140</v>
      </c>
      <c r="AD259" s="6" t="s">
        <v>3141</v>
      </c>
      <c r="AE259" s="6" t="s">
        <v>3293</v>
      </c>
      <c r="AF259" s="6"/>
      <c r="AG259" s="6" t="s">
        <v>3376</v>
      </c>
      <c r="AH259" s="6" t="s">
        <v>3334</v>
      </c>
    </row>
    <row r="260" spans="1:34" x14ac:dyDescent="0.25">
      <c r="A260" s="6" t="s">
        <v>922</v>
      </c>
      <c r="B260" s="6" t="s">
        <v>923</v>
      </c>
      <c r="C260" s="6" t="s">
        <v>5395</v>
      </c>
      <c r="D260" s="6" t="s">
        <v>924</v>
      </c>
      <c r="E260" s="6" t="s">
        <v>3309</v>
      </c>
      <c r="F260" s="6" t="s">
        <v>3201</v>
      </c>
      <c r="G260" s="6" t="s">
        <v>115</v>
      </c>
      <c r="H260" s="6" t="s">
        <v>144</v>
      </c>
      <c r="I260" s="6" t="s">
        <v>92</v>
      </c>
      <c r="J260" s="6" t="s">
        <v>5396</v>
      </c>
      <c r="K260" s="6" t="s">
        <v>3159</v>
      </c>
      <c r="L260" s="6" t="s">
        <v>76</v>
      </c>
      <c r="M260" s="6" t="s">
        <v>3160</v>
      </c>
      <c r="N260" s="6" t="s">
        <v>3152</v>
      </c>
      <c r="O260" s="6" t="s">
        <v>3243</v>
      </c>
      <c r="P260" s="6" t="s">
        <v>5397</v>
      </c>
      <c r="Q260" s="6" t="s">
        <v>5398</v>
      </c>
      <c r="R260" s="6" t="s">
        <v>5399</v>
      </c>
      <c r="S260" s="6" t="s">
        <v>23</v>
      </c>
      <c r="T260" s="6" t="s">
        <v>5400</v>
      </c>
      <c r="U260" s="6" t="s">
        <v>3275</v>
      </c>
      <c r="V260" s="6" t="s">
        <v>5401</v>
      </c>
      <c r="W260" s="6" t="s">
        <v>3289</v>
      </c>
      <c r="X260" s="6" t="s">
        <v>85</v>
      </c>
      <c r="Y260" s="6" t="s">
        <v>3141</v>
      </c>
      <c r="Z260" s="6" t="s">
        <v>93</v>
      </c>
      <c r="AA260" s="6" t="s">
        <v>3489</v>
      </c>
      <c r="AB260" s="6" t="s">
        <v>5402</v>
      </c>
      <c r="AC260" s="6" t="s">
        <v>3159</v>
      </c>
      <c r="AD260" s="6" t="s">
        <v>3142</v>
      </c>
      <c r="AE260" s="6" t="s">
        <v>3153</v>
      </c>
      <c r="AF260" s="6" t="s">
        <v>5403</v>
      </c>
      <c r="AG260" s="6" t="s">
        <v>5404</v>
      </c>
      <c r="AH260" s="6" t="s">
        <v>3334</v>
      </c>
    </row>
    <row r="261" spans="1:34" x14ac:dyDescent="0.25">
      <c r="A261" s="6" t="s">
        <v>925</v>
      </c>
      <c r="B261" s="6" t="s">
        <v>525</v>
      </c>
      <c r="C261" s="6" t="s">
        <v>5405</v>
      </c>
      <c r="D261" s="6"/>
      <c r="E261" s="6" t="s">
        <v>3170</v>
      </c>
      <c r="F261" s="6" t="s">
        <v>3358</v>
      </c>
      <c r="G261" s="6" t="s">
        <v>417</v>
      </c>
      <c r="H261" s="6" t="s">
        <v>144</v>
      </c>
      <c r="I261" s="6" t="s">
        <v>92</v>
      </c>
      <c r="J261" s="6"/>
      <c r="K261" s="6" t="s">
        <v>3159</v>
      </c>
      <c r="L261" s="6" t="s">
        <v>3188</v>
      </c>
      <c r="M261" s="6" t="s">
        <v>3160</v>
      </c>
      <c r="N261" s="6" t="s">
        <v>3152</v>
      </c>
      <c r="O261" s="6" t="s">
        <v>3160</v>
      </c>
      <c r="P261" s="6" t="s">
        <v>5406</v>
      </c>
      <c r="Q261" s="6"/>
      <c r="R261" s="6" t="s">
        <v>5407</v>
      </c>
      <c r="S261" s="6" t="s">
        <v>21</v>
      </c>
      <c r="T261" s="6" t="s">
        <v>5408</v>
      </c>
      <c r="U261" s="6" t="s">
        <v>3141</v>
      </c>
      <c r="V261" s="6" t="s">
        <v>5409</v>
      </c>
      <c r="W261" s="6" t="s">
        <v>3223</v>
      </c>
      <c r="X261" s="6" t="s">
        <v>85</v>
      </c>
      <c r="Y261" s="6" t="s">
        <v>3292</v>
      </c>
      <c r="Z261" s="6" t="s">
        <v>93</v>
      </c>
      <c r="AA261" s="6" t="s">
        <v>3642</v>
      </c>
      <c r="AB261" s="6"/>
      <c r="AC261" s="6" t="s">
        <v>3140</v>
      </c>
      <c r="AD261" s="6" t="s">
        <v>75</v>
      </c>
      <c r="AE261" s="6" t="s">
        <v>3293</v>
      </c>
      <c r="AF261" s="6"/>
      <c r="AG261" s="6" t="s">
        <v>5410</v>
      </c>
      <c r="AH261" s="6" t="s">
        <v>79</v>
      </c>
    </row>
    <row r="262" spans="1:34" x14ac:dyDescent="0.25">
      <c r="A262" s="6" t="s">
        <v>926</v>
      </c>
      <c r="B262" s="6" t="s">
        <v>927</v>
      </c>
      <c r="C262" s="6" t="s">
        <v>5411</v>
      </c>
      <c r="D262" s="6" t="s">
        <v>5412</v>
      </c>
      <c r="E262" s="6" t="s">
        <v>4190</v>
      </c>
      <c r="F262" s="6" t="s">
        <v>3214</v>
      </c>
      <c r="G262" s="6" t="s">
        <v>215</v>
      </c>
      <c r="H262" s="6" t="s">
        <v>91</v>
      </c>
      <c r="I262" s="6" t="s">
        <v>92</v>
      </c>
      <c r="J262" s="6" t="s">
        <v>5413</v>
      </c>
      <c r="K262" s="6" t="s">
        <v>3141</v>
      </c>
      <c r="L262" s="6" t="s">
        <v>3160</v>
      </c>
      <c r="M262" s="6" t="s">
        <v>3160</v>
      </c>
      <c r="N262" s="6" t="s">
        <v>3152</v>
      </c>
      <c r="O262" s="6" t="s">
        <v>3141</v>
      </c>
      <c r="P262" s="6" t="s">
        <v>3762</v>
      </c>
      <c r="Q262" s="6" t="s">
        <v>5414</v>
      </c>
      <c r="R262" s="6" t="s">
        <v>5415</v>
      </c>
      <c r="S262" s="6" t="s">
        <v>22</v>
      </c>
      <c r="T262" s="6" t="s">
        <v>5416</v>
      </c>
      <c r="U262" s="6" t="s">
        <v>3275</v>
      </c>
      <c r="V262" s="6" t="s">
        <v>5417</v>
      </c>
      <c r="W262" s="6" t="s">
        <v>5418</v>
      </c>
      <c r="X262" s="6" t="s">
        <v>85</v>
      </c>
      <c r="Y262" s="6" t="s">
        <v>3140</v>
      </c>
      <c r="Z262" s="6" t="s">
        <v>194</v>
      </c>
      <c r="AA262" s="6" t="s">
        <v>5419</v>
      </c>
      <c r="AB262" s="6"/>
      <c r="AC262" s="6" t="s">
        <v>3141</v>
      </c>
      <c r="AD262" s="6" t="s">
        <v>75</v>
      </c>
      <c r="AE262" s="6" t="s">
        <v>3136</v>
      </c>
      <c r="AF262" s="6" t="s">
        <v>5420</v>
      </c>
      <c r="AG262" s="6" t="s">
        <v>5421</v>
      </c>
      <c r="AH262" s="6" t="s">
        <v>79</v>
      </c>
    </row>
    <row r="263" spans="1:34" x14ac:dyDescent="0.25">
      <c r="A263" s="6" t="s">
        <v>929</v>
      </c>
      <c r="B263" s="6" t="s">
        <v>930</v>
      </c>
      <c r="C263" s="6" t="s">
        <v>931</v>
      </c>
      <c r="D263" s="6"/>
      <c r="E263" s="6" t="s">
        <v>3636</v>
      </c>
      <c r="F263" s="6" t="s">
        <v>3358</v>
      </c>
      <c r="G263" s="6" t="s">
        <v>226</v>
      </c>
      <c r="H263" s="6" t="s">
        <v>91</v>
      </c>
      <c r="I263" s="6" t="s">
        <v>92</v>
      </c>
      <c r="J263" s="6" t="s">
        <v>5422</v>
      </c>
      <c r="K263" s="6" t="s">
        <v>3159</v>
      </c>
      <c r="L263" s="6" t="s">
        <v>3152</v>
      </c>
      <c r="M263" s="6" t="s">
        <v>3160</v>
      </c>
      <c r="N263" s="6" t="s">
        <v>3142</v>
      </c>
      <c r="O263" s="6" t="s">
        <v>3160</v>
      </c>
      <c r="P263" s="6" t="s">
        <v>4253</v>
      </c>
      <c r="Q263" s="6" t="s">
        <v>5423</v>
      </c>
      <c r="R263" s="6" t="s">
        <v>5424</v>
      </c>
      <c r="S263" s="6" t="s">
        <v>21</v>
      </c>
      <c r="T263" s="6" t="s">
        <v>5425</v>
      </c>
      <c r="U263" s="6" t="s">
        <v>3275</v>
      </c>
      <c r="V263" s="6" t="s">
        <v>3303</v>
      </c>
      <c r="W263" s="6" t="s">
        <v>4781</v>
      </c>
      <c r="X263" s="6" t="s">
        <v>77</v>
      </c>
      <c r="Y263" s="6" t="s">
        <v>3159</v>
      </c>
      <c r="Z263" s="6" t="s">
        <v>78</v>
      </c>
      <c r="AA263" s="6" t="s">
        <v>4407</v>
      </c>
      <c r="AB263" s="6"/>
      <c r="AC263" s="6" t="s">
        <v>3159</v>
      </c>
      <c r="AD263" s="6" t="s">
        <v>3243</v>
      </c>
      <c r="AE263" s="6" t="s">
        <v>3136</v>
      </c>
      <c r="AF263" s="6"/>
      <c r="AG263" s="6" t="s">
        <v>5426</v>
      </c>
      <c r="AH263" s="6" t="s">
        <v>79</v>
      </c>
    </row>
    <row r="264" spans="1:34" x14ac:dyDescent="0.25">
      <c r="A264" s="6" t="s">
        <v>932</v>
      </c>
      <c r="B264" s="6" t="s">
        <v>933</v>
      </c>
      <c r="C264" s="6" t="s">
        <v>934</v>
      </c>
      <c r="D264" s="6" t="s">
        <v>935</v>
      </c>
      <c r="E264" s="6" t="s">
        <v>3432</v>
      </c>
      <c r="F264" s="6" t="s">
        <v>3227</v>
      </c>
      <c r="G264" s="6" t="s">
        <v>153</v>
      </c>
      <c r="H264" s="6" t="s">
        <v>91</v>
      </c>
      <c r="I264" s="6" t="s">
        <v>92</v>
      </c>
      <c r="J264" s="6" t="s">
        <v>5427</v>
      </c>
      <c r="K264" s="6" t="s">
        <v>3159</v>
      </c>
      <c r="L264" s="6" t="s">
        <v>3173</v>
      </c>
      <c r="M264" s="6" t="s">
        <v>3160</v>
      </c>
      <c r="N264" s="6" t="s">
        <v>3152</v>
      </c>
      <c r="O264" s="6" t="s">
        <v>3160</v>
      </c>
      <c r="P264" s="6" t="s">
        <v>5428</v>
      </c>
      <c r="Q264" s="6"/>
      <c r="R264" s="6" t="s">
        <v>5429</v>
      </c>
      <c r="S264" s="6" t="s">
        <v>20</v>
      </c>
      <c r="T264" s="6" t="s">
        <v>5430</v>
      </c>
      <c r="U264" s="6" t="s">
        <v>3141</v>
      </c>
      <c r="V264" s="6" t="s">
        <v>5431</v>
      </c>
      <c r="W264" s="6" t="s">
        <v>3289</v>
      </c>
      <c r="X264" s="6" t="s">
        <v>77</v>
      </c>
      <c r="Y264" s="6" t="s">
        <v>3159</v>
      </c>
      <c r="Z264" s="6" t="s">
        <v>78</v>
      </c>
      <c r="AA264" s="6" t="s">
        <v>3250</v>
      </c>
      <c r="AB264" s="6"/>
      <c r="AC264" s="6" t="s">
        <v>3141</v>
      </c>
      <c r="AD264" s="6" t="s">
        <v>75</v>
      </c>
      <c r="AE264" s="6" t="s">
        <v>3293</v>
      </c>
      <c r="AF264" s="6"/>
      <c r="AG264" s="6" t="s">
        <v>5432</v>
      </c>
      <c r="AH264" s="6" t="s">
        <v>79</v>
      </c>
    </row>
    <row r="265" spans="1:34" x14ac:dyDescent="0.25">
      <c r="A265" s="6" t="s">
        <v>936</v>
      </c>
      <c r="B265" s="6" t="s">
        <v>5433</v>
      </c>
      <c r="C265" s="6" t="s">
        <v>5434</v>
      </c>
      <c r="D265" s="6" t="s">
        <v>938</v>
      </c>
      <c r="E265" s="6" t="s">
        <v>4828</v>
      </c>
      <c r="F265" s="6" t="s">
        <v>3358</v>
      </c>
      <c r="G265" s="6" t="s">
        <v>139</v>
      </c>
      <c r="H265" s="6" t="s">
        <v>132</v>
      </c>
      <c r="I265" s="6" t="s">
        <v>92</v>
      </c>
      <c r="J265" s="6" t="s">
        <v>5435</v>
      </c>
      <c r="K265" s="6" t="s">
        <v>3140</v>
      </c>
      <c r="L265" s="6" t="s">
        <v>3196</v>
      </c>
      <c r="M265" s="6" t="s">
        <v>3173</v>
      </c>
      <c r="N265" s="6" t="s">
        <v>3152</v>
      </c>
      <c r="O265" s="6" t="s">
        <v>75</v>
      </c>
      <c r="P265" s="6" t="s">
        <v>4309</v>
      </c>
      <c r="Q265" s="6" t="s">
        <v>5436</v>
      </c>
      <c r="R265" s="6" t="s">
        <v>5437</v>
      </c>
      <c r="S265" s="6" t="s">
        <v>23</v>
      </c>
      <c r="T265" s="6"/>
      <c r="U265" s="6" t="s">
        <v>3140</v>
      </c>
      <c r="V265" s="6" t="s">
        <v>3351</v>
      </c>
      <c r="W265" s="6" t="s">
        <v>3747</v>
      </c>
      <c r="X265" s="6" t="s">
        <v>3167</v>
      </c>
      <c r="Y265" s="6" t="s">
        <v>3141</v>
      </c>
      <c r="Z265" s="6" t="s">
        <v>93</v>
      </c>
      <c r="AA265" s="6" t="s">
        <v>3194</v>
      </c>
      <c r="AB265" s="6" t="s">
        <v>5438</v>
      </c>
      <c r="AC265" s="6" t="s">
        <v>3141</v>
      </c>
      <c r="AD265" s="6" t="s">
        <v>3160</v>
      </c>
      <c r="AE265" s="6" t="s">
        <v>3318</v>
      </c>
      <c r="AF265" s="6" t="s">
        <v>5439</v>
      </c>
      <c r="AG265" s="6" t="s">
        <v>5440</v>
      </c>
      <c r="AH265" s="6" t="s">
        <v>79</v>
      </c>
    </row>
    <row r="266" spans="1:34" x14ac:dyDescent="0.25">
      <c r="A266" s="6" t="s">
        <v>939</v>
      </c>
      <c r="B266" s="6" t="s">
        <v>443</v>
      </c>
      <c r="C266" s="6" t="s">
        <v>940</v>
      </c>
      <c r="D266" s="6" t="s">
        <v>5441</v>
      </c>
      <c r="E266" s="6" t="s">
        <v>3432</v>
      </c>
      <c r="F266" s="6" t="s">
        <v>3201</v>
      </c>
      <c r="G266" s="6" t="s">
        <v>3506</v>
      </c>
      <c r="H266" s="6" t="s">
        <v>84</v>
      </c>
      <c r="I266" s="6" t="s">
        <v>74</v>
      </c>
      <c r="J266" s="6" t="s">
        <v>5442</v>
      </c>
      <c r="K266" s="6" t="s">
        <v>3159</v>
      </c>
      <c r="L266" s="6" t="s">
        <v>3159</v>
      </c>
      <c r="M266" s="6" t="s">
        <v>75</v>
      </c>
      <c r="N266" s="6" t="s">
        <v>3243</v>
      </c>
      <c r="O266" s="6" t="s">
        <v>3152</v>
      </c>
      <c r="P266" s="6" t="s">
        <v>5443</v>
      </c>
      <c r="Q266" s="6" t="s">
        <v>5444</v>
      </c>
      <c r="R266" s="6" t="s">
        <v>5445</v>
      </c>
      <c r="S266" s="6" t="s">
        <v>23</v>
      </c>
      <c r="T266" s="6" t="s">
        <v>5446</v>
      </c>
      <c r="U266" s="6" t="s">
        <v>3141</v>
      </c>
      <c r="V266" s="6" t="s">
        <v>5447</v>
      </c>
      <c r="W266" s="6" t="s">
        <v>3478</v>
      </c>
      <c r="X266" s="6" t="s">
        <v>3167</v>
      </c>
      <c r="Y266" s="6" t="s">
        <v>3140</v>
      </c>
      <c r="Z266" s="6" t="s">
        <v>78</v>
      </c>
      <c r="AA266" s="6" t="s">
        <v>4547</v>
      </c>
      <c r="AB266" s="6" t="s">
        <v>5448</v>
      </c>
      <c r="AC266" s="6" t="s">
        <v>3141</v>
      </c>
      <c r="AD266" s="6" t="s">
        <v>3152</v>
      </c>
      <c r="AE266" s="6" t="s">
        <v>3513</v>
      </c>
      <c r="AF266" s="6" t="s">
        <v>5449</v>
      </c>
      <c r="AG266" s="6" t="s">
        <v>5450</v>
      </c>
      <c r="AH266" s="6" t="s">
        <v>79</v>
      </c>
    </row>
    <row r="267" spans="1:34" x14ac:dyDescent="0.25">
      <c r="A267" s="6" t="s">
        <v>942</v>
      </c>
      <c r="B267" s="6" t="s">
        <v>943</v>
      </c>
      <c r="C267" s="6" t="s">
        <v>944</v>
      </c>
      <c r="D267" s="6" t="s">
        <v>5451</v>
      </c>
      <c r="E267" s="6" t="s">
        <v>3268</v>
      </c>
      <c r="F267" s="6" t="s">
        <v>3358</v>
      </c>
      <c r="G267" s="6" t="s">
        <v>314</v>
      </c>
      <c r="H267" s="6" t="s">
        <v>103</v>
      </c>
      <c r="I267" s="6" t="s">
        <v>74</v>
      </c>
      <c r="J267" s="6" t="s">
        <v>3217</v>
      </c>
      <c r="K267" s="6" t="s">
        <v>3140</v>
      </c>
      <c r="L267" s="6" t="s">
        <v>3196</v>
      </c>
      <c r="M267" s="6" t="s">
        <v>3188</v>
      </c>
      <c r="N267" s="6" t="s">
        <v>75</v>
      </c>
      <c r="O267" s="6" t="s">
        <v>75</v>
      </c>
      <c r="P267" s="6" t="s">
        <v>5452</v>
      </c>
      <c r="Q267" s="6" t="s">
        <v>5453</v>
      </c>
      <c r="R267" s="6" t="s">
        <v>5454</v>
      </c>
      <c r="S267" s="6" t="s">
        <v>23</v>
      </c>
      <c r="T267" s="6" t="s">
        <v>5455</v>
      </c>
      <c r="U267" s="6" t="s">
        <v>3141</v>
      </c>
      <c r="V267" s="6" t="s">
        <v>5456</v>
      </c>
      <c r="W267" s="6" t="s">
        <v>3613</v>
      </c>
      <c r="X267" s="6" t="s">
        <v>85</v>
      </c>
      <c r="Y267" s="6" t="s">
        <v>3159</v>
      </c>
      <c r="Z267" s="6" t="s">
        <v>93</v>
      </c>
      <c r="AA267" s="6" t="s">
        <v>3718</v>
      </c>
      <c r="AB267" s="6"/>
      <c r="AC267" s="6" t="s">
        <v>3141</v>
      </c>
      <c r="AD267" s="6" t="s">
        <v>3160</v>
      </c>
      <c r="AE267" s="6" t="s">
        <v>3513</v>
      </c>
      <c r="AF267" s="6" t="s">
        <v>5457</v>
      </c>
      <c r="AG267" s="6" t="s">
        <v>5458</v>
      </c>
      <c r="AH267" s="6" t="s">
        <v>79</v>
      </c>
    </row>
    <row r="268" spans="1:34" x14ac:dyDescent="0.25">
      <c r="A268" s="6" t="s">
        <v>946</v>
      </c>
      <c r="B268" s="6" t="s">
        <v>5459</v>
      </c>
      <c r="C268" s="6" t="s">
        <v>5460</v>
      </c>
      <c r="D268" s="6" t="s">
        <v>948</v>
      </c>
      <c r="E268" s="6" t="s">
        <v>3240</v>
      </c>
      <c r="F268" s="6" t="s">
        <v>3137</v>
      </c>
      <c r="G268" s="6" t="s">
        <v>127</v>
      </c>
      <c r="H268" s="6" t="s">
        <v>73</v>
      </c>
      <c r="I268" s="6" t="s">
        <v>74</v>
      </c>
      <c r="J268" s="6" t="s">
        <v>5461</v>
      </c>
      <c r="K268" s="6" t="s">
        <v>3140</v>
      </c>
      <c r="L268" s="6" t="s">
        <v>3196</v>
      </c>
      <c r="M268" s="6" t="s">
        <v>3141</v>
      </c>
      <c r="N268" s="6" t="s">
        <v>3143</v>
      </c>
      <c r="O268" s="6" t="s">
        <v>3142</v>
      </c>
      <c r="P268" s="6" t="s">
        <v>5462</v>
      </c>
      <c r="Q268" s="6" t="s">
        <v>5463</v>
      </c>
      <c r="R268" s="6" t="s">
        <v>5464</v>
      </c>
      <c r="S268" s="6" t="s">
        <v>23</v>
      </c>
      <c r="T268" s="6" t="s">
        <v>5465</v>
      </c>
      <c r="U268" s="6" t="s">
        <v>3141</v>
      </c>
      <c r="V268" s="6" t="s">
        <v>5466</v>
      </c>
      <c r="W268" s="6" t="s">
        <v>3577</v>
      </c>
      <c r="X268" s="6" t="s">
        <v>85</v>
      </c>
      <c r="Y268" s="6" t="s">
        <v>3159</v>
      </c>
      <c r="Z268" s="6" t="s">
        <v>78</v>
      </c>
      <c r="AA268" s="6" t="s">
        <v>3330</v>
      </c>
      <c r="AB268" s="6"/>
      <c r="AC268" s="6" t="s">
        <v>3159</v>
      </c>
      <c r="AD268" s="6" t="s">
        <v>75</v>
      </c>
      <c r="AE268" s="6" t="s">
        <v>3513</v>
      </c>
      <c r="AF268" s="6" t="s">
        <v>5467</v>
      </c>
      <c r="AG268" s="6" t="s">
        <v>5468</v>
      </c>
      <c r="AH268" s="6" t="s">
        <v>79</v>
      </c>
    </row>
    <row r="269" spans="1:34" x14ac:dyDescent="0.25">
      <c r="A269" s="6" t="s">
        <v>949</v>
      </c>
      <c r="B269" s="6" t="s">
        <v>5469</v>
      </c>
      <c r="C269" s="6" t="s">
        <v>5470</v>
      </c>
      <c r="D269" s="6" t="s">
        <v>5471</v>
      </c>
      <c r="E269" s="6" t="s">
        <v>3471</v>
      </c>
      <c r="F269" s="6" t="s">
        <v>3283</v>
      </c>
      <c r="G269" s="6" t="s">
        <v>106</v>
      </c>
      <c r="H269" s="6" t="s">
        <v>91</v>
      </c>
      <c r="I269" s="6" t="s">
        <v>92</v>
      </c>
      <c r="J269" s="6" t="s">
        <v>5472</v>
      </c>
      <c r="K269" s="6" t="s">
        <v>3159</v>
      </c>
      <c r="L269" s="6" t="s">
        <v>3173</v>
      </c>
      <c r="M269" s="6" t="s">
        <v>3143</v>
      </c>
      <c r="N269" s="6" t="s">
        <v>3143</v>
      </c>
      <c r="O269" s="6" t="s">
        <v>3143</v>
      </c>
      <c r="P269" s="6" t="s">
        <v>5333</v>
      </c>
      <c r="Q269" s="6" t="s">
        <v>5473</v>
      </c>
      <c r="R269" s="6" t="s">
        <v>5474</v>
      </c>
      <c r="S269" s="6" t="s">
        <v>21</v>
      </c>
      <c r="T269" s="6" t="s">
        <v>5475</v>
      </c>
      <c r="U269" s="6" t="s">
        <v>3141</v>
      </c>
      <c r="V269" s="6" t="s">
        <v>5476</v>
      </c>
      <c r="W269" s="6" t="s">
        <v>5002</v>
      </c>
      <c r="X269" s="6" t="s">
        <v>77</v>
      </c>
      <c r="Y269" s="6" t="s">
        <v>3141</v>
      </c>
      <c r="Z269" s="6" t="s">
        <v>93</v>
      </c>
      <c r="AA269" s="6" t="s">
        <v>3374</v>
      </c>
      <c r="AB269" s="6" t="s">
        <v>5477</v>
      </c>
      <c r="AC269" s="6" t="s">
        <v>3159</v>
      </c>
      <c r="AD269" s="6" t="s">
        <v>3142</v>
      </c>
      <c r="AE269" s="6" t="s">
        <v>3279</v>
      </c>
      <c r="AF269" s="6"/>
      <c r="AG269" s="6" t="s">
        <v>5478</v>
      </c>
      <c r="AH269" s="6" t="s">
        <v>79</v>
      </c>
    </row>
    <row r="270" spans="1:34" x14ac:dyDescent="0.25">
      <c r="A270" s="6" t="s">
        <v>952</v>
      </c>
      <c r="B270" s="6" t="s">
        <v>953</v>
      </c>
      <c r="C270" s="6"/>
      <c r="D270" s="6" t="s">
        <v>5479</v>
      </c>
      <c r="E270" s="6" t="s">
        <v>3843</v>
      </c>
      <c r="F270" s="6" t="s">
        <v>3283</v>
      </c>
      <c r="G270" s="6" t="s">
        <v>226</v>
      </c>
      <c r="H270" s="6" t="s">
        <v>166</v>
      </c>
      <c r="I270" s="6" t="s">
        <v>74</v>
      </c>
      <c r="J270" s="6" t="s">
        <v>5480</v>
      </c>
      <c r="K270" s="6" t="s">
        <v>3140</v>
      </c>
      <c r="L270" s="6" t="s">
        <v>3159</v>
      </c>
      <c r="M270" s="6" t="s">
        <v>3142</v>
      </c>
      <c r="N270" s="6" t="s">
        <v>3160</v>
      </c>
      <c r="O270" s="6" t="s">
        <v>3152</v>
      </c>
      <c r="P270" s="6" t="s">
        <v>5481</v>
      </c>
      <c r="Q270" s="6" t="s">
        <v>5482</v>
      </c>
      <c r="R270" s="6" t="s">
        <v>5483</v>
      </c>
      <c r="S270" s="6" t="s">
        <v>23</v>
      </c>
      <c r="T270" s="6" t="s">
        <v>5484</v>
      </c>
      <c r="U270" s="6" t="s">
        <v>3140</v>
      </c>
      <c r="V270" s="6" t="s">
        <v>5485</v>
      </c>
      <c r="W270" s="6" t="s">
        <v>4494</v>
      </c>
      <c r="X270" s="6" t="s">
        <v>77</v>
      </c>
      <c r="Y270" s="6" t="s">
        <v>3140</v>
      </c>
      <c r="Z270" s="6" t="s">
        <v>194</v>
      </c>
      <c r="AA270" s="6" t="s">
        <v>3195</v>
      </c>
      <c r="AB270" s="6"/>
      <c r="AC270" s="6" t="s">
        <v>3141</v>
      </c>
      <c r="AD270" s="6" t="s">
        <v>75</v>
      </c>
      <c r="AE270" s="6" t="s">
        <v>3153</v>
      </c>
      <c r="AF270" s="6" t="s">
        <v>5486</v>
      </c>
      <c r="AG270" s="6" t="s">
        <v>5487</v>
      </c>
      <c r="AH270" s="6" t="s">
        <v>79</v>
      </c>
    </row>
    <row r="271" spans="1:34" x14ac:dyDescent="0.25">
      <c r="A271" s="6" t="s">
        <v>955</v>
      </c>
      <c r="B271" s="6" t="s">
        <v>956</v>
      </c>
      <c r="C271" s="6" t="s">
        <v>957</v>
      </c>
      <c r="D271" s="6"/>
      <c r="E271" s="6" t="s">
        <v>4155</v>
      </c>
      <c r="F271" s="6" t="s">
        <v>3227</v>
      </c>
      <c r="G271" s="6" t="s">
        <v>115</v>
      </c>
      <c r="H271" s="6" t="s">
        <v>73</v>
      </c>
      <c r="I271" s="6" t="s">
        <v>74</v>
      </c>
      <c r="J271" s="6" t="s">
        <v>5488</v>
      </c>
      <c r="K271" s="6" t="s">
        <v>3159</v>
      </c>
      <c r="L271" s="6" t="s">
        <v>3159</v>
      </c>
      <c r="M271" s="6" t="s">
        <v>3143</v>
      </c>
      <c r="N271" s="6" t="s">
        <v>3160</v>
      </c>
      <c r="O271" s="6" t="s">
        <v>3152</v>
      </c>
      <c r="P271" s="6" t="s">
        <v>5489</v>
      </c>
      <c r="Q271" s="6" t="s">
        <v>5490</v>
      </c>
      <c r="R271" s="6" t="s">
        <v>5491</v>
      </c>
      <c r="S271" s="6" t="s">
        <v>20</v>
      </c>
      <c r="T271" s="6" t="s">
        <v>5492</v>
      </c>
      <c r="U271" s="6" t="s">
        <v>3141</v>
      </c>
      <c r="V271" s="6" t="s">
        <v>5493</v>
      </c>
      <c r="W271" s="6" t="s">
        <v>4470</v>
      </c>
      <c r="X271" s="6" t="s">
        <v>85</v>
      </c>
      <c r="Y271" s="6" t="s">
        <v>3159</v>
      </c>
      <c r="Z271" s="6" t="s">
        <v>78</v>
      </c>
      <c r="AA271" s="6" t="s">
        <v>3976</v>
      </c>
      <c r="AB271" s="6" t="s">
        <v>5494</v>
      </c>
      <c r="AC271" s="6" t="s">
        <v>3141</v>
      </c>
      <c r="AD271" s="6" t="s">
        <v>75</v>
      </c>
      <c r="AE271" s="6" t="s">
        <v>3293</v>
      </c>
      <c r="AF271" s="6"/>
      <c r="AG271" s="6"/>
      <c r="AH271" s="6" t="s">
        <v>3957</v>
      </c>
    </row>
    <row r="272" spans="1:34" x14ac:dyDescent="0.25">
      <c r="A272" s="6" t="s">
        <v>958</v>
      </c>
      <c r="B272" s="6" t="s">
        <v>959</v>
      </c>
      <c r="C272" s="6" t="s">
        <v>960</v>
      </c>
      <c r="D272" s="6" t="s">
        <v>5495</v>
      </c>
      <c r="E272" s="6" t="s">
        <v>3970</v>
      </c>
      <c r="F272" s="6" t="s">
        <v>3214</v>
      </c>
      <c r="G272" s="6" t="s">
        <v>226</v>
      </c>
      <c r="H272" s="6" t="s">
        <v>166</v>
      </c>
      <c r="I272" s="6" t="s">
        <v>74</v>
      </c>
      <c r="J272" s="6" t="s">
        <v>5496</v>
      </c>
      <c r="K272" s="6" t="s">
        <v>3141</v>
      </c>
      <c r="L272" s="6" t="s">
        <v>3160</v>
      </c>
      <c r="M272" s="6" t="s">
        <v>75</v>
      </c>
      <c r="N272" s="6" t="s">
        <v>3160</v>
      </c>
      <c r="O272" s="6" t="s">
        <v>3152</v>
      </c>
      <c r="P272" s="6" t="s">
        <v>5497</v>
      </c>
      <c r="Q272" s="6" t="s">
        <v>5498</v>
      </c>
      <c r="R272" s="6" t="s">
        <v>5499</v>
      </c>
      <c r="S272" s="6" t="s">
        <v>22</v>
      </c>
      <c r="T272" s="6"/>
      <c r="U272" s="6" t="s">
        <v>3141</v>
      </c>
      <c r="V272" s="6" t="s">
        <v>4354</v>
      </c>
      <c r="W272" s="6" t="s">
        <v>3811</v>
      </c>
      <c r="X272" s="6" t="s">
        <v>161</v>
      </c>
      <c r="Y272" s="6" t="s">
        <v>3292</v>
      </c>
      <c r="Z272" s="6" t="s">
        <v>93</v>
      </c>
      <c r="AA272" s="6" t="s">
        <v>4470</v>
      </c>
      <c r="AB272" s="6"/>
      <c r="AC272" s="6" t="s">
        <v>3141</v>
      </c>
      <c r="AD272" s="6" t="s">
        <v>3243</v>
      </c>
      <c r="AE272" s="6" t="s">
        <v>3622</v>
      </c>
      <c r="AF272" s="6" t="s">
        <v>5500</v>
      </c>
      <c r="AG272" s="6" t="s">
        <v>5501</v>
      </c>
      <c r="AH272" s="6" t="s">
        <v>79</v>
      </c>
    </row>
    <row r="273" spans="1:34" x14ac:dyDescent="0.25">
      <c r="A273" s="6" t="s">
        <v>962</v>
      </c>
      <c r="B273" s="6" t="s">
        <v>963</v>
      </c>
      <c r="C273" s="6" t="s">
        <v>964</v>
      </c>
      <c r="D273" s="6" t="s">
        <v>5502</v>
      </c>
      <c r="E273" s="6" t="s">
        <v>3970</v>
      </c>
      <c r="F273" s="6" t="s">
        <v>71</v>
      </c>
      <c r="G273" s="6" t="s">
        <v>98</v>
      </c>
      <c r="H273" s="6" t="s">
        <v>144</v>
      </c>
      <c r="I273" s="6" t="s">
        <v>92</v>
      </c>
      <c r="J273" s="6" t="s">
        <v>5503</v>
      </c>
      <c r="K273" s="6" t="s">
        <v>3140</v>
      </c>
      <c r="L273" s="6" t="s">
        <v>3159</v>
      </c>
      <c r="M273" s="6" t="s">
        <v>76</v>
      </c>
      <c r="N273" s="6" t="s">
        <v>3152</v>
      </c>
      <c r="O273" s="6" t="s">
        <v>3143</v>
      </c>
      <c r="P273" s="6" t="s">
        <v>5504</v>
      </c>
      <c r="Q273" s="6" t="s">
        <v>5505</v>
      </c>
      <c r="R273" s="6" t="s">
        <v>5506</v>
      </c>
      <c r="S273" s="6" t="s">
        <v>21</v>
      </c>
      <c r="T273" s="6" t="s">
        <v>5507</v>
      </c>
      <c r="U273" s="6" t="s">
        <v>3141</v>
      </c>
      <c r="V273" s="6" t="s">
        <v>3555</v>
      </c>
      <c r="W273" s="6" t="s">
        <v>3730</v>
      </c>
      <c r="X273" s="6" t="s">
        <v>85</v>
      </c>
      <c r="Y273" s="6" t="s">
        <v>3140</v>
      </c>
      <c r="Z273" s="6" t="s">
        <v>78</v>
      </c>
      <c r="AA273" s="6" t="s">
        <v>4290</v>
      </c>
      <c r="AB273" s="6"/>
      <c r="AC273" s="6" t="s">
        <v>3141</v>
      </c>
      <c r="AD273" s="6" t="s">
        <v>75</v>
      </c>
      <c r="AE273" s="6" t="s">
        <v>3323</v>
      </c>
      <c r="AF273" s="6"/>
      <c r="AG273" s="6" t="s">
        <v>5508</v>
      </c>
      <c r="AH273" s="6" t="s">
        <v>79</v>
      </c>
    </row>
    <row r="274" spans="1:34" x14ac:dyDescent="0.25">
      <c r="A274" s="6" t="s">
        <v>966</v>
      </c>
      <c r="B274" s="6" t="s">
        <v>967</v>
      </c>
      <c r="C274" s="6" t="s">
        <v>5509</v>
      </c>
      <c r="D274" s="6" t="s">
        <v>968</v>
      </c>
      <c r="E274" s="6" t="s">
        <v>3677</v>
      </c>
      <c r="F274" s="6" t="s">
        <v>3214</v>
      </c>
      <c r="G274" s="6" t="s">
        <v>174</v>
      </c>
      <c r="H274" s="6" t="s">
        <v>3138</v>
      </c>
      <c r="I274" s="6" t="s">
        <v>74</v>
      </c>
      <c r="J274" s="6" t="s">
        <v>5510</v>
      </c>
      <c r="K274" s="6" t="s">
        <v>3159</v>
      </c>
      <c r="L274" s="6" t="s">
        <v>3160</v>
      </c>
      <c r="M274" s="6" t="s">
        <v>3188</v>
      </c>
      <c r="N274" s="6" t="s">
        <v>3141</v>
      </c>
      <c r="O274" s="6" t="s">
        <v>3143</v>
      </c>
      <c r="P274" s="6" t="s">
        <v>5511</v>
      </c>
      <c r="Q274" s="6" t="s">
        <v>5512</v>
      </c>
      <c r="R274" s="6" t="s">
        <v>5513</v>
      </c>
      <c r="S274" s="6" t="s">
        <v>23</v>
      </c>
      <c r="T274" s="6" t="s">
        <v>5514</v>
      </c>
      <c r="U274" s="6" t="s">
        <v>3159</v>
      </c>
      <c r="V274" s="6" t="s">
        <v>3249</v>
      </c>
      <c r="W274" s="6" t="s">
        <v>4050</v>
      </c>
      <c r="X274" s="6" t="s">
        <v>3290</v>
      </c>
      <c r="Y274" s="6" t="s">
        <v>3141</v>
      </c>
      <c r="Z274" s="6" t="s">
        <v>78</v>
      </c>
      <c r="AA274" s="6" t="s">
        <v>3195</v>
      </c>
      <c r="AB274" s="6"/>
      <c r="AC274" s="6" t="s">
        <v>3159</v>
      </c>
      <c r="AD274" s="6" t="s">
        <v>3143</v>
      </c>
      <c r="AE274" s="6" t="s">
        <v>3331</v>
      </c>
      <c r="AF274" s="6" t="s">
        <v>5515</v>
      </c>
      <c r="AG274" s="6" t="s">
        <v>5516</v>
      </c>
      <c r="AH274" s="6" t="s">
        <v>79</v>
      </c>
    </row>
    <row r="275" spans="1:34" x14ac:dyDescent="0.25">
      <c r="A275" s="6" t="s">
        <v>969</v>
      </c>
      <c r="B275" s="6" t="s">
        <v>970</v>
      </c>
      <c r="C275" s="6" t="s">
        <v>5517</v>
      </c>
      <c r="D275" s="6" t="s">
        <v>971</v>
      </c>
      <c r="E275" s="6" t="s">
        <v>3703</v>
      </c>
      <c r="F275" s="6" t="s">
        <v>3358</v>
      </c>
      <c r="G275" s="6" t="s">
        <v>153</v>
      </c>
      <c r="H275" s="6" t="s">
        <v>132</v>
      </c>
      <c r="I275" s="6" t="s">
        <v>92</v>
      </c>
      <c r="J275" s="6" t="s">
        <v>5518</v>
      </c>
      <c r="K275" s="6" t="s">
        <v>3141</v>
      </c>
      <c r="L275" s="6" t="s">
        <v>3160</v>
      </c>
      <c r="M275" s="6" t="s">
        <v>3141</v>
      </c>
      <c r="N275" s="6" t="s">
        <v>3143</v>
      </c>
      <c r="O275" s="6" t="s">
        <v>75</v>
      </c>
      <c r="P275" s="6" t="s">
        <v>5519</v>
      </c>
      <c r="Q275" s="6"/>
      <c r="R275" s="6" t="s">
        <v>5520</v>
      </c>
      <c r="S275" s="6" t="s">
        <v>22</v>
      </c>
      <c r="T275" s="6"/>
      <c r="U275" s="6" t="s">
        <v>3140</v>
      </c>
      <c r="V275" s="6" t="s">
        <v>5521</v>
      </c>
      <c r="W275" s="6" t="s">
        <v>3447</v>
      </c>
      <c r="X275" s="6" t="s">
        <v>85</v>
      </c>
      <c r="Y275" s="6" t="s">
        <v>3141</v>
      </c>
      <c r="Z275" s="6" t="s">
        <v>93</v>
      </c>
      <c r="AA275" s="6" t="s">
        <v>4227</v>
      </c>
      <c r="AB275" s="6"/>
      <c r="AC275" s="6" t="s">
        <v>3159</v>
      </c>
      <c r="AD275" s="6" t="s">
        <v>3243</v>
      </c>
      <c r="AE275" s="6" t="s">
        <v>3279</v>
      </c>
      <c r="AF275" s="6" t="s">
        <v>5522</v>
      </c>
      <c r="AG275" s="6" t="s">
        <v>5523</v>
      </c>
      <c r="AH275" s="6" t="s">
        <v>79</v>
      </c>
    </row>
    <row r="276" spans="1:34" x14ac:dyDescent="0.25">
      <c r="A276" s="6" t="s">
        <v>972</v>
      </c>
      <c r="B276" s="6" t="s">
        <v>973</v>
      </c>
      <c r="C276" s="6" t="s">
        <v>974</v>
      </c>
      <c r="D276" s="6" t="s">
        <v>5524</v>
      </c>
      <c r="E276" s="6" t="s">
        <v>3843</v>
      </c>
      <c r="F276" s="6" t="s">
        <v>3283</v>
      </c>
      <c r="G276" s="6" t="s">
        <v>120</v>
      </c>
      <c r="H276" s="6" t="s">
        <v>4620</v>
      </c>
      <c r="I276" s="6" t="s">
        <v>74</v>
      </c>
      <c r="J276" s="6" t="s">
        <v>5525</v>
      </c>
      <c r="K276" s="6" t="s">
        <v>3159</v>
      </c>
      <c r="L276" s="6" t="s">
        <v>75</v>
      </c>
      <c r="M276" s="6" t="s">
        <v>75</v>
      </c>
      <c r="N276" s="6" t="s">
        <v>3188</v>
      </c>
      <c r="O276" s="6" t="s">
        <v>3243</v>
      </c>
      <c r="P276" s="6" t="s">
        <v>4505</v>
      </c>
      <c r="Q276" s="6" t="s">
        <v>5526</v>
      </c>
      <c r="R276" s="6" t="s">
        <v>5527</v>
      </c>
      <c r="S276" s="6" t="s">
        <v>22</v>
      </c>
      <c r="T276" s="6" t="s">
        <v>5528</v>
      </c>
      <c r="U276" s="6" t="s">
        <v>3159</v>
      </c>
      <c r="V276" s="6" t="s">
        <v>5529</v>
      </c>
      <c r="W276" s="6" t="s">
        <v>4049</v>
      </c>
      <c r="X276" s="6" t="s">
        <v>85</v>
      </c>
      <c r="Y276" s="6" t="s">
        <v>3140</v>
      </c>
      <c r="Z276" s="6" t="s">
        <v>93</v>
      </c>
      <c r="AA276" s="6" t="s">
        <v>3195</v>
      </c>
      <c r="AB276" s="6"/>
      <c r="AC276" s="6" t="s">
        <v>3140</v>
      </c>
      <c r="AD276" s="6" t="s">
        <v>3160</v>
      </c>
      <c r="AE276" s="6" t="s">
        <v>3210</v>
      </c>
      <c r="AF276" s="6" t="s">
        <v>5530</v>
      </c>
      <c r="AG276" s="6" t="s">
        <v>5531</v>
      </c>
      <c r="AH276" s="6" t="s">
        <v>79</v>
      </c>
    </row>
    <row r="277" spans="1:34" x14ac:dyDescent="0.25">
      <c r="A277" s="6" t="s">
        <v>976</v>
      </c>
      <c r="B277" s="6" t="s">
        <v>977</v>
      </c>
      <c r="C277" s="6" t="s">
        <v>5532</v>
      </c>
      <c r="D277" s="6" t="s">
        <v>978</v>
      </c>
      <c r="E277" s="6" t="s">
        <v>3388</v>
      </c>
      <c r="F277" s="6" t="s">
        <v>89</v>
      </c>
      <c r="G277" s="6" t="s">
        <v>5533</v>
      </c>
      <c r="H277" s="6" t="s">
        <v>132</v>
      </c>
      <c r="I277" s="6" t="s">
        <v>92</v>
      </c>
      <c r="J277" s="6" t="s">
        <v>5534</v>
      </c>
      <c r="K277" s="6" t="s">
        <v>3140</v>
      </c>
      <c r="L277" s="6" t="s">
        <v>76</v>
      </c>
      <c r="M277" s="6" t="s">
        <v>3196</v>
      </c>
      <c r="N277" s="6" t="s">
        <v>3143</v>
      </c>
      <c r="O277" s="6" t="s">
        <v>3143</v>
      </c>
      <c r="P277" s="6" t="s">
        <v>5535</v>
      </c>
      <c r="Q277" s="6" t="s">
        <v>5536</v>
      </c>
      <c r="R277" s="6" t="s">
        <v>5537</v>
      </c>
      <c r="S277" s="6" t="s">
        <v>21</v>
      </c>
      <c r="T277" s="6" t="s">
        <v>3217</v>
      </c>
      <c r="U277" s="6" t="s">
        <v>3141</v>
      </c>
      <c r="V277" s="6" t="s">
        <v>3276</v>
      </c>
      <c r="W277" s="6" t="s">
        <v>4194</v>
      </c>
      <c r="X277" s="6" t="s">
        <v>85</v>
      </c>
      <c r="Y277" s="6" t="s">
        <v>3141</v>
      </c>
      <c r="Z277" s="6" t="s">
        <v>3895</v>
      </c>
      <c r="AA277" s="6" t="s">
        <v>3532</v>
      </c>
      <c r="AB277" s="6" t="s">
        <v>5538</v>
      </c>
      <c r="AC277" s="6" t="s">
        <v>3140</v>
      </c>
      <c r="AD277" s="6" t="s">
        <v>75</v>
      </c>
      <c r="AE277" s="6" t="s">
        <v>3279</v>
      </c>
      <c r="AF277" s="6"/>
      <c r="AG277" s="6" t="s">
        <v>5539</v>
      </c>
      <c r="AH277" s="6" t="s">
        <v>79</v>
      </c>
    </row>
    <row r="278" spans="1:34" x14ac:dyDescent="0.25">
      <c r="A278" s="6" t="s">
        <v>979</v>
      </c>
      <c r="B278" s="6" t="s">
        <v>980</v>
      </c>
      <c r="C278" s="6" t="s">
        <v>5540</v>
      </c>
      <c r="D278" s="6" t="s">
        <v>981</v>
      </c>
      <c r="E278" s="6" t="s">
        <v>4358</v>
      </c>
      <c r="F278" s="6" t="s">
        <v>3358</v>
      </c>
      <c r="G278" s="6" t="s">
        <v>153</v>
      </c>
      <c r="H278" s="6" t="s">
        <v>73</v>
      </c>
      <c r="I278" s="6" t="s">
        <v>74</v>
      </c>
      <c r="J278" s="6" t="s">
        <v>5541</v>
      </c>
      <c r="K278" s="6" t="s">
        <v>3292</v>
      </c>
      <c r="L278" s="6" t="s">
        <v>76</v>
      </c>
      <c r="M278" s="6" t="s">
        <v>3188</v>
      </c>
      <c r="N278" s="6" t="s">
        <v>76</v>
      </c>
      <c r="O278" s="6" t="s">
        <v>3152</v>
      </c>
      <c r="P278" s="6" t="s">
        <v>5542</v>
      </c>
      <c r="Q278" s="6" t="s">
        <v>5543</v>
      </c>
      <c r="R278" s="6" t="s">
        <v>5544</v>
      </c>
      <c r="S278" s="6" t="s">
        <v>20</v>
      </c>
      <c r="T278" s="6" t="s">
        <v>3217</v>
      </c>
      <c r="U278" s="6" t="s">
        <v>3159</v>
      </c>
      <c r="V278" s="6" t="s">
        <v>5545</v>
      </c>
      <c r="W278" s="6" t="s">
        <v>4592</v>
      </c>
      <c r="X278" s="6" t="s">
        <v>85</v>
      </c>
      <c r="Y278" s="6" t="s">
        <v>3141</v>
      </c>
      <c r="Z278" s="6" t="s">
        <v>93</v>
      </c>
      <c r="AA278" s="6" t="s">
        <v>3276</v>
      </c>
      <c r="AB278" s="6"/>
      <c r="AC278" s="6" t="s">
        <v>3292</v>
      </c>
      <c r="AD278" s="6" t="s">
        <v>75</v>
      </c>
      <c r="AE278" s="6" t="s">
        <v>3235</v>
      </c>
      <c r="AF278" s="6"/>
      <c r="AG278" s="6" t="s">
        <v>5546</v>
      </c>
      <c r="AH278" s="6" t="s">
        <v>79</v>
      </c>
    </row>
    <row r="279" spans="1:34" x14ac:dyDescent="0.25">
      <c r="A279" s="6" t="s">
        <v>982</v>
      </c>
      <c r="B279" s="6" t="s">
        <v>983</v>
      </c>
      <c r="C279" s="6" t="s">
        <v>984</v>
      </c>
      <c r="D279" s="6" t="s">
        <v>985</v>
      </c>
      <c r="E279" s="6" t="s">
        <v>3722</v>
      </c>
      <c r="F279" s="6" t="s">
        <v>89</v>
      </c>
      <c r="G279" s="6" t="s">
        <v>153</v>
      </c>
      <c r="H279" s="6" t="s">
        <v>166</v>
      </c>
      <c r="I279" s="6" t="s">
        <v>74</v>
      </c>
      <c r="J279" s="6" t="s">
        <v>5547</v>
      </c>
      <c r="K279" s="6" t="s">
        <v>3159</v>
      </c>
      <c r="L279" s="6" t="s">
        <v>75</v>
      </c>
      <c r="M279" s="6" t="s">
        <v>3243</v>
      </c>
      <c r="N279" s="6" t="s">
        <v>3142</v>
      </c>
      <c r="O279" s="6" t="s">
        <v>3152</v>
      </c>
      <c r="P279" s="6" t="s">
        <v>5548</v>
      </c>
      <c r="Q279" s="6" t="s">
        <v>3217</v>
      </c>
      <c r="R279" s="6" t="s">
        <v>5549</v>
      </c>
      <c r="S279" s="6" t="s">
        <v>20</v>
      </c>
      <c r="T279" s="6" t="s">
        <v>5550</v>
      </c>
      <c r="U279" s="6" t="s">
        <v>3141</v>
      </c>
      <c r="V279" s="6" t="s">
        <v>3612</v>
      </c>
      <c r="W279" s="6" t="s">
        <v>4684</v>
      </c>
      <c r="X279" s="6" t="s">
        <v>77</v>
      </c>
      <c r="Y279" s="6" t="s">
        <v>3141</v>
      </c>
      <c r="Z279" s="6" t="s">
        <v>3343</v>
      </c>
      <c r="AA279" s="6" t="s">
        <v>3757</v>
      </c>
      <c r="AB279" s="6"/>
      <c r="AC279" s="6" t="s">
        <v>3141</v>
      </c>
      <c r="AD279" s="6" t="s">
        <v>3143</v>
      </c>
      <c r="AE279" s="6" t="s">
        <v>3293</v>
      </c>
      <c r="AF279" s="6"/>
      <c r="AG279" s="6" t="s">
        <v>5551</v>
      </c>
      <c r="AH279" s="6" t="s">
        <v>94</v>
      </c>
    </row>
    <row r="280" spans="1:34" x14ac:dyDescent="0.25">
      <c r="A280" s="6" t="s">
        <v>986</v>
      </c>
      <c r="B280" s="6" t="s">
        <v>987</v>
      </c>
      <c r="C280" s="6"/>
      <c r="D280" s="6" t="s">
        <v>5552</v>
      </c>
      <c r="E280" s="6" t="s">
        <v>3703</v>
      </c>
      <c r="F280" s="6" t="s">
        <v>89</v>
      </c>
      <c r="G280" s="6" t="s">
        <v>417</v>
      </c>
      <c r="H280" s="6" t="s">
        <v>91</v>
      </c>
      <c r="I280" s="6" t="s">
        <v>92</v>
      </c>
      <c r="J280" s="6" t="s">
        <v>5553</v>
      </c>
      <c r="K280" s="6" t="s">
        <v>3140</v>
      </c>
      <c r="L280" s="6" t="s">
        <v>76</v>
      </c>
      <c r="M280" s="6" t="s">
        <v>3141</v>
      </c>
      <c r="N280" s="6" t="s">
        <v>3142</v>
      </c>
      <c r="O280" s="6" t="s">
        <v>3160</v>
      </c>
      <c r="P280" s="6" t="s">
        <v>4519</v>
      </c>
      <c r="Q280" s="6" t="s">
        <v>3217</v>
      </c>
      <c r="R280" s="6" t="s">
        <v>5554</v>
      </c>
      <c r="S280" s="6" t="s">
        <v>20</v>
      </c>
      <c r="T280" s="6" t="s">
        <v>5555</v>
      </c>
      <c r="U280" s="6" t="s">
        <v>3141</v>
      </c>
      <c r="V280" s="6" t="s">
        <v>5295</v>
      </c>
      <c r="W280" s="6" t="s">
        <v>5215</v>
      </c>
      <c r="X280" s="6" t="s">
        <v>77</v>
      </c>
      <c r="Y280" s="6" t="s">
        <v>3292</v>
      </c>
      <c r="Z280" s="6" t="s">
        <v>93</v>
      </c>
      <c r="AA280" s="6" t="s">
        <v>4161</v>
      </c>
      <c r="AB280" s="6" t="s">
        <v>5556</v>
      </c>
      <c r="AC280" s="6" t="s">
        <v>3141</v>
      </c>
      <c r="AD280" s="6" t="s">
        <v>3143</v>
      </c>
      <c r="AE280" s="6" t="s">
        <v>3136</v>
      </c>
      <c r="AF280" s="6"/>
      <c r="AG280" s="6" t="s">
        <v>5557</v>
      </c>
      <c r="AH280" s="6" t="s">
        <v>79</v>
      </c>
    </row>
    <row r="281" spans="1:34" x14ac:dyDescent="0.25">
      <c r="A281" s="6" t="s">
        <v>989</v>
      </c>
      <c r="B281" s="6" t="s">
        <v>990</v>
      </c>
      <c r="C281" s="6" t="s">
        <v>991</v>
      </c>
      <c r="D281" s="6" t="s">
        <v>992</v>
      </c>
      <c r="E281" s="6" t="s">
        <v>3136</v>
      </c>
      <c r="F281" s="6" t="s">
        <v>3137</v>
      </c>
      <c r="G281" s="6" t="s">
        <v>3370</v>
      </c>
      <c r="H281" s="6" t="s">
        <v>73</v>
      </c>
      <c r="I281" s="6" t="s">
        <v>74</v>
      </c>
      <c r="J281" s="6" t="s">
        <v>5558</v>
      </c>
      <c r="K281" s="6" t="s">
        <v>3140</v>
      </c>
      <c r="L281" s="6" t="s">
        <v>3173</v>
      </c>
      <c r="M281" s="6" t="s">
        <v>3141</v>
      </c>
      <c r="N281" s="6" t="s">
        <v>3159</v>
      </c>
      <c r="O281" s="6" t="s">
        <v>3243</v>
      </c>
      <c r="P281" s="6" t="s">
        <v>5559</v>
      </c>
      <c r="Q281" s="6" t="s">
        <v>5560</v>
      </c>
      <c r="R281" s="6" t="s">
        <v>5561</v>
      </c>
      <c r="S281" s="6" t="s">
        <v>22</v>
      </c>
      <c r="T281" s="6" t="s">
        <v>3217</v>
      </c>
      <c r="U281" s="6" t="s">
        <v>3394</v>
      </c>
      <c r="V281" s="6" t="s">
        <v>4889</v>
      </c>
      <c r="W281" s="6" t="s">
        <v>5002</v>
      </c>
      <c r="X281" s="6" t="s">
        <v>77</v>
      </c>
      <c r="Y281" s="6" t="s">
        <v>3140</v>
      </c>
      <c r="Z281" s="6" t="s">
        <v>93</v>
      </c>
      <c r="AA281" s="6" t="s">
        <v>4529</v>
      </c>
      <c r="AB281" s="6" t="s">
        <v>5562</v>
      </c>
      <c r="AC281" s="6" t="s">
        <v>3159</v>
      </c>
      <c r="AD281" s="6" t="s">
        <v>3142</v>
      </c>
      <c r="AE281" s="6" t="s">
        <v>3235</v>
      </c>
      <c r="AF281" s="6" t="s">
        <v>5563</v>
      </c>
      <c r="AG281" s="6" t="s">
        <v>4178</v>
      </c>
      <c r="AH281" s="6" t="s">
        <v>79</v>
      </c>
    </row>
    <row r="282" spans="1:34" x14ac:dyDescent="0.25">
      <c r="A282" s="6" t="s">
        <v>993</v>
      </c>
      <c r="B282" s="6" t="s">
        <v>994</v>
      </c>
      <c r="C282" s="6" t="s">
        <v>995</v>
      </c>
      <c r="D282" s="6" t="s">
        <v>5564</v>
      </c>
      <c r="E282" s="6" t="s">
        <v>3279</v>
      </c>
      <c r="F282" s="6" t="s">
        <v>3358</v>
      </c>
      <c r="G282" s="6" t="s">
        <v>131</v>
      </c>
      <c r="H282" s="6" t="s">
        <v>84</v>
      </c>
      <c r="I282" s="6" t="s">
        <v>74</v>
      </c>
      <c r="J282" s="6" t="s">
        <v>5565</v>
      </c>
      <c r="K282" s="6" t="s">
        <v>3140</v>
      </c>
      <c r="L282" s="6" t="s">
        <v>3142</v>
      </c>
      <c r="M282" s="6" t="s">
        <v>3173</v>
      </c>
      <c r="N282" s="6" t="s">
        <v>75</v>
      </c>
      <c r="O282" s="6" t="s">
        <v>3160</v>
      </c>
      <c r="P282" s="6" t="s">
        <v>5566</v>
      </c>
      <c r="Q282" s="6" t="s">
        <v>5567</v>
      </c>
      <c r="R282" s="6" t="s">
        <v>5568</v>
      </c>
      <c r="S282" s="6" t="s">
        <v>22</v>
      </c>
      <c r="T282" s="6" t="s">
        <v>5569</v>
      </c>
      <c r="U282" s="6" t="s">
        <v>3192</v>
      </c>
      <c r="V282" s="6" t="s">
        <v>5570</v>
      </c>
      <c r="W282" s="6" t="s">
        <v>3747</v>
      </c>
      <c r="X282" s="6" t="s">
        <v>85</v>
      </c>
      <c r="Y282" s="6" t="s">
        <v>3141</v>
      </c>
      <c r="Z282" s="6" t="s">
        <v>93</v>
      </c>
      <c r="AA282" s="6" t="s">
        <v>5571</v>
      </c>
      <c r="AB282" s="6"/>
      <c r="AC282" s="6" t="s">
        <v>3141</v>
      </c>
      <c r="AD282" s="6" t="s">
        <v>3152</v>
      </c>
      <c r="AE282" s="6" t="s">
        <v>3622</v>
      </c>
      <c r="AF282" s="6" t="s">
        <v>5572</v>
      </c>
      <c r="AG282" s="6" t="s">
        <v>5573</v>
      </c>
      <c r="AH282" s="6" t="s">
        <v>79</v>
      </c>
    </row>
    <row r="283" spans="1:34" x14ac:dyDescent="0.25">
      <c r="A283" s="6" t="s">
        <v>997</v>
      </c>
      <c r="B283" s="6" t="s">
        <v>998</v>
      </c>
      <c r="C283" s="6" t="s">
        <v>5574</v>
      </c>
      <c r="D283" s="6" t="s">
        <v>999</v>
      </c>
      <c r="E283" s="6" t="s">
        <v>3843</v>
      </c>
      <c r="F283" s="6" t="s">
        <v>3369</v>
      </c>
      <c r="G283" s="6" t="s">
        <v>226</v>
      </c>
      <c r="H283" s="6" t="s">
        <v>132</v>
      </c>
      <c r="I283" s="6" t="s">
        <v>92</v>
      </c>
      <c r="J283" s="6"/>
      <c r="K283" s="6" t="s">
        <v>3141</v>
      </c>
      <c r="L283" s="6" t="s">
        <v>3152</v>
      </c>
      <c r="M283" s="6" t="s">
        <v>75</v>
      </c>
      <c r="N283" s="6" t="s">
        <v>3243</v>
      </c>
      <c r="O283" s="6" t="s">
        <v>75</v>
      </c>
      <c r="P283" s="6" t="s">
        <v>5575</v>
      </c>
      <c r="Q283" s="6" t="s">
        <v>3217</v>
      </c>
      <c r="R283" s="6" t="s">
        <v>5576</v>
      </c>
      <c r="S283" s="6" t="s">
        <v>20</v>
      </c>
      <c r="T283" s="6" t="s">
        <v>5577</v>
      </c>
      <c r="U283" s="6" t="s">
        <v>3141</v>
      </c>
      <c r="V283" s="6" t="s">
        <v>5578</v>
      </c>
      <c r="W283" s="6" t="s">
        <v>3621</v>
      </c>
      <c r="X283" s="6" t="s">
        <v>85</v>
      </c>
      <c r="Y283" s="6" t="s">
        <v>3292</v>
      </c>
      <c r="Z283" s="6" t="s">
        <v>93</v>
      </c>
      <c r="AA283" s="6" t="s">
        <v>3195</v>
      </c>
      <c r="AB283" s="6"/>
      <c r="AC283" s="6" t="s">
        <v>3141</v>
      </c>
      <c r="AD283" s="6" t="s">
        <v>3152</v>
      </c>
      <c r="AE283" s="6" t="s">
        <v>3136</v>
      </c>
      <c r="AF283" s="6"/>
      <c r="AG283" s="6" t="s">
        <v>5579</v>
      </c>
      <c r="AH283" s="6" t="s">
        <v>94</v>
      </c>
    </row>
    <row r="284" spans="1:34" x14ac:dyDescent="0.25">
      <c r="A284" s="6" t="s">
        <v>1000</v>
      </c>
      <c r="B284" s="6" t="s">
        <v>1001</v>
      </c>
      <c r="C284" s="6" t="s">
        <v>1002</v>
      </c>
      <c r="D284" s="6" t="s">
        <v>5580</v>
      </c>
      <c r="E284" s="6" t="s">
        <v>3170</v>
      </c>
      <c r="F284" s="6" t="s">
        <v>71</v>
      </c>
      <c r="G284" s="6" t="s">
        <v>5581</v>
      </c>
      <c r="H284" s="6" t="s">
        <v>107</v>
      </c>
      <c r="I284" s="6" t="s">
        <v>92</v>
      </c>
      <c r="J284" s="6" t="s">
        <v>5582</v>
      </c>
      <c r="K284" s="6" t="s">
        <v>3140</v>
      </c>
      <c r="L284" s="6" t="s">
        <v>3173</v>
      </c>
      <c r="M284" s="6" t="s">
        <v>3160</v>
      </c>
      <c r="N284" s="6" t="s">
        <v>75</v>
      </c>
      <c r="O284" s="6" t="s">
        <v>3173</v>
      </c>
      <c r="P284" s="6" t="s">
        <v>4657</v>
      </c>
      <c r="Q284" s="6" t="s">
        <v>5583</v>
      </c>
      <c r="R284" s="6" t="s">
        <v>5584</v>
      </c>
      <c r="S284" s="6" t="s">
        <v>23</v>
      </c>
      <c r="T284" s="6" t="s">
        <v>5585</v>
      </c>
      <c r="U284" s="6" t="s">
        <v>3159</v>
      </c>
      <c r="V284" s="6" t="s">
        <v>5586</v>
      </c>
      <c r="W284" s="6" t="s">
        <v>3776</v>
      </c>
      <c r="X284" s="6" t="s">
        <v>85</v>
      </c>
      <c r="Y284" s="6" t="s">
        <v>3140</v>
      </c>
      <c r="Z284" s="6" t="s">
        <v>78</v>
      </c>
      <c r="AA284" s="6" t="s">
        <v>4910</v>
      </c>
      <c r="AB284" s="6"/>
      <c r="AC284" s="6" t="s">
        <v>3141</v>
      </c>
      <c r="AD284" s="6" t="s">
        <v>75</v>
      </c>
      <c r="AE284" s="6" t="s">
        <v>3153</v>
      </c>
      <c r="AF284" s="6" t="s">
        <v>5587</v>
      </c>
      <c r="AG284" s="6"/>
      <c r="AH284" s="6" t="s">
        <v>79</v>
      </c>
    </row>
    <row r="285" spans="1:34" x14ac:dyDescent="0.25">
      <c r="A285" s="6" t="s">
        <v>1004</v>
      </c>
      <c r="B285" s="6" t="s">
        <v>1005</v>
      </c>
      <c r="C285" s="6" t="s">
        <v>1006</v>
      </c>
      <c r="D285" s="6"/>
      <c r="E285" s="6" t="s">
        <v>3309</v>
      </c>
      <c r="F285" s="6" t="s">
        <v>3358</v>
      </c>
      <c r="G285" s="6" t="s">
        <v>72</v>
      </c>
      <c r="H285" s="6" t="s">
        <v>107</v>
      </c>
      <c r="I285" s="6" t="s">
        <v>92</v>
      </c>
      <c r="J285" s="6" t="s">
        <v>3217</v>
      </c>
      <c r="K285" s="6" t="s">
        <v>3292</v>
      </c>
      <c r="L285" s="6" t="s">
        <v>3196</v>
      </c>
      <c r="M285" s="6" t="s">
        <v>3188</v>
      </c>
      <c r="N285" s="6" t="s">
        <v>3173</v>
      </c>
      <c r="O285" s="6" t="s">
        <v>3152</v>
      </c>
      <c r="P285" s="6" t="s">
        <v>3902</v>
      </c>
      <c r="Q285" s="6"/>
      <c r="R285" s="6" t="s">
        <v>5588</v>
      </c>
      <c r="S285" s="6" t="s">
        <v>20</v>
      </c>
      <c r="T285" s="6" t="s">
        <v>5589</v>
      </c>
      <c r="U285" s="6" t="s">
        <v>3292</v>
      </c>
      <c r="V285" s="6" t="s">
        <v>5590</v>
      </c>
      <c r="W285" s="6" t="s">
        <v>3375</v>
      </c>
      <c r="X285" s="6" t="s">
        <v>161</v>
      </c>
      <c r="Y285" s="6" t="s">
        <v>3140</v>
      </c>
      <c r="Z285" s="6" t="s">
        <v>78</v>
      </c>
      <c r="AA285" s="6" t="s">
        <v>4470</v>
      </c>
      <c r="AB285" s="6"/>
      <c r="AC285" s="6" t="s">
        <v>3141</v>
      </c>
      <c r="AD285" s="6" t="s">
        <v>76</v>
      </c>
      <c r="AE285" s="6" t="s">
        <v>3293</v>
      </c>
      <c r="AF285" s="6"/>
      <c r="AG285" s="6" t="s">
        <v>5591</v>
      </c>
      <c r="AH285" s="6" t="s">
        <v>3334</v>
      </c>
    </row>
    <row r="286" spans="1:34" x14ac:dyDescent="0.25">
      <c r="A286" s="6" t="s">
        <v>1007</v>
      </c>
      <c r="B286" s="6" t="s">
        <v>1008</v>
      </c>
      <c r="C286" s="6"/>
      <c r="D286" s="6" t="s">
        <v>1009</v>
      </c>
      <c r="E286" s="6" t="s">
        <v>3136</v>
      </c>
      <c r="F286" s="6" t="s">
        <v>3358</v>
      </c>
      <c r="G286" s="6" t="s">
        <v>139</v>
      </c>
      <c r="H286" s="6" t="s">
        <v>91</v>
      </c>
      <c r="I286" s="6" t="s">
        <v>92</v>
      </c>
      <c r="J286" s="6"/>
      <c r="K286" s="6" t="s">
        <v>3159</v>
      </c>
      <c r="L286" s="6" t="s">
        <v>76</v>
      </c>
      <c r="M286" s="6" t="s">
        <v>3243</v>
      </c>
      <c r="N286" s="6" t="s">
        <v>3243</v>
      </c>
      <c r="O286" s="6" t="s">
        <v>3152</v>
      </c>
      <c r="P286" s="6" t="s">
        <v>5592</v>
      </c>
      <c r="Q286" s="6" t="s">
        <v>5593</v>
      </c>
      <c r="R286" s="6" t="s">
        <v>5594</v>
      </c>
      <c r="S286" s="6" t="s">
        <v>20</v>
      </c>
      <c r="T286" s="6"/>
      <c r="U286" s="6" t="s">
        <v>3159</v>
      </c>
      <c r="V286" s="6" t="s">
        <v>5595</v>
      </c>
      <c r="W286" s="6" t="s">
        <v>3303</v>
      </c>
      <c r="X286" s="6" t="s">
        <v>77</v>
      </c>
      <c r="Y286" s="6" t="s">
        <v>3159</v>
      </c>
      <c r="Z286" s="6" t="s">
        <v>78</v>
      </c>
      <c r="AA286" s="6" t="s">
        <v>4470</v>
      </c>
      <c r="AB286" s="6" t="s">
        <v>5596</v>
      </c>
      <c r="AC286" s="6" t="s">
        <v>3140</v>
      </c>
      <c r="AD286" s="6" t="s">
        <v>3160</v>
      </c>
      <c r="AE286" s="6" t="s">
        <v>3136</v>
      </c>
      <c r="AF286" s="6"/>
      <c r="AG286" s="6" t="s">
        <v>5597</v>
      </c>
      <c r="AH286" s="6" t="s">
        <v>79</v>
      </c>
    </row>
    <row r="287" spans="1:34" x14ac:dyDescent="0.25">
      <c r="A287" s="6" t="s">
        <v>1010</v>
      </c>
      <c r="B287" s="6" t="s">
        <v>1011</v>
      </c>
      <c r="C287" s="6" t="s">
        <v>5598</v>
      </c>
      <c r="D287" s="6" t="s">
        <v>5599</v>
      </c>
      <c r="E287" s="6" t="s">
        <v>3626</v>
      </c>
      <c r="F287" s="6" t="s">
        <v>3227</v>
      </c>
      <c r="G287" s="6" t="s">
        <v>5150</v>
      </c>
      <c r="H287" s="6" t="s">
        <v>132</v>
      </c>
      <c r="I287" s="6" t="s">
        <v>92</v>
      </c>
      <c r="J287" s="6" t="s">
        <v>5600</v>
      </c>
      <c r="K287" s="6" t="s">
        <v>3159</v>
      </c>
      <c r="L287" s="6" t="s">
        <v>3159</v>
      </c>
      <c r="M287" s="6" t="s">
        <v>3160</v>
      </c>
      <c r="N287" s="6" t="s">
        <v>3143</v>
      </c>
      <c r="O287" s="6" t="s">
        <v>75</v>
      </c>
      <c r="P287" s="6" t="s">
        <v>3914</v>
      </c>
      <c r="Q287" s="6" t="s">
        <v>5601</v>
      </c>
      <c r="R287" s="6" t="s">
        <v>5602</v>
      </c>
      <c r="S287" s="6" t="s">
        <v>23</v>
      </c>
      <c r="T287" s="6" t="s">
        <v>3217</v>
      </c>
      <c r="U287" s="6" t="s">
        <v>3292</v>
      </c>
      <c r="V287" s="6" t="s">
        <v>5603</v>
      </c>
      <c r="W287" s="6" t="s">
        <v>3943</v>
      </c>
      <c r="X287" s="6" t="s">
        <v>3167</v>
      </c>
      <c r="Y287" s="6" t="s">
        <v>3292</v>
      </c>
      <c r="Z287" s="6" t="s">
        <v>93</v>
      </c>
      <c r="AA287" s="6" t="s">
        <v>5604</v>
      </c>
      <c r="AB287" s="6"/>
      <c r="AC287" s="6" t="s">
        <v>3159</v>
      </c>
      <c r="AD287" s="6" t="s">
        <v>3152</v>
      </c>
      <c r="AE287" s="6" t="s">
        <v>3513</v>
      </c>
      <c r="AF287" s="6" t="s">
        <v>5605</v>
      </c>
      <c r="AG287" s="6" t="s">
        <v>5606</v>
      </c>
      <c r="AH287" s="6" t="s">
        <v>3494</v>
      </c>
    </row>
    <row r="288" spans="1:34" x14ac:dyDescent="0.25">
      <c r="A288" s="6" t="s">
        <v>1013</v>
      </c>
      <c r="B288" s="6" t="s">
        <v>303</v>
      </c>
      <c r="C288" s="6" t="s">
        <v>5607</v>
      </c>
      <c r="D288" s="6" t="s">
        <v>5608</v>
      </c>
      <c r="E288" s="6" t="s">
        <v>3185</v>
      </c>
      <c r="F288" s="6" t="s">
        <v>71</v>
      </c>
      <c r="G288" s="6" t="s">
        <v>72</v>
      </c>
      <c r="H288" s="6" t="s">
        <v>91</v>
      </c>
      <c r="I288" s="6" t="s">
        <v>92</v>
      </c>
      <c r="J288" s="6" t="s">
        <v>5609</v>
      </c>
      <c r="K288" s="6" t="s">
        <v>3292</v>
      </c>
      <c r="L288" s="6" t="s">
        <v>3188</v>
      </c>
      <c r="M288" s="6" t="s">
        <v>3188</v>
      </c>
      <c r="N288" s="6" t="s">
        <v>3143</v>
      </c>
      <c r="O288" s="6" t="s">
        <v>76</v>
      </c>
      <c r="P288" s="6" t="s">
        <v>5610</v>
      </c>
      <c r="Q288" s="6" t="s">
        <v>5611</v>
      </c>
      <c r="R288" s="6" t="s">
        <v>5612</v>
      </c>
      <c r="S288" s="6" t="s">
        <v>21</v>
      </c>
      <c r="T288" s="6" t="s">
        <v>5613</v>
      </c>
      <c r="U288" s="6" t="s">
        <v>4264</v>
      </c>
      <c r="V288" s="6" t="s">
        <v>5614</v>
      </c>
      <c r="W288" s="6" t="s">
        <v>4067</v>
      </c>
      <c r="X288" s="6" t="s">
        <v>85</v>
      </c>
      <c r="Y288" s="6" t="s">
        <v>3292</v>
      </c>
      <c r="Z288" s="6" t="s">
        <v>194</v>
      </c>
      <c r="AA288" s="6" t="s">
        <v>3468</v>
      </c>
      <c r="AB288" s="6"/>
      <c r="AC288" s="6" t="s">
        <v>3141</v>
      </c>
      <c r="AD288" s="6" t="s">
        <v>3143</v>
      </c>
      <c r="AE288" s="6" t="s">
        <v>3136</v>
      </c>
      <c r="AF288" s="6"/>
      <c r="AG288" s="6" t="s">
        <v>5615</v>
      </c>
      <c r="AH288" s="6" t="s">
        <v>79</v>
      </c>
    </row>
    <row r="289" spans="1:34" x14ac:dyDescent="0.25">
      <c r="A289" s="6" t="s">
        <v>1015</v>
      </c>
      <c r="B289" s="6" t="s">
        <v>1016</v>
      </c>
      <c r="C289" s="6"/>
      <c r="D289" s="6" t="s">
        <v>5616</v>
      </c>
      <c r="E289" s="6" t="s">
        <v>3388</v>
      </c>
      <c r="F289" s="6" t="s">
        <v>3358</v>
      </c>
      <c r="G289" s="6" t="s">
        <v>90</v>
      </c>
      <c r="H289" s="6" t="s">
        <v>91</v>
      </c>
      <c r="I289" s="6" t="s">
        <v>92</v>
      </c>
      <c r="J289" s="6"/>
      <c r="K289" s="6" t="s">
        <v>3140</v>
      </c>
      <c r="L289" s="6" t="s">
        <v>3159</v>
      </c>
      <c r="M289" s="6" t="s">
        <v>3173</v>
      </c>
      <c r="N289" s="6" t="s">
        <v>3141</v>
      </c>
      <c r="O289" s="6" t="s">
        <v>3141</v>
      </c>
      <c r="P289" s="6" t="s">
        <v>5617</v>
      </c>
      <c r="Q289" s="6" t="s">
        <v>5618</v>
      </c>
      <c r="R289" s="6" t="s">
        <v>5619</v>
      </c>
      <c r="S289" s="6" t="s">
        <v>22</v>
      </c>
      <c r="T289" s="6"/>
      <c r="U289" s="6" t="s">
        <v>3140</v>
      </c>
      <c r="V289" s="6" t="s">
        <v>5620</v>
      </c>
      <c r="W289" s="6" t="s">
        <v>4108</v>
      </c>
      <c r="X289" s="6" t="s">
        <v>85</v>
      </c>
      <c r="Y289" s="6" t="s">
        <v>3140</v>
      </c>
      <c r="Z289" s="6" t="s">
        <v>78</v>
      </c>
      <c r="AA289" s="6" t="s">
        <v>3811</v>
      </c>
      <c r="AB289" s="6"/>
      <c r="AC289" s="6" t="s">
        <v>3159</v>
      </c>
      <c r="AD289" s="6" t="s">
        <v>3196</v>
      </c>
      <c r="AE289" s="6" t="s">
        <v>3136</v>
      </c>
      <c r="AF289" s="6" t="s">
        <v>5621</v>
      </c>
      <c r="AG289" s="6" t="s">
        <v>5622</v>
      </c>
      <c r="AH289" s="6" t="s">
        <v>79</v>
      </c>
    </row>
    <row r="290" spans="1:34" x14ac:dyDescent="0.25">
      <c r="A290" s="6" t="s">
        <v>1018</v>
      </c>
      <c r="B290" s="6" t="s">
        <v>1019</v>
      </c>
      <c r="C290" s="6" t="s">
        <v>5623</v>
      </c>
      <c r="D290" s="6" t="s">
        <v>1020</v>
      </c>
      <c r="E290" s="6"/>
      <c r="F290" s="6" t="s">
        <v>3201</v>
      </c>
      <c r="G290" s="6" t="s">
        <v>5624</v>
      </c>
      <c r="H290" s="6" t="s">
        <v>132</v>
      </c>
      <c r="I290" s="6" t="s">
        <v>92</v>
      </c>
      <c r="J290" s="6" t="s">
        <v>5625</v>
      </c>
      <c r="K290" s="6" t="s">
        <v>3159</v>
      </c>
      <c r="L290" s="6" t="s">
        <v>3143</v>
      </c>
      <c r="M290" s="6" t="s">
        <v>3141</v>
      </c>
      <c r="N290" s="6" t="s">
        <v>3188</v>
      </c>
      <c r="O290" s="6" t="s">
        <v>3160</v>
      </c>
      <c r="P290" s="6" t="s">
        <v>5626</v>
      </c>
      <c r="Q290" s="6"/>
      <c r="R290" s="6" t="s">
        <v>5627</v>
      </c>
      <c r="S290" s="6" t="s">
        <v>20</v>
      </c>
      <c r="T290" s="6" t="s">
        <v>5628</v>
      </c>
      <c r="U290" s="6" t="s">
        <v>3159</v>
      </c>
      <c r="V290" s="6" t="s">
        <v>4117</v>
      </c>
      <c r="W290" s="6" t="s">
        <v>3180</v>
      </c>
      <c r="X290" s="6" t="s">
        <v>85</v>
      </c>
      <c r="Y290" s="6" t="s">
        <v>3159</v>
      </c>
      <c r="Z290" s="6" t="s">
        <v>78</v>
      </c>
      <c r="AA290" s="6" t="s">
        <v>5094</v>
      </c>
      <c r="AB290" s="6" t="s">
        <v>5629</v>
      </c>
      <c r="AC290" s="6" t="s">
        <v>3141</v>
      </c>
      <c r="AD290" s="6" t="s">
        <v>3188</v>
      </c>
      <c r="AE290" s="6" t="s">
        <v>3136</v>
      </c>
      <c r="AF290" s="6"/>
      <c r="AG290" s="6" t="s">
        <v>5630</v>
      </c>
      <c r="AH290" s="6" t="s">
        <v>3334</v>
      </c>
    </row>
    <row r="291" spans="1:34" x14ac:dyDescent="0.25">
      <c r="A291" s="6"/>
      <c r="B291" s="6" t="s">
        <v>1022</v>
      </c>
      <c r="C291" s="6" t="s">
        <v>1023</v>
      </c>
      <c r="D291" s="6" t="s">
        <v>1024</v>
      </c>
      <c r="E291" s="6" t="s">
        <v>3617</v>
      </c>
      <c r="F291" s="6" t="s">
        <v>3283</v>
      </c>
      <c r="G291" s="6" t="s">
        <v>139</v>
      </c>
      <c r="H291" s="6" t="s">
        <v>144</v>
      </c>
      <c r="I291" s="6" t="s">
        <v>92</v>
      </c>
      <c r="J291" s="6"/>
      <c r="K291" s="6" t="s">
        <v>3141</v>
      </c>
      <c r="L291" s="6" t="s">
        <v>3152</v>
      </c>
      <c r="M291" s="6" t="s">
        <v>3160</v>
      </c>
      <c r="N291" s="6" t="s">
        <v>3143</v>
      </c>
      <c r="O291" s="6" t="s">
        <v>3160</v>
      </c>
      <c r="P291" s="6" t="s">
        <v>5631</v>
      </c>
      <c r="Q291" s="6" t="s">
        <v>5632</v>
      </c>
      <c r="R291" s="6" t="s">
        <v>5633</v>
      </c>
      <c r="S291" s="6" t="s">
        <v>23</v>
      </c>
      <c r="T291" s="6"/>
      <c r="U291" s="6" t="s">
        <v>3141</v>
      </c>
      <c r="V291" s="6" t="s">
        <v>4966</v>
      </c>
      <c r="W291" s="6" t="s">
        <v>4407</v>
      </c>
      <c r="X291" s="6" t="s">
        <v>3290</v>
      </c>
      <c r="Y291" s="6" t="s">
        <v>3140</v>
      </c>
      <c r="Z291" s="6" t="s">
        <v>93</v>
      </c>
      <c r="AA291" s="6" t="s">
        <v>4407</v>
      </c>
      <c r="AB291" s="6" t="s">
        <v>5634</v>
      </c>
      <c r="AC291" s="6" t="s">
        <v>3141</v>
      </c>
      <c r="AD291" s="6" t="s">
        <v>3152</v>
      </c>
      <c r="AE291" s="6" t="s">
        <v>3428</v>
      </c>
      <c r="AF291" s="6" t="s">
        <v>5635</v>
      </c>
      <c r="AG291" s="6" t="s">
        <v>5636</v>
      </c>
      <c r="AH291" s="6" t="s">
        <v>79</v>
      </c>
    </row>
    <row r="292" spans="1:34" x14ac:dyDescent="0.25">
      <c r="A292" s="6" t="s">
        <v>1025</v>
      </c>
      <c r="B292" s="6" t="s">
        <v>1026</v>
      </c>
      <c r="C292" s="6" t="s">
        <v>5637</v>
      </c>
      <c r="D292" s="6" t="s">
        <v>1027</v>
      </c>
      <c r="E292" s="6" t="s">
        <v>3136</v>
      </c>
      <c r="F292" s="6" t="s">
        <v>89</v>
      </c>
      <c r="G292" s="6" t="s">
        <v>417</v>
      </c>
      <c r="H292" s="6" t="s">
        <v>132</v>
      </c>
      <c r="I292" s="6" t="s">
        <v>92</v>
      </c>
      <c r="J292" s="6" t="s">
        <v>5638</v>
      </c>
      <c r="K292" s="6" t="s">
        <v>3141</v>
      </c>
      <c r="L292" s="6" t="s">
        <v>3243</v>
      </c>
      <c r="M292" s="6" t="s">
        <v>3160</v>
      </c>
      <c r="N292" s="6" t="s">
        <v>75</v>
      </c>
      <c r="O292" s="6" t="s">
        <v>3160</v>
      </c>
      <c r="P292" s="6" t="s">
        <v>5639</v>
      </c>
      <c r="Q292" s="6" t="s">
        <v>5640</v>
      </c>
      <c r="R292" s="6" t="s">
        <v>5641</v>
      </c>
      <c r="S292" s="6" t="s">
        <v>3412</v>
      </c>
      <c r="T292" s="6" t="s">
        <v>5642</v>
      </c>
      <c r="U292" s="6" t="s">
        <v>3159</v>
      </c>
      <c r="V292" s="6" t="s">
        <v>4049</v>
      </c>
      <c r="W292" s="6" t="s">
        <v>4485</v>
      </c>
      <c r="X292" s="6" t="s">
        <v>77</v>
      </c>
      <c r="Y292" s="6" t="s">
        <v>3292</v>
      </c>
      <c r="Z292" s="6" t="s">
        <v>93</v>
      </c>
      <c r="AA292" s="6" t="s">
        <v>4227</v>
      </c>
      <c r="AB292" s="6" t="s">
        <v>5643</v>
      </c>
      <c r="AC292" s="6" t="s">
        <v>3159</v>
      </c>
      <c r="AD292" s="6" t="s">
        <v>3243</v>
      </c>
      <c r="AE292" s="6" t="s">
        <v>3136</v>
      </c>
      <c r="AF292" s="6"/>
      <c r="AG292" s="6" t="s">
        <v>5644</v>
      </c>
      <c r="AH292" s="6" t="s">
        <v>94</v>
      </c>
    </row>
    <row r="293" spans="1:34" x14ac:dyDescent="0.25">
      <c r="A293" s="6" t="s">
        <v>1028</v>
      </c>
      <c r="B293" s="6" t="s">
        <v>1029</v>
      </c>
      <c r="C293" s="6" t="s">
        <v>5645</v>
      </c>
      <c r="D293" s="6" t="s">
        <v>5646</v>
      </c>
      <c r="E293" s="6" t="s">
        <v>3505</v>
      </c>
      <c r="F293" s="6" t="s">
        <v>3283</v>
      </c>
      <c r="G293" s="6" t="s">
        <v>115</v>
      </c>
      <c r="H293" s="6" t="s">
        <v>107</v>
      </c>
      <c r="I293" s="6" t="s">
        <v>92</v>
      </c>
      <c r="J293" s="6" t="s">
        <v>5647</v>
      </c>
      <c r="K293" s="6" t="s">
        <v>3159</v>
      </c>
      <c r="L293" s="6" t="s">
        <v>3143</v>
      </c>
      <c r="M293" s="6" t="s">
        <v>3243</v>
      </c>
      <c r="N293" s="6" t="s">
        <v>3160</v>
      </c>
      <c r="O293" s="6" t="s">
        <v>3188</v>
      </c>
      <c r="P293" s="6" t="s">
        <v>5648</v>
      </c>
      <c r="Q293" s="6" t="s">
        <v>5649</v>
      </c>
      <c r="R293" s="6" t="s">
        <v>5650</v>
      </c>
      <c r="S293" s="6" t="s">
        <v>3219</v>
      </c>
      <c r="T293" s="6" t="s">
        <v>3217</v>
      </c>
      <c r="U293" s="6" t="s">
        <v>3141</v>
      </c>
      <c r="V293" s="6" t="s">
        <v>5651</v>
      </c>
      <c r="W293" s="6" t="s">
        <v>4014</v>
      </c>
      <c r="X293" s="6" t="s">
        <v>161</v>
      </c>
      <c r="Y293" s="6" t="s">
        <v>3140</v>
      </c>
      <c r="Z293" s="6" t="s">
        <v>194</v>
      </c>
      <c r="AA293" s="6" t="s">
        <v>5652</v>
      </c>
      <c r="AB293" s="6"/>
      <c r="AC293" s="6" t="s">
        <v>3159</v>
      </c>
      <c r="AD293" s="6" t="s">
        <v>75</v>
      </c>
      <c r="AE293" s="6" t="s">
        <v>3136</v>
      </c>
      <c r="AF293" s="6"/>
      <c r="AG293" s="6" t="s">
        <v>4268</v>
      </c>
      <c r="AH293" s="6" t="s">
        <v>79</v>
      </c>
    </row>
    <row r="294" spans="1:34" x14ac:dyDescent="0.25">
      <c r="A294" s="6" t="s">
        <v>1031</v>
      </c>
      <c r="B294" s="6" t="s">
        <v>1032</v>
      </c>
      <c r="C294" s="6" t="s">
        <v>5653</v>
      </c>
      <c r="D294" s="6" t="s">
        <v>1033</v>
      </c>
      <c r="E294" s="6" t="s">
        <v>4155</v>
      </c>
      <c r="F294" s="6" t="s">
        <v>3201</v>
      </c>
      <c r="G294" s="6" t="s">
        <v>106</v>
      </c>
      <c r="H294" s="6" t="s">
        <v>132</v>
      </c>
      <c r="I294" s="6" t="s">
        <v>92</v>
      </c>
      <c r="J294" s="6" t="s">
        <v>5654</v>
      </c>
      <c r="K294" s="6" t="s">
        <v>3292</v>
      </c>
      <c r="L294" s="6" t="s">
        <v>3173</v>
      </c>
      <c r="M294" s="6" t="s">
        <v>3196</v>
      </c>
      <c r="N294" s="6" t="s">
        <v>3152</v>
      </c>
      <c r="O294" s="6" t="s">
        <v>3173</v>
      </c>
      <c r="P294" s="6" t="s">
        <v>4885</v>
      </c>
      <c r="Q294" s="6" t="s">
        <v>5655</v>
      </c>
      <c r="R294" s="6" t="s">
        <v>5656</v>
      </c>
      <c r="S294" s="6" t="s">
        <v>21</v>
      </c>
      <c r="T294" s="6" t="s">
        <v>5657</v>
      </c>
      <c r="U294" s="6" t="s">
        <v>3159</v>
      </c>
      <c r="V294" s="6" t="s">
        <v>5658</v>
      </c>
      <c r="W294" s="6" t="s">
        <v>3277</v>
      </c>
      <c r="X294" s="6" t="s">
        <v>85</v>
      </c>
      <c r="Y294" s="6" t="s">
        <v>3159</v>
      </c>
      <c r="Z294" s="6" t="s">
        <v>78</v>
      </c>
      <c r="AA294" s="6" t="s">
        <v>3439</v>
      </c>
      <c r="AB294" s="6"/>
      <c r="AC294" s="6" t="s">
        <v>3141</v>
      </c>
      <c r="AD294" s="6" t="s">
        <v>3152</v>
      </c>
      <c r="AE294" s="6" t="s">
        <v>3323</v>
      </c>
      <c r="AF294" s="6"/>
      <c r="AG294" s="6" t="s">
        <v>5659</v>
      </c>
      <c r="AH294" s="6" t="s">
        <v>94</v>
      </c>
    </row>
    <row r="295" spans="1:34" x14ac:dyDescent="0.25">
      <c r="A295" s="6" t="s">
        <v>1034</v>
      </c>
      <c r="B295" s="6" t="s">
        <v>1035</v>
      </c>
      <c r="C295" s="6" t="s">
        <v>5660</v>
      </c>
      <c r="D295" s="6" t="s">
        <v>1036</v>
      </c>
      <c r="E295" s="6" t="s">
        <v>3843</v>
      </c>
      <c r="F295" s="6" t="s">
        <v>3369</v>
      </c>
      <c r="G295" s="6" t="s">
        <v>226</v>
      </c>
      <c r="H295" s="6" t="s">
        <v>84</v>
      </c>
      <c r="I295" s="6" t="s">
        <v>74</v>
      </c>
      <c r="J295" s="6" t="s">
        <v>3217</v>
      </c>
      <c r="K295" s="6" t="s">
        <v>3159</v>
      </c>
      <c r="L295" s="6" t="s">
        <v>3196</v>
      </c>
      <c r="M295" s="6" t="s">
        <v>3160</v>
      </c>
      <c r="N295" s="6" t="s">
        <v>3141</v>
      </c>
      <c r="O295" s="6" t="s">
        <v>3152</v>
      </c>
      <c r="P295" s="6" t="s">
        <v>3902</v>
      </c>
      <c r="Q295" s="6" t="s">
        <v>5661</v>
      </c>
      <c r="R295" s="6" t="s">
        <v>5662</v>
      </c>
      <c r="S295" s="6" t="s">
        <v>21</v>
      </c>
      <c r="T295" s="6"/>
      <c r="U295" s="6" t="s">
        <v>3159</v>
      </c>
      <c r="V295" s="6" t="s">
        <v>4289</v>
      </c>
      <c r="W295" s="6" t="s">
        <v>5064</v>
      </c>
      <c r="X295" s="6" t="s">
        <v>77</v>
      </c>
      <c r="Y295" s="6" t="s">
        <v>3141</v>
      </c>
      <c r="Z295" s="6" t="s">
        <v>3343</v>
      </c>
      <c r="AA295" s="6" t="s">
        <v>3195</v>
      </c>
      <c r="AB295" s="6" t="s">
        <v>5663</v>
      </c>
      <c r="AC295" s="6" t="s">
        <v>3141</v>
      </c>
      <c r="AD295" s="6" t="s">
        <v>75</v>
      </c>
      <c r="AE295" s="6" t="s">
        <v>3235</v>
      </c>
      <c r="AF295" s="6"/>
      <c r="AG295" s="6" t="s">
        <v>5664</v>
      </c>
      <c r="AH295" s="6" t="s">
        <v>79</v>
      </c>
    </row>
    <row r="296" spans="1:34" x14ac:dyDescent="0.25">
      <c r="A296" s="6" t="s">
        <v>1037</v>
      </c>
      <c r="B296" s="6" t="s">
        <v>5665</v>
      </c>
      <c r="C296" s="6" t="s">
        <v>1039</v>
      </c>
      <c r="D296" s="6" t="s">
        <v>1040</v>
      </c>
      <c r="E296" s="6" t="s">
        <v>3240</v>
      </c>
      <c r="F296" s="6" t="s">
        <v>3137</v>
      </c>
      <c r="G296" s="6" t="s">
        <v>106</v>
      </c>
      <c r="H296" s="6" t="s">
        <v>99</v>
      </c>
      <c r="I296" s="6" t="s">
        <v>74</v>
      </c>
      <c r="J296" s="6" t="s">
        <v>5666</v>
      </c>
      <c r="K296" s="6" t="s">
        <v>3140</v>
      </c>
      <c r="L296" s="6" t="s">
        <v>3142</v>
      </c>
      <c r="M296" s="6" t="s">
        <v>3143</v>
      </c>
      <c r="N296" s="6" t="s">
        <v>3159</v>
      </c>
      <c r="O296" s="6" t="s">
        <v>3152</v>
      </c>
      <c r="P296" s="6" t="s">
        <v>5667</v>
      </c>
      <c r="Q296" s="6" t="s">
        <v>5668</v>
      </c>
      <c r="R296" s="6" t="s">
        <v>5669</v>
      </c>
      <c r="S296" s="6" t="s">
        <v>22</v>
      </c>
      <c r="T296" s="6" t="s">
        <v>5670</v>
      </c>
      <c r="U296" s="6" t="s">
        <v>3141</v>
      </c>
      <c r="V296" s="6" t="s">
        <v>3304</v>
      </c>
      <c r="W296" s="6" t="s">
        <v>3364</v>
      </c>
      <c r="X296" s="6" t="s">
        <v>77</v>
      </c>
      <c r="Y296" s="6" t="s">
        <v>3159</v>
      </c>
      <c r="Z296" s="6" t="s">
        <v>78</v>
      </c>
      <c r="AA296" s="6" t="s">
        <v>3166</v>
      </c>
      <c r="AB296" s="6"/>
      <c r="AC296" s="6" t="s">
        <v>3159</v>
      </c>
      <c r="AD296" s="6" t="s">
        <v>3141</v>
      </c>
      <c r="AE296" s="6" t="s">
        <v>3323</v>
      </c>
      <c r="AF296" s="6" t="s">
        <v>5671</v>
      </c>
      <c r="AG296" s="6" t="s">
        <v>5672</v>
      </c>
      <c r="AH296" s="6" t="s">
        <v>79</v>
      </c>
    </row>
    <row r="297" spans="1:34" x14ac:dyDescent="0.25">
      <c r="A297" s="6" t="s">
        <v>1041</v>
      </c>
      <c r="B297" s="6" t="s">
        <v>1011</v>
      </c>
      <c r="C297" s="6" t="s">
        <v>5673</v>
      </c>
      <c r="D297" s="6" t="s">
        <v>1042</v>
      </c>
      <c r="E297" s="6" t="s">
        <v>3760</v>
      </c>
      <c r="F297" s="6" t="s">
        <v>3201</v>
      </c>
      <c r="G297" s="6" t="s">
        <v>131</v>
      </c>
      <c r="H297" s="6" t="s">
        <v>166</v>
      </c>
      <c r="I297" s="6" t="s">
        <v>74</v>
      </c>
      <c r="J297" s="6"/>
      <c r="K297" s="6" t="s">
        <v>3140</v>
      </c>
      <c r="L297" s="6" t="s">
        <v>76</v>
      </c>
      <c r="M297" s="6" t="s">
        <v>3143</v>
      </c>
      <c r="N297" s="6" t="s">
        <v>3159</v>
      </c>
      <c r="O297" s="6" t="s">
        <v>3243</v>
      </c>
      <c r="P297" s="6" t="s">
        <v>5674</v>
      </c>
      <c r="Q297" s="6" t="s">
        <v>5675</v>
      </c>
      <c r="R297" s="6" t="s">
        <v>5676</v>
      </c>
      <c r="S297" s="6" t="s">
        <v>23</v>
      </c>
      <c r="T297" s="6" t="s">
        <v>5677</v>
      </c>
      <c r="U297" s="6" t="s">
        <v>3159</v>
      </c>
      <c r="V297" s="6" t="s">
        <v>4085</v>
      </c>
      <c r="W297" s="6" t="s">
        <v>3404</v>
      </c>
      <c r="X297" s="6" t="s">
        <v>85</v>
      </c>
      <c r="Y297" s="6" t="s">
        <v>3141</v>
      </c>
      <c r="Z297" s="6" t="s">
        <v>78</v>
      </c>
      <c r="AA297" s="6" t="s">
        <v>4982</v>
      </c>
      <c r="AB297" s="6"/>
      <c r="AC297" s="6" t="s">
        <v>3141</v>
      </c>
      <c r="AD297" s="6" t="s">
        <v>75</v>
      </c>
      <c r="AE297" s="6" t="s">
        <v>3513</v>
      </c>
      <c r="AF297" s="6" t="s">
        <v>5678</v>
      </c>
      <c r="AG297" s="6" t="s">
        <v>5679</v>
      </c>
      <c r="AH297" s="6" t="s">
        <v>79</v>
      </c>
    </row>
    <row r="298" spans="1:34" x14ac:dyDescent="0.25">
      <c r="A298" s="6" t="s">
        <v>1043</v>
      </c>
      <c r="B298" s="6" t="s">
        <v>1044</v>
      </c>
      <c r="C298" s="6"/>
      <c r="D298" s="6" t="s">
        <v>5680</v>
      </c>
      <c r="E298" s="6" t="s">
        <v>3170</v>
      </c>
      <c r="F298" s="6" t="s">
        <v>3201</v>
      </c>
      <c r="G298" s="6" t="s">
        <v>72</v>
      </c>
      <c r="H298" s="6" t="s">
        <v>99</v>
      </c>
      <c r="I298" s="6" t="s">
        <v>74</v>
      </c>
      <c r="J298" s="6" t="s">
        <v>5681</v>
      </c>
      <c r="K298" s="6" t="s">
        <v>3192</v>
      </c>
      <c r="L298" s="6" t="s">
        <v>3173</v>
      </c>
      <c r="M298" s="6" t="s">
        <v>3188</v>
      </c>
      <c r="N298" s="6" t="s">
        <v>3173</v>
      </c>
      <c r="O298" s="6" t="s">
        <v>3188</v>
      </c>
      <c r="P298" s="6" t="s">
        <v>5682</v>
      </c>
      <c r="Q298" s="6" t="s">
        <v>5683</v>
      </c>
      <c r="R298" s="6" t="s">
        <v>5684</v>
      </c>
      <c r="S298" s="6" t="s">
        <v>23</v>
      </c>
      <c r="T298" s="6"/>
      <c r="U298" s="6" t="s">
        <v>3159</v>
      </c>
      <c r="V298" s="6" t="s">
        <v>3782</v>
      </c>
      <c r="W298" s="6" t="s">
        <v>4618</v>
      </c>
      <c r="X298" s="6" t="s">
        <v>85</v>
      </c>
      <c r="Y298" s="6" t="s">
        <v>3159</v>
      </c>
      <c r="Z298" s="6" t="s">
        <v>78</v>
      </c>
      <c r="AA298" s="6" t="s">
        <v>3767</v>
      </c>
      <c r="AB298" s="6" t="s">
        <v>5685</v>
      </c>
      <c r="AC298" s="6" t="s">
        <v>3141</v>
      </c>
      <c r="AD298" s="6" t="s">
        <v>3159</v>
      </c>
      <c r="AE298" s="6" t="s">
        <v>3331</v>
      </c>
      <c r="AF298" s="6" t="s">
        <v>5686</v>
      </c>
      <c r="AG298" s="6" t="s">
        <v>5687</v>
      </c>
      <c r="AH298" s="6" t="s">
        <v>79</v>
      </c>
    </row>
    <row r="299" spans="1:34" x14ac:dyDescent="0.25">
      <c r="A299" s="6" t="s">
        <v>1046</v>
      </c>
      <c r="B299" s="6" t="s">
        <v>1047</v>
      </c>
      <c r="C299" s="6" t="s">
        <v>1048</v>
      </c>
      <c r="D299" s="6" t="s">
        <v>1049</v>
      </c>
      <c r="E299" s="6" t="s">
        <v>3460</v>
      </c>
      <c r="F299" s="6" t="s">
        <v>3201</v>
      </c>
      <c r="G299" s="6" t="s">
        <v>115</v>
      </c>
      <c r="H299" s="6" t="s">
        <v>84</v>
      </c>
      <c r="I299" s="6" t="s">
        <v>74</v>
      </c>
      <c r="J299" s="6" t="s">
        <v>5688</v>
      </c>
      <c r="K299" s="6" t="s">
        <v>3140</v>
      </c>
      <c r="L299" s="6" t="s">
        <v>3159</v>
      </c>
      <c r="M299" s="6" t="s">
        <v>3188</v>
      </c>
      <c r="N299" s="6" t="s">
        <v>3160</v>
      </c>
      <c r="O299" s="6" t="s">
        <v>3243</v>
      </c>
      <c r="P299" s="6" t="s">
        <v>4998</v>
      </c>
      <c r="Q299" s="6" t="s">
        <v>5689</v>
      </c>
      <c r="R299" s="6" t="s">
        <v>5690</v>
      </c>
      <c r="S299" s="6" t="s">
        <v>5691</v>
      </c>
      <c r="T299" s="6" t="s">
        <v>5692</v>
      </c>
      <c r="U299" s="6" t="s">
        <v>3141</v>
      </c>
      <c r="V299" s="6" t="s">
        <v>4150</v>
      </c>
      <c r="W299" s="6" t="s">
        <v>3728</v>
      </c>
      <c r="X299" s="6" t="s">
        <v>85</v>
      </c>
      <c r="Y299" s="6" t="s">
        <v>3140</v>
      </c>
      <c r="Z299" s="6" t="s">
        <v>78</v>
      </c>
      <c r="AA299" s="6" t="s">
        <v>5046</v>
      </c>
      <c r="AB299" s="6"/>
      <c r="AC299" s="6" t="s">
        <v>3141</v>
      </c>
      <c r="AD299" s="6" t="s">
        <v>3141</v>
      </c>
      <c r="AE299" s="6" t="s">
        <v>3323</v>
      </c>
      <c r="AF299" s="6"/>
      <c r="AG299" s="6" t="s">
        <v>5693</v>
      </c>
      <c r="AH299" s="6" t="s">
        <v>79</v>
      </c>
    </row>
    <row r="300" spans="1:34" x14ac:dyDescent="0.25">
      <c r="A300" s="6" t="s">
        <v>1050</v>
      </c>
      <c r="B300" s="6" t="s">
        <v>334</v>
      </c>
      <c r="C300" s="6" t="s">
        <v>1051</v>
      </c>
      <c r="D300" s="6" t="s">
        <v>5694</v>
      </c>
      <c r="E300" s="6" t="s">
        <v>3471</v>
      </c>
      <c r="F300" s="6" t="s">
        <v>3227</v>
      </c>
      <c r="G300" s="6" t="s">
        <v>139</v>
      </c>
      <c r="H300" s="6" t="s">
        <v>73</v>
      </c>
      <c r="I300" s="6" t="s">
        <v>74</v>
      </c>
      <c r="J300" s="6" t="s">
        <v>5695</v>
      </c>
      <c r="K300" s="6" t="s">
        <v>3159</v>
      </c>
      <c r="L300" s="6" t="s">
        <v>76</v>
      </c>
      <c r="M300" s="6" t="s">
        <v>75</v>
      </c>
      <c r="N300" s="6" t="s">
        <v>3152</v>
      </c>
      <c r="O300" s="6" t="s">
        <v>75</v>
      </c>
      <c r="P300" s="6" t="s">
        <v>5696</v>
      </c>
      <c r="Q300" s="6" t="s">
        <v>5697</v>
      </c>
      <c r="R300" s="6" t="s">
        <v>5698</v>
      </c>
      <c r="S300" s="6" t="s">
        <v>23</v>
      </c>
      <c r="T300" s="6" t="s">
        <v>5699</v>
      </c>
      <c r="U300" s="6" t="s">
        <v>3140</v>
      </c>
      <c r="V300" s="6" t="s">
        <v>5700</v>
      </c>
      <c r="W300" s="6" t="s">
        <v>5418</v>
      </c>
      <c r="X300" s="6" t="s">
        <v>77</v>
      </c>
      <c r="Y300" s="6" t="s">
        <v>3140</v>
      </c>
      <c r="Z300" s="6" t="s">
        <v>3263</v>
      </c>
      <c r="AA300" s="6" t="s">
        <v>3987</v>
      </c>
      <c r="AB300" s="6"/>
      <c r="AC300" s="6" t="s">
        <v>3141</v>
      </c>
      <c r="AD300" s="6" t="s">
        <v>75</v>
      </c>
      <c r="AE300" s="6" t="s">
        <v>3331</v>
      </c>
      <c r="AF300" s="6" t="s">
        <v>5701</v>
      </c>
      <c r="AG300" s="6" t="s">
        <v>5679</v>
      </c>
      <c r="AH300" s="6" t="s">
        <v>79</v>
      </c>
    </row>
    <row r="301" spans="1:34" x14ac:dyDescent="0.25">
      <c r="A301" s="6" t="s">
        <v>1053</v>
      </c>
      <c r="B301" s="6" t="s">
        <v>1054</v>
      </c>
      <c r="C301" s="6" t="s">
        <v>5702</v>
      </c>
      <c r="D301" s="6" t="s">
        <v>5703</v>
      </c>
      <c r="E301" s="6" t="s">
        <v>4358</v>
      </c>
      <c r="F301" s="6" t="s">
        <v>3283</v>
      </c>
      <c r="G301" s="6" t="s">
        <v>3761</v>
      </c>
      <c r="H301" s="6" t="s">
        <v>91</v>
      </c>
      <c r="I301" s="6" t="s">
        <v>92</v>
      </c>
      <c r="J301" s="6"/>
      <c r="K301" s="6" t="s">
        <v>3140</v>
      </c>
      <c r="L301" s="6" t="s">
        <v>3142</v>
      </c>
      <c r="M301" s="6" t="s">
        <v>3152</v>
      </c>
      <c r="N301" s="6" t="s">
        <v>3143</v>
      </c>
      <c r="O301" s="6" t="s">
        <v>3159</v>
      </c>
      <c r="P301" s="6" t="s">
        <v>5704</v>
      </c>
      <c r="Q301" s="6" t="s">
        <v>5705</v>
      </c>
      <c r="R301" s="6" t="s">
        <v>5706</v>
      </c>
      <c r="S301" s="6" t="s">
        <v>23</v>
      </c>
      <c r="T301" s="6" t="s">
        <v>5707</v>
      </c>
      <c r="U301" s="6" t="s">
        <v>3159</v>
      </c>
      <c r="V301" s="6" t="s">
        <v>3698</v>
      </c>
      <c r="W301" s="6" t="s">
        <v>3195</v>
      </c>
      <c r="X301" s="6" t="s">
        <v>85</v>
      </c>
      <c r="Y301" s="6" t="s">
        <v>3140</v>
      </c>
      <c r="Z301" s="6" t="s">
        <v>78</v>
      </c>
      <c r="AA301" s="6" t="s">
        <v>3907</v>
      </c>
      <c r="AB301" s="6"/>
      <c r="AC301" s="6" t="s">
        <v>3141</v>
      </c>
      <c r="AD301" s="6" t="s">
        <v>3160</v>
      </c>
      <c r="AE301" s="6" t="s">
        <v>3153</v>
      </c>
      <c r="AF301" s="6" t="s">
        <v>5708</v>
      </c>
      <c r="AG301" s="6"/>
      <c r="AH301" s="6" t="s">
        <v>79</v>
      </c>
    </row>
    <row r="302" spans="1:34" x14ac:dyDescent="0.25">
      <c r="A302" s="6" t="s">
        <v>1056</v>
      </c>
      <c r="B302" s="6" t="s">
        <v>1057</v>
      </c>
      <c r="C302" s="6" t="s">
        <v>1058</v>
      </c>
      <c r="D302" s="6" t="s">
        <v>1059</v>
      </c>
      <c r="E302" s="6"/>
      <c r="F302" s="6" t="s">
        <v>71</v>
      </c>
      <c r="G302" s="6" t="s">
        <v>143</v>
      </c>
      <c r="H302" s="6" t="s">
        <v>166</v>
      </c>
      <c r="I302" s="6" t="s">
        <v>74</v>
      </c>
      <c r="J302" s="6" t="s">
        <v>3217</v>
      </c>
      <c r="K302" s="6" t="s">
        <v>3140</v>
      </c>
      <c r="L302" s="6" t="s">
        <v>3141</v>
      </c>
      <c r="M302" s="6" t="s">
        <v>3188</v>
      </c>
      <c r="N302" s="6" t="s">
        <v>76</v>
      </c>
      <c r="O302" s="6" t="s">
        <v>3152</v>
      </c>
      <c r="P302" s="6" t="s">
        <v>5709</v>
      </c>
      <c r="Q302" s="6" t="s">
        <v>5710</v>
      </c>
      <c r="R302" s="6" t="s">
        <v>5711</v>
      </c>
      <c r="S302" s="6" t="s">
        <v>21</v>
      </c>
      <c r="T302" s="6" t="s">
        <v>5712</v>
      </c>
      <c r="U302" s="6" t="s">
        <v>3141</v>
      </c>
      <c r="V302" s="6" t="s">
        <v>5713</v>
      </c>
      <c r="W302" s="6" t="s">
        <v>3730</v>
      </c>
      <c r="X302" s="6" t="s">
        <v>161</v>
      </c>
      <c r="Y302" s="6" t="s">
        <v>3159</v>
      </c>
      <c r="Z302" s="6" t="s">
        <v>3756</v>
      </c>
      <c r="AA302" s="6" t="s">
        <v>3264</v>
      </c>
      <c r="AB302" s="6" t="s">
        <v>5714</v>
      </c>
      <c r="AC302" s="6" t="s">
        <v>3140</v>
      </c>
      <c r="AD302" s="6" t="s">
        <v>75</v>
      </c>
      <c r="AE302" s="6" t="s">
        <v>3293</v>
      </c>
      <c r="AF302" s="6"/>
      <c r="AG302" s="6" t="s">
        <v>5715</v>
      </c>
      <c r="AH302" s="6" t="s">
        <v>79</v>
      </c>
    </row>
    <row r="303" spans="1:34" x14ac:dyDescent="0.25">
      <c r="A303" s="6" t="s">
        <v>1060</v>
      </c>
      <c r="B303" s="6" t="s">
        <v>1061</v>
      </c>
      <c r="C303" s="6" t="s">
        <v>1062</v>
      </c>
      <c r="D303" s="6" t="s">
        <v>1063</v>
      </c>
      <c r="E303" s="6" t="s">
        <v>4155</v>
      </c>
      <c r="F303" s="6" t="s">
        <v>3227</v>
      </c>
      <c r="G303" s="6" t="s">
        <v>5716</v>
      </c>
      <c r="H303" s="6" t="s">
        <v>144</v>
      </c>
      <c r="I303" s="6" t="s">
        <v>92</v>
      </c>
      <c r="J303" s="6" t="s">
        <v>5717</v>
      </c>
      <c r="K303" s="6" t="s">
        <v>3141</v>
      </c>
      <c r="L303" s="6" t="s">
        <v>3143</v>
      </c>
      <c r="M303" s="6" t="s">
        <v>3141</v>
      </c>
      <c r="N303" s="6" t="s">
        <v>3141</v>
      </c>
      <c r="O303" s="6" t="s">
        <v>3243</v>
      </c>
      <c r="P303" s="6" t="s">
        <v>5718</v>
      </c>
      <c r="Q303" s="6" t="s">
        <v>5719</v>
      </c>
      <c r="R303" s="6" t="s">
        <v>5720</v>
      </c>
      <c r="S303" s="6" t="s">
        <v>21</v>
      </c>
      <c r="T303" s="6" t="s">
        <v>5721</v>
      </c>
      <c r="U303" s="6" t="s">
        <v>3141</v>
      </c>
      <c r="V303" s="6" t="s">
        <v>5264</v>
      </c>
      <c r="W303" s="6" t="s">
        <v>4781</v>
      </c>
      <c r="X303" s="6" t="s">
        <v>77</v>
      </c>
      <c r="Y303" s="6" t="s">
        <v>3141</v>
      </c>
      <c r="Z303" s="6" t="s">
        <v>78</v>
      </c>
      <c r="AA303" s="6" t="s">
        <v>3365</v>
      </c>
      <c r="AB303" s="6"/>
      <c r="AC303" s="6" t="s">
        <v>3140</v>
      </c>
      <c r="AD303" s="6" t="s">
        <v>3152</v>
      </c>
      <c r="AE303" s="6" t="s">
        <v>3235</v>
      </c>
      <c r="AF303" s="6"/>
      <c r="AG303" s="6" t="s">
        <v>5722</v>
      </c>
      <c r="AH303" s="6" t="s">
        <v>79</v>
      </c>
    </row>
    <row r="304" spans="1:34" x14ac:dyDescent="0.25">
      <c r="A304" s="6"/>
      <c r="B304" s="6" t="s">
        <v>1065</v>
      </c>
      <c r="C304" s="6" t="s">
        <v>1066</v>
      </c>
      <c r="D304" s="6" t="s">
        <v>5723</v>
      </c>
      <c r="E304" s="6" t="s">
        <v>4155</v>
      </c>
      <c r="F304" s="6" t="s">
        <v>3369</v>
      </c>
      <c r="G304" s="6" t="s">
        <v>5724</v>
      </c>
      <c r="H304" s="6" t="s">
        <v>84</v>
      </c>
      <c r="I304" s="6" t="s">
        <v>74</v>
      </c>
      <c r="J304" s="6" t="s">
        <v>5725</v>
      </c>
      <c r="K304" s="6" t="s">
        <v>3141</v>
      </c>
      <c r="L304" s="6" t="s">
        <v>3243</v>
      </c>
      <c r="M304" s="6" t="s">
        <v>3152</v>
      </c>
      <c r="N304" s="6" t="s">
        <v>75</v>
      </c>
      <c r="O304" s="6" t="s">
        <v>3152</v>
      </c>
      <c r="P304" s="6" t="s">
        <v>5726</v>
      </c>
      <c r="Q304" s="6" t="s">
        <v>3217</v>
      </c>
      <c r="R304" s="6" t="s">
        <v>5727</v>
      </c>
      <c r="S304" s="6" t="s">
        <v>23</v>
      </c>
      <c r="T304" s="6" t="s">
        <v>3217</v>
      </c>
      <c r="U304" s="6" t="s">
        <v>4264</v>
      </c>
      <c r="V304" s="6" t="s">
        <v>4407</v>
      </c>
      <c r="W304" s="6" t="s">
        <v>3943</v>
      </c>
      <c r="X304" s="6" t="s">
        <v>3918</v>
      </c>
      <c r="Y304" s="6" t="s">
        <v>3292</v>
      </c>
      <c r="Z304" s="6" t="s">
        <v>93</v>
      </c>
      <c r="AA304" s="6" t="s">
        <v>3405</v>
      </c>
      <c r="AB304" s="6" t="s">
        <v>5728</v>
      </c>
      <c r="AC304" s="6" t="s">
        <v>3159</v>
      </c>
      <c r="AD304" s="6" t="s">
        <v>75</v>
      </c>
      <c r="AE304" s="6" t="s">
        <v>3513</v>
      </c>
      <c r="AF304" s="6" t="s">
        <v>5729</v>
      </c>
      <c r="AG304" s="6" t="s">
        <v>3919</v>
      </c>
      <c r="AH304" s="6" t="s">
        <v>79</v>
      </c>
    </row>
    <row r="305" spans="1:34" x14ac:dyDescent="0.25">
      <c r="A305" s="6" t="s">
        <v>1067</v>
      </c>
      <c r="B305" s="6" t="s">
        <v>1068</v>
      </c>
      <c r="C305" s="6" t="s">
        <v>5730</v>
      </c>
      <c r="D305" s="6" t="s">
        <v>5731</v>
      </c>
      <c r="E305" s="6" t="s">
        <v>3921</v>
      </c>
      <c r="F305" s="6" t="s">
        <v>3201</v>
      </c>
      <c r="G305" s="6" t="s">
        <v>120</v>
      </c>
      <c r="H305" s="6" t="s">
        <v>91</v>
      </c>
      <c r="I305" s="6" t="s">
        <v>92</v>
      </c>
      <c r="J305" s="6"/>
      <c r="K305" s="6" t="s">
        <v>3140</v>
      </c>
      <c r="L305" s="6" t="s">
        <v>3173</v>
      </c>
      <c r="M305" s="6" t="s">
        <v>3143</v>
      </c>
      <c r="N305" s="6" t="s">
        <v>3160</v>
      </c>
      <c r="O305" s="6" t="s">
        <v>3142</v>
      </c>
      <c r="P305" s="6" t="s">
        <v>5732</v>
      </c>
      <c r="Q305" s="6" t="s">
        <v>5733</v>
      </c>
      <c r="R305" s="6" t="s">
        <v>5734</v>
      </c>
      <c r="S305" s="6" t="s">
        <v>20</v>
      </c>
      <c r="T305" s="6" t="s">
        <v>5735</v>
      </c>
      <c r="U305" s="6" t="s">
        <v>3140</v>
      </c>
      <c r="V305" s="6" t="s">
        <v>4207</v>
      </c>
      <c r="W305" s="6" t="s">
        <v>4470</v>
      </c>
      <c r="X305" s="6" t="s">
        <v>77</v>
      </c>
      <c r="Y305" s="6" t="s">
        <v>3141</v>
      </c>
      <c r="Z305" s="6" t="s">
        <v>78</v>
      </c>
      <c r="AA305" s="6" t="s">
        <v>5032</v>
      </c>
      <c r="AB305" s="6"/>
      <c r="AC305" s="6" t="s">
        <v>3141</v>
      </c>
      <c r="AD305" s="6" t="s">
        <v>3173</v>
      </c>
      <c r="AE305" s="6" t="s">
        <v>3293</v>
      </c>
      <c r="AF305" s="6"/>
      <c r="AG305" s="6" t="s">
        <v>5736</v>
      </c>
      <c r="AH305" s="6" t="s">
        <v>79</v>
      </c>
    </row>
    <row r="306" spans="1:34" x14ac:dyDescent="0.25">
      <c r="A306" s="6" t="s">
        <v>1070</v>
      </c>
      <c r="B306" s="6" t="s">
        <v>5737</v>
      </c>
      <c r="C306" s="6" t="s">
        <v>5738</v>
      </c>
      <c r="D306" s="6" t="s">
        <v>1072</v>
      </c>
      <c r="E306" s="6" t="s">
        <v>3505</v>
      </c>
      <c r="F306" s="6" t="s">
        <v>3227</v>
      </c>
      <c r="G306" s="6" t="s">
        <v>139</v>
      </c>
      <c r="H306" s="6" t="s">
        <v>107</v>
      </c>
      <c r="I306" s="6" t="s">
        <v>92</v>
      </c>
      <c r="J306" s="6"/>
      <c r="K306" s="6" t="s">
        <v>3159</v>
      </c>
      <c r="L306" s="6" t="s">
        <v>3160</v>
      </c>
      <c r="M306" s="6" t="s">
        <v>3142</v>
      </c>
      <c r="N306" s="6" t="s">
        <v>75</v>
      </c>
      <c r="O306" s="6" t="s">
        <v>3141</v>
      </c>
      <c r="P306" s="6" t="s">
        <v>5060</v>
      </c>
      <c r="Q306" s="6" t="s">
        <v>5739</v>
      </c>
      <c r="R306" s="6" t="s">
        <v>5740</v>
      </c>
      <c r="S306" s="6" t="s">
        <v>22</v>
      </c>
      <c r="T306" s="6"/>
      <c r="U306" s="6" t="s">
        <v>3192</v>
      </c>
      <c r="V306" s="6" t="s">
        <v>5741</v>
      </c>
      <c r="W306" s="6" t="s">
        <v>3448</v>
      </c>
      <c r="X306" s="6" t="s">
        <v>85</v>
      </c>
      <c r="Y306" s="6" t="s">
        <v>3140</v>
      </c>
      <c r="Z306" s="6" t="s">
        <v>93</v>
      </c>
      <c r="AA306" s="6" t="s">
        <v>4441</v>
      </c>
      <c r="AB306" s="6"/>
      <c r="AC306" s="6" t="s">
        <v>3141</v>
      </c>
      <c r="AD306" s="6" t="s">
        <v>3152</v>
      </c>
      <c r="AE306" s="6" t="s">
        <v>3279</v>
      </c>
      <c r="AF306" s="6" t="s">
        <v>5742</v>
      </c>
      <c r="AG306" s="6" t="s">
        <v>5743</v>
      </c>
      <c r="AH306" s="6" t="s">
        <v>79</v>
      </c>
    </row>
    <row r="307" spans="1:34" x14ac:dyDescent="0.25">
      <c r="A307" s="6" t="s">
        <v>1073</v>
      </c>
      <c r="B307" s="6" t="s">
        <v>1074</v>
      </c>
      <c r="C307" s="6"/>
      <c r="D307" s="6" t="s">
        <v>1075</v>
      </c>
      <c r="E307" s="6" t="s">
        <v>3843</v>
      </c>
      <c r="F307" s="6" t="s">
        <v>3358</v>
      </c>
      <c r="G307" s="6" t="s">
        <v>72</v>
      </c>
      <c r="H307" s="6" t="s">
        <v>103</v>
      </c>
      <c r="I307" s="6" t="s">
        <v>74</v>
      </c>
      <c r="J307" s="6" t="s">
        <v>5744</v>
      </c>
      <c r="K307" s="6" t="s">
        <v>3159</v>
      </c>
      <c r="L307" s="6" t="s">
        <v>3188</v>
      </c>
      <c r="M307" s="6" t="s">
        <v>3243</v>
      </c>
      <c r="N307" s="6" t="s">
        <v>75</v>
      </c>
      <c r="O307" s="6" t="s">
        <v>3141</v>
      </c>
      <c r="P307" s="6" t="s">
        <v>5745</v>
      </c>
      <c r="Q307" s="6" t="s">
        <v>5746</v>
      </c>
      <c r="R307" s="6" t="s">
        <v>5747</v>
      </c>
      <c r="S307" s="6" t="s">
        <v>3859</v>
      </c>
      <c r="T307" s="6" t="s">
        <v>5748</v>
      </c>
      <c r="U307" s="6" t="s">
        <v>3141</v>
      </c>
      <c r="V307" s="6" t="s">
        <v>5749</v>
      </c>
      <c r="W307" s="6" t="s">
        <v>4675</v>
      </c>
      <c r="X307" s="6" t="s">
        <v>85</v>
      </c>
      <c r="Y307" s="6" t="s">
        <v>3159</v>
      </c>
      <c r="Z307" s="6" t="s">
        <v>78</v>
      </c>
      <c r="AA307" s="6" t="s">
        <v>3195</v>
      </c>
      <c r="AB307" s="6"/>
      <c r="AC307" s="6" t="s">
        <v>3141</v>
      </c>
      <c r="AD307" s="6" t="s">
        <v>3160</v>
      </c>
      <c r="AE307" s="6" t="s">
        <v>3279</v>
      </c>
      <c r="AF307" s="6" t="s">
        <v>5750</v>
      </c>
      <c r="AG307" s="6" t="s">
        <v>4281</v>
      </c>
      <c r="AH307" s="6" t="s">
        <v>94</v>
      </c>
    </row>
    <row r="308" spans="1:34" x14ac:dyDescent="0.25">
      <c r="A308" s="6" t="s">
        <v>1076</v>
      </c>
      <c r="B308" s="6" t="s">
        <v>1077</v>
      </c>
      <c r="C308" s="6"/>
      <c r="D308" s="6" t="s">
        <v>1078</v>
      </c>
      <c r="E308" s="6" t="s">
        <v>4687</v>
      </c>
      <c r="F308" s="6" t="s">
        <v>3227</v>
      </c>
      <c r="G308" s="6" t="s">
        <v>83</v>
      </c>
      <c r="H308" s="6" t="s">
        <v>144</v>
      </c>
      <c r="I308" s="6" t="s">
        <v>92</v>
      </c>
      <c r="J308" s="6" t="s">
        <v>5751</v>
      </c>
      <c r="K308" s="6" t="s">
        <v>3159</v>
      </c>
      <c r="L308" s="6" t="s">
        <v>3188</v>
      </c>
      <c r="M308" s="6" t="s">
        <v>3152</v>
      </c>
      <c r="N308" s="6" t="s">
        <v>3243</v>
      </c>
      <c r="O308" s="6" t="s">
        <v>3152</v>
      </c>
      <c r="P308" s="6" t="s">
        <v>5752</v>
      </c>
      <c r="Q308" s="6"/>
      <c r="R308" s="6" t="s">
        <v>5753</v>
      </c>
      <c r="S308" s="6" t="s">
        <v>22</v>
      </c>
      <c r="T308" s="6" t="s">
        <v>5754</v>
      </c>
      <c r="U308" s="6" t="s">
        <v>3141</v>
      </c>
      <c r="V308" s="6" t="s">
        <v>5755</v>
      </c>
      <c r="W308" s="6" t="s">
        <v>3166</v>
      </c>
      <c r="X308" s="6" t="s">
        <v>85</v>
      </c>
      <c r="Y308" s="6" t="s">
        <v>3141</v>
      </c>
      <c r="Z308" s="6" t="s">
        <v>78</v>
      </c>
      <c r="AA308" s="6" t="s">
        <v>3708</v>
      </c>
      <c r="AB308" s="6"/>
      <c r="AC308" s="6" t="s">
        <v>3140</v>
      </c>
      <c r="AD308" s="6" t="s">
        <v>3141</v>
      </c>
      <c r="AE308" s="6" t="s">
        <v>3136</v>
      </c>
      <c r="AF308" s="6" t="s">
        <v>5756</v>
      </c>
      <c r="AG308" s="6" t="s">
        <v>5757</v>
      </c>
      <c r="AH308" s="6" t="s">
        <v>3334</v>
      </c>
    </row>
    <row r="309" spans="1:34" x14ac:dyDescent="0.25">
      <c r="A309" s="6" t="s">
        <v>1079</v>
      </c>
      <c r="B309" s="6" t="s">
        <v>1080</v>
      </c>
      <c r="C309" s="6" t="s">
        <v>5758</v>
      </c>
      <c r="D309" s="6" t="s">
        <v>5759</v>
      </c>
      <c r="E309" s="6" t="s">
        <v>3170</v>
      </c>
      <c r="F309" s="6" t="s">
        <v>71</v>
      </c>
      <c r="G309" s="6" t="s">
        <v>72</v>
      </c>
      <c r="H309" s="6" t="s">
        <v>73</v>
      </c>
      <c r="I309" s="6" t="s">
        <v>74</v>
      </c>
      <c r="J309" s="6"/>
      <c r="K309" s="6" t="s">
        <v>3140</v>
      </c>
      <c r="L309" s="6" t="s">
        <v>3173</v>
      </c>
      <c r="M309" s="6" t="s">
        <v>3196</v>
      </c>
      <c r="N309" s="6" t="s">
        <v>3152</v>
      </c>
      <c r="O309" s="6" t="s">
        <v>3143</v>
      </c>
      <c r="P309" s="6" t="s">
        <v>4122</v>
      </c>
      <c r="Q309" s="6" t="s">
        <v>5760</v>
      </c>
      <c r="R309" s="6" t="s">
        <v>5761</v>
      </c>
      <c r="S309" s="6" t="s">
        <v>23</v>
      </c>
      <c r="T309" s="6"/>
      <c r="U309" s="6" t="s">
        <v>3192</v>
      </c>
      <c r="V309" s="6" t="s">
        <v>3317</v>
      </c>
      <c r="W309" s="6" t="s">
        <v>3166</v>
      </c>
      <c r="X309" s="6" t="s">
        <v>85</v>
      </c>
      <c r="Y309" s="6" t="s">
        <v>3141</v>
      </c>
      <c r="Z309" s="6" t="s">
        <v>93</v>
      </c>
      <c r="AA309" s="6" t="s">
        <v>5418</v>
      </c>
      <c r="AB309" s="6" t="s">
        <v>5762</v>
      </c>
      <c r="AC309" s="6" t="s">
        <v>3159</v>
      </c>
      <c r="AD309" s="6" t="s">
        <v>3141</v>
      </c>
      <c r="AE309" s="6" t="s">
        <v>3153</v>
      </c>
      <c r="AF309" s="6" t="s">
        <v>5763</v>
      </c>
      <c r="AG309" s="6" t="s">
        <v>5764</v>
      </c>
      <c r="AH309" s="6" t="s">
        <v>3334</v>
      </c>
    </row>
    <row r="310" spans="1:34" x14ac:dyDescent="0.25">
      <c r="A310" s="6" t="s">
        <v>1082</v>
      </c>
      <c r="B310" s="6" t="s">
        <v>1083</v>
      </c>
      <c r="C310" s="6" t="s">
        <v>1084</v>
      </c>
      <c r="D310" s="6" t="s">
        <v>5765</v>
      </c>
      <c r="E310" s="6" t="s">
        <v>3357</v>
      </c>
      <c r="F310" s="6" t="s">
        <v>3358</v>
      </c>
      <c r="G310" s="6" t="s">
        <v>90</v>
      </c>
      <c r="H310" s="6" t="s">
        <v>132</v>
      </c>
      <c r="I310" s="6" t="s">
        <v>92</v>
      </c>
      <c r="J310" s="6" t="s">
        <v>5766</v>
      </c>
      <c r="K310" s="6" t="s">
        <v>3159</v>
      </c>
      <c r="L310" s="6" t="s">
        <v>3196</v>
      </c>
      <c r="M310" s="6" t="s">
        <v>75</v>
      </c>
      <c r="N310" s="6" t="s">
        <v>3152</v>
      </c>
      <c r="O310" s="6" t="s">
        <v>3243</v>
      </c>
      <c r="P310" s="6" t="s">
        <v>5767</v>
      </c>
      <c r="Q310" s="6" t="s">
        <v>3217</v>
      </c>
      <c r="R310" s="6" t="s">
        <v>5768</v>
      </c>
      <c r="S310" s="6" t="s">
        <v>22</v>
      </c>
      <c r="T310" s="6" t="s">
        <v>5769</v>
      </c>
      <c r="U310" s="6" t="s">
        <v>3141</v>
      </c>
      <c r="V310" s="6" t="s">
        <v>4440</v>
      </c>
      <c r="W310" s="6" t="s">
        <v>3792</v>
      </c>
      <c r="X310" s="6" t="s">
        <v>85</v>
      </c>
      <c r="Y310" s="6" t="s">
        <v>3192</v>
      </c>
      <c r="Z310" s="6" t="s">
        <v>78</v>
      </c>
      <c r="AA310" s="6" t="s">
        <v>4126</v>
      </c>
      <c r="AB310" s="6"/>
      <c r="AC310" s="6" t="s">
        <v>3141</v>
      </c>
      <c r="AD310" s="6" t="s">
        <v>3143</v>
      </c>
      <c r="AE310" s="6" t="s">
        <v>3622</v>
      </c>
      <c r="AF310" s="6" t="s">
        <v>5770</v>
      </c>
      <c r="AG310" s="6" t="s">
        <v>5546</v>
      </c>
      <c r="AH310" s="6" t="s">
        <v>79</v>
      </c>
    </row>
    <row r="311" spans="1:34" x14ac:dyDescent="0.25">
      <c r="A311" s="6" t="s">
        <v>1086</v>
      </c>
      <c r="B311" s="6" t="s">
        <v>1087</v>
      </c>
      <c r="C311" s="6" t="s">
        <v>1088</v>
      </c>
      <c r="D311" s="6" t="s">
        <v>1089</v>
      </c>
      <c r="E311" s="6" t="s">
        <v>3309</v>
      </c>
      <c r="F311" s="6" t="s">
        <v>89</v>
      </c>
      <c r="G311" s="6" t="s">
        <v>153</v>
      </c>
      <c r="H311" s="6" t="s">
        <v>4704</v>
      </c>
      <c r="I311" s="6" t="s">
        <v>92</v>
      </c>
      <c r="J311" s="6" t="s">
        <v>5771</v>
      </c>
      <c r="K311" s="6" t="s">
        <v>3140</v>
      </c>
      <c r="L311" s="6" t="s">
        <v>3143</v>
      </c>
      <c r="M311" s="6" t="s">
        <v>3160</v>
      </c>
      <c r="N311" s="6" t="s">
        <v>3142</v>
      </c>
      <c r="O311" s="6" t="s">
        <v>3159</v>
      </c>
      <c r="P311" s="6" t="s">
        <v>5626</v>
      </c>
      <c r="Q311" s="6" t="s">
        <v>5772</v>
      </c>
      <c r="R311" s="6" t="s">
        <v>5773</v>
      </c>
      <c r="S311" s="6" t="s">
        <v>20</v>
      </c>
      <c r="T311" s="6"/>
      <c r="U311" s="6" t="s">
        <v>3141</v>
      </c>
      <c r="V311" s="6" t="s">
        <v>5774</v>
      </c>
      <c r="W311" s="6" t="s">
        <v>3222</v>
      </c>
      <c r="X311" s="6" t="s">
        <v>85</v>
      </c>
      <c r="Y311" s="6" t="s">
        <v>3140</v>
      </c>
      <c r="Z311" s="6" t="s">
        <v>78</v>
      </c>
      <c r="AA311" s="6" t="s">
        <v>3907</v>
      </c>
      <c r="AB311" s="6"/>
      <c r="AC311" s="6" t="s">
        <v>3141</v>
      </c>
      <c r="AD311" s="6" t="s">
        <v>3152</v>
      </c>
      <c r="AE311" s="6" t="s">
        <v>3293</v>
      </c>
      <c r="AF311" s="6"/>
      <c r="AG311" s="6" t="s">
        <v>5775</v>
      </c>
      <c r="AH311" s="6" t="s">
        <v>94</v>
      </c>
    </row>
    <row r="312" spans="1:34" x14ac:dyDescent="0.25">
      <c r="A312" s="6" t="s">
        <v>1090</v>
      </c>
      <c r="B312" s="6" t="s">
        <v>1091</v>
      </c>
      <c r="C312" s="6" t="s">
        <v>5776</v>
      </c>
      <c r="D312" s="6" t="s">
        <v>5777</v>
      </c>
      <c r="E312" s="6" t="s">
        <v>3213</v>
      </c>
      <c r="F312" s="6" t="s">
        <v>71</v>
      </c>
      <c r="G312" s="6" t="s">
        <v>4604</v>
      </c>
      <c r="H312" s="6" t="s">
        <v>84</v>
      </c>
      <c r="I312" s="6" t="s">
        <v>74</v>
      </c>
      <c r="J312" s="6" t="s">
        <v>5778</v>
      </c>
      <c r="K312" s="6" t="s">
        <v>3159</v>
      </c>
      <c r="L312" s="6" t="s">
        <v>3142</v>
      </c>
      <c r="M312" s="6" t="s">
        <v>3243</v>
      </c>
      <c r="N312" s="6" t="s">
        <v>3243</v>
      </c>
      <c r="O312" s="6" t="s">
        <v>3152</v>
      </c>
      <c r="P312" s="6" t="s">
        <v>5779</v>
      </c>
      <c r="Q312" s="6" t="s">
        <v>5780</v>
      </c>
      <c r="R312" s="6" t="s">
        <v>5781</v>
      </c>
      <c r="S312" s="6" t="s">
        <v>5782</v>
      </c>
      <c r="T312" s="6" t="s">
        <v>3217</v>
      </c>
      <c r="U312" s="6" t="s">
        <v>3192</v>
      </c>
      <c r="V312" s="6" t="s">
        <v>5224</v>
      </c>
      <c r="W312" s="6" t="s">
        <v>5156</v>
      </c>
      <c r="X312" s="6" t="s">
        <v>77</v>
      </c>
      <c r="Y312" s="6" t="s">
        <v>3141</v>
      </c>
      <c r="Z312" s="6" t="s">
        <v>4344</v>
      </c>
      <c r="AA312" s="6" t="s">
        <v>3316</v>
      </c>
      <c r="AB312" s="6"/>
      <c r="AC312" s="6" t="s">
        <v>3141</v>
      </c>
      <c r="AD312" s="6" t="s">
        <v>3243</v>
      </c>
      <c r="AE312" s="6" t="s">
        <v>3622</v>
      </c>
      <c r="AF312" s="6" t="s">
        <v>5783</v>
      </c>
      <c r="AG312" s="6" t="s">
        <v>5784</v>
      </c>
      <c r="AH312" s="6" t="s">
        <v>79</v>
      </c>
    </row>
    <row r="313" spans="1:34" x14ac:dyDescent="0.25">
      <c r="A313" s="6" t="s">
        <v>1093</v>
      </c>
      <c r="B313" s="6" t="s">
        <v>412</v>
      </c>
      <c r="C313" s="6" t="s">
        <v>1094</v>
      </c>
      <c r="D313" s="6" t="s">
        <v>5785</v>
      </c>
      <c r="E313" s="6" t="s">
        <v>3240</v>
      </c>
      <c r="F313" s="6" t="s">
        <v>3283</v>
      </c>
      <c r="G313" s="6" t="s">
        <v>417</v>
      </c>
      <c r="H313" s="6" t="s">
        <v>132</v>
      </c>
      <c r="I313" s="6" t="s">
        <v>92</v>
      </c>
      <c r="J313" s="6" t="s">
        <v>5786</v>
      </c>
      <c r="K313" s="6" t="s">
        <v>3140</v>
      </c>
      <c r="L313" s="6" t="s">
        <v>3142</v>
      </c>
      <c r="M313" s="6" t="s">
        <v>3160</v>
      </c>
      <c r="N313" s="6" t="s">
        <v>3152</v>
      </c>
      <c r="O313" s="6" t="s">
        <v>3142</v>
      </c>
      <c r="P313" s="6" t="s">
        <v>5787</v>
      </c>
      <c r="Q313" s="6" t="s">
        <v>5788</v>
      </c>
      <c r="R313" s="6" t="s">
        <v>5789</v>
      </c>
      <c r="S313" s="6" t="s">
        <v>3287</v>
      </c>
      <c r="T313" s="6" t="s">
        <v>5790</v>
      </c>
      <c r="U313" s="6" t="s">
        <v>3159</v>
      </c>
      <c r="V313" s="6" t="s">
        <v>5749</v>
      </c>
      <c r="W313" s="6" t="s">
        <v>4592</v>
      </c>
      <c r="X313" s="6" t="s">
        <v>3167</v>
      </c>
      <c r="Y313" s="6" t="s">
        <v>3140</v>
      </c>
      <c r="Z313" s="6" t="s">
        <v>78</v>
      </c>
      <c r="AA313" s="6" t="s">
        <v>3747</v>
      </c>
      <c r="AB313" s="6"/>
      <c r="AC313" s="6" t="s">
        <v>3140</v>
      </c>
      <c r="AD313" s="6" t="s">
        <v>3143</v>
      </c>
      <c r="AE313" s="6" t="s">
        <v>3136</v>
      </c>
      <c r="AF313" s="6"/>
      <c r="AG313" s="6" t="s">
        <v>5791</v>
      </c>
      <c r="AH313" s="6" t="s">
        <v>79</v>
      </c>
    </row>
    <row r="314" spans="1:34" x14ac:dyDescent="0.25">
      <c r="A314" s="6" t="s">
        <v>1096</v>
      </c>
      <c r="B314" s="6" t="s">
        <v>1097</v>
      </c>
      <c r="C314" s="6" t="s">
        <v>5792</v>
      </c>
      <c r="D314" s="6"/>
      <c r="E314" s="6" t="s">
        <v>3722</v>
      </c>
      <c r="F314" s="6" t="s">
        <v>3201</v>
      </c>
      <c r="G314" s="6" t="s">
        <v>120</v>
      </c>
      <c r="H314" s="6" t="s">
        <v>73</v>
      </c>
      <c r="I314" s="6" t="s">
        <v>74</v>
      </c>
      <c r="J314" s="6" t="s">
        <v>5793</v>
      </c>
      <c r="K314" s="6" t="s">
        <v>3141</v>
      </c>
      <c r="L314" s="6" t="s">
        <v>3141</v>
      </c>
      <c r="M314" s="6" t="s">
        <v>3160</v>
      </c>
      <c r="N314" s="6" t="s">
        <v>3141</v>
      </c>
      <c r="O314" s="6" t="s">
        <v>3243</v>
      </c>
      <c r="P314" s="6" t="s">
        <v>5794</v>
      </c>
      <c r="Q314" s="6" t="s">
        <v>5795</v>
      </c>
      <c r="R314" s="6" t="s">
        <v>5796</v>
      </c>
      <c r="S314" s="6" t="s">
        <v>3219</v>
      </c>
      <c r="T314" s="6" t="s">
        <v>5797</v>
      </c>
      <c r="U314" s="6" t="s">
        <v>3159</v>
      </c>
      <c r="V314" s="6" t="s">
        <v>5798</v>
      </c>
      <c r="W314" s="6" t="s">
        <v>3150</v>
      </c>
      <c r="X314" s="6" t="s">
        <v>85</v>
      </c>
      <c r="Y314" s="6" t="s">
        <v>3140</v>
      </c>
      <c r="Z314" s="6" t="s">
        <v>93</v>
      </c>
      <c r="AA314" s="6" t="s">
        <v>3501</v>
      </c>
      <c r="AB314" s="6"/>
      <c r="AC314" s="6" t="s">
        <v>3159</v>
      </c>
      <c r="AD314" s="6" t="s">
        <v>3141</v>
      </c>
      <c r="AE314" s="6" t="s">
        <v>3293</v>
      </c>
      <c r="AF314" s="6"/>
      <c r="AG314" s="6" t="s">
        <v>5799</v>
      </c>
      <c r="AH314" s="6" t="s">
        <v>3334</v>
      </c>
    </row>
    <row r="315" spans="1:34" x14ac:dyDescent="0.25">
      <c r="A315" s="6" t="s">
        <v>1098</v>
      </c>
      <c r="B315" s="6" t="s">
        <v>1099</v>
      </c>
      <c r="C315" s="6" t="s">
        <v>1100</v>
      </c>
      <c r="D315" s="6" t="s">
        <v>5800</v>
      </c>
      <c r="E315" s="6" t="s">
        <v>3309</v>
      </c>
      <c r="F315" s="6" t="s">
        <v>71</v>
      </c>
      <c r="G315" s="6" t="s">
        <v>131</v>
      </c>
      <c r="H315" s="6" t="s">
        <v>5066</v>
      </c>
      <c r="I315" s="6" t="s">
        <v>92</v>
      </c>
      <c r="J315" s="6" t="s">
        <v>5801</v>
      </c>
      <c r="K315" s="6" t="s">
        <v>3140</v>
      </c>
      <c r="L315" s="6" t="s">
        <v>3173</v>
      </c>
      <c r="M315" s="6" t="s">
        <v>3173</v>
      </c>
      <c r="N315" s="6" t="s">
        <v>3152</v>
      </c>
      <c r="O315" s="6" t="s">
        <v>75</v>
      </c>
      <c r="P315" s="6" t="s">
        <v>5452</v>
      </c>
      <c r="Q315" s="6" t="s">
        <v>5802</v>
      </c>
      <c r="R315" s="6" t="s">
        <v>5803</v>
      </c>
      <c r="S315" s="6" t="s">
        <v>3219</v>
      </c>
      <c r="T315" s="6" t="s">
        <v>5804</v>
      </c>
      <c r="U315" s="6" t="s">
        <v>3159</v>
      </c>
      <c r="V315" s="6" t="s">
        <v>5805</v>
      </c>
      <c r="W315" s="6" t="s">
        <v>3598</v>
      </c>
      <c r="X315" s="6" t="s">
        <v>85</v>
      </c>
      <c r="Y315" s="6" t="s">
        <v>3141</v>
      </c>
      <c r="Z315" s="6" t="s">
        <v>93</v>
      </c>
      <c r="AA315" s="6" t="s">
        <v>5806</v>
      </c>
      <c r="AB315" s="6"/>
      <c r="AC315" s="6" t="s">
        <v>3159</v>
      </c>
      <c r="AD315" s="6" t="s">
        <v>75</v>
      </c>
      <c r="AE315" s="6" t="s">
        <v>3235</v>
      </c>
      <c r="AF315" s="6"/>
      <c r="AG315" s="6" t="s">
        <v>5807</v>
      </c>
      <c r="AH315" s="6" t="s">
        <v>79</v>
      </c>
    </row>
    <row r="316" spans="1:34" x14ac:dyDescent="0.25">
      <c r="A316" s="6" t="s">
        <v>1102</v>
      </c>
      <c r="B316" s="6" t="s">
        <v>634</v>
      </c>
      <c r="C316" s="6" t="s">
        <v>5808</v>
      </c>
      <c r="D316" s="6" t="s">
        <v>5809</v>
      </c>
      <c r="E316" s="6" t="s">
        <v>3185</v>
      </c>
      <c r="F316" s="6" t="s">
        <v>3214</v>
      </c>
      <c r="G316" s="6" t="s">
        <v>417</v>
      </c>
      <c r="H316" s="6" t="s">
        <v>166</v>
      </c>
      <c r="I316" s="6" t="s">
        <v>74</v>
      </c>
      <c r="J316" s="6"/>
      <c r="K316" s="6" t="s">
        <v>3140</v>
      </c>
      <c r="L316" s="6" t="s">
        <v>3141</v>
      </c>
      <c r="M316" s="6" t="s">
        <v>3188</v>
      </c>
      <c r="N316" s="6" t="s">
        <v>76</v>
      </c>
      <c r="O316" s="6" t="s">
        <v>75</v>
      </c>
      <c r="P316" s="6" t="s">
        <v>3779</v>
      </c>
      <c r="Q316" s="6" t="s">
        <v>5810</v>
      </c>
      <c r="R316" s="6" t="s">
        <v>5811</v>
      </c>
      <c r="S316" s="6" t="s">
        <v>23</v>
      </c>
      <c r="T316" s="6" t="s">
        <v>5812</v>
      </c>
      <c r="U316" s="6" t="s">
        <v>3141</v>
      </c>
      <c r="V316" s="6" t="s">
        <v>3896</v>
      </c>
      <c r="W316" s="6" t="s">
        <v>4398</v>
      </c>
      <c r="X316" s="6" t="s">
        <v>77</v>
      </c>
      <c r="Y316" s="6" t="s">
        <v>3159</v>
      </c>
      <c r="Z316" s="6" t="s">
        <v>78</v>
      </c>
      <c r="AA316" s="6" t="s">
        <v>4161</v>
      </c>
      <c r="AB316" s="6" t="s">
        <v>5813</v>
      </c>
      <c r="AC316" s="6" t="s">
        <v>3141</v>
      </c>
      <c r="AD316" s="6" t="s">
        <v>75</v>
      </c>
      <c r="AE316" s="6" t="s">
        <v>3331</v>
      </c>
      <c r="AF316" s="6" t="s">
        <v>5814</v>
      </c>
      <c r="AG316" s="6" t="s">
        <v>5815</v>
      </c>
      <c r="AH316" s="6" t="s">
        <v>79</v>
      </c>
    </row>
    <row r="317" spans="1:34" x14ac:dyDescent="0.25">
      <c r="A317" s="6" t="s">
        <v>1104</v>
      </c>
      <c r="B317" s="6" t="s">
        <v>5816</v>
      </c>
      <c r="C317" s="6" t="s">
        <v>5817</v>
      </c>
      <c r="D317" s="6" t="s">
        <v>1106</v>
      </c>
      <c r="E317" s="6" t="s">
        <v>3254</v>
      </c>
      <c r="F317" s="6" t="s">
        <v>3214</v>
      </c>
      <c r="G317" s="6" t="s">
        <v>226</v>
      </c>
      <c r="H317" s="6" t="s">
        <v>84</v>
      </c>
      <c r="I317" s="6" t="s">
        <v>74</v>
      </c>
      <c r="J317" s="6"/>
      <c r="K317" s="6" t="s">
        <v>3159</v>
      </c>
      <c r="L317" s="6" t="s">
        <v>3173</v>
      </c>
      <c r="M317" s="6" t="s">
        <v>3143</v>
      </c>
      <c r="N317" s="6" t="s">
        <v>75</v>
      </c>
      <c r="O317" s="6" t="s">
        <v>75</v>
      </c>
      <c r="P317" s="6" t="s">
        <v>5818</v>
      </c>
      <c r="Q317" s="6" t="s">
        <v>5819</v>
      </c>
      <c r="R317" s="6" t="s">
        <v>5820</v>
      </c>
      <c r="S317" s="6" t="s">
        <v>22</v>
      </c>
      <c r="T317" s="6" t="s">
        <v>3217</v>
      </c>
      <c r="U317" s="6" t="s">
        <v>3141</v>
      </c>
      <c r="V317" s="6" t="s">
        <v>3303</v>
      </c>
      <c r="W317" s="6" t="s">
        <v>3249</v>
      </c>
      <c r="X317" s="6" t="s">
        <v>85</v>
      </c>
      <c r="Y317" s="6" t="s">
        <v>3141</v>
      </c>
      <c r="Z317" s="6" t="s">
        <v>3895</v>
      </c>
      <c r="AA317" s="6" t="s">
        <v>5032</v>
      </c>
      <c r="AB317" s="6" t="s">
        <v>5821</v>
      </c>
      <c r="AC317" s="6" t="s">
        <v>3292</v>
      </c>
      <c r="AD317" s="6" t="s">
        <v>3152</v>
      </c>
      <c r="AE317" s="6" t="s">
        <v>3622</v>
      </c>
      <c r="AF317" s="6" t="s">
        <v>5822</v>
      </c>
      <c r="AG317" s="6" t="s">
        <v>5823</v>
      </c>
      <c r="AH317" s="6" t="s">
        <v>79</v>
      </c>
    </row>
    <row r="318" spans="1:34" x14ac:dyDescent="0.25">
      <c r="A318" s="6" t="s">
        <v>1107</v>
      </c>
      <c r="B318" s="6" t="s">
        <v>1108</v>
      </c>
      <c r="C318" s="6" t="s">
        <v>5824</v>
      </c>
      <c r="D318" s="6" t="s">
        <v>1109</v>
      </c>
      <c r="E318" s="6" t="s">
        <v>3185</v>
      </c>
      <c r="F318" s="6" t="s">
        <v>3369</v>
      </c>
      <c r="G318" s="6" t="s">
        <v>5825</v>
      </c>
      <c r="H318" s="6" t="s">
        <v>5066</v>
      </c>
      <c r="I318" s="6" t="s">
        <v>92</v>
      </c>
      <c r="J318" s="6" t="s">
        <v>5826</v>
      </c>
      <c r="K318" s="6" t="s">
        <v>3141</v>
      </c>
      <c r="L318" s="6" t="s">
        <v>3152</v>
      </c>
      <c r="M318" s="6" t="s">
        <v>3141</v>
      </c>
      <c r="N318" s="6" t="s">
        <v>3152</v>
      </c>
      <c r="O318" s="6" t="s">
        <v>3243</v>
      </c>
      <c r="P318" s="6" t="s">
        <v>5007</v>
      </c>
      <c r="Q318" s="6"/>
      <c r="R318" s="6" t="s">
        <v>5827</v>
      </c>
      <c r="S318" s="6" t="s">
        <v>21</v>
      </c>
      <c r="T318" s="6" t="s">
        <v>5828</v>
      </c>
      <c r="U318" s="6" t="s">
        <v>3140</v>
      </c>
      <c r="V318" s="6" t="s">
        <v>5829</v>
      </c>
      <c r="W318" s="6" t="s">
        <v>3642</v>
      </c>
      <c r="X318" s="6" t="s">
        <v>85</v>
      </c>
      <c r="Y318" s="6" t="s">
        <v>3141</v>
      </c>
      <c r="Z318" s="6" t="s">
        <v>78</v>
      </c>
      <c r="AA318" s="6" t="s">
        <v>3455</v>
      </c>
      <c r="AB318" s="6"/>
      <c r="AC318" s="6" t="s">
        <v>3141</v>
      </c>
      <c r="AD318" s="6" t="s">
        <v>75</v>
      </c>
      <c r="AE318" s="6" t="s">
        <v>3136</v>
      </c>
      <c r="AF318" s="6"/>
      <c r="AG318" s="6" t="s">
        <v>5468</v>
      </c>
      <c r="AH318" s="6" t="s">
        <v>79</v>
      </c>
    </row>
    <row r="319" spans="1:34" x14ac:dyDescent="0.25">
      <c r="A319" s="6" t="s">
        <v>1110</v>
      </c>
      <c r="B319" s="6" t="s">
        <v>5830</v>
      </c>
      <c r="C319" s="6" t="s">
        <v>5831</v>
      </c>
      <c r="D319" s="6" t="s">
        <v>1112</v>
      </c>
      <c r="E319" s="6" t="s">
        <v>3296</v>
      </c>
      <c r="F319" s="6" t="s">
        <v>3201</v>
      </c>
      <c r="G319" s="6" t="s">
        <v>106</v>
      </c>
      <c r="H319" s="6" t="s">
        <v>103</v>
      </c>
      <c r="I319" s="6" t="s">
        <v>74</v>
      </c>
      <c r="J319" s="6" t="s">
        <v>5832</v>
      </c>
      <c r="K319" s="6" t="s">
        <v>3292</v>
      </c>
      <c r="L319" s="6" t="s">
        <v>76</v>
      </c>
      <c r="M319" s="6" t="s">
        <v>3141</v>
      </c>
      <c r="N319" s="6" t="s">
        <v>3142</v>
      </c>
      <c r="O319" s="6" t="s">
        <v>76</v>
      </c>
      <c r="P319" s="6" t="s">
        <v>5639</v>
      </c>
      <c r="Q319" s="6" t="s">
        <v>5833</v>
      </c>
      <c r="R319" s="6" t="s">
        <v>5834</v>
      </c>
      <c r="S319" s="6" t="s">
        <v>21</v>
      </c>
      <c r="T319" s="6" t="s">
        <v>5835</v>
      </c>
      <c r="U319" s="6" t="s">
        <v>3141</v>
      </c>
      <c r="V319" s="6" t="s">
        <v>5836</v>
      </c>
      <c r="W319" s="6" t="s">
        <v>5002</v>
      </c>
      <c r="X319" s="6" t="s">
        <v>77</v>
      </c>
      <c r="Y319" s="6" t="s">
        <v>3140</v>
      </c>
      <c r="Z319" s="6" t="s">
        <v>93</v>
      </c>
      <c r="AA319" s="6" t="s">
        <v>4933</v>
      </c>
      <c r="AB319" s="6"/>
      <c r="AC319" s="6" t="s">
        <v>3141</v>
      </c>
      <c r="AD319" s="6" t="s">
        <v>3143</v>
      </c>
      <c r="AE319" s="6" t="s">
        <v>3293</v>
      </c>
      <c r="AF319" s="6"/>
      <c r="AG319" s="6" t="s">
        <v>5837</v>
      </c>
      <c r="AH319" s="6" t="s">
        <v>79</v>
      </c>
    </row>
    <row r="320" spans="1:34" x14ac:dyDescent="0.25">
      <c r="A320" s="6" t="s">
        <v>1113</v>
      </c>
      <c r="B320" s="6" t="s">
        <v>1114</v>
      </c>
      <c r="C320" s="6" t="s">
        <v>5838</v>
      </c>
      <c r="D320" s="6" t="s">
        <v>1115</v>
      </c>
      <c r="E320" s="6"/>
      <c r="F320" s="6" t="s">
        <v>3283</v>
      </c>
      <c r="G320" s="6" t="s">
        <v>417</v>
      </c>
      <c r="H320" s="6" t="s">
        <v>144</v>
      </c>
      <c r="I320" s="6" t="s">
        <v>92</v>
      </c>
      <c r="J320" s="6" t="s">
        <v>5839</v>
      </c>
      <c r="K320" s="6" t="s">
        <v>3159</v>
      </c>
      <c r="L320" s="6" t="s">
        <v>3141</v>
      </c>
      <c r="M320" s="6" t="s">
        <v>75</v>
      </c>
      <c r="N320" s="6" t="s">
        <v>3159</v>
      </c>
      <c r="O320" s="6" t="s">
        <v>3243</v>
      </c>
      <c r="P320" s="6" t="s">
        <v>5718</v>
      </c>
      <c r="Q320" s="6" t="s">
        <v>5840</v>
      </c>
      <c r="R320" s="6" t="s">
        <v>5841</v>
      </c>
      <c r="S320" s="6" t="s">
        <v>23</v>
      </c>
      <c r="T320" s="6" t="s">
        <v>5842</v>
      </c>
      <c r="U320" s="6" t="s">
        <v>3141</v>
      </c>
      <c r="V320" s="6" t="s">
        <v>5843</v>
      </c>
      <c r="W320" s="6" t="s">
        <v>4420</v>
      </c>
      <c r="X320" s="6" t="s">
        <v>4030</v>
      </c>
      <c r="Y320" s="6" t="s">
        <v>3140</v>
      </c>
      <c r="Z320" s="6" t="s">
        <v>93</v>
      </c>
      <c r="AA320" s="6" t="s">
        <v>3489</v>
      </c>
      <c r="AB320" s="6"/>
      <c r="AC320" s="6" t="s">
        <v>3159</v>
      </c>
      <c r="AD320" s="6" t="s">
        <v>3152</v>
      </c>
      <c r="AE320" s="6" t="s">
        <v>3153</v>
      </c>
      <c r="AF320" s="6" t="s">
        <v>5844</v>
      </c>
      <c r="AG320" s="6" t="s">
        <v>5845</v>
      </c>
      <c r="AH320" s="6" t="s">
        <v>79</v>
      </c>
    </row>
    <row r="321" spans="1:34" x14ac:dyDescent="0.25">
      <c r="A321" s="6" t="s">
        <v>1116</v>
      </c>
      <c r="B321" s="6" t="s">
        <v>1117</v>
      </c>
      <c r="C321" s="6" t="s">
        <v>1118</v>
      </c>
      <c r="D321" s="6" t="s">
        <v>1119</v>
      </c>
      <c r="E321" s="6" t="s">
        <v>3843</v>
      </c>
      <c r="F321" s="6" t="s">
        <v>3227</v>
      </c>
      <c r="G321" s="6" t="s">
        <v>4329</v>
      </c>
      <c r="H321" s="6" t="s">
        <v>166</v>
      </c>
      <c r="I321" s="6" t="s">
        <v>74</v>
      </c>
      <c r="J321" s="6"/>
      <c r="K321" s="6" t="s">
        <v>3159</v>
      </c>
      <c r="L321" s="6" t="s">
        <v>3142</v>
      </c>
      <c r="M321" s="6" t="s">
        <v>3141</v>
      </c>
      <c r="N321" s="6" t="s">
        <v>3152</v>
      </c>
      <c r="O321" s="6" t="s">
        <v>75</v>
      </c>
      <c r="P321" s="6" t="s">
        <v>5846</v>
      </c>
      <c r="Q321" s="6" t="s">
        <v>5847</v>
      </c>
      <c r="R321" s="6" t="s">
        <v>5848</v>
      </c>
      <c r="S321" s="6" t="s">
        <v>23</v>
      </c>
      <c r="T321" s="6" t="s">
        <v>5849</v>
      </c>
      <c r="U321" s="6" t="s">
        <v>3159</v>
      </c>
      <c r="V321" s="6" t="s">
        <v>5850</v>
      </c>
      <c r="W321" s="6" t="s">
        <v>3802</v>
      </c>
      <c r="X321" s="6" t="s">
        <v>85</v>
      </c>
      <c r="Y321" s="6" t="s">
        <v>3141</v>
      </c>
      <c r="Z321" s="6" t="s">
        <v>194</v>
      </c>
      <c r="AA321" s="6" t="s">
        <v>3195</v>
      </c>
      <c r="AB321" s="6"/>
      <c r="AC321" s="6" t="s">
        <v>3292</v>
      </c>
      <c r="AD321" s="6" t="s">
        <v>75</v>
      </c>
      <c r="AE321" s="6" t="s">
        <v>3428</v>
      </c>
      <c r="AF321" s="6" t="s">
        <v>5851</v>
      </c>
      <c r="AG321" s="6" t="s">
        <v>5852</v>
      </c>
      <c r="AH321" s="6" t="s">
        <v>79</v>
      </c>
    </row>
    <row r="322" spans="1:34" x14ac:dyDescent="0.25">
      <c r="A322" s="6" t="s">
        <v>1120</v>
      </c>
      <c r="B322" s="6" t="s">
        <v>1121</v>
      </c>
      <c r="C322" s="6" t="s">
        <v>5853</v>
      </c>
      <c r="D322" s="6" t="s">
        <v>1122</v>
      </c>
      <c r="E322" s="6" t="s">
        <v>3647</v>
      </c>
      <c r="F322" s="6" t="s">
        <v>3137</v>
      </c>
      <c r="G322" s="6" t="s">
        <v>153</v>
      </c>
      <c r="H322" s="6" t="s">
        <v>84</v>
      </c>
      <c r="I322" s="6" t="s">
        <v>74</v>
      </c>
      <c r="J322" s="6" t="s">
        <v>5854</v>
      </c>
      <c r="K322" s="6" t="s">
        <v>3140</v>
      </c>
      <c r="L322" s="6" t="s">
        <v>75</v>
      </c>
      <c r="M322" s="6" t="s">
        <v>3188</v>
      </c>
      <c r="N322" s="6" t="s">
        <v>76</v>
      </c>
      <c r="O322" s="6" t="s">
        <v>3152</v>
      </c>
      <c r="P322" s="6" t="s">
        <v>3889</v>
      </c>
      <c r="Q322" s="6" t="s">
        <v>3217</v>
      </c>
      <c r="R322" s="6" t="s">
        <v>5855</v>
      </c>
      <c r="S322" s="6" t="s">
        <v>20</v>
      </c>
      <c r="T322" s="6" t="s">
        <v>5856</v>
      </c>
      <c r="U322" s="6" t="s">
        <v>3141</v>
      </c>
      <c r="V322" s="6" t="s">
        <v>3540</v>
      </c>
      <c r="W322" s="6" t="s">
        <v>4126</v>
      </c>
      <c r="X322" s="6" t="s">
        <v>3167</v>
      </c>
      <c r="Y322" s="6" t="s">
        <v>3140</v>
      </c>
      <c r="Z322" s="6" t="s">
        <v>78</v>
      </c>
      <c r="AA322" s="6" t="s">
        <v>4194</v>
      </c>
      <c r="AB322" s="6"/>
      <c r="AC322" s="6" t="s">
        <v>3141</v>
      </c>
      <c r="AD322" s="6" t="s">
        <v>3141</v>
      </c>
      <c r="AE322" s="6" t="s">
        <v>3169</v>
      </c>
      <c r="AF322" s="6"/>
      <c r="AG322" s="6" t="s">
        <v>3875</v>
      </c>
      <c r="AH322" s="6" t="s">
        <v>79</v>
      </c>
    </row>
    <row r="323" spans="1:34" x14ac:dyDescent="0.25">
      <c r="A323" s="6" t="s">
        <v>1123</v>
      </c>
      <c r="B323" s="6" t="s">
        <v>1124</v>
      </c>
      <c r="C323" s="6" t="s">
        <v>1125</v>
      </c>
      <c r="D323" s="6" t="s">
        <v>1126</v>
      </c>
      <c r="E323" s="6" t="s">
        <v>3420</v>
      </c>
      <c r="F323" s="6" t="s">
        <v>3137</v>
      </c>
      <c r="G323" s="6" t="s">
        <v>139</v>
      </c>
      <c r="H323" s="6" t="s">
        <v>73</v>
      </c>
      <c r="I323" s="6" t="s">
        <v>74</v>
      </c>
      <c r="J323" s="6" t="s">
        <v>5857</v>
      </c>
      <c r="K323" s="6" t="s">
        <v>3140</v>
      </c>
      <c r="L323" s="6" t="s">
        <v>3160</v>
      </c>
      <c r="M323" s="6" t="s">
        <v>3173</v>
      </c>
      <c r="N323" s="6" t="s">
        <v>3196</v>
      </c>
      <c r="O323" s="6" t="s">
        <v>3243</v>
      </c>
      <c r="P323" s="6" t="s">
        <v>5858</v>
      </c>
      <c r="Q323" s="6" t="s">
        <v>3217</v>
      </c>
      <c r="R323" s="6" t="s">
        <v>5859</v>
      </c>
      <c r="S323" s="6" t="s">
        <v>22</v>
      </c>
      <c r="T323" s="6"/>
      <c r="U323" s="6" t="s">
        <v>3141</v>
      </c>
      <c r="V323" s="6" t="s">
        <v>4160</v>
      </c>
      <c r="W323" s="6" t="s">
        <v>4398</v>
      </c>
      <c r="X323" s="6" t="s">
        <v>85</v>
      </c>
      <c r="Y323" s="6" t="s">
        <v>3192</v>
      </c>
      <c r="Z323" s="6" t="s">
        <v>78</v>
      </c>
      <c r="AA323" s="6" t="s">
        <v>4068</v>
      </c>
      <c r="AB323" s="6"/>
      <c r="AC323" s="6" t="s">
        <v>3141</v>
      </c>
      <c r="AD323" s="6" t="s">
        <v>3159</v>
      </c>
      <c r="AE323" s="6" t="s">
        <v>3136</v>
      </c>
      <c r="AF323" s="6" t="s">
        <v>5860</v>
      </c>
      <c r="AG323" s="6" t="s">
        <v>5861</v>
      </c>
      <c r="AH323" s="6" t="s">
        <v>79</v>
      </c>
    </row>
    <row r="324" spans="1:34" x14ac:dyDescent="0.25">
      <c r="A324" s="6" t="s">
        <v>1127</v>
      </c>
      <c r="B324" s="6" t="s">
        <v>1128</v>
      </c>
      <c r="C324" s="6" t="s">
        <v>1129</v>
      </c>
      <c r="D324" s="6" t="s">
        <v>5862</v>
      </c>
      <c r="E324" s="6" t="s">
        <v>3185</v>
      </c>
      <c r="F324" s="6" t="s">
        <v>89</v>
      </c>
      <c r="G324" s="6" t="s">
        <v>106</v>
      </c>
      <c r="H324" s="6" t="s">
        <v>107</v>
      </c>
      <c r="I324" s="6" t="s">
        <v>92</v>
      </c>
      <c r="J324" s="6"/>
      <c r="K324" s="6" t="s">
        <v>3159</v>
      </c>
      <c r="L324" s="6" t="s">
        <v>3159</v>
      </c>
      <c r="M324" s="6" t="s">
        <v>3141</v>
      </c>
      <c r="N324" s="6" t="s">
        <v>3160</v>
      </c>
      <c r="O324" s="6" t="s">
        <v>3152</v>
      </c>
      <c r="P324" s="6" t="s">
        <v>4089</v>
      </c>
      <c r="Q324" s="6"/>
      <c r="R324" s="6" t="s">
        <v>5863</v>
      </c>
      <c r="S324" s="6" t="s">
        <v>21</v>
      </c>
      <c r="T324" s="6"/>
      <c r="U324" s="6" t="s">
        <v>3192</v>
      </c>
      <c r="V324" s="6" t="s">
        <v>3757</v>
      </c>
      <c r="W324" s="6" t="s">
        <v>4563</v>
      </c>
      <c r="X324" s="6" t="s">
        <v>85</v>
      </c>
      <c r="Y324" s="6" t="s">
        <v>3141</v>
      </c>
      <c r="Z324" s="6" t="s">
        <v>93</v>
      </c>
      <c r="AA324" s="6" t="s">
        <v>3532</v>
      </c>
      <c r="AB324" s="6" t="s">
        <v>5864</v>
      </c>
      <c r="AC324" s="6" t="s">
        <v>3292</v>
      </c>
      <c r="AD324" s="6" t="s">
        <v>3243</v>
      </c>
      <c r="AE324" s="6" t="s">
        <v>3323</v>
      </c>
      <c r="AF324" s="6"/>
      <c r="AG324" s="6" t="s">
        <v>5865</v>
      </c>
      <c r="AH324" s="6" t="s">
        <v>79</v>
      </c>
    </row>
    <row r="325" spans="1:34" x14ac:dyDescent="0.25">
      <c r="A325" s="6" t="s">
        <v>1131</v>
      </c>
      <c r="B325" s="6" t="s">
        <v>1132</v>
      </c>
      <c r="C325" s="6" t="s">
        <v>5866</v>
      </c>
      <c r="D325" s="6" t="s">
        <v>1133</v>
      </c>
      <c r="E325" s="6" t="s">
        <v>4828</v>
      </c>
      <c r="F325" s="6" t="s">
        <v>3358</v>
      </c>
      <c r="G325" s="6" t="s">
        <v>215</v>
      </c>
      <c r="H325" s="6" t="s">
        <v>132</v>
      </c>
      <c r="I325" s="6" t="s">
        <v>92</v>
      </c>
      <c r="J325" s="6"/>
      <c r="K325" s="6" t="s">
        <v>3141</v>
      </c>
      <c r="L325" s="6" t="s">
        <v>3152</v>
      </c>
      <c r="M325" s="6" t="s">
        <v>3160</v>
      </c>
      <c r="N325" s="6" t="s">
        <v>75</v>
      </c>
      <c r="O325" s="6" t="s">
        <v>3152</v>
      </c>
      <c r="P325" s="6" t="s">
        <v>5867</v>
      </c>
      <c r="Q325" s="6" t="s">
        <v>5868</v>
      </c>
      <c r="R325" s="6" t="s">
        <v>5869</v>
      </c>
      <c r="S325" s="6" t="s">
        <v>3859</v>
      </c>
      <c r="T325" s="6"/>
      <c r="U325" s="6" t="s">
        <v>3292</v>
      </c>
      <c r="V325" s="6" t="s">
        <v>5570</v>
      </c>
      <c r="W325" s="6" t="s">
        <v>4194</v>
      </c>
      <c r="X325" s="6" t="s">
        <v>77</v>
      </c>
      <c r="Y325" s="6" t="s">
        <v>3159</v>
      </c>
      <c r="Z325" s="6" t="s">
        <v>93</v>
      </c>
      <c r="AA325" s="6" t="s">
        <v>3632</v>
      </c>
      <c r="AB325" s="6"/>
      <c r="AC325" s="6" t="s">
        <v>3159</v>
      </c>
      <c r="AD325" s="6" t="s">
        <v>3143</v>
      </c>
      <c r="AE325" s="6" t="s">
        <v>3210</v>
      </c>
      <c r="AF325" s="6" t="s">
        <v>5870</v>
      </c>
      <c r="AG325" s="6" t="s">
        <v>4864</v>
      </c>
      <c r="AH325" s="6" t="s">
        <v>79</v>
      </c>
    </row>
    <row r="326" spans="1:34" x14ac:dyDescent="0.25">
      <c r="A326" s="6" t="s">
        <v>1134</v>
      </c>
      <c r="B326" s="6" t="s">
        <v>1135</v>
      </c>
      <c r="C326" s="6"/>
      <c r="D326" s="6" t="s">
        <v>1136</v>
      </c>
      <c r="E326" s="6" t="s">
        <v>4190</v>
      </c>
      <c r="F326" s="6" t="s">
        <v>3214</v>
      </c>
      <c r="G326" s="6" t="s">
        <v>143</v>
      </c>
      <c r="H326" s="6" t="s">
        <v>144</v>
      </c>
      <c r="I326" s="6" t="s">
        <v>92</v>
      </c>
      <c r="J326" s="6" t="s">
        <v>5871</v>
      </c>
      <c r="K326" s="6" t="s">
        <v>3140</v>
      </c>
      <c r="L326" s="6" t="s">
        <v>3142</v>
      </c>
      <c r="M326" s="6" t="s">
        <v>3188</v>
      </c>
      <c r="N326" s="6" t="s">
        <v>3141</v>
      </c>
      <c r="O326" s="6" t="s">
        <v>3143</v>
      </c>
      <c r="P326" s="6" t="s">
        <v>5872</v>
      </c>
      <c r="Q326" s="6" t="s">
        <v>5873</v>
      </c>
      <c r="R326" s="6" t="s">
        <v>5874</v>
      </c>
      <c r="S326" s="6" t="s">
        <v>21</v>
      </c>
      <c r="T326" s="6" t="s">
        <v>5875</v>
      </c>
      <c r="U326" s="6" t="s">
        <v>3141</v>
      </c>
      <c r="V326" s="6" t="s">
        <v>5876</v>
      </c>
      <c r="W326" s="6" t="s">
        <v>3455</v>
      </c>
      <c r="X326" s="6" t="s">
        <v>85</v>
      </c>
      <c r="Y326" s="6" t="s">
        <v>3140</v>
      </c>
      <c r="Z326" s="6" t="s">
        <v>93</v>
      </c>
      <c r="AA326" s="6" t="s">
        <v>3262</v>
      </c>
      <c r="AB326" s="6"/>
      <c r="AC326" s="6" t="s">
        <v>3141</v>
      </c>
      <c r="AD326" s="6" t="s">
        <v>3243</v>
      </c>
      <c r="AE326" s="6" t="s">
        <v>3293</v>
      </c>
      <c r="AF326" s="6"/>
      <c r="AG326" s="6" t="s">
        <v>5877</v>
      </c>
      <c r="AH326" s="6" t="s">
        <v>79</v>
      </c>
    </row>
    <row r="327" spans="1:34" x14ac:dyDescent="0.25">
      <c r="A327" s="6" t="s">
        <v>1137</v>
      </c>
      <c r="B327" s="6" t="s">
        <v>1138</v>
      </c>
      <c r="C327" s="6" t="s">
        <v>1139</v>
      </c>
      <c r="D327" s="6" t="s">
        <v>5878</v>
      </c>
      <c r="E327" s="6" t="s">
        <v>3282</v>
      </c>
      <c r="F327" s="6" t="s">
        <v>3358</v>
      </c>
      <c r="G327" s="6" t="s">
        <v>174</v>
      </c>
      <c r="H327" s="6" t="s">
        <v>99</v>
      </c>
      <c r="I327" s="6" t="s">
        <v>74</v>
      </c>
      <c r="J327" s="6" t="s">
        <v>5879</v>
      </c>
      <c r="K327" s="6" t="s">
        <v>3140</v>
      </c>
      <c r="L327" s="6" t="s">
        <v>75</v>
      </c>
      <c r="M327" s="6" t="s">
        <v>3159</v>
      </c>
      <c r="N327" s="6" t="s">
        <v>3196</v>
      </c>
      <c r="O327" s="6" t="s">
        <v>3152</v>
      </c>
      <c r="P327" s="6" t="s">
        <v>5880</v>
      </c>
      <c r="Q327" s="6" t="s">
        <v>5881</v>
      </c>
      <c r="R327" s="6" t="s">
        <v>5882</v>
      </c>
      <c r="S327" s="6" t="s">
        <v>20</v>
      </c>
      <c r="T327" s="6"/>
      <c r="U327" s="6" t="s">
        <v>3159</v>
      </c>
      <c r="V327" s="6" t="s">
        <v>5883</v>
      </c>
      <c r="W327" s="6" t="s">
        <v>3928</v>
      </c>
      <c r="X327" s="6" t="s">
        <v>85</v>
      </c>
      <c r="Y327" s="6" t="s">
        <v>3141</v>
      </c>
      <c r="Z327" s="6" t="s">
        <v>78</v>
      </c>
      <c r="AA327" s="6" t="s">
        <v>3577</v>
      </c>
      <c r="AB327" s="6"/>
      <c r="AC327" s="6" t="s">
        <v>3141</v>
      </c>
      <c r="AD327" s="6" t="s">
        <v>3141</v>
      </c>
      <c r="AE327" s="6" t="s">
        <v>3169</v>
      </c>
      <c r="AF327" s="6"/>
      <c r="AG327" s="6" t="s">
        <v>5884</v>
      </c>
      <c r="AH327" s="6" t="s">
        <v>79</v>
      </c>
    </row>
    <row r="328" spans="1:34" x14ac:dyDescent="0.25">
      <c r="A328" s="6" t="s">
        <v>1141</v>
      </c>
      <c r="B328" s="6" t="s">
        <v>1142</v>
      </c>
      <c r="C328" s="6" t="s">
        <v>5885</v>
      </c>
      <c r="D328" s="6"/>
      <c r="E328" s="6" t="s">
        <v>3309</v>
      </c>
      <c r="F328" s="6" t="s">
        <v>3201</v>
      </c>
      <c r="G328" s="6" t="s">
        <v>120</v>
      </c>
      <c r="H328" s="6" t="s">
        <v>107</v>
      </c>
      <c r="I328" s="6" t="s">
        <v>92</v>
      </c>
      <c r="J328" s="6"/>
      <c r="K328" s="6" t="s">
        <v>3141</v>
      </c>
      <c r="L328" s="6" t="s">
        <v>3141</v>
      </c>
      <c r="M328" s="6" t="s">
        <v>75</v>
      </c>
      <c r="N328" s="6" t="s">
        <v>3160</v>
      </c>
      <c r="O328" s="6" t="s">
        <v>3243</v>
      </c>
      <c r="P328" s="6" t="s">
        <v>5886</v>
      </c>
      <c r="Q328" s="6" t="s">
        <v>5887</v>
      </c>
      <c r="R328" s="6" t="s">
        <v>5888</v>
      </c>
      <c r="S328" s="6" t="s">
        <v>22</v>
      </c>
      <c r="T328" s="6"/>
      <c r="U328" s="6" t="s">
        <v>3159</v>
      </c>
      <c r="V328" s="6" t="s">
        <v>5889</v>
      </c>
      <c r="W328" s="6" t="s">
        <v>3478</v>
      </c>
      <c r="X328" s="6" t="s">
        <v>85</v>
      </c>
      <c r="Y328" s="6" t="s">
        <v>3292</v>
      </c>
      <c r="Z328" s="6" t="s">
        <v>194</v>
      </c>
      <c r="AA328" s="6" t="s">
        <v>4067</v>
      </c>
      <c r="AB328" s="6"/>
      <c r="AC328" s="6" t="s">
        <v>3159</v>
      </c>
      <c r="AD328" s="6" t="s">
        <v>75</v>
      </c>
      <c r="AE328" s="6" t="s">
        <v>3235</v>
      </c>
      <c r="AF328" s="6" t="s">
        <v>5890</v>
      </c>
      <c r="AG328" s="6" t="s">
        <v>5891</v>
      </c>
      <c r="AH328" s="6" t="s">
        <v>79</v>
      </c>
    </row>
    <row r="329" spans="1:34" x14ac:dyDescent="0.25">
      <c r="A329" s="6" t="s">
        <v>1143</v>
      </c>
      <c r="B329" s="6" t="s">
        <v>1144</v>
      </c>
      <c r="C329" s="6" t="s">
        <v>1145</v>
      </c>
      <c r="D329" s="6" t="s">
        <v>1146</v>
      </c>
      <c r="E329" s="6" t="s">
        <v>3170</v>
      </c>
      <c r="F329" s="6" t="s">
        <v>3358</v>
      </c>
      <c r="G329" s="6" t="s">
        <v>120</v>
      </c>
      <c r="H329" s="6" t="s">
        <v>91</v>
      </c>
      <c r="I329" s="6" t="s">
        <v>92</v>
      </c>
      <c r="J329" s="6" t="s">
        <v>3217</v>
      </c>
      <c r="K329" s="6" t="s">
        <v>3159</v>
      </c>
      <c r="L329" s="6" t="s">
        <v>3160</v>
      </c>
      <c r="M329" s="6" t="s">
        <v>75</v>
      </c>
      <c r="N329" s="6" t="s">
        <v>3142</v>
      </c>
      <c r="O329" s="6" t="s">
        <v>3143</v>
      </c>
      <c r="P329" s="6" t="s">
        <v>3553</v>
      </c>
      <c r="Q329" s="6" t="s">
        <v>5892</v>
      </c>
      <c r="R329" s="6" t="s">
        <v>5893</v>
      </c>
      <c r="S329" s="6" t="s">
        <v>20</v>
      </c>
      <c r="T329" s="6"/>
      <c r="U329" s="6" t="s">
        <v>3275</v>
      </c>
      <c r="V329" s="6" t="s">
        <v>3489</v>
      </c>
      <c r="W329" s="6" t="s">
        <v>3477</v>
      </c>
      <c r="X329" s="6" t="s">
        <v>77</v>
      </c>
      <c r="Y329" s="6" t="s">
        <v>3292</v>
      </c>
      <c r="Z329" s="6" t="s">
        <v>3664</v>
      </c>
      <c r="AA329" s="6" t="s">
        <v>4919</v>
      </c>
      <c r="AB329" s="6" t="s">
        <v>5894</v>
      </c>
      <c r="AC329" s="6" t="s">
        <v>3141</v>
      </c>
      <c r="AD329" s="6" t="s">
        <v>3143</v>
      </c>
      <c r="AE329" s="6" t="s">
        <v>3136</v>
      </c>
      <c r="AF329" s="6"/>
      <c r="AG329" s="6" t="s">
        <v>5895</v>
      </c>
      <c r="AH329" s="6" t="s">
        <v>79</v>
      </c>
    </row>
    <row r="330" spans="1:34" x14ac:dyDescent="0.25">
      <c r="A330" s="6" t="s">
        <v>1147</v>
      </c>
      <c r="B330" s="6" t="s">
        <v>1148</v>
      </c>
      <c r="C330" s="6" t="s">
        <v>1149</v>
      </c>
      <c r="D330" s="6" t="s">
        <v>1150</v>
      </c>
      <c r="E330" s="6" t="s">
        <v>3626</v>
      </c>
      <c r="F330" s="6" t="s">
        <v>3283</v>
      </c>
      <c r="G330" s="6" t="s">
        <v>215</v>
      </c>
      <c r="H330" s="6" t="s">
        <v>103</v>
      </c>
      <c r="I330" s="6" t="s">
        <v>74</v>
      </c>
      <c r="J330" s="6"/>
      <c r="K330" s="6" t="s">
        <v>3292</v>
      </c>
      <c r="L330" s="6" t="s">
        <v>3173</v>
      </c>
      <c r="M330" s="6" t="s">
        <v>76</v>
      </c>
      <c r="N330" s="6" t="s">
        <v>3152</v>
      </c>
      <c r="O330" s="6" t="s">
        <v>3188</v>
      </c>
      <c r="P330" s="6" t="s">
        <v>4253</v>
      </c>
      <c r="Q330" s="6" t="s">
        <v>5896</v>
      </c>
      <c r="R330" s="6" t="s">
        <v>5897</v>
      </c>
      <c r="S330" s="6" t="s">
        <v>21</v>
      </c>
      <c r="T330" s="6" t="s">
        <v>5898</v>
      </c>
      <c r="U330" s="6" t="s">
        <v>3141</v>
      </c>
      <c r="V330" s="6" t="s">
        <v>5031</v>
      </c>
      <c r="W330" s="6" t="s">
        <v>3976</v>
      </c>
      <c r="X330" s="6" t="s">
        <v>3290</v>
      </c>
      <c r="Y330" s="6" t="s">
        <v>3141</v>
      </c>
      <c r="Z330" s="6" t="s">
        <v>93</v>
      </c>
      <c r="AA330" s="6" t="s">
        <v>3303</v>
      </c>
      <c r="AB330" s="6" t="s">
        <v>5899</v>
      </c>
      <c r="AC330" s="6" t="s">
        <v>3159</v>
      </c>
      <c r="AD330" s="6" t="s">
        <v>75</v>
      </c>
      <c r="AE330" s="6" t="s">
        <v>3136</v>
      </c>
      <c r="AF330" s="6"/>
      <c r="AG330" s="6" t="s">
        <v>5900</v>
      </c>
      <c r="AH330" s="6" t="s">
        <v>79</v>
      </c>
    </row>
    <row r="331" spans="1:34" x14ac:dyDescent="0.25">
      <c r="A331" s="6" t="s">
        <v>1151</v>
      </c>
      <c r="B331" s="6" t="s">
        <v>1152</v>
      </c>
      <c r="C331" s="6" t="s">
        <v>1153</v>
      </c>
      <c r="D331" s="6" t="s">
        <v>5901</v>
      </c>
      <c r="E331" s="6" t="s">
        <v>3170</v>
      </c>
      <c r="F331" s="6" t="s">
        <v>3201</v>
      </c>
      <c r="G331" s="6" t="s">
        <v>153</v>
      </c>
      <c r="H331" s="6" t="s">
        <v>107</v>
      </c>
      <c r="I331" s="6" t="s">
        <v>92</v>
      </c>
      <c r="J331" s="6" t="s">
        <v>5902</v>
      </c>
      <c r="K331" s="6" t="s">
        <v>3140</v>
      </c>
      <c r="L331" s="6" t="s">
        <v>3142</v>
      </c>
      <c r="M331" s="6" t="s">
        <v>3243</v>
      </c>
      <c r="N331" s="6" t="s">
        <v>3142</v>
      </c>
      <c r="O331" s="6" t="s">
        <v>3141</v>
      </c>
      <c r="P331" s="6" t="s">
        <v>5903</v>
      </c>
      <c r="Q331" s="6" t="s">
        <v>5904</v>
      </c>
      <c r="R331" s="6" t="s">
        <v>5905</v>
      </c>
      <c r="S331" s="6" t="s">
        <v>20</v>
      </c>
      <c r="T331" s="6"/>
      <c r="U331" s="6" t="s">
        <v>3159</v>
      </c>
      <c r="V331" s="6" t="s">
        <v>5419</v>
      </c>
      <c r="W331" s="6" t="s">
        <v>3264</v>
      </c>
      <c r="X331" s="6" t="s">
        <v>85</v>
      </c>
      <c r="Y331" s="6" t="s">
        <v>3159</v>
      </c>
      <c r="Z331" s="6" t="s">
        <v>78</v>
      </c>
      <c r="AA331" s="6" t="s">
        <v>3233</v>
      </c>
      <c r="AB331" s="6"/>
      <c r="AC331" s="6" t="s">
        <v>3141</v>
      </c>
      <c r="AD331" s="6" t="s">
        <v>75</v>
      </c>
      <c r="AE331" s="6" t="s">
        <v>3293</v>
      </c>
      <c r="AF331" s="6"/>
      <c r="AG331" s="6" t="s">
        <v>4327</v>
      </c>
      <c r="AH331" s="6" t="s">
        <v>79</v>
      </c>
    </row>
    <row r="332" spans="1:34" x14ac:dyDescent="0.25">
      <c r="A332" s="6" t="s">
        <v>1155</v>
      </c>
      <c r="B332" s="6" t="s">
        <v>1156</v>
      </c>
      <c r="C332" s="6" t="s">
        <v>5906</v>
      </c>
      <c r="D332" s="6" t="s">
        <v>5907</v>
      </c>
      <c r="E332" s="6" t="s">
        <v>3636</v>
      </c>
      <c r="F332" s="6" t="s">
        <v>3283</v>
      </c>
      <c r="G332" s="6" t="s">
        <v>417</v>
      </c>
      <c r="H332" s="6" t="s">
        <v>84</v>
      </c>
      <c r="I332" s="6" t="s">
        <v>74</v>
      </c>
      <c r="J332" s="6"/>
      <c r="K332" s="6" t="s">
        <v>3159</v>
      </c>
      <c r="L332" s="6" t="s">
        <v>3142</v>
      </c>
      <c r="M332" s="6" t="s">
        <v>3141</v>
      </c>
      <c r="N332" s="6" t="s">
        <v>3152</v>
      </c>
      <c r="O332" s="6" t="s">
        <v>3243</v>
      </c>
      <c r="P332" s="6" t="s">
        <v>5908</v>
      </c>
      <c r="Q332" s="6"/>
      <c r="R332" s="6" t="s">
        <v>5909</v>
      </c>
      <c r="S332" s="6" t="s">
        <v>22</v>
      </c>
      <c r="T332" s="6" t="s">
        <v>5910</v>
      </c>
      <c r="U332" s="6" t="s">
        <v>3159</v>
      </c>
      <c r="V332" s="6" t="s">
        <v>3697</v>
      </c>
      <c r="W332" s="6" t="s">
        <v>3264</v>
      </c>
      <c r="X332" s="6" t="s">
        <v>85</v>
      </c>
      <c r="Y332" s="6" t="s">
        <v>3141</v>
      </c>
      <c r="Z332" s="6" t="s">
        <v>78</v>
      </c>
      <c r="AA332" s="6" t="s">
        <v>3490</v>
      </c>
      <c r="AB332" s="6"/>
      <c r="AC332" s="6" t="s">
        <v>3159</v>
      </c>
      <c r="AD332" s="6" t="s">
        <v>3160</v>
      </c>
      <c r="AE332" s="6" t="s">
        <v>3210</v>
      </c>
      <c r="AF332" s="6" t="s">
        <v>5911</v>
      </c>
      <c r="AG332" s="6" t="s">
        <v>5912</v>
      </c>
      <c r="AH332" s="6" t="s">
        <v>79</v>
      </c>
    </row>
    <row r="333" spans="1:34" x14ac:dyDescent="0.25">
      <c r="A333" s="6" t="s">
        <v>1158</v>
      </c>
      <c r="B333" s="6" t="s">
        <v>1159</v>
      </c>
      <c r="C333" s="6" t="s">
        <v>5913</v>
      </c>
      <c r="D333" s="6" t="s">
        <v>1160</v>
      </c>
      <c r="E333" s="6" t="s">
        <v>3921</v>
      </c>
      <c r="F333" s="6" t="s">
        <v>71</v>
      </c>
      <c r="G333" s="6" t="s">
        <v>215</v>
      </c>
      <c r="H333" s="6" t="s">
        <v>107</v>
      </c>
      <c r="I333" s="6" t="s">
        <v>92</v>
      </c>
      <c r="J333" s="6" t="s">
        <v>5914</v>
      </c>
      <c r="K333" s="6" t="s">
        <v>3140</v>
      </c>
      <c r="L333" s="6" t="s">
        <v>3173</v>
      </c>
      <c r="M333" s="6" t="s">
        <v>76</v>
      </c>
      <c r="N333" s="6" t="s">
        <v>3160</v>
      </c>
      <c r="O333" s="6" t="s">
        <v>3243</v>
      </c>
      <c r="P333" s="6" t="s">
        <v>5915</v>
      </c>
      <c r="Q333" s="6" t="s">
        <v>3217</v>
      </c>
      <c r="R333" s="6" t="s">
        <v>5916</v>
      </c>
      <c r="S333" s="6" t="s">
        <v>21</v>
      </c>
      <c r="T333" s="6" t="s">
        <v>5917</v>
      </c>
      <c r="U333" s="6" t="s">
        <v>3192</v>
      </c>
      <c r="V333" s="6" t="s">
        <v>5918</v>
      </c>
      <c r="W333" s="6" t="s">
        <v>3447</v>
      </c>
      <c r="X333" s="6" t="s">
        <v>77</v>
      </c>
      <c r="Y333" s="6" t="s">
        <v>3140</v>
      </c>
      <c r="Z333" s="6" t="s">
        <v>78</v>
      </c>
      <c r="AA333" s="6" t="s">
        <v>3587</v>
      </c>
      <c r="AB333" s="6" t="s">
        <v>5919</v>
      </c>
      <c r="AC333" s="6" t="s">
        <v>3141</v>
      </c>
      <c r="AD333" s="6" t="s">
        <v>3142</v>
      </c>
      <c r="AE333" s="6" t="s">
        <v>3279</v>
      </c>
      <c r="AF333" s="6"/>
      <c r="AG333" s="6" t="s">
        <v>4042</v>
      </c>
      <c r="AH333" s="6" t="s">
        <v>79</v>
      </c>
    </row>
    <row r="334" spans="1:34" x14ac:dyDescent="0.25">
      <c r="A334" s="6" t="s">
        <v>1161</v>
      </c>
      <c r="B334" s="6" t="s">
        <v>1162</v>
      </c>
      <c r="C334" s="6" t="s">
        <v>5920</v>
      </c>
      <c r="D334" s="6" t="s">
        <v>1163</v>
      </c>
      <c r="E334" s="6" t="s">
        <v>3200</v>
      </c>
      <c r="F334" s="6" t="s">
        <v>3214</v>
      </c>
      <c r="G334" s="6" t="s">
        <v>3712</v>
      </c>
      <c r="H334" s="6" t="s">
        <v>166</v>
      </c>
      <c r="I334" s="6" t="s">
        <v>74</v>
      </c>
      <c r="J334" s="6" t="s">
        <v>5921</v>
      </c>
      <c r="K334" s="6" t="s">
        <v>3140</v>
      </c>
      <c r="L334" s="6" t="s">
        <v>3152</v>
      </c>
      <c r="M334" s="6" t="s">
        <v>75</v>
      </c>
      <c r="N334" s="6" t="s">
        <v>3196</v>
      </c>
      <c r="O334" s="6" t="s">
        <v>76</v>
      </c>
      <c r="P334" s="6" t="s">
        <v>5922</v>
      </c>
      <c r="Q334" s="6" t="s">
        <v>5923</v>
      </c>
      <c r="R334" s="6" t="s">
        <v>5924</v>
      </c>
      <c r="S334" s="6" t="s">
        <v>21</v>
      </c>
      <c r="T334" s="6" t="s">
        <v>5925</v>
      </c>
      <c r="U334" s="6" t="s">
        <v>3141</v>
      </c>
      <c r="V334" s="6" t="s">
        <v>4568</v>
      </c>
      <c r="W334" s="6" t="s">
        <v>4485</v>
      </c>
      <c r="X334" s="6" t="s">
        <v>77</v>
      </c>
      <c r="Y334" s="6" t="s">
        <v>3159</v>
      </c>
      <c r="Z334" s="6" t="s">
        <v>93</v>
      </c>
      <c r="AA334" s="6" t="s">
        <v>5926</v>
      </c>
      <c r="AB334" s="6" t="s">
        <v>5927</v>
      </c>
      <c r="AC334" s="6" t="s">
        <v>3141</v>
      </c>
      <c r="AD334" s="6" t="s">
        <v>3152</v>
      </c>
      <c r="AE334" s="6" t="s">
        <v>3136</v>
      </c>
      <c r="AF334" s="6"/>
      <c r="AG334" s="6" t="s">
        <v>5928</v>
      </c>
      <c r="AH334" s="6" t="s">
        <v>79</v>
      </c>
    </row>
    <row r="335" spans="1:34" x14ac:dyDescent="0.25">
      <c r="A335" s="6" t="s">
        <v>1164</v>
      </c>
      <c r="B335" s="6" t="s">
        <v>1165</v>
      </c>
      <c r="C335" s="6" t="s">
        <v>1166</v>
      </c>
      <c r="D335" s="6"/>
      <c r="E335" s="6" t="s">
        <v>3626</v>
      </c>
      <c r="F335" s="6" t="s">
        <v>3283</v>
      </c>
      <c r="G335" s="6" t="s">
        <v>215</v>
      </c>
      <c r="H335" s="6" t="s">
        <v>144</v>
      </c>
      <c r="I335" s="6" t="s">
        <v>92</v>
      </c>
      <c r="J335" s="6" t="s">
        <v>5929</v>
      </c>
      <c r="K335" s="6" t="s">
        <v>3140</v>
      </c>
      <c r="L335" s="6" t="s">
        <v>3173</v>
      </c>
      <c r="M335" s="6" t="s">
        <v>3141</v>
      </c>
      <c r="N335" s="6" t="s">
        <v>3173</v>
      </c>
      <c r="O335" s="6" t="s">
        <v>3141</v>
      </c>
      <c r="P335" s="6" t="s">
        <v>5930</v>
      </c>
      <c r="Q335" s="6"/>
      <c r="R335" s="6" t="s">
        <v>5931</v>
      </c>
      <c r="S335" s="6" t="s">
        <v>23</v>
      </c>
      <c r="T335" s="6" t="s">
        <v>5932</v>
      </c>
      <c r="U335" s="6" t="s">
        <v>3141</v>
      </c>
      <c r="V335" s="6" t="s">
        <v>3598</v>
      </c>
      <c r="W335" s="6" t="s">
        <v>3811</v>
      </c>
      <c r="X335" s="6" t="s">
        <v>85</v>
      </c>
      <c r="Y335" s="6" t="s">
        <v>3141</v>
      </c>
      <c r="Z335" s="6" t="s">
        <v>78</v>
      </c>
      <c r="AA335" s="6" t="s">
        <v>5933</v>
      </c>
      <c r="AB335" s="6"/>
      <c r="AC335" s="6" t="s">
        <v>3140</v>
      </c>
      <c r="AD335" s="6" t="s">
        <v>3173</v>
      </c>
      <c r="AE335" s="6" t="s">
        <v>3318</v>
      </c>
      <c r="AF335" s="6" t="s">
        <v>5934</v>
      </c>
      <c r="AG335" s="6" t="s">
        <v>5935</v>
      </c>
      <c r="AH335" s="6" t="s">
        <v>79</v>
      </c>
    </row>
    <row r="336" spans="1:34" x14ac:dyDescent="0.25">
      <c r="A336" s="6" t="s">
        <v>1167</v>
      </c>
      <c r="B336" s="6" t="s">
        <v>1168</v>
      </c>
      <c r="C336" s="6" t="s">
        <v>5936</v>
      </c>
      <c r="D336" s="6"/>
      <c r="E336" s="6" t="s">
        <v>3213</v>
      </c>
      <c r="F336" s="6" t="s">
        <v>3358</v>
      </c>
      <c r="G336" s="6" t="s">
        <v>90</v>
      </c>
      <c r="H336" s="6" t="s">
        <v>144</v>
      </c>
      <c r="I336" s="6" t="s">
        <v>92</v>
      </c>
      <c r="J336" s="6" t="s">
        <v>5937</v>
      </c>
      <c r="K336" s="6" t="s">
        <v>3159</v>
      </c>
      <c r="L336" s="6" t="s">
        <v>3143</v>
      </c>
      <c r="M336" s="6" t="s">
        <v>3142</v>
      </c>
      <c r="N336" s="6" t="s">
        <v>3160</v>
      </c>
      <c r="O336" s="6" t="s">
        <v>3243</v>
      </c>
      <c r="P336" s="6" t="s">
        <v>5938</v>
      </c>
      <c r="Q336" s="6"/>
      <c r="R336" s="6" t="s">
        <v>5939</v>
      </c>
      <c r="S336" s="6" t="s">
        <v>3671</v>
      </c>
      <c r="T336" s="6"/>
      <c r="U336" s="6" t="s">
        <v>3141</v>
      </c>
      <c r="V336" s="6" t="s">
        <v>5940</v>
      </c>
      <c r="W336" s="6" t="s">
        <v>3317</v>
      </c>
      <c r="X336" s="6" t="s">
        <v>85</v>
      </c>
      <c r="Y336" s="6" t="s">
        <v>3140</v>
      </c>
      <c r="Z336" s="6" t="s">
        <v>78</v>
      </c>
      <c r="AA336" s="6" t="s">
        <v>4013</v>
      </c>
      <c r="AB336" s="6" t="s">
        <v>5941</v>
      </c>
      <c r="AC336" s="6" t="s">
        <v>3141</v>
      </c>
      <c r="AD336" s="6" t="s">
        <v>3141</v>
      </c>
      <c r="AE336" s="6" t="s">
        <v>3318</v>
      </c>
      <c r="AF336" s="6" t="s">
        <v>5942</v>
      </c>
      <c r="AG336" s="6" t="s">
        <v>5943</v>
      </c>
      <c r="AH336" s="6" t="s">
        <v>3334</v>
      </c>
    </row>
    <row r="337" spans="1:34" x14ac:dyDescent="0.25">
      <c r="A337" s="6" t="s">
        <v>1169</v>
      </c>
      <c r="B337" s="6" t="s">
        <v>1170</v>
      </c>
      <c r="C337" s="6" t="s">
        <v>5944</v>
      </c>
      <c r="D337" s="6" t="s">
        <v>5945</v>
      </c>
      <c r="E337" s="6" t="s">
        <v>3235</v>
      </c>
      <c r="F337" s="6" t="s">
        <v>3227</v>
      </c>
      <c r="G337" s="6" t="s">
        <v>72</v>
      </c>
      <c r="H337" s="6" t="s">
        <v>103</v>
      </c>
      <c r="I337" s="6" t="s">
        <v>74</v>
      </c>
      <c r="J337" s="6"/>
      <c r="K337" s="6" t="s">
        <v>3141</v>
      </c>
      <c r="L337" s="6" t="s">
        <v>3143</v>
      </c>
      <c r="M337" s="6" t="s">
        <v>3160</v>
      </c>
      <c r="N337" s="6" t="s">
        <v>3141</v>
      </c>
      <c r="O337" s="6" t="s">
        <v>75</v>
      </c>
      <c r="P337" s="6" t="s">
        <v>5946</v>
      </c>
      <c r="Q337" s="6" t="s">
        <v>5947</v>
      </c>
      <c r="R337" s="6" t="s">
        <v>5948</v>
      </c>
      <c r="S337" s="6" t="s">
        <v>21</v>
      </c>
      <c r="T337" s="6"/>
      <c r="U337" s="6" t="s">
        <v>3159</v>
      </c>
      <c r="V337" s="6" t="s">
        <v>3467</v>
      </c>
      <c r="W337" s="6" t="s">
        <v>4563</v>
      </c>
      <c r="X337" s="6" t="s">
        <v>85</v>
      </c>
      <c r="Y337" s="6" t="s">
        <v>3159</v>
      </c>
      <c r="Z337" s="6" t="s">
        <v>3343</v>
      </c>
      <c r="AA337" s="6" t="s">
        <v>4470</v>
      </c>
      <c r="AB337" s="6"/>
      <c r="AC337" s="6" t="s">
        <v>3292</v>
      </c>
      <c r="AD337" s="6" t="s">
        <v>3243</v>
      </c>
      <c r="AE337" s="6" t="s">
        <v>3136</v>
      </c>
      <c r="AF337" s="6"/>
      <c r="AG337" s="6" t="s">
        <v>5949</v>
      </c>
      <c r="AH337" s="6" t="s">
        <v>79</v>
      </c>
    </row>
    <row r="338" spans="1:34" x14ac:dyDescent="0.25">
      <c r="A338" s="6" t="s">
        <v>1172</v>
      </c>
      <c r="B338" s="6" t="s">
        <v>1173</v>
      </c>
      <c r="C338" s="6" t="s">
        <v>1174</v>
      </c>
      <c r="D338" s="6" t="s">
        <v>5950</v>
      </c>
      <c r="E338" s="6" t="s">
        <v>3617</v>
      </c>
      <c r="F338" s="6" t="s">
        <v>3137</v>
      </c>
      <c r="G338" s="6" t="s">
        <v>388</v>
      </c>
      <c r="H338" s="6" t="s">
        <v>84</v>
      </c>
      <c r="I338" s="6" t="s">
        <v>74</v>
      </c>
      <c r="J338" s="6"/>
      <c r="K338" s="6" t="s">
        <v>3140</v>
      </c>
      <c r="L338" s="6" t="s">
        <v>76</v>
      </c>
      <c r="M338" s="6" t="s">
        <v>3188</v>
      </c>
      <c r="N338" s="6" t="s">
        <v>75</v>
      </c>
      <c r="O338" s="6" t="s">
        <v>3141</v>
      </c>
      <c r="P338" s="6" t="s">
        <v>5951</v>
      </c>
      <c r="Q338" s="6" t="s">
        <v>5952</v>
      </c>
      <c r="R338" s="6" t="s">
        <v>5953</v>
      </c>
      <c r="S338" s="6" t="s">
        <v>23</v>
      </c>
      <c r="T338" s="6"/>
      <c r="U338" s="6" t="s">
        <v>3141</v>
      </c>
      <c r="V338" s="6" t="s">
        <v>3839</v>
      </c>
      <c r="W338" s="6" t="s">
        <v>4441</v>
      </c>
      <c r="X338" s="6" t="s">
        <v>77</v>
      </c>
      <c r="Y338" s="6" t="s">
        <v>3140</v>
      </c>
      <c r="Z338" s="6" t="s">
        <v>93</v>
      </c>
      <c r="AA338" s="6" t="s">
        <v>3352</v>
      </c>
      <c r="AB338" s="6"/>
      <c r="AC338" s="6" t="s">
        <v>3141</v>
      </c>
      <c r="AD338" s="6" t="s">
        <v>3143</v>
      </c>
      <c r="AE338" s="6" t="s">
        <v>3318</v>
      </c>
      <c r="AF338" s="6" t="s">
        <v>5954</v>
      </c>
      <c r="AG338" s="6" t="s">
        <v>5955</v>
      </c>
      <c r="AH338" s="6" t="s">
        <v>79</v>
      </c>
    </row>
    <row r="339" spans="1:34" x14ac:dyDescent="0.25">
      <c r="A339" s="6" t="s">
        <v>1176</v>
      </c>
      <c r="B339" s="6" t="s">
        <v>1177</v>
      </c>
      <c r="C339" s="6" t="s">
        <v>5956</v>
      </c>
      <c r="D339" s="6"/>
      <c r="E339" s="6" t="s">
        <v>3617</v>
      </c>
      <c r="F339" s="6" t="s">
        <v>3369</v>
      </c>
      <c r="G339" s="6" t="s">
        <v>72</v>
      </c>
      <c r="H339" s="6" t="s">
        <v>144</v>
      </c>
      <c r="I339" s="6" t="s">
        <v>92</v>
      </c>
      <c r="J339" s="6"/>
      <c r="K339" s="6" t="s">
        <v>3140</v>
      </c>
      <c r="L339" s="6" t="s">
        <v>3159</v>
      </c>
      <c r="M339" s="6" t="s">
        <v>75</v>
      </c>
      <c r="N339" s="6" t="s">
        <v>3196</v>
      </c>
      <c r="O339" s="6" t="s">
        <v>3160</v>
      </c>
      <c r="P339" s="6" t="s">
        <v>5957</v>
      </c>
      <c r="Q339" s="6" t="s">
        <v>5958</v>
      </c>
      <c r="R339" s="6" t="s">
        <v>5959</v>
      </c>
      <c r="S339" s="6" t="s">
        <v>23</v>
      </c>
      <c r="T339" s="6" t="s">
        <v>5960</v>
      </c>
      <c r="U339" s="6" t="s">
        <v>3141</v>
      </c>
      <c r="V339" s="6" t="s">
        <v>4881</v>
      </c>
      <c r="W339" s="6" t="s">
        <v>3862</v>
      </c>
      <c r="X339" s="6" t="s">
        <v>85</v>
      </c>
      <c r="Y339" s="6" t="s">
        <v>3140</v>
      </c>
      <c r="Z339" s="6" t="s">
        <v>93</v>
      </c>
      <c r="AA339" s="6" t="s">
        <v>4676</v>
      </c>
      <c r="AB339" s="6"/>
      <c r="AC339" s="6" t="s">
        <v>3140</v>
      </c>
      <c r="AD339" s="6" t="s">
        <v>3141</v>
      </c>
      <c r="AE339" s="6" t="s">
        <v>3318</v>
      </c>
      <c r="AF339" s="6" t="s">
        <v>5961</v>
      </c>
      <c r="AG339" s="6" t="s">
        <v>5962</v>
      </c>
      <c r="AH339" s="6" t="s">
        <v>79</v>
      </c>
    </row>
    <row r="340" spans="1:34" x14ac:dyDescent="0.25">
      <c r="A340" s="6" t="s">
        <v>1178</v>
      </c>
      <c r="B340" s="6" t="s">
        <v>5963</v>
      </c>
      <c r="C340" s="6" t="s">
        <v>1180</v>
      </c>
      <c r="D340" s="6" t="s">
        <v>1181</v>
      </c>
      <c r="E340" s="6" t="s">
        <v>3970</v>
      </c>
      <c r="F340" s="6" t="s">
        <v>3269</v>
      </c>
      <c r="G340" s="6" t="s">
        <v>3484</v>
      </c>
      <c r="H340" s="6" t="s">
        <v>84</v>
      </c>
      <c r="I340" s="6" t="s">
        <v>74</v>
      </c>
      <c r="J340" s="6"/>
      <c r="K340" s="6" t="s">
        <v>3141</v>
      </c>
      <c r="L340" s="6" t="s">
        <v>3152</v>
      </c>
      <c r="M340" s="6" t="s">
        <v>3143</v>
      </c>
      <c r="N340" s="6" t="s">
        <v>3141</v>
      </c>
      <c r="O340" s="6" t="s">
        <v>75</v>
      </c>
      <c r="P340" s="6" t="s">
        <v>5964</v>
      </c>
      <c r="Q340" s="6" t="s">
        <v>5965</v>
      </c>
      <c r="R340" s="6" t="s">
        <v>5966</v>
      </c>
      <c r="S340" s="6" t="s">
        <v>21</v>
      </c>
      <c r="T340" s="6" t="s">
        <v>5967</v>
      </c>
      <c r="U340" s="6" t="s">
        <v>3192</v>
      </c>
      <c r="V340" s="6" t="s">
        <v>5968</v>
      </c>
      <c r="W340" s="6" t="s">
        <v>4067</v>
      </c>
      <c r="X340" s="6" t="s">
        <v>85</v>
      </c>
      <c r="Y340" s="6" t="s">
        <v>3141</v>
      </c>
      <c r="Z340" s="6" t="s">
        <v>93</v>
      </c>
      <c r="AA340" s="6" t="s">
        <v>3416</v>
      </c>
      <c r="AB340" s="6"/>
      <c r="AC340" s="6" t="s">
        <v>3141</v>
      </c>
      <c r="AD340" s="6" t="s">
        <v>75</v>
      </c>
      <c r="AE340" s="6" t="s">
        <v>3235</v>
      </c>
      <c r="AF340" s="6"/>
      <c r="AG340" s="6" t="s">
        <v>3543</v>
      </c>
      <c r="AH340" s="6" t="s">
        <v>79</v>
      </c>
    </row>
    <row r="341" spans="1:34" x14ac:dyDescent="0.25">
      <c r="A341" s="6" t="s">
        <v>1182</v>
      </c>
      <c r="B341" s="6" t="s">
        <v>217</v>
      </c>
      <c r="C341" s="6" t="s">
        <v>1183</v>
      </c>
      <c r="D341" s="6" t="s">
        <v>1184</v>
      </c>
      <c r="E341" s="6" t="s">
        <v>3226</v>
      </c>
      <c r="F341" s="6" t="s">
        <v>71</v>
      </c>
      <c r="G341" s="6" t="s">
        <v>174</v>
      </c>
      <c r="H341" s="6" t="s">
        <v>132</v>
      </c>
      <c r="I341" s="6" t="s">
        <v>92</v>
      </c>
      <c r="J341" s="6"/>
      <c r="K341" s="6" t="s">
        <v>3140</v>
      </c>
      <c r="L341" s="6" t="s">
        <v>3173</v>
      </c>
      <c r="M341" s="6" t="s">
        <v>3141</v>
      </c>
      <c r="N341" s="6" t="s">
        <v>3141</v>
      </c>
      <c r="O341" s="6" t="s">
        <v>3196</v>
      </c>
      <c r="P341" s="6" t="s">
        <v>5969</v>
      </c>
      <c r="Q341" s="6" t="s">
        <v>5970</v>
      </c>
      <c r="R341" s="6" t="s">
        <v>5971</v>
      </c>
      <c r="S341" s="6" t="s">
        <v>22</v>
      </c>
      <c r="T341" s="6" t="s">
        <v>5972</v>
      </c>
      <c r="U341" s="6" t="s">
        <v>3140</v>
      </c>
      <c r="V341" s="6" t="s">
        <v>3993</v>
      </c>
      <c r="W341" s="6" t="s">
        <v>3673</v>
      </c>
      <c r="X341" s="6" t="s">
        <v>4030</v>
      </c>
      <c r="Y341" s="6" t="s">
        <v>3159</v>
      </c>
      <c r="Z341" s="6" t="s">
        <v>93</v>
      </c>
      <c r="AA341" s="6" t="s">
        <v>4135</v>
      </c>
      <c r="AB341" s="6"/>
      <c r="AC341" s="6" t="s">
        <v>3141</v>
      </c>
      <c r="AD341" s="6" t="s">
        <v>3160</v>
      </c>
      <c r="AE341" s="6" t="s">
        <v>3323</v>
      </c>
      <c r="AF341" s="6" t="s">
        <v>5973</v>
      </c>
      <c r="AG341" s="6"/>
      <c r="AH341" s="6" t="s">
        <v>79</v>
      </c>
    </row>
    <row r="342" spans="1:34" x14ac:dyDescent="0.25">
      <c r="A342" s="6" t="s">
        <v>1185</v>
      </c>
      <c r="B342" s="6" t="s">
        <v>1186</v>
      </c>
      <c r="C342" s="6" t="s">
        <v>5974</v>
      </c>
      <c r="D342" s="6"/>
      <c r="E342" s="6" t="s">
        <v>4025</v>
      </c>
      <c r="F342" s="6" t="s">
        <v>3283</v>
      </c>
      <c r="G342" s="6" t="s">
        <v>106</v>
      </c>
      <c r="H342" s="6" t="s">
        <v>132</v>
      </c>
      <c r="I342" s="6" t="s">
        <v>92</v>
      </c>
      <c r="J342" s="6"/>
      <c r="K342" s="6" t="s">
        <v>3140</v>
      </c>
      <c r="L342" s="6" t="s">
        <v>75</v>
      </c>
      <c r="M342" s="6" t="s">
        <v>3141</v>
      </c>
      <c r="N342" s="6" t="s">
        <v>3142</v>
      </c>
      <c r="O342" s="6" t="s">
        <v>76</v>
      </c>
      <c r="P342" s="6" t="s">
        <v>5975</v>
      </c>
      <c r="Q342" s="6" t="s">
        <v>5976</v>
      </c>
      <c r="R342" s="6" t="s">
        <v>5977</v>
      </c>
      <c r="S342" s="6" t="s">
        <v>21</v>
      </c>
      <c r="T342" s="6" t="s">
        <v>5978</v>
      </c>
      <c r="U342" s="6" t="s">
        <v>3192</v>
      </c>
      <c r="V342" s="6" t="s">
        <v>5979</v>
      </c>
      <c r="W342" s="6" t="s">
        <v>4290</v>
      </c>
      <c r="X342" s="6" t="s">
        <v>85</v>
      </c>
      <c r="Y342" s="6" t="s">
        <v>3141</v>
      </c>
      <c r="Z342" s="6" t="s">
        <v>93</v>
      </c>
      <c r="AA342" s="6" t="s">
        <v>3757</v>
      </c>
      <c r="AB342" s="6"/>
      <c r="AC342" s="6" t="s">
        <v>3140</v>
      </c>
      <c r="AD342" s="6" t="s">
        <v>3141</v>
      </c>
      <c r="AE342" s="6" t="s">
        <v>3136</v>
      </c>
      <c r="AF342" s="6"/>
      <c r="AG342" s="6" t="s">
        <v>5980</v>
      </c>
      <c r="AH342" s="6" t="s">
        <v>79</v>
      </c>
    </row>
    <row r="343" spans="1:34" x14ac:dyDescent="0.25">
      <c r="A343" s="6" t="s">
        <v>1187</v>
      </c>
      <c r="B343" s="6" t="s">
        <v>1188</v>
      </c>
      <c r="C343" s="6" t="s">
        <v>5981</v>
      </c>
      <c r="D343" s="6" t="s">
        <v>1189</v>
      </c>
      <c r="E343" s="6" t="s">
        <v>3200</v>
      </c>
      <c r="F343" s="6" t="s">
        <v>3137</v>
      </c>
      <c r="G343" s="6" t="s">
        <v>314</v>
      </c>
      <c r="H343" s="6" t="s">
        <v>144</v>
      </c>
      <c r="I343" s="6" t="s">
        <v>92</v>
      </c>
      <c r="J343" s="6"/>
      <c r="K343" s="6" t="s">
        <v>3159</v>
      </c>
      <c r="L343" s="6" t="s">
        <v>3142</v>
      </c>
      <c r="M343" s="6" t="s">
        <v>75</v>
      </c>
      <c r="N343" s="6" t="s">
        <v>3143</v>
      </c>
      <c r="O343" s="6" t="s">
        <v>3143</v>
      </c>
      <c r="P343" s="6" t="s">
        <v>5982</v>
      </c>
      <c r="Q343" s="6"/>
      <c r="R343" s="6" t="s">
        <v>5983</v>
      </c>
      <c r="S343" s="6" t="s">
        <v>21</v>
      </c>
      <c r="T343" s="6" t="s">
        <v>5984</v>
      </c>
      <c r="U343" s="6" t="s">
        <v>3141</v>
      </c>
      <c r="V343" s="6" t="s">
        <v>4674</v>
      </c>
      <c r="W343" s="6" t="s">
        <v>3456</v>
      </c>
      <c r="X343" s="6" t="s">
        <v>85</v>
      </c>
      <c r="Y343" s="6" t="s">
        <v>3140</v>
      </c>
      <c r="Z343" s="6" t="s">
        <v>194</v>
      </c>
      <c r="AA343" s="6" t="s">
        <v>4707</v>
      </c>
      <c r="AB343" s="6"/>
      <c r="AC343" s="6" t="s">
        <v>3141</v>
      </c>
      <c r="AD343" s="6" t="s">
        <v>3159</v>
      </c>
      <c r="AE343" s="6" t="s">
        <v>3235</v>
      </c>
      <c r="AF343" s="6"/>
      <c r="AG343" s="6" t="s">
        <v>5985</v>
      </c>
      <c r="AH343" s="6" t="s">
        <v>4004</v>
      </c>
    </row>
    <row r="344" spans="1:34" x14ac:dyDescent="0.25">
      <c r="A344" s="6" t="s">
        <v>1190</v>
      </c>
      <c r="B344" s="6" t="s">
        <v>1191</v>
      </c>
      <c r="C344" s="6" t="s">
        <v>5986</v>
      </c>
      <c r="D344" s="6" t="s">
        <v>5987</v>
      </c>
      <c r="E344" s="6" t="s">
        <v>4190</v>
      </c>
      <c r="F344" s="6" t="s">
        <v>3201</v>
      </c>
      <c r="G344" s="6" t="s">
        <v>90</v>
      </c>
      <c r="H344" s="6" t="s">
        <v>73</v>
      </c>
      <c r="I344" s="6" t="s">
        <v>74</v>
      </c>
      <c r="J344" s="6" t="s">
        <v>5988</v>
      </c>
      <c r="K344" s="6" t="s">
        <v>3141</v>
      </c>
      <c r="L344" s="6" t="s">
        <v>3152</v>
      </c>
      <c r="M344" s="6" t="s">
        <v>3141</v>
      </c>
      <c r="N344" s="6" t="s">
        <v>75</v>
      </c>
      <c r="O344" s="6" t="s">
        <v>3243</v>
      </c>
      <c r="P344" s="6" t="s">
        <v>5989</v>
      </c>
      <c r="Q344" s="6"/>
      <c r="R344" s="6" t="s">
        <v>5990</v>
      </c>
      <c r="S344" s="6" t="s">
        <v>23</v>
      </c>
      <c r="T344" s="6"/>
      <c r="U344" s="6" t="s">
        <v>4264</v>
      </c>
      <c r="V344" s="6" t="s">
        <v>5991</v>
      </c>
      <c r="W344" s="6" t="s">
        <v>5032</v>
      </c>
      <c r="X344" s="6" t="s">
        <v>85</v>
      </c>
      <c r="Y344" s="6" t="s">
        <v>3159</v>
      </c>
      <c r="Z344" s="6" t="s">
        <v>3263</v>
      </c>
      <c r="AA344" s="6" t="s">
        <v>4135</v>
      </c>
      <c r="AB344" s="6" t="s">
        <v>5992</v>
      </c>
      <c r="AC344" s="6" t="s">
        <v>3140</v>
      </c>
      <c r="AD344" s="6" t="s">
        <v>3152</v>
      </c>
      <c r="AE344" s="6" t="s">
        <v>3318</v>
      </c>
      <c r="AF344" s="6" t="s">
        <v>5993</v>
      </c>
      <c r="AG344" s="6" t="s">
        <v>5994</v>
      </c>
      <c r="AH344" s="6" t="s">
        <v>79</v>
      </c>
    </row>
    <row r="345" spans="1:34" x14ac:dyDescent="0.25">
      <c r="A345" s="6" t="s">
        <v>1193</v>
      </c>
      <c r="B345" s="6" t="s">
        <v>1194</v>
      </c>
      <c r="C345" s="6" t="s">
        <v>5995</v>
      </c>
      <c r="D345" s="6" t="s">
        <v>5996</v>
      </c>
      <c r="E345" s="6" t="s">
        <v>3722</v>
      </c>
      <c r="F345" s="6" t="s">
        <v>3201</v>
      </c>
      <c r="G345" s="6" t="s">
        <v>83</v>
      </c>
      <c r="H345" s="6" t="s">
        <v>73</v>
      </c>
      <c r="I345" s="6" t="s">
        <v>74</v>
      </c>
      <c r="J345" s="6" t="s">
        <v>5997</v>
      </c>
      <c r="K345" s="6" t="s">
        <v>3159</v>
      </c>
      <c r="L345" s="6" t="s">
        <v>3142</v>
      </c>
      <c r="M345" s="6" t="s">
        <v>3152</v>
      </c>
      <c r="N345" s="6" t="s">
        <v>3141</v>
      </c>
      <c r="O345" s="6" t="s">
        <v>75</v>
      </c>
      <c r="P345" s="6" t="s">
        <v>4745</v>
      </c>
      <c r="Q345" s="6" t="s">
        <v>5998</v>
      </c>
      <c r="R345" s="6" t="s">
        <v>5999</v>
      </c>
      <c r="S345" s="6" t="s">
        <v>23</v>
      </c>
      <c r="T345" s="6" t="s">
        <v>6000</v>
      </c>
      <c r="U345" s="6" t="s">
        <v>3141</v>
      </c>
      <c r="V345" s="6" t="s">
        <v>6001</v>
      </c>
      <c r="W345" s="6" t="s">
        <v>3354</v>
      </c>
      <c r="X345" s="6" t="s">
        <v>85</v>
      </c>
      <c r="Y345" s="6" t="s">
        <v>3141</v>
      </c>
      <c r="Z345" s="6" t="s">
        <v>78</v>
      </c>
      <c r="AA345" s="6" t="s">
        <v>3830</v>
      </c>
      <c r="AB345" s="6" t="s">
        <v>6002</v>
      </c>
      <c r="AC345" s="6" t="s">
        <v>3159</v>
      </c>
      <c r="AD345" s="6" t="s">
        <v>3143</v>
      </c>
      <c r="AE345" s="6" t="s">
        <v>3513</v>
      </c>
      <c r="AF345" s="6" t="s">
        <v>6003</v>
      </c>
      <c r="AG345" s="6" t="s">
        <v>6004</v>
      </c>
      <c r="AH345" s="6" t="s">
        <v>79</v>
      </c>
    </row>
    <row r="346" spans="1:34" x14ac:dyDescent="0.25">
      <c r="A346" s="6" t="s">
        <v>1196</v>
      </c>
      <c r="B346" s="6" t="s">
        <v>1197</v>
      </c>
      <c r="C346" s="6"/>
      <c r="D346" s="6" t="s">
        <v>1198</v>
      </c>
      <c r="E346" s="6" t="s">
        <v>4190</v>
      </c>
      <c r="F346" s="6" t="s">
        <v>3227</v>
      </c>
      <c r="G346" s="6" t="s">
        <v>106</v>
      </c>
      <c r="H346" s="6" t="s">
        <v>73</v>
      </c>
      <c r="I346" s="6" t="s">
        <v>74</v>
      </c>
      <c r="J346" s="6"/>
      <c r="K346" s="6" t="s">
        <v>3159</v>
      </c>
      <c r="L346" s="6" t="s">
        <v>75</v>
      </c>
      <c r="M346" s="6" t="s">
        <v>3188</v>
      </c>
      <c r="N346" s="6" t="s">
        <v>3141</v>
      </c>
      <c r="O346" s="6" t="s">
        <v>3160</v>
      </c>
      <c r="P346" s="6" t="s">
        <v>5975</v>
      </c>
      <c r="Q346" s="6" t="s">
        <v>6005</v>
      </c>
      <c r="R346" s="6" t="s">
        <v>6006</v>
      </c>
      <c r="S346" s="6" t="s">
        <v>20</v>
      </c>
      <c r="T346" s="6"/>
      <c r="U346" s="6" t="s">
        <v>3140</v>
      </c>
      <c r="V346" s="6" t="s">
        <v>4982</v>
      </c>
      <c r="W346" s="6" t="s">
        <v>4217</v>
      </c>
      <c r="X346" s="6" t="s">
        <v>77</v>
      </c>
      <c r="Y346" s="6" t="s">
        <v>3159</v>
      </c>
      <c r="Z346" s="6" t="s">
        <v>78</v>
      </c>
      <c r="AA346" s="6" t="s">
        <v>3166</v>
      </c>
      <c r="AB346" s="6" t="s">
        <v>6007</v>
      </c>
      <c r="AC346" s="6" t="s">
        <v>3159</v>
      </c>
      <c r="AD346" s="6" t="s">
        <v>3160</v>
      </c>
      <c r="AE346" s="6" t="s">
        <v>3235</v>
      </c>
      <c r="AF346" s="6"/>
      <c r="AG346" s="6" t="s">
        <v>5323</v>
      </c>
      <c r="AH346" s="6" t="s">
        <v>79</v>
      </c>
    </row>
    <row r="347" spans="1:34" x14ac:dyDescent="0.25">
      <c r="A347" s="6" t="s">
        <v>1199</v>
      </c>
      <c r="B347" s="6" t="s">
        <v>1200</v>
      </c>
      <c r="C347" s="6" t="s">
        <v>6008</v>
      </c>
      <c r="D347" s="6"/>
      <c r="E347" s="6" t="s">
        <v>3323</v>
      </c>
      <c r="F347" s="6" t="s">
        <v>71</v>
      </c>
      <c r="G347" s="6" t="s">
        <v>106</v>
      </c>
      <c r="H347" s="6" t="s">
        <v>73</v>
      </c>
      <c r="I347" s="6" t="s">
        <v>74</v>
      </c>
      <c r="J347" s="6" t="s">
        <v>6009</v>
      </c>
      <c r="K347" s="6" t="s">
        <v>3159</v>
      </c>
      <c r="L347" s="6" t="s">
        <v>3143</v>
      </c>
      <c r="M347" s="6" t="s">
        <v>3152</v>
      </c>
      <c r="N347" s="6" t="s">
        <v>3159</v>
      </c>
      <c r="O347" s="6" t="s">
        <v>3141</v>
      </c>
      <c r="P347" s="6" t="s">
        <v>5779</v>
      </c>
      <c r="Q347" s="6"/>
      <c r="R347" s="6" t="s">
        <v>6010</v>
      </c>
      <c r="S347" s="6" t="s">
        <v>20</v>
      </c>
      <c r="T347" s="6" t="s">
        <v>6011</v>
      </c>
      <c r="U347" s="6" t="s">
        <v>3159</v>
      </c>
      <c r="V347" s="6" t="s">
        <v>3791</v>
      </c>
      <c r="W347" s="6" t="s">
        <v>3854</v>
      </c>
      <c r="X347" s="6" t="s">
        <v>85</v>
      </c>
      <c r="Y347" s="6" t="s">
        <v>3140</v>
      </c>
      <c r="Z347" s="6" t="s">
        <v>93</v>
      </c>
      <c r="AA347" s="6" t="s">
        <v>4420</v>
      </c>
      <c r="AB347" s="6"/>
      <c r="AC347" s="6" t="s">
        <v>3141</v>
      </c>
      <c r="AD347" s="6" t="s">
        <v>3160</v>
      </c>
      <c r="AE347" s="6" t="s">
        <v>3169</v>
      </c>
      <c r="AF347" s="6"/>
      <c r="AG347" s="6" t="s">
        <v>6012</v>
      </c>
      <c r="AH347" s="6" t="s">
        <v>79</v>
      </c>
    </row>
    <row r="348" spans="1:34" x14ac:dyDescent="0.25">
      <c r="A348" s="6" t="s">
        <v>1201</v>
      </c>
      <c r="B348" s="6" t="s">
        <v>1202</v>
      </c>
      <c r="C348" s="6" t="s">
        <v>6013</v>
      </c>
      <c r="D348" s="6" t="s">
        <v>1203</v>
      </c>
      <c r="E348" s="6" t="s">
        <v>3346</v>
      </c>
      <c r="F348" s="6" t="s">
        <v>3227</v>
      </c>
      <c r="G348" s="6" t="s">
        <v>90</v>
      </c>
      <c r="H348" s="6" t="s">
        <v>99</v>
      </c>
      <c r="I348" s="6" t="s">
        <v>74</v>
      </c>
      <c r="J348" s="6" t="s">
        <v>6014</v>
      </c>
      <c r="K348" s="6" t="s">
        <v>3159</v>
      </c>
      <c r="L348" s="6" t="s">
        <v>3160</v>
      </c>
      <c r="M348" s="6" t="s">
        <v>3141</v>
      </c>
      <c r="N348" s="6" t="s">
        <v>3141</v>
      </c>
      <c r="O348" s="6" t="s">
        <v>3159</v>
      </c>
      <c r="P348" s="6" t="s">
        <v>5704</v>
      </c>
      <c r="Q348" s="6" t="s">
        <v>6015</v>
      </c>
      <c r="R348" s="6" t="s">
        <v>6016</v>
      </c>
      <c r="S348" s="6" t="s">
        <v>22</v>
      </c>
      <c r="T348" s="6" t="s">
        <v>6017</v>
      </c>
      <c r="U348" s="6" t="s">
        <v>3141</v>
      </c>
      <c r="V348" s="6" t="s">
        <v>6018</v>
      </c>
      <c r="W348" s="6" t="s">
        <v>3976</v>
      </c>
      <c r="X348" s="6" t="s">
        <v>85</v>
      </c>
      <c r="Y348" s="6" t="s">
        <v>3140</v>
      </c>
      <c r="Z348" s="6" t="s">
        <v>78</v>
      </c>
      <c r="AA348" s="6" t="s">
        <v>3168</v>
      </c>
      <c r="AB348" s="6"/>
      <c r="AC348" s="6" t="s">
        <v>3159</v>
      </c>
      <c r="AD348" s="6" t="s">
        <v>3141</v>
      </c>
      <c r="AE348" s="6" t="s">
        <v>3235</v>
      </c>
      <c r="AF348" s="6" t="s">
        <v>6019</v>
      </c>
      <c r="AG348" s="6" t="s">
        <v>6020</v>
      </c>
      <c r="AH348" s="6" t="s">
        <v>79</v>
      </c>
    </row>
    <row r="349" spans="1:34" x14ac:dyDescent="0.25">
      <c r="A349" s="6" t="s">
        <v>1204</v>
      </c>
      <c r="B349" s="6" t="s">
        <v>6021</v>
      </c>
      <c r="C349" s="6" t="s">
        <v>1206</v>
      </c>
      <c r="D349" s="6"/>
      <c r="E349" s="6" t="s">
        <v>4358</v>
      </c>
      <c r="F349" s="6" t="s">
        <v>3283</v>
      </c>
      <c r="G349" s="6" t="s">
        <v>226</v>
      </c>
      <c r="H349" s="6" t="s">
        <v>103</v>
      </c>
      <c r="I349" s="6" t="s">
        <v>74</v>
      </c>
      <c r="J349" s="6" t="s">
        <v>6022</v>
      </c>
      <c r="K349" s="6" t="s">
        <v>3159</v>
      </c>
      <c r="L349" s="6" t="s">
        <v>3243</v>
      </c>
      <c r="M349" s="6" t="s">
        <v>3173</v>
      </c>
      <c r="N349" s="6" t="s">
        <v>3141</v>
      </c>
      <c r="O349" s="6" t="s">
        <v>3160</v>
      </c>
      <c r="P349" s="6" t="s">
        <v>5060</v>
      </c>
      <c r="Q349" s="6" t="s">
        <v>6023</v>
      </c>
      <c r="R349" s="6" t="s">
        <v>6024</v>
      </c>
      <c r="S349" s="6" t="s">
        <v>21</v>
      </c>
      <c r="T349" s="6" t="s">
        <v>6025</v>
      </c>
      <c r="U349" s="6" t="s">
        <v>3140</v>
      </c>
      <c r="V349" s="6" t="s">
        <v>4516</v>
      </c>
      <c r="W349" s="6" t="s">
        <v>3598</v>
      </c>
      <c r="X349" s="6" t="s">
        <v>77</v>
      </c>
      <c r="Y349" s="6" t="s">
        <v>3159</v>
      </c>
      <c r="Z349" s="6" t="s">
        <v>3263</v>
      </c>
      <c r="AA349" s="6" t="s">
        <v>3233</v>
      </c>
      <c r="AB349" s="6"/>
      <c r="AC349" s="6" t="s">
        <v>3140</v>
      </c>
      <c r="AD349" s="6" t="s">
        <v>3152</v>
      </c>
      <c r="AE349" s="6" t="s">
        <v>3136</v>
      </c>
      <c r="AF349" s="6"/>
      <c r="AG349" s="6" t="s">
        <v>6026</v>
      </c>
      <c r="AH349" s="6" t="s">
        <v>79</v>
      </c>
    </row>
    <row r="350" spans="1:34" x14ac:dyDescent="0.25">
      <c r="A350" s="6" t="s">
        <v>1207</v>
      </c>
      <c r="B350" s="6" t="s">
        <v>1208</v>
      </c>
      <c r="C350" s="6" t="s">
        <v>1209</v>
      </c>
      <c r="D350" s="6"/>
      <c r="E350" s="6" t="s">
        <v>3323</v>
      </c>
      <c r="F350" s="6" t="s">
        <v>89</v>
      </c>
      <c r="G350" s="6" t="s">
        <v>215</v>
      </c>
      <c r="H350" s="6" t="s">
        <v>3138</v>
      </c>
      <c r="I350" s="6" t="s">
        <v>74</v>
      </c>
      <c r="J350" s="6" t="s">
        <v>6027</v>
      </c>
      <c r="K350" s="6" t="s">
        <v>3141</v>
      </c>
      <c r="L350" s="6" t="s">
        <v>3243</v>
      </c>
      <c r="M350" s="6" t="s">
        <v>3243</v>
      </c>
      <c r="N350" s="6" t="s">
        <v>3152</v>
      </c>
      <c r="O350" s="6" t="s">
        <v>3143</v>
      </c>
      <c r="P350" s="6" t="s">
        <v>3189</v>
      </c>
      <c r="Q350" s="6"/>
      <c r="R350" s="6" t="s">
        <v>6028</v>
      </c>
      <c r="S350" s="6" t="s">
        <v>21</v>
      </c>
      <c r="T350" s="6"/>
      <c r="U350" s="6" t="s">
        <v>4264</v>
      </c>
      <c r="V350" s="6" t="s">
        <v>6029</v>
      </c>
      <c r="W350" s="6" t="s">
        <v>3374</v>
      </c>
      <c r="X350" s="6" t="s">
        <v>85</v>
      </c>
      <c r="Y350" s="6" t="s">
        <v>3141</v>
      </c>
      <c r="Z350" s="6" t="s">
        <v>93</v>
      </c>
      <c r="AA350" s="6" t="s">
        <v>4764</v>
      </c>
      <c r="AB350" s="6" t="s">
        <v>6030</v>
      </c>
      <c r="AC350" s="6" t="s">
        <v>3140</v>
      </c>
      <c r="AD350" s="6" t="s">
        <v>3152</v>
      </c>
      <c r="AE350" s="6" t="s">
        <v>3136</v>
      </c>
      <c r="AF350" s="6"/>
      <c r="AG350" s="6" t="s">
        <v>3534</v>
      </c>
      <c r="AH350" s="6" t="s">
        <v>79</v>
      </c>
    </row>
    <row r="351" spans="1:34" x14ac:dyDescent="0.25">
      <c r="A351" s="6" t="s">
        <v>1210</v>
      </c>
      <c r="B351" s="6" t="s">
        <v>741</v>
      </c>
      <c r="C351" s="6" t="s">
        <v>6031</v>
      </c>
      <c r="D351" s="6" t="s">
        <v>1211</v>
      </c>
      <c r="E351" s="6" t="s">
        <v>3703</v>
      </c>
      <c r="F351" s="6" t="s">
        <v>71</v>
      </c>
      <c r="G351" s="6" t="s">
        <v>388</v>
      </c>
      <c r="H351" s="6" t="s">
        <v>99</v>
      </c>
      <c r="I351" s="6" t="s">
        <v>74</v>
      </c>
      <c r="J351" s="6" t="s">
        <v>6032</v>
      </c>
      <c r="K351" s="6" t="s">
        <v>3159</v>
      </c>
      <c r="L351" s="6" t="s">
        <v>3152</v>
      </c>
      <c r="M351" s="6" t="s">
        <v>3143</v>
      </c>
      <c r="N351" s="6" t="s">
        <v>3143</v>
      </c>
      <c r="O351" s="6" t="s">
        <v>76</v>
      </c>
      <c r="P351" s="6" t="s">
        <v>5519</v>
      </c>
      <c r="Q351" s="6" t="s">
        <v>6033</v>
      </c>
      <c r="R351" s="6" t="s">
        <v>6034</v>
      </c>
      <c r="S351" s="6" t="s">
        <v>22</v>
      </c>
      <c r="T351" s="6" t="s">
        <v>6035</v>
      </c>
      <c r="U351" s="6" t="s">
        <v>3292</v>
      </c>
      <c r="V351" s="6" t="s">
        <v>6036</v>
      </c>
      <c r="W351" s="6" t="s">
        <v>5418</v>
      </c>
      <c r="X351" s="6" t="s">
        <v>85</v>
      </c>
      <c r="Y351" s="6" t="s">
        <v>3292</v>
      </c>
      <c r="Z351" s="6" t="s">
        <v>3664</v>
      </c>
      <c r="AA351" s="6" t="s">
        <v>3291</v>
      </c>
      <c r="AB351" s="6"/>
      <c r="AC351" s="6" t="s">
        <v>3159</v>
      </c>
      <c r="AD351" s="6" t="s">
        <v>3143</v>
      </c>
      <c r="AE351" s="6" t="s">
        <v>3235</v>
      </c>
      <c r="AF351" s="6" t="s">
        <v>6037</v>
      </c>
      <c r="AG351" s="6" t="s">
        <v>5935</v>
      </c>
      <c r="AH351" s="6" t="s">
        <v>79</v>
      </c>
    </row>
    <row r="352" spans="1:34" x14ac:dyDescent="0.25">
      <c r="A352" s="6" t="s">
        <v>1212</v>
      </c>
      <c r="B352" s="6" t="s">
        <v>1213</v>
      </c>
      <c r="C352" s="6" t="s">
        <v>1214</v>
      </c>
      <c r="D352" s="6" t="s">
        <v>6038</v>
      </c>
      <c r="E352" s="6" t="s">
        <v>3786</v>
      </c>
      <c r="F352" s="6" t="s">
        <v>3283</v>
      </c>
      <c r="G352" s="6" t="s">
        <v>98</v>
      </c>
      <c r="H352" s="6" t="s">
        <v>99</v>
      </c>
      <c r="I352" s="6" t="s">
        <v>74</v>
      </c>
      <c r="J352" s="6"/>
      <c r="K352" s="6" t="s">
        <v>3140</v>
      </c>
      <c r="L352" s="6" t="s">
        <v>75</v>
      </c>
      <c r="M352" s="6" t="s">
        <v>3141</v>
      </c>
      <c r="N352" s="6" t="s">
        <v>76</v>
      </c>
      <c r="O352" s="6" t="s">
        <v>3142</v>
      </c>
      <c r="P352" s="6" t="s">
        <v>5342</v>
      </c>
      <c r="Q352" s="6" t="s">
        <v>6039</v>
      </c>
      <c r="R352" s="6" t="s">
        <v>6040</v>
      </c>
      <c r="S352" s="6" t="s">
        <v>22</v>
      </c>
      <c r="T352" s="6" t="s">
        <v>6041</v>
      </c>
      <c r="U352" s="6" t="s">
        <v>3159</v>
      </c>
      <c r="V352" s="6" t="s">
        <v>3747</v>
      </c>
      <c r="W352" s="6" t="s">
        <v>3405</v>
      </c>
      <c r="X352" s="6" t="s">
        <v>85</v>
      </c>
      <c r="Y352" s="6" t="s">
        <v>3159</v>
      </c>
      <c r="Z352" s="6" t="s">
        <v>93</v>
      </c>
      <c r="AA352" s="6" t="s">
        <v>6042</v>
      </c>
      <c r="AB352" s="6" t="s">
        <v>6043</v>
      </c>
      <c r="AC352" s="6" t="s">
        <v>3159</v>
      </c>
      <c r="AD352" s="6" t="s">
        <v>3152</v>
      </c>
      <c r="AE352" s="6" t="s">
        <v>3136</v>
      </c>
      <c r="AF352" s="6" t="s">
        <v>6044</v>
      </c>
      <c r="AG352" s="6" t="s">
        <v>6045</v>
      </c>
      <c r="AH352" s="6" t="s">
        <v>79</v>
      </c>
    </row>
    <row r="353" spans="1:34" x14ac:dyDescent="0.25">
      <c r="A353" s="6" t="s">
        <v>1216</v>
      </c>
      <c r="B353" s="6" t="s">
        <v>1217</v>
      </c>
      <c r="C353" s="6" t="s">
        <v>1218</v>
      </c>
      <c r="D353" s="6" t="s">
        <v>6046</v>
      </c>
      <c r="E353" s="6" t="s">
        <v>3460</v>
      </c>
      <c r="F353" s="6" t="s">
        <v>89</v>
      </c>
      <c r="G353" s="6" t="s">
        <v>90</v>
      </c>
      <c r="H353" s="6" t="s">
        <v>73</v>
      </c>
      <c r="I353" s="6" t="s">
        <v>74</v>
      </c>
      <c r="J353" s="6" t="s">
        <v>6047</v>
      </c>
      <c r="K353" s="6" t="s">
        <v>3141</v>
      </c>
      <c r="L353" s="6" t="s">
        <v>3141</v>
      </c>
      <c r="M353" s="6" t="s">
        <v>75</v>
      </c>
      <c r="N353" s="6" t="s">
        <v>3141</v>
      </c>
      <c r="O353" s="6" t="s">
        <v>3160</v>
      </c>
      <c r="P353" s="6" t="s">
        <v>6048</v>
      </c>
      <c r="Q353" s="6" t="s">
        <v>6049</v>
      </c>
      <c r="R353" s="6" t="s">
        <v>6050</v>
      </c>
      <c r="S353" s="6" t="s">
        <v>22</v>
      </c>
      <c r="T353" s="6" t="s">
        <v>6051</v>
      </c>
      <c r="U353" s="6" t="s">
        <v>3141</v>
      </c>
      <c r="V353" s="6" t="s">
        <v>6052</v>
      </c>
      <c r="W353" s="6" t="s">
        <v>3250</v>
      </c>
      <c r="X353" s="6" t="s">
        <v>3918</v>
      </c>
      <c r="Y353" s="6" t="s">
        <v>3141</v>
      </c>
      <c r="Z353" s="6" t="s">
        <v>78</v>
      </c>
      <c r="AA353" s="6" t="s">
        <v>3718</v>
      </c>
      <c r="AB353" s="6"/>
      <c r="AC353" s="6" t="s">
        <v>3140</v>
      </c>
      <c r="AD353" s="6" t="s">
        <v>3243</v>
      </c>
      <c r="AE353" s="6" t="s">
        <v>3235</v>
      </c>
      <c r="AF353" s="6" t="s">
        <v>6053</v>
      </c>
      <c r="AG353" s="6" t="s">
        <v>6054</v>
      </c>
      <c r="AH353" s="6" t="s">
        <v>79</v>
      </c>
    </row>
    <row r="354" spans="1:34" x14ac:dyDescent="0.25">
      <c r="A354" s="6" t="s">
        <v>1220</v>
      </c>
      <c r="B354" s="6" t="s">
        <v>1221</v>
      </c>
      <c r="C354" s="6" t="s">
        <v>6055</v>
      </c>
      <c r="D354" s="6" t="s">
        <v>1222</v>
      </c>
      <c r="E354" s="6" t="s">
        <v>4687</v>
      </c>
      <c r="F354" s="6" t="s">
        <v>71</v>
      </c>
      <c r="G354" s="6" t="s">
        <v>131</v>
      </c>
      <c r="H354" s="6" t="s">
        <v>103</v>
      </c>
      <c r="I354" s="6" t="s">
        <v>74</v>
      </c>
      <c r="J354" s="6" t="s">
        <v>6056</v>
      </c>
      <c r="K354" s="6" t="s">
        <v>3159</v>
      </c>
      <c r="L354" s="6" t="s">
        <v>3196</v>
      </c>
      <c r="M354" s="6" t="s">
        <v>3143</v>
      </c>
      <c r="N354" s="6" t="s">
        <v>3141</v>
      </c>
      <c r="O354" s="6" t="s">
        <v>3243</v>
      </c>
      <c r="P354" s="6" t="s">
        <v>6057</v>
      </c>
      <c r="Q354" s="6" t="s">
        <v>6058</v>
      </c>
      <c r="R354" s="6" t="s">
        <v>6059</v>
      </c>
      <c r="S354" s="6" t="s">
        <v>23</v>
      </c>
      <c r="T354" s="6" t="s">
        <v>6060</v>
      </c>
      <c r="U354" s="6" t="s">
        <v>3159</v>
      </c>
      <c r="V354" s="6" t="s">
        <v>3861</v>
      </c>
      <c r="W354" s="6" t="s">
        <v>3468</v>
      </c>
      <c r="X354" s="6" t="s">
        <v>85</v>
      </c>
      <c r="Y354" s="6" t="s">
        <v>3140</v>
      </c>
      <c r="Z354" s="6" t="s">
        <v>78</v>
      </c>
      <c r="AA354" s="6" t="s">
        <v>3541</v>
      </c>
      <c r="AB354" s="6"/>
      <c r="AC354" s="6" t="s">
        <v>3141</v>
      </c>
      <c r="AD354" s="6" t="s">
        <v>3159</v>
      </c>
      <c r="AE354" s="6" t="s">
        <v>3318</v>
      </c>
      <c r="AF354" s="6" t="s">
        <v>6061</v>
      </c>
      <c r="AG354" s="6" t="s">
        <v>6062</v>
      </c>
      <c r="AH354" s="6" t="s">
        <v>79</v>
      </c>
    </row>
    <row r="355" spans="1:34" x14ac:dyDescent="0.25">
      <c r="A355" s="6" t="s">
        <v>1223</v>
      </c>
      <c r="B355" s="6" t="s">
        <v>1224</v>
      </c>
      <c r="C355" s="6" t="s">
        <v>6063</v>
      </c>
      <c r="D355" s="6" t="s">
        <v>1225</v>
      </c>
      <c r="E355" s="6" t="s">
        <v>3200</v>
      </c>
      <c r="F355" s="6" t="s">
        <v>3201</v>
      </c>
      <c r="G355" s="6" t="s">
        <v>226</v>
      </c>
      <c r="H355" s="6" t="s">
        <v>144</v>
      </c>
      <c r="I355" s="6" t="s">
        <v>92</v>
      </c>
      <c r="J355" s="6" t="s">
        <v>6064</v>
      </c>
      <c r="K355" s="6" t="s">
        <v>3141</v>
      </c>
      <c r="L355" s="6" t="s">
        <v>75</v>
      </c>
      <c r="M355" s="6" t="s">
        <v>3141</v>
      </c>
      <c r="N355" s="6" t="s">
        <v>75</v>
      </c>
      <c r="O355" s="6" t="s">
        <v>75</v>
      </c>
      <c r="P355" s="6" t="s">
        <v>6065</v>
      </c>
      <c r="Q355" s="6"/>
      <c r="R355" s="6" t="s">
        <v>6066</v>
      </c>
      <c r="S355" s="6" t="s">
        <v>21</v>
      </c>
      <c r="T355" s="6" t="s">
        <v>6067</v>
      </c>
      <c r="U355" s="6" t="s">
        <v>3140</v>
      </c>
      <c r="V355" s="6" t="s">
        <v>6068</v>
      </c>
      <c r="W355" s="6" t="s">
        <v>4684</v>
      </c>
      <c r="X355" s="6" t="s">
        <v>161</v>
      </c>
      <c r="Y355" s="6" t="s">
        <v>3192</v>
      </c>
      <c r="Z355" s="6" t="s">
        <v>93</v>
      </c>
      <c r="AA355" s="6" t="s">
        <v>6069</v>
      </c>
      <c r="AB355" s="6"/>
      <c r="AC355" s="6" t="s">
        <v>3159</v>
      </c>
      <c r="AD355" s="6" t="s">
        <v>3152</v>
      </c>
      <c r="AE355" s="6" t="s">
        <v>3293</v>
      </c>
      <c r="AF355" s="6"/>
      <c r="AG355" s="6" t="s">
        <v>6070</v>
      </c>
      <c r="AH355" s="6" t="s">
        <v>79</v>
      </c>
    </row>
    <row r="356" spans="1:34" x14ac:dyDescent="0.25">
      <c r="A356" s="6" t="s">
        <v>1226</v>
      </c>
      <c r="B356" s="6" t="s">
        <v>634</v>
      </c>
      <c r="C356" s="6" t="s">
        <v>6071</v>
      </c>
      <c r="D356" s="6"/>
      <c r="E356" s="6" t="s">
        <v>4025</v>
      </c>
      <c r="F356" s="6" t="s">
        <v>3227</v>
      </c>
      <c r="G356" s="6" t="s">
        <v>215</v>
      </c>
      <c r="H356" s="6" t="s">
        <v>91</v>
      </c>
      <c r="I356" s="6" t="s">
        <v>92</v>
      </c>
      <c r="J356" s="6" t="s">
        <v>6072</v>
      </c>
      <c r="K356" s="6" t="s">
        <v>3141</v>
      </c>
      <c r="L356" s="6" t="s">
        <v>3160</v>
      </c>
      <c r="M356" s="6" t="s">
        <v>3141</v>
      </c>
      <c r="N356" s="6" t="s">
        <v>3160</v>
      </c>
      <c r="O356" s="6" t="s">
        <v>3160</v>
      </c>
      <c r="P356" s="6" t="s">
        <v>6073</v>
      </c>
      <c r="Q356" s="6" t="s">
        <v>6074</v>
      </c>
      <c r="R356" s="6" t="s">
        <v>6075</v>
      </c>
      <c r="S356" s="6" t="s">
        <v>20</v>
      </c>
      <c r="T356" s="6" t="s">
        <v>6076</v>
      </c>
      <c r="U356" s="6" t="s">
        <v>3141</v>
      </c>
      <c r="V356" s="6" t="s">
        <v>4107</v>
      </c>
      <c r="W356" s="6" t="s">
        <v>5137</v>
      </c>
      <c r="X356" s="6" t="s">
        <v>85</v>
      </c>
      <c r="Y356" s="6" t="s">
        <v>3159</v>
      </c>
      <c r="Z356" s="6" t="s">
        <v>93</v>
      </c>
      <c r="AA356" s="6" t="s">
        <v>4644</v>
      </c>
      <c r="AB356" s="6"/>
      <c r="AC356" s="6" t="s">
        <v>3159</v>
      </c>
      <c r="AD356" s="6" t="s">
        <v>3243</v>
      </c>
      <c r="AE356" s="6" t="s">
        <v>3136</v>
      </c>
      <c r="AF356" s="6"/>
      <c r="AG356" s="6" t="s">
        <v>6077</v>
      </c>
      <c r="AH356" s="6" t="s">
        <v>3494</v>
      </c>
    </row>
    <row r="357" spans="1:34" x14ac:dyDescent="0.25">
      <c r="A357" s="6" t="s">
        <v>1227</v>
      </c>
      <c r="B357" s="6" t="s">
        <v>1228</v>
      </c>
      <c r="C357" s="6" t="s">
        <v>6078</v>
      </c>
      <c r="D357" s="6"/>
      <c r="E357" s="6" t="s">
        <v>3505</v>
      </c>
      <c r="F357" s="6" t="s">
        <v>3358</v>
      </c>
      <c r="G357" s="6" t="s">
        <v>215</v>
      </c>
      <c r="H357" s="6" t="s">
        <v>84</v>
      </c>
      <c r="I357" s="6" t="s">
        <v>74</v>
      </c>
      <c r="J357" s="6" t="s">
        <v>6079</v>
      </c>
      <c r="K357" s="6" t="s">
        <v>3140</v>
      </c>
      <c r="L357" s="6" t="s">
        <v>3142</v>
      </c>
      <c r="M357" s="6" t="s">
        <v>3196</v>
      </c>
      <c r="N357" s="6" t="s">
        <v>3152</v>
      </c>
      <c r="O357" s="6" t="s">
        <v>3152</v>
      </c>
      <c r="P357" s="6" t="s">
        <v>6080</v>
      </c>
      <c r="Q357" s="6" t="s">
        <v>6081</v>
      </c>
      <c r="R357" s="6" t="s">
        <v>6082</v>
      </c>
      <c r="S357" s="6" t="s">
        <v>21</v>
      </c>
      <c r="T357" s="6"/>
      <c r="U357" s="6" t="s">
        <v>3159</v>
      </c>
      <c r="V357" s="6" t="s">
        <v>4718</v>
      </c>
      <c r="W357" s="6" t="s">
        <v>3783</v>
      </c>
      <c r="X357" s="6" t="s">
        <v>77</v>
      </c>
      <c r="Y357" s="6" t="s">
        <v>3140</v>
      </c>
      <c r="Z357" s="6" t="s">
        <v>93</v>
      </c>
      <c r="AA357" s="6" t="s">
        <v>3416</v>
      </c>
      <c r="AB357" s="6"/>
      <c r="AC357" s="6" t="s">
        <v>3140</v>
      </c>
      <c r="AD357" s="6" t="s">
        <v>3143</v>
      </c>
      <c r="AE357" s="6" t="s">
        <v>3235</v>
      </c>
      <c r="AF357" s="6"/>
      <c r="AG357" s="6" t="s">
        <v>6083</v>
      </c>
      <c r="AH357" s="6" t="s">
        <v>4004</v>
      </c>
    </row>
    <row r="358" spans="1:34" x14ac:dyDescent="0.25">
      <c r="A358" s="6" t="s">
        <v>1229</v>
      </c>
      <c r="B358" s="6" t="s">
        <v>1230</v>
      </c>
      <c r="C358" s="6"/>
      <c r="D358" s="6" t="s">
        <v>1231</v>
      </c>
      <c r="E358" s="6" t="s">
        <v>3760</v>
      </c>
      <c r="F358" s="6" t="s">
        <v>71</v>
      </c>
      <c r="G358" s="6" t="s">
        <v>153</v>
      </c>
      <c r="H358" s="6" t="s">
        <v>5066</v>
      </c>
      <c r="I358" s="6" t="s">
        <v>92</v>
      </c>
      <c r="J358" s="6"/>
      <c r="K358" s="6" t="s">
        <v>3159</v>
      </c>
      <c r="L358" s="6" t="s">
        <v>75</v>
      </c>
      <c r="M358" s="6" t="s">
        <v>3173</v>
      </c>
      <c r="N358" s="6" t="s">
        <v>3243</v>
      </c>
      <c r="O358" s="6" t="s">
        <v>75</v>
      </c>
      <c r="P358" s="6" t="s">
        <v>6084</v>
      </c>
      <c r="Q358" s="6"/>
      <c r="R358" s="6" t="s">
        <v>6085</v>
      </c>
      <c r="S358" s="6" t="s">
        <v>20</v>
      </c>
      <c r="T358" s="6" t="s">
        <v>6086</v>
      </c>
      <c r="U358" s="6" t="s">
        <v>3275</v>
      </c>
      <c r="V358" s="6" t="s">
        <v>6087</v>
      </c>
      <c r="W358" s="6" t="s">
        <v>5231</v>
      </c>
      <c r="X358" s="6" t="s">
        <v>77</v>
      </c>
      <c r="Y358" s="6" t="s">
        <v>3140</v>
      </c>
      <c r="Z358" s="6" t="s">
        <v>78</v>
      </c>
      <c r="AA358" s="6" t="s">
        <v>3907</v>
      </c>
      <c r="AB358" s="6"/>
      <c r="AC358" s="6" t="s">
        <v>3159</v>
      </c>
      <c r="AD358" s="6" t="s">
        <v>3152</v>
      </c>
      <c r="AE358" s="6" t="s">
        <v>3293</v>
      </c>
      <c r="AF358" s="6"/>
      <c r="AG358" s="6"/>
      <c r="AH358" s="6" t="s">
        <v>4004</v>
      </c>
    </row>
    <row r="359" spans="1:34" x14ac:dyDescent="0.25">
      <c r="A359" s="6" t="s">
        <v>1232</v>
      </c>
      <c r="B359" s="6" t="s">
        <v>1233</v>
      </c>
      <c r="C359" s="6"/>
      <c r="D359" s="6" t="s">
        <v>6088</v>
      </c>
      <c r="E359" s="6" t="s">
        <v>3157</v>
      </c>
      <c r="F359" s="6" t="s">
        <v>3227</v>
      </c>
      <c r="G359" s="6" t="s">
        <v>417</v>
      </c>
      <c r="H359" s="6" t="s">
        <v>132</v>
      </c>
      <c r="I359" s="6" t="s">
        <v>92</v>
      </c>
      <c r="J359" s="6" t="s">
        <v>3217</v>
      </c>
      <c r="K359" s="6" t="s">
        <v>3159</v>
      </c>
      <c r="L359" s="6" t="s">
        <v>3143</v>
      </c>
      <c r="M359" s="6" t="s">
        <v>3173</v>
      </c>
      <c r="N359" s="6" t="s">
        <v>3243</v>
      </c>
      <c r="O359" s="6" t="s">
        <v>3141</v>
      </c>
      <c r="P359" s="6" t="s">
        <v>4295</v>
      </c>
      <c r="Q359" s="6" t="s">
        <v>6089</v>
      </c>
      <c r="R359" s="6" t="s">
        <v>6090</v>
      </c>
      <c r="S359" s="6" t="s">
        <v>23</v>
      </c>
      <c r="T359" s="6"/>
      <c r="U359" s="6" t="s">
        <v>3141</v>
      </c>
      <c r="V359" s="6" t="s">
        <v>3775</v>
      </c>
      <c r="W359" s="6" t="s">
        <v>3448</v>
      </c>
      <c r="X359" s="6" t="s">
        <v>85</v>
      </c>
      <c r="Y359" s="6" t="s">
        <v>3292</v>
      </c>
      <c r="Z359" s="6" t="s">
        <v>93</v>
      </c>
      <c r="AA359" s="6" t="s">
        <v>6091</v>
      </c>
      <c r="AB359" s="6" t="s">
        <v>6092</v>
      </c>
      <c r="AC359" s="6" t="s">
        <v>3159</v>
      </c>
      <c r="AD359" s="6" t="s">
        <v>75</v>
      </c>
      <c r="AE359" s="6" t="s">
        <v>3513</v>
      </c>
      <c r="AF359" s="6" t="s">
        <v>6093</v>
      </c>
      <c r="AG359" s="6" t="s">
        <v>6094</v>
      </c>
      <c r="AH359" s="6" t="s">
        <v>79</v>
      </c>
    </row>
    <row r="360" spans="1:34" x14ac:dyDescent="0.25">
      <c r="A360" s="6" t="s">
        <v>1235</v>
      </c>
      <c r="B360" s="6" t="s">
        <v>1236</v>
      </c>
      <c r="C360" s="6" t="s">
        <v>1237</v>
      </c>
      <c r="D360" s="6" t="s">
        <v>1238</v>
      </c>
      <c r="E360" s="6" t="s">
        <v>4358</v>
      </c>
      <c r="F360" s="6" t="s">
        <v>3283</v>
      </c>
      <c r="G360" s="6" t="s">
        <v>139</v>
      </c>
      <c r="H360" s="6" t="s">
        <v>6095</v>
      </c>
      <c r="I360" s="6" t="s">
        <v>92</v>
      </c>
      <c r="J360" s="6" t="s">
        <v>6096</v>
      </c>
      <c r="K360" s="6" t="s">
        <v>3140</v>
      </c>
      <c r="L360" s="6" t="s">
        <v>3173</v>
      </c>
      <c r="M360" s="6" t="s">
        <v>3188</v>
      </c>
      <c r="N360" s="6" t="s">
        <v>75</v>
      </c>
      <c r="O360" s="6" t="s">
        <v>3243</v>
      </c>
      <c r="P360" s="6" t="s">
        <v>6097</v>
      </c>
      <c r="Q360" s="6" t="s">
        <v>6098</v>
      </c>
      <c r="R360" s="6" t="s">
        <v>6099</v>
      </c>
      <c r="S360" s="6" t="s">
        <v>21</v>
      </c>
      <c r="T360" s="6" t="s">
        <v>6100</v>
      </c>
      <c r="U360" s="6" t="s">
        <v>3159</v>
      </c>
      <c r="V360" s="6" t="s">
        <v>5417</v>
      </c>
      <c r="W360" s="6" t="s">
        <v>4463</v>
      </c>
      <c r="X360" s="6" t="s">
        <v>85</v>
      </c>
      <c r="Y360" s="6" t="s">
        <v>3292</v>
      </c>
      <c r="Z360" s="6" t="s">
        <v>78</v>
      </c>
      <c r="AA360" s="6" t="s">
        <v>3439</v>
      </c>
      <c r="AB360" s="6" t="s">
        <v>6101</v>
      </c>
      <c r="AC360" s="6" t="s">
        <v>3140</v>
      </c>
      <c r="AD360" s="6" t="s">
        <v>75</v>
      </c>
      <c r="AE360" s="6" t="s">
        <v>3293</v>
      </c>
      <c r="AF360" s="6"/>
      <c r="AG360" s="6" t="s">
        <v>6102</v>
      </c>
      <c r="AH360" s="6" t="s">
        <v>79</v>
      </c>
    </row>
    <row r="361" spans="1:34" x14ac:dyDescent="0.25">
      <c r="A361" s="6" t="s">
        <v>1239</v>
      </c>
      <c r="B361" s="6" t="s">
        <v>6103</v>
      </c>
      <c r="C361" s="6" t="s">
        <v>6104</v>
      </c>
      <c r="D361" s="6" t="s">
        <v>1240</v>
      </c>
      <c r="E361" s="6" t="s">
        <v>3282</v>
      </c>
      <c r="F361" s="6" t="s">
        <v>3283</v>
      </c>
      <c r="G361" s="6" t="s">
        <v>106</v>
      </c>
      <c r="H361" s="6" t="s">
        <v>73</v>
      </c>
      <c r="I361" s="6" t="s">
        <v>74</v>
      </c>
      <c r="J361" s="6" t="s">
        <v>6105</v>
      </c>
      <c r="K361" s="6" t="s">
        <v>3141</v>
      </c>
      <c r="L361" s="6" t="s">
        <v>3141</v>
      </c>
      <c r="M361" s="6" t="s">
        <v>3141</v>
      </c>
      <c r="N361" s="6" t="s">
        <v>3141</v>
      </c>
      <c r="O361" s="6" t="s">
        <v>3243</v>
      </c>
      <c r="P361" s="6" t="s">
        <v>6106</v>
      </c>
      <c r="Q361" s="6"/>
      <c r="R361" s="6" t="s">
        <v>6107</v>
      </c>
      <c r="S361" s="6" t="s">
        <v>22</v>
      </c>
      <c r="T361" s="6"/>
      <c r="U361" s="6" t="s">
        <v>3141</v>
      </c>
      <c r="V361" s="6" t="s">
        <v>6108</v>
      </c>
      <c r="W361" s="6" t="s">
        <v>4529</v>
      </c>
      <c r="X361" s="6" t="s">
        <v>85</v>
      </c>
      <c r="Y361" s="6" t="s">
        <v>3292</v>
      </c>
      <c r="Z361" s="6" t="s">
        <v>93</v>
      </c>
      <c r="AA361" s="6" t="s">
        <v>4610</v>
      </c>
      <c r="AB361" s="6" t="s">
        <v>6109</v>
      </c>
      <c r="AC361" s="6" t="s">
        <v>3141</v>
      </c>
      <c r="AD361" s="6" t="s">
        <v>3143</v>
      </c>
      <c r="AE361" s="6" t="s">
        <v>3323</v>
      </c>
      <c r="AF361" s="6" t="s">
        <v>6110</v>
      </c>
      <c r="AG361" s="6" t="s">
        <v>6111</v>
      </c>
      <c r="AH361" s="6" t="s">
        <v>79</v>
      </c>
    </row>
    <row r="362" spans="1:34" x14ac:dyDescent="0.25">
      <c r="A362" s="6" t="s">
        <v>1241</v>
      </c>
      <c r="B362" s="6" t="s">
        <v>1242</v>
      </c>
      <c r="C362" s="6" t="s">
        <v>6112</v>
      </c>
      <c r="D362" s="6" t="s">
        <v>1243</v>
      </c>
      <c r="E362" s="6" t="s">
        <v>3483</v>
      </c>
      <c r="F362" s="6" t="s">
        <v>3227</v>
      </c>
      <c r="G362" s="6" t="s">
        <v>72</v>
      </c>
      <c r="H362" s="6" t="s">
        <v>91</v>
      </c>
      <c r="I362" s="6" t="s">
        <v>92</v>
      </c>
      <c r="J362" s="6" t="s">
        <v>6113</v>
      </c>
      <c r="K362" s="6" t="s">
        <v>3159</v>
      </c>
      <c r="L362" s="6" t="s">
        <v>75</v>
      </c>
      <c r="M362" s="6" t="s">
        <v>75</v>
      </c>
      <c r="N362" s="6" t="s">
        <v>3141</v>
      </c>
      <c r="O362" s="6" t="s">
        <v>3159</v>
      </c>
      <c r="P362" s="6" t="s">
        <v>5745</v>
      </c>
      <c r="Q362" s="6"/>
      <c r="R362" s="6" t="s">
        <v>6114</v>
      </c>
      <c r="S362" s="6" t="s">
        <v>21</v>
      </c>
      <c r="T362" s="6" t="s">
        <v>6115</v>
      </c>
      <c r="U362" s="6" t="s">
        <v>3141</v>
      </c>
      <c r="V362" s="6" t="s">
        <v>3754</v>
      </c>
      <c r="W362" s="6" t="s">
        <v>3954</v>
      </c>
      <c r="X362" s="6" t="s">
        <v>85</v>
      </c>
      <c r="Y362" s="6" t="s">
        <v>3140</v>
      </c>
      <c r="Z362" s="6" t="s">
        <v>93</v>
      </c>
      <c r="AA362" s="6" t="s">
        <v>4618</v>
      </c>
      <c r="AB362" s="6"/>
      <c r="AC362" s="6" t="s">
        <v>3141</v>
      </c>
      <c r="AD362" s="6" t="s">
        <v>3243</v>
      </c>
      <c r="AE362" s="6" t="s">
        <v>3235</v>
      </c>
      <c r="AF362" s="6"/>
      <c r="AG362" s="6" t="s">
        <v>6116</v>
      </c>
      <c r="AH362" s="6" t="s">
        <v>79</v>
      </c>
    </row>
    <row r="363" spans="1:34" x14ac:dyDescent="0.25">
      <c r="A363" s="6" t="s">
        <v>1244</v>
      </c>
      <c r="B363" s="6" t="s">
        <v>1245</v>
      </c>
      <c r="C363" s="6"/>
      <c r="D363" s="6"/>
      <c r="E363" s="6" t="s">
        <v>3760</v>
      </c>
      <c r="F363" s="6" t="s">
        <v>3214</v>
      </c>
      <c r="G363" s="6" t="s">
        <v>143</v>
      </c>
      <c r="H363" s="6" t="s">
        <v>73</v>
      </c>
      <c r="I363" s="6" t="s">
        <v>74</v>
      </c>
      <c r="J363" s="6" t="s">
        <v>6117</v>
      </c>
      <c r="K363" s="6" t="s">
        <v>3159</v>
      </c>
      <c r="L363" s="6" t="s">
        <v>3142</v>
      </c>
      <c r="M363" s="6" t="s">
        <v>75</v>
      </c>
      <c r="N363" s="6" t="s">
        <v>3152</v>
      </c>
      <c r="O363" s="6" t="s">
        <v>3141</v>
      </c>
      <c r="P363" s="6" t="s">
        <v>6118</v>
      </c>
      <c r="Q363" s="6" t="s">
        <v>6119</v>
      </c>
      <c r="R363" s="6" t="s">
        <v>6120</v>
      </c>
      <c r="S363" s="6" t="s">
        <v>3671</v>
      </c>
      <c r="T363" s="6" t="s">
        <v>6121</v>
      </c>
      <c r="U363" s="6" t="s">
        <v>3141</v>
      </c>
      <c r="V363" s="6" t="s">
        <v>6122</v>
      </c>
      <c r="W363" s="6" t="s">
        <v>5002</v>
      </c>
      <c r="X363" s="6" t="s">
        <v>85</v>
      </c>
      <c r="Y363" s="6" t="s">
        <v>3159</v>
      </c>
      <c r="Z363" s="6" t="s">
        <v>3329</v>
      </c>
      <c r="AA363" s="6" t="s">
        <v>4464</v>
      </c>
      <c r="AB363" s="6"/>
      <c r="AC363" s="6" t="s">
        <v>3140</v>
      </c>
      <c r="AD363" s="6" t="s">
        <v>3152</v>
      </c>
      <c r="AE363" s="6" t="s">
        <v>3428</v>
      </c>
      <c r="AF363" s="6" t="s">
        <v>6123</v>
      </c>
      <c r="AG363" s="6" t="s">
        <v>6124</v>
      </c>
      <c r="AH363" s="6" t="s">
        <v>79</v>
      </c>
    </row>
    <row r="364" spans="1:34" x14ac:dyDescent="0.25">
      <c r="A364" s="6" t="s">
        <v>1246</v>
      </c>
      <c r="B364" s="6" t="s">
        <v>1247</v>
      </c>
      <c r="C364" s="6" t="s">
        <v>1248</v>
      </c>
      <c r="D364" s="6" t="s">
        <v>6125</v>
      </c>
      <c r="E364" s="6" t="s">
        <v>3346</v>
      </c>
      <c r="F364" s="6" t="s">
        <v>3369</v>
      </c>
      <c r="G364" s="6" t="s">
        <v>6126</v>
      </c>
      <c r="H364" s="6" t="s">
        <v>5368</v>
      </c>
      <c r="I364" s="6" t="s">
        <v>74</v>
      </c>
      <c r="J364" s="6" t="s">
        <v>6127</v>
      </c>
      <c r="K364" s="6" t="s">
        <v>3159</v>
      </c>
      <c r="L364" s="6" t="s">
        <v>3173</v>
      </c>
      <c r="M364" s="6" t="s">
        <v>3141</v>
      </c>
      <c r="N364" s="6" t="s">
        <v>3141</v>
      </c>
      <c r="O364" s="6" t="s">
        <v>3160</v>
      </c>
      <c r="P364" s="6" t="s">
        <v>6128</v>
      </c>
      <c r="Q364" s="6" t="s">
        <v>6129</v>
      </c>
      <c r="R364" s="6" t="s">
        <v>6130</v>
      </c>
      <c r="S364" s="6" t="s">
        <v>22</v>
      </c>
      <c r="T364" s="6"/>
      <c r="U364" s="6" t="s">
        <v>3141</v>
      </c>
      <c r="V364" s="6" t="s">
        <v>6131</v>
      </c>
      <c r="W364" s="6" t="s">
        <v>3747</v>
      </c>
      <c r="X364" s="6" t="s">
        <v>85</v>
      </c>
      <c r="Y364" s="6" t="s">
        <v>3141</v>
      </c>
      <c r="Z364" s="6" t="s">
        <v>93</v>
      </c>
      <c r="AA364" s="6" t="s">
        <v>6132</v>
      </c>
      <c r="AB364" s="6"/>
      <c r="AC364" s="6" t="s">
        <v>3141</v>
      </c>
      <c r="AD364" s="6" t="s">
        <v>3152</v>
      </c>
      <c r="AE364" s="6" t="s">
        <v>3235</v>
      </c>
      <c r="AF364" s="6" t="s">
        <v>6133</v>
      </c>
      <c r="AG364" s="6" t="s">
        <v>6134</v>
      </c>
      <c r="AH364" s="6" t="s">
        <v>79</v>
      </c>
    </row>
    <row r="365" spans="1:34" x14ac:dyDescent="0.25">
      <c r="A365" s="6" t="s">
        <v>1250</v>
      </c>
      <c r="B365" s="6" t="s">
        <v>649</v>
      </c>
      <c r="C365" s="6" t="s">
        <v>1251</v>
      </c>
      <c r="D365" s="6"/>
      <c r="E365" s="6" t="s">
        <v>3346</v>
      </c>
      <c r="F365" s="6" t="s">
        <v>3201</v>
      </c>
      <c r="G365" s="6" t="s">
        <v>3761</v>
      </c>
      <c r="H365" s="6" t="s">
        <v>144</v>
      </c>
      <c r="I365" s="6" t="s">
        <v>92</v>
      </c>
      <c r="J365" s="6" t="s">
        <v>6135</v>
      </c>
      <c r="K365" s="6" t="s">
        <v>3292</v>
      </c>
      <c r="L365" s="6" t="s">
        <v>76</v>
      </c>
      <c r="M365" s="6" t="s">
        <v>3173</v>
      </c>
      <c r="N365" s="6" t="s">
        <v>3159</v>
      </c>
      <c r="O365" s="6" t="s">
        <v>75</v>
      </c>
      <c r="P365" s="6" t="s">
        <v>5497</v>
      </c>
      <c r="Q365" s="6" t="s">
        <v>6136</v>
      </c>
      <c r="R365" s="6" t="s">
        <v>6137</v>
      </c>
      <c r="S365" s="6" t="s">
        <v>22</v>
      </c>
      <c r="T365" s="6"/>
      <c r="U365" s="6" t="s">
        <v>3141</v>
      </c>
      <c r="V365" s="6" t="s">
        <v>5431</v>
      </c>
      <c r="W365" s="6" t="s">
        <v>4067</v>
      </c>
      <c r="X365" s="6" t="s">
        <v>85</v>
      </c>
      <c r="Y365" s="6" t="s">
        <v>3292</v>
      </c>
      <c r="Z365" s="6" t="s">
        <v>93</v>
      </c>
      <c r="AA365" s="6" t="s">
        <v>3757</v>
      </c>
      <c r="AB365" s="6"/>
      <c r="AC365" s="6" t="s">
        <v>3159</v>
      </c>
      <c r="AD365" s="6" t="s">
        <v>3152</v>
      </c>
      <c r="AE365" s="6" t="s">
        <v>3279</v>
      </c>
      <c r="AF365" s="6" t="s">
        <v>6138</v>
      </c>
      <c r="AG365" s="6" t="s">
        <v>6139</v>
      </c>
      <c r="AH365" s="6" t="s">
        <v>4004</v>
      </c>
    </row>
    <row r="366" spans="1:34" x14ac:dyDescent="0.25">
      <c r="A366" s="6" t="s">
        <v>1252</v>
      </c>
      <c r="B366" s="6" t="s">
        <v>1253</v>
      </c>
      <c r="C366" s="6" t="s">
        <v>1254</v>
      </c>
      <c r="D366" s="6" t="s">
        <v>1255</v>
      </c>
      <c r="E366" s="6" t="s">
        <v>3157</v>
      </c>
      <c r="F366" s="6" t="s">
        <v>3283</v>
      </c>
      <c r="G366" s="6" t="s">
        <v>72</v>
      </c>
      <c r="H366" s="6" t="s">
        <v>84</v>
      </c>
      <c r="I366" s="6" t="s">
        <v>74</v>
      </c>
      <c r="J366" s="6" t="s">
        <v>6140</v>
      </c>
      <c r="K366" s="6" t="s">
        <v>3159</v>
      </c>
      <c r="L366" s="6" t="s">
        <v>3188</v>
      </c>
      <c r="M366" s="6" t="s">
        <v>3141</v>
      </c>
      <c r="N366" s="6" t="s">
        <v>75</v>
      </c>
      <c r="O366" s="6" t="s">
        <v>3243</v>
      </c>
      <c r="P366" s="6" t="s">
        <v>6141</v>
      </c>
      <c r="Q366" s="6" t="s">
        <v>6142</v>
      </c>
      <c r="R366" s="6" t="s">
        <v>6143</v>
      </c>
      <c r="S366" s="6" t="s">
        <v>21</v>
      </c>
      <c r="T366" s="6" t="s">
        <v>6144</v>
      </c>
      <c r="U366" s="6" t="s">
        <v>3140</v>
      </c>
      <c r="V366" s="6" t="s">
        <v>6145</v>
      </c>
      <c r="W366" s="6" t="s">
        <v>3613</v>
      </c>
      <c r="X366" s="6" t="s">
        <v>77</v>
      </c>
      <c r="Y366" s="6" t="s">
        <v>3159</v>
      </c>
      <c r="Z366" s="6" t="s">
        <v>78</v>
      </c>
      <c r="AA366" s="6" t="s">
        <v>3541</v>
      </c>
      <c r="AB366" s="6" t="s">
        <v>6146</v>
      </c>
      <c r="AC366" s="6" t="s">
        <v>3141</v>
      </c>
      <c r="AD366" s="6" t="s">
        <v>3141</v>
      </c>
      <c r="AE366" s="6" t="s">
        <v>3323</v>
      </c>
      <c r="AF366" s="6"/>
      <c r="AG366" s="6"/>
      <c r="AH366" s="6" t="s">
        <v>79</v>
      </c>
    </row>
    <row r="367" spans="1:34" x14ac:dyDescent="0.25">
      <c r="A367" s="6" t="s">
        <v>1256</v>
      </c>
      <c r="B367" s="6" t="s">
        <v>137</v>
      </c>
      <c r="C367" s="6" t="s">
        <v>6147</v>
      </c>
      <c r="D367" s="6" t="s">
        <v>1257</v>
      </c>
      <c r="E367" s="6" t="s">
        <v>3346</v>
      </c>
      <c r="F367" s="6" t="s">
        <v>3214</v>
      </c>
      <c r="G367" s="6" t="s">
        <v>115</v>
      </c>
      <c r="H367" s="6" t="s">
        <v>84</v>
      </c>
      <c r="I367" s="6" t="s">
        <v>74</v>
      </c>
      <c r="J367" s="6" t="s">
        <v>6148</v>
      </c>
      <c r="K367" s="6" t="s">
        <v>3140</v>
      </c>
      <c r="L367" s="6" t="s">
        <v>3142</v>
      </c>
      <c r="M367" s="6" t="s">
        <v>3159</v>
      </c>
      <c r="N367" s="6" t="s">
        <v>3152</v>
      </c>
      <c r="O367" s="6" t="s">
        <v>3160</v>
      </c>
      <c r="P367" s="6" t="s">
        <v>4302</v>
      </c>
      <c r="Q367" s="6" t="s">
        <v>6149</v>
      </c>
      <c r="R367" s="6" t="s">
        <v>6150</v>
      </c>
      <c r="S367" s="6" t="s">
        <v>20</v>
      </c>
      <c r="T367" s="6" t="s">
        <v>3217</v>
      </c>
      <c r="U367" s="6" t="s">
        <v>3141</v>
      </c>
      <c r="V367" s="6" t="s">
        <v>6151</v>
      </c>
      <c r="W367" s="6" t="s">
        <v>3729</v>
      </c>
      <c r="X367" s="6" t="s">
        <v>85</v>
      </c>
      <c r="Y367" s="6" t="s">
        <v>3159</v>
      </c>
      <c r="Z367" s="6" t="s">
        <v>93</v>
      </c>
      <c r="AA367" s="6" t="s">
        <v>4464</v>
      </c>
      <c r="AB367" s="6" t="s">
        <v>6152</v>
      </c>
      <c r="AC367" s="6" t="s">
        <v>3292</v>
      </c>
      <c r="AD367" s="6" t="s">
        <v>3160</v>
      </c>
      <c r="AE367" s="6" t="s">
        <v>3169</v>
      </c>
      <c r="AF367" s="6"/>
      <c r="AG367" s="6" t="s">
        <v>6153</v>
      </c>
      <c r="AH367" s="6" t="s">
        <v>79</v>
      </c>
    </row>
    <row r="368" spans="1:34" x14ac:dyDescent="0.25">
      <c r="A368" s="6" t="s">
        <v>1258</v>
      </c>
      <c r="B368" s="6" t="s">
        <v>1259</v>
      </c>
      <c r="C368" s="6" t="s">
        <v>1260</v>
      </c>
      <c r="D368" s="6" t="s">
        <v>6154</v>
      </c>
      <c r="E368" s="6" t="s">
        <v>4828</v>
      </c>
      <c r="F368" s="6" t="s">
        <v>3201</v>
      </c>
      <c r="G368" s="6" t="s">
        <v>4243</v>
      </c>
      <c r="H368" s="6" t="s">
        <v>91</v>
      </c>
      <c r="I368" s="6" t="s">
        <v>92</v>
      </c>
      <c r="J368" s="6" t="s">
        <v>6155</v>
      </c>
      <c r="K368" s="6" t="s">
        <v>3159</v>
      </c>
      <c r="L368" s="6" t="s">
        <v>75</v>
      </c>
      <c r="M368" s="6" t="s">
        <v>3159</v>
      </c>
      <c r="N368" s="6" t="s">
        <v>3152</v>
      </c>
      <c r="O368" s="6" t="s">
        <v>3243</v>
      </c>
      <c r="P368" s="6" t="s">
        <v>4261</v>
      </c>
      <c r="Q368" s="6" t="s">
        <v>6156</v>
      </c>
      <c r="R368" s="6" t="s">
        <v>6157</v>
      </c>
      <c r="S368" s="6" t="s">
        <v>23</v>
      </c>
      <c r="T368" s="6" t="s">
        <v>6158</v>
      </c>
      <c r="U368" s="6" t="s">
        <v>3141</v>
      </c>
      <c r="V368" s="6" t="s">
        <v>4175</v>
      </c>
      <c r="W368" s="6" t="s">
        <v>3354</v>
      </c>
      <c r="X368" s="6" t="s">
        <v>85</v>
      </c>
      <c r="Y368" s="6" t="s">
        <v>3159</v>
      </c>
      <c r="Z368" s="6" t="s">
        <v>194</v>
      </c>
      <c r="AA368" s="6" t="s">
        <v>3729</v>
      </c>
      <c r="AB368" s="6"/>
      <c r="AC368" s="6" t="s">
        <v>3141</v>
      </c>
      <c r="AD368" s="6" t="s">
        <v>75</v>
      </c>
      <c r="AE368" s="6" t="s">
        <v>3513</v>
      </c>
      <c r="AF368" s="6" t="s">
        <v>6159</v>
      </c>
      <c r="AG368" s="6" t="s">
        <v>3345</v>
      </c>
      <c r="AH368" s="6" t="s">
        <v>79</v>
      </c>
    </row>
    <row r="369" spans="1:34" x14ac:dyDescent="0.25">
      <c r="A369" s="6" t="s">
        <v>1262</v>
      </c>
      <c r="B369" s="6" t="s">
        <v>815</v>
      </c>
      <c r="C369" s="6" t="s">
        <v>1263</v>
      </c>
      <c r="D369" s="6" t="s">
        <v>1264</v>
      </c>
      <c r="E369" s="6" t="s">
        <v>3786</v>
      </c>
      <c r="F369" s="6" t="s">
        <v>3358</v>
      </c>
      <c r="G369" s="6" t="s">
        <v>98</v>
      </c>
      <c r="H369" s="6" t="s">
        <v>91</v>
      </c>
      <c r="I369" s="6" t="s">
        <v>92</v>
      </c>
      <c r="J369" s="6" t="s">
        <v>6160</v>
      </c>
      <c r="K369" s="6" t="s">
        <v>3159</v>
      </c>
      <c r="L369" s="6" t="s">
        <v>75</v>
      </c>
      <c r="M369" s="6" t="s">
        <v>3188</v>
      </c>
      <c r="N369" s="6" t="s">
        <v>3243</v>
      </c>
      <c r="O369" s="6" t="s">
        <v>75</v>
      </c>
      <c r="P369" s="6" t="s">
        <v>6161</v>
      </c>
      <c r="Q369" s="6"/>
      <c r="R369" s="6" t="s">
        <v>6162</v>
      </c>
      <c r="S369" s="6" t="s">
        <v>23</v>
      </c>
      <c r="T369" s="6" t="s">
        <v>3217</v>
      </c>
      <c r="U369" s="6" t="s">
        <v>3141</v>
      </c>
      <c r="V369" s="6" t="s">
        <v>3653</v>
      </c>
      <c r="W369" s="6" t="s">
        <v>4494</v>
      </c>
      <c r="X369" s="6" t="s">
        <v>77</v>
      </c>
      <c r="Y369" s="6" t="s">
        <v>3292</v>
      </c>
      <c r="Z369" s="6" t="s">
        <v>78</v>
      </c>
      <c r="AA369" s="6" t="s">
        <v>3894</v>
      </c>
      <c r="AB369" s="6"/>
      <c r="AC369" s="6" t="s">
        <v>3159</v>
      </c>
      <c r="AD369" s="6" t="s">
        <v>75</v>
      </c>
      <c r="AE369" s="6" t="s">
        <v>3153</v>
      </c>
      <c r="AF369" s="6" t="s">
        <v>6163</v>
      </c>
      <c r="AG369" s="6" t="s">
        <v>6164</v>
      </c>
      <c r="AH369" s="6" t="s">
        <v>79</v>
      </c>
    </row>
    <row r="370" spans="1:34" x14ac:dyDescent="0.25">
      <c r="A370" s="6" t="s">
        <v>1265</v>
      </c>
      <c r="B370" s="6" t="s">
        <v>6165</v>
      </c>
      <c r="C370" s="6" t="s">
        <v>1267</v>
      </c>
      <c r="D370" s="6" t="s">
        <v>6166</v>
      </c>
      <c r="E370" s="6" t="s">
        <v>3626</v>
      </c>
      <c r="F370" s="6" t="s">
        <v>3214</v>
      </c>
      <c r="G370" s="6" t="s">
        <v>6167</v>
      </c>
      <c r="H370" s="6" t="s">
        <v>103</v>
      </c>
      <c r="I370" s="6" t="s">
        <v>74</v>
      </c>
      <c r="J370" s="6"/>
      <c r="K370" s="6" t="s">
        <v>3159</v>
      </c>
      <c r="L370" s="6" t="s">
        <v>3142</v>
      </c>
      <c r="M370" s="6" t="s">
        <v>75</v>
      </c>
      <c r="N370" s="6" t="s">
        <v>3152</v>
      </c>
      <c r="O370" s="6" t="s">
        <v>3143</v>
      </c>
      <c r="P370" s="6" t="s">
        <v>6168</v>
      </c>
      <c r="Q370" s="6"/>
      <c r="R370" s="6" t="s">
        <v>6169</v>
      </c>
      <c r="S370" s="6" t="s">
        <v>20</v>
      </c>
      <c r="T370" s="6" t="s">
        <v>6170</v>
      </c>
      <c r="U370" s="6" t="s">
        <v>3140</v>
      </c>
      <c r="V370" s="6" t="s">
        <v>3304</v>
      </c>
      <c r="W370" s="6" t="s">
        <v>4592</v>
      </c>
      <c r="X370" s="6" t="s">
        <v>85</v>
      </c>
      <c r="Y370" s="6" t="s">
        <v>3141</v>
      </c>
      <c r="Z370" s="6" t="s">
        <v>93</v>
      </c>
      <c r="AA370" s="6" t="s">
        <v>3801</v>
      </c>
      <c r="AB370" s="6" t="s">
        <v>6171</v>
      </c>
      <c r="AC370" s="6" t="s">
        <v>3140</v>
      </c>
      <c r="AD370" s="6" t="s">
        <v>75</v>
      </c>
      <c r="AE370" s="6" t="s">
        <v>3293</v>
      </c>
      <c r="AF370" s="6"/>
      <c r="AG370" s="6" t="s">
        <v>6172</v>
      </c>
      <c r="AH370" s="6" t="s">
        <v>79</v>
      </c>
    </row>
    <row r="371" spans="1:34" x14ac:dyDescent="0.25">
      <c r="A371" s="6" t="s">
        <v>1269</v>
      </c>
      <c r="B371" s="6" t="s">
        <v>1270</v>
      </c>
      <c r="C371" s="6" t="s">
        <v>1271</v>
      </c>
      <c r="D371" s="6" t="s">
        <v>1272</v>
      </c>
      <c r="E371" s="6" t="s">
        <v>3722</v>
      </c>
      <c r="F371" s="6" t="s">
        <v>89</v>
      </c>
      <c r="G371" s="6" t="s">
        <v>215</v>
      </c>
      <c r="H371" s="6" t="s">
        <v>5066</v>
      </c>
      <c r="I371" s="6" t="s">
        <v>92</v>
      </c>
      <c r="J371" s="6" t="s">
        <v>6173</v>
      </c>
      <c r="K371" s="6" t="s">
        <v>3140</v>
      </c>
      <c r="L371" s="6" t="s">
        <v>3196</v>
      </c>
      <c r="M371" s="6" t="s">
        <v>3173</v>
      </c>
      <c r="N371" s="6" t="s">
        <v>3243</v>
      </c>
      <c r="O371" s="6" t="s">
        <v>3152</v>
      </c>
      <c r="P371" s="6" t="s">
        <v>6174</v>
      </c>
      <c r="Q371" s="6" t="s">
        <v>3217</v>
      </c>
      <c r="R371" s="6" t="s">
        <v>6175</v>
      </c>
      <c r="S371" s="6" t="s">
        <v>23</v>
      </c>
      <c r="T371" s="6" t="s">
        <v>6176</v>
      </c>
      <c r="U371" s="6" t="s">
        <v>3159</v>
      </c>
      <c r="V371" s="6" t="s">
        <v>6177</v>
      </c>
      <c r="W371" s="6" t="s">
        <v>3316</v>
      </c>
      <c r="X371" s="6" t="s">
        <v>161</v>
      </c>
      <c r="Y371" s="6" t="s">
        <v>3140</v>
      </c>
      <c r="Z371" s="6" t="s">
        <v>93</v>
      </c>
      <c r="AA371" s="6" t="s">
        <v>6178</v>
      </c>
      <c r="AB371" s="6" t="s">
        <v>6179</v>
      </c>
      <c r="AC371" s="6" t="s">
        <v>3141</v>
      </c>
      <c r="AD371" s="6" t="s">
        <v>3143</v>
      </c>
      <c r="AE371" s="6" t="s">
        <v>3318</v>
      </c>
      <c r="AF371" s="6" t="s">
        <v>6180</v>
      </c>
      <c r="AG371" s="6" t="s">
        <v>6181</v>
      </c>
      <c r="AH371" s="6" t="s">
        <v>79</v>
      </c>
    </row>
    <row r="372" spans="1:34" x14ac:dyDescent="0.25">
      <c r="A372" s="6" t="s">
        <v>1273</v>
      </c>
      <c r="B372" s="6" t="s">
        <v>1274</v>
      </c>
      <c r="C372" s="6" t="s">
        <v>6182</v>
      </c>
      <c r="D372" s="6" t="s">
        <v>1275</v>
      </c>
      <c r="E372" s="6" t="s">
        <v>3970</v>
      </c>
      <c r="F372" s="6" t="s">
        <v>3201</v>
      </c>
      <c r="G372" s="6" t="s">
        <v>174</v>
      </c>
      <c r="H372" s="6" t="s">
        <v>107</v>
      </c>
      <c r="I372" s="6" t="s">
        <v>92</v>
      </c>
      <c r="J372" s="6" t="s">
        <v>6183</v>
      </c>
      <c r="K372" s="6" t="s">
        <v>3140</v>
      </c>
      <c r="L372" s="6" t="s">
        <v>3173</v>
      </c>
      <c r="M372" s="6" t="s">
        <v>3152</v>
      </c>
      <c r="N372" s="6" t="s">
        <v>76</v>
      </c>
      <c r="O372" s="6" t="s">
        <v>3152</v>
      </c>
      <c r="P372" s="6" t="s">
        <v>4914</v>
      </c>
      <c r="Q372" s="6"/>
      <c r="R372" s="6" t="s">
        <v>6184</v>
      </c>
      <c r="S372" s="6" t="s">
        <v>22</v>
      </c>
      <c r="T372" s="6" t="s">
        <v>6185</v>
      </c>
      <c r="U372" s="6" t="s">
        <v>3141</v>
      </c>
      <c r="V372" s="6" t="s">
        <v>3541</v>
      </c>
      <c r="W372" s="6" t="s">
        <v>3316</v>
      </c>
      <c r="X372" s="6" t="s">
        <v>85</v>
      </c>
      <c r="Y372" s="6" t="s">
        <v>3141</v>
      </c>
      <c r="Z372" s="6" t="s">
        <v>93</v>
      </c>
      <c r="AA372" s="6" t="s">
        <v>3250</v>
      </c>
      <c r="AB372" s="6" t="s">
        <v>6186</v>
      </c>
      <c r="AC372" s="6" t="s">
        <v>3141</v>
      </c>
      <c r="AD372" s="6" t="s">
        <v>3141</v>
      </c>
      <c r="AE372" s="6" t="s">
        <v>3279</v>
      </c>
      <c r="AF372" s="6" t="s">
        <v>6187</v>
      </c>
      <c r="AG372" s="6" t="s">
        <v>6188</v>
      </c>
      <c r="AH372" s="6" t="s">
        <v>3334</v>
      </c>
    </row>
    <row r="373" spans="1:34" x14ac:dyDescent="0.25">
      <c r="A373" s="6" t="s">
        <v>1276</v>
      </c>
      <c r="B373" s="6" t="s">
        <v>1277</v>
      </c>
      <c r="C373" s="6" t="s">
        <v>1278</v>
      </c>
      <c r="D373" s="6" t="s">
        <v>1279</v>
      </c>
      <c r="E373" s="6" t="s">
        <v>4542</v>
      </c>
      <c r="F373" s="6" t="s">
        <v>3283</v>
      </c>
      <c r="G373" s="6" t="s">
        <v>6189</v>
      </c>
      <c r="H373" s="6" t="s">
        <v>91</v>
      </c>
      <c r="I373" s="6" t="s">
        <v>92</v>
      </c>
      <c r="J373" s="6" t="s">
        <v>6190</v>
      </c>
      <c r="K373" s="6" t="s">
        <v>3292</v>
      </c>
      <c r="L373" s="6" t="s">
        <v>3188</v>
      </c>
      <c r="M373" s="6" t="s">
        <v>3173</v>
      </c>
      <c r="N373" s="6" t="s">
        <v>3160</v>
      </c>
      <c r="O373" s="6" t="s">
        <v>3196</v>
      </c>
      <c r="P373" s="6" t="s">
        <v>5794</v>
      </c>
      <c r="Q373" s="6" t="s">
        <v>6191</v>
      </c>
      <c r="R373" s="6" t="s">
        <v>6192</v>
      </c>
      <c r="S373" s="6" t="s">
        <v>20</v>
      </c>
      <c r="T373" s="6" t="s">
        <v>6193</v>
      </c>
      <c r="U373" s="6" t="s">
        <v>3141</v>
      </c>
      <c r="V373" s="6" t="s">
        <v>4568</v>
      </c>
      <c r="W373" s="6" t="s">
        <v>4463</v>
      </c>
      <c r="X373" s="6" t="s">
        <v>85</v>
      </c>
      <c r="Y373" s="6" t="s">
        <v>3292</v>
      </c>
      <c r="Z373" s="6" t="s">
        <v>93</v>
      </c>
      <c r="AA373" s="6" t="s">
        <v>4764</v>
      </c>
      <c r="AB373" s="6" t="s">
        <v>6194</v>
      </c>
      <c r="AC373" s="6" t="s">
        <v>3141</v>
      </c>
      <c r="AD373" s="6" t="s">
        <v>3243</v>
      </c>
      <c r="AE373" s="6" t="s">
        <v>3235</v>
      </c>
      <c r="AF373" s="6"/>
      <c r="AG373" s="6" t="s">
        <v>6195</v>
      </c>
      <c r="AH373" s="6" t="s">
        <v>79</v>
      </c>
    </row>
    <row r="374" spans="1:34" x14ac:dyDescent="0.25">
      <c r="A374" s="6" t="s">
        <v>1280</v>
      </c>
      <c r="B374" s="6" t="s">
        <v>1281</v>
      </c>
      <c r="C374" s="6" t="s">
        <v>1282</v>
      </c>
      <c r="D374" s="6" t="s">
        <v>1283</v>
      </c>
      <c r="E374" s="6" t="s">
        <v>3200</v>
      </c>
      <c r="F374" s="6" t="s">
        <v>3214</v>
      </c>
      <c r="G374" s="6" t="s">
        <v>115</v>
      </c>
      <c r="H374" s="6" t="s">
        <v>132</v>
      </c>
      <c r="I374" s="6" t="s">
        <v>92</v>
      </c>
      <c r="J374" s="6" t="s">
        <v>6196</v>
      </c>
      <c r="K374" s="6" t="s">
        <v>3159</v>
      </c>
      <c r="L374" s="6" t="s">
        <v>3143</v>
      </c>
      <c r="M374" s="6" t="s">
        <v>3160</v>
      </c>
      <c r="N374" s="6" t="s">
        <v>3143</v>
      </c>
      <c r="O374" s="6" t="s">
        <v>3159</v>
      </c>
      <c r="P374" s="6" t="s">
        <v>6197</v>
      </c>
      <c r="Q374" s="6" t="s">
        <v>6198</v>
      </c>
      <c r="R374" s="6" t="s">
        <v>6199</v>
      </c>
      <c r="S374" s="6" t="s">
        <v>21</v>
      </c>
      <c r="T374" s="6" t="s">
        <v>3217</v>
      </c>
      <c r="U374" s="6" t="s">
        <v>3140</v>
      </c>
      <c r="V374" s="6" t="s">
        <v>5230</v>
      </c>
      <c r="W374" s="6" t="s">
        <v>4126</v>
      </c>
      <c r="X374" s="6" t="s">
        <v>85</v>
      </c>
      <c r="Y374" s="6" t="s">
        <v>3292</v>
      </c>
      <c r="Z374" s="6" t="s">
        <v>78</v>
      </c>
      <c r="AA374" s="6" t="s">
        <v>3288</v>
      </c>
      <c r="AB374" s="6" t="s">
        <v>6200</v>
      </c>
      <c r="AC374" s="6" t="s">
        <v>3141</v>
      </c>
      <c r="AD374" s="6" t="s">
        <v>3188</v>
      </c>
      <c r="AE374" s="6" t="s">
        <v>3235</v>
      </c>
      <c r="AF374" s="6"/>
      <c r="AG374" s="6" t="s">
        <v>6201</v>
      </c>
      <c r="AH374" s="6" t="s">
        <v>3494</v>
      </c>
    </row>
    <row r="375" spans="1:34" x14ac:dyDescent="0.25">
      <c r="A375" s="6" t="s">
        <v>1284</v>
      </c>
      <c r="B375" s="6" t="s">
        <v>1285</v>
      </c>
      <c r="C375" s="6"/>
      <c r="D375" s="6" t="s">
        <v>1286</v>
      </c>
      <c r="E375" s="6" t="s">
        <v>3240</v>
      </c>
      <c r="F375" s="6" t="s">
        <v>3283</v>
      </c>
      <c r="G375" s="6" t="s">
        <v>6202</v>
      </c>
      <c r="H375" s="6" t="s">
        <v>166</v>
      </c>
      <c r="I375" s="6" t="s">
        <v>74</v>
      </c>
      <c r="J375" s="6" t="s">
        <v>6203</v>
      </c>
      <c r="K375" s="6" t="s">
        <v>3140</v>
      </c>
      <c r="L375" s="6" t="s">
        <v>3196</v>
      </c>
      <c r="M375" s="6" t="s">
        <v>3243</v>
      </c>
      <c r="N375" s="6" t="s">
        <v>3196</v>
      </c>
      <c r="O375" s="6" t="s">
        <v>3160</v>
      </c>
      <c r="P375" s="6" t="s">
        <v>6204</v>
      </c>
      <c r="Q375" s="6" t="s">
        <v>6205</v>
      </c>
      <c r="R375" s="6" t="s">
        <v>6206</v>
      </c>
      <c r="S375" s="6" t="s">
        <v>20</v>
      </c>
      <c r="T375" s="6" t="s">
        <v>6207</v>
      </c>
      <c r="U375" s="6" t="s">
        <v>3141</v>
      </c>
      <c r="V375" s="6" t="s">
        <v>6208</v>
      </c>
      <c r="W375" s="6" t="s">
        <v>3613</v>
      </c>
      <c r="X375" s="6" t="s">
        <v>85</v>
      </c>
      <c r="Y375" s="6" t="s">
        <v>3141</v>
      </c>
      <c r="Z375" s="6" t="s">
        <v>93</v>
      </c>
      <c r="AA375" s="6" t="s">
        <v>3873</v>
      </c>
      <c r="AB375" s="6" t="s">
        <v>6209</v>
      </c>
      <c r="AC375" s="6" t="s">
        <v>3141</v>
      </c>
      <c r="AD375" s="6" t="s">
        <v>3143</v>
      </c>
      <c r="AE375" s="6" t="s">
        <v>3293</v>
      </c>
      <c r="AF375" s="6"/>
      <c r="AG375" s="6" t="s">
        <v>6210</v>
      </c>
      <c r="AH375" s="6" t="s">
        <v>94</v>
      </c>
    </row>
    <row r="376" spans="1:34" x14ac:dyDescent="0.25">
      <c r="A376" s="6" t="s">
        <v>1287</v>
      </c>
      <c r="B376" s="6" t="s">
        <v>1288</v>
      </c>
      <c r="C376" s="6" t="s">
        <v>6211</v>
      </c>
      <c r="D376" s="6" t="s">
        <v>1289</v>
      </c>
      <c r="E376" s="6" t="s">
        <v>4155</v>
      </c>
      <c r="F376" s="6" t="s">
        <v>3369</v>
      </c>
      <c r="G376" s="6" t="s">
        <v>127</v>
      </c>
      <c r="H376" s="6" t="s">
        <v>132</v>
      </c>
      <c r="I376" s="6" t="s">
        <v>92</v>
      </c>
      <c r="J376" s="6" t="s">
        <v>6212</v>
      </c>
      <c r="K376" s="6" t="s">
        <v>3140</v>
      </c>
      <c r="L376" s="6" t="s">
        <v>3159</v>
      </c>
      <c r="M376" s="6" t="s">
        <v>3143</v>
      </c>
      <c r="N376" s="6" t="s">
        <v>3188</v>
      </c>
      <c r="O376" s="6" t="s">
        <v>3160</v>
      </c>
      <c r="P376" s="6" t="s">
        <v>6213</v>
      </c>
      <c r="Q376" s="6" t="s">
        <v>6214</v>
      </c>
      <c r="R376" s="6" t="s">
        <v>6215</v>
      </c>
      <c r="S376" s="6" t="s">
        <v>21</v>
      </c>
      <c r="T376" s="6" t="s">
        <v>6216</v>
      </c>
      <c r="U376" s="6" t="s">
        <v>3140</v>
      </c>
      <c r="V376" s="6" t="s">
        <v>4151</v>
      </c>
      <c r="W376" s="6" t="s">
        <v>3291</v>
      </c>
      <c r="X376" s="6" t="s">
        <v>77</v>
      </c>
      <c r="Y376" s="6" t="s">
        <v>3141</v>
      </c>
      <c r="Z376" s="6" t="s">
        <v>78</v>
      </c>
      <c r="AA376" s="6" t="s">
        <v>3262</v>
      </c>
      <c r="AB376" s="6" t="s">
        <v>6217</v>
      </c>
      <c r="AC376" s="6" t="s">
        <v>3140</v>
      </c>
      <c r="AD376" s="6" t="s">
        <v>3243</v>
      </c>
      <c r="AE376" s="6" t="s">
        <v>3136</v>
      </c>
      <c r="AF376" s="6"/>
      <c r="AG376" s="6" t="s">
        <v>6218</v>
      </c>
      <c r="AH376" s="6" t="s">
        <v>79</v>
      </c>
    </row>
    <row r="377" spans="1:34" x14ac:dyDescent="0.25">
      <c r="A377" s="6" t="s">
        <v>1290</v>
      </c>
      <c r="B377" s="6" t="s">
        <v>1291</v>
      </c>
      <c r="C377" s="6"/>
      <c r="D377" s="6" t="s">
        <v>6219</v>
      </c>
      <c r="E377" s="6"/>
      <c r="F377" s="6" t="s">
        <v>3369</v>
      </c>
      <c r="G377" s="6" t="s">
        <v>314</v>
      </c>
      <c r="H377" s="6" t="s">
        <v>107</v>
      </c>
      <c r="I377" s="6" t="s">
        <v>92</v>
      </c>
      <c r="J377" s="6" t="s">
        <v>6220</v>
      </c>
      <c r="K377" s="6" t="s">
        <v>3159</v>
      </c>
      <c r="L377" s="6" t="s">
        <v>3142</v>
      </c>
      <c r="M377" s="6" t="s">
        <v>3243</v>
      </c>
      <c r="N377" s="6" t="s">
        <v>3160</v>
      </c>
      <c r="O377" s="6" t="s">
        <v>3243</v>
      </c>
      <c r="P377" s="6" t="s">
        <v>6221</v>
      </c>
      <c r="Q377" s="6" t="s">
        <v>3217</v>
      </c>
      <c r="R377" s="6" t="s">
        <v>6222</v>
      </c>
      <c r="S377" s="6" t="s">
        <v>22</v>
      </c>
      <c r="T377" s="6" t="s">
        <v>6223</v>
      </c>
      <c r="U377" s="6" t="s">
        <v>3141</v>
      </c>
      <c r="V377" s="6" t="s">
        <v>3782</v>
      </c>
      <c r="W377" s="6" t="s">
        <v>3181</v>
      </c>
      <c r="X377" s="6" t="s">
        <v>77</v>
      </c>
      <c r="Y377" s="6" t="s">
        <v>3140</v>
      </c>
      <c r="Z377" s="6" t="s">
        <v>78</v>
      </c>
      <c r="AA377" s="6" t="s">
        <v>6224</v>
      </c>
      <c r="AB377" s="6" t="s">
        <v>6225</v>
      </c>
      <c r="AC377" s="6" t="s">
        <v>3141</v>
      </c>
      <c r="AD377" s="6" t="s">
        <v>75</v>
      </c>
      <c r="AE377" s="6" t="s">
        <v>3622</v>
      </c>
      <c r="AF377" s="6" t="s">
        <v>6226</v>
      </c>
      <c r="AG377" s="6" t="s">
        <v>6227</v>
      </c>
      <c r="AH377" s="6" t="s">
        <v>79</v>
      </c>
    </row>
    <row r="378" spans="1:34" x14ac:dyDescent="0.25">
      <c r="A378" s="6" t="s">
        <v>1293</v>
      </c>
      <c r="B378" s="6" t="s">
        <v>1294</v>
      </c>
      <c r="C378" s="6" t="s">
        <v>6228</v>
      </c>
      <c r="D378" s="6" t="s">
        <v>1295</v>
      </c>
      <c r="E378" s="6" t="s">
        <v>3226</v>
      </c>
      <c r="F378" s="6" t="s">
        <v>71</v>
      </c>
      <c r="G378" s="6" t="s">
        <v>3592</v>
      </c>
      <c r="H378" s="6" t="s">
        <v>73</v>
      </c>
      <c r="I378" s="6" t="s">
        <v>74</v>
      </c>
      <c r="J378" s="6" t="s">
        <v>6229</v>
      </c>
      <c r="K378" s="6" t="s">
        <v>3159</v>
      </c>
      <c r="L378" s="6" t="s">
        <v>75</v>
      </c>
      <c r="M378" s="6" t="s">
        <v>3142</v>
      </c>
      <c r="N378" s="6" t="s">
        <v>3160</v>
      </c>
      <c r="O378" s="6" t="s">
        <v>3143</v>
      </c>
      <c r="P378" s="6" t="s">
        <v>5051</v>
      </c>
      <c r="Q378" s="6" t="s">
        <v>6230</v>
      </c>
      <c r="R378" s="6" t="s">
        <v>6231</v>
      </c>
      <c r="S378" s="6" t="s">
        <v>22</v>
      </c>
      <c r="T378" s="6" t="s">
        <v>6232</v>
      </c>
      <c r="U378" s="6" t="s">
        <v>3159</v>
      </c>
      <c r="V378" s="6" t="s">
        <v>6233</v>
      </c>
      <c r="W378" s="6" t="s">
        <v>4398</v>
      </c>
      <c r="X378" s="6" t="s">
        <v>77</v>
      </c>
      <c r="Y378" s="6" t="s">
        <v>3159</v>
      </c>
      <c r="Z378" s="6" t="s">
        <v>93</v>
      </c>
      <c r="AA378" s="6" t="s">
        <v>5137</v>
      </c>
      <c r="AB378" s="6"/>
      <c r="AC378" s="6" t="s">
        <v>3140</v>
      </c>
      <c r="AD378" s="6" t="s">
        <v>75</v>
      </c>
      <c r="AE378" s="6" t="s">
        <v>3279</v>
      </c>
      <c r="AF378" s="6" t="s">
        <v>6234</v>
      </c>
      <c r="AG378" s="6" t="s">
        <v>6235</v>
      </c>
      <c r="AH378" s="6" t="s">
        <v>79</v>
      </c>
    </row>
    <row r="379" spans="1:34" x14ac:dyDescent="0.25">
      <c r="A379" s="6" t="s">
        <v>1296</v>
      </c>
      <c r="B379" s="6" t="s">
        <v>1186</v>
      </c>
      <c r="C379" s="6" t="s">
        <v>6236</v>
      </c>
      <c r="D379" s="6" t="s">
        <v>1297</v>
      </c>
      <c r="E379" s="6" t="s">
        <v>3921</v>
      </c>
      <c r="F379" s="6" t="s">
        <v>3201</v>
      </c>
      <c r="G379" s="6" t="s">
        <v>174</v>
      </c>
      <c r="H379" s="6" t="s">
        <v>84</v>
      </c>
      <c r="I379" s="6" t="s">
        <v>74</v>
      </c>
      <c r="J379" s="6" t="s">
        <v>6237</v>
      </c>
      <c r="K379" s="6" t="s">
        <v>3140</v>
      </c>
      <c r="L379" s="6" t="s">
        <v>75</v>
      </c>
      <c r="M379" s="6" t="s">
        <v>76</v>
      </c>
      <c r="N379" s="6" t="s">
        <v>3188</v>
      </c>
      <c r="O379" s="6" t="s">
        <v>3152</v>
      </c>
      <c r="P379" s="6" t="s">
        <v>6238</v>
      </c>
      <c r="Q379" s="6"/>
      <c r="R379" s="6" t="s">
        <v>6239</v>
      </c>
      <c r="S379" s="6" t="s">
        <v>21</v>
      </c>
      <c r="T379" s="6" t="s">
        <v>6240</v>
      </c>
      <c r="U379" s="6" t="s">
        <v>3140</v>
      </c>
      <c r="V379" s="6" t="s">
        <v>6241</v>
      </c>
      <c r="W379" s="6" t="s">
        <v>3291</v>
      </c>
      <c r="X379" s="6" t="s">
        <v>85</v>
      </c>
      <c r="Y379" s="6" t="s">
        <v>3140</v>
      </c>
      <c r="Z379" s="6" t="s">
        <v>78</v>
      </c>
      <c r="AA379" s="6" t="s">
        <v>3468</v>
      </c>
      <c r="AB379" s="6"/>
      <c r="AC379" s="6" t="s">
        <v>3141</v>
      </c>
      <c r="AD379" s="6" t="s">
        <v>75</v>
      </c>
      <c r="AE379" s="6" t="s">
        <v>3235</v>
      </c>
      <c r="AF379" s="6"/>
      <c r="AG379" s="6" t="s">
        <v>4996</v>
      </c>
      <c r="AH379" s="6" t="s">
        <v>79</v>
      </c>
    </row>
    <row r="380" spans="1:34" x14ac:dyDescent="0.25">
      <c r="A380" s="6" t="s">
        <v>1298</v>
      </c>
      <c r="B380" s="6" t="s">
        <v>1299</v>
      </c>
      <c r="C380" s="6" t="s">
        <v>1300</v>
      </c>
      <c r="D380" s="6"/>
      <c r="E380" s="6" t="s">
        <v>3279</v>
      </c>
      <c r="F380" s="6" t="s">
        <v>71</v>
      </c>
      <c r="G380" s="6" t="s">
        <v>3297</v>
      </c>
      <c r="H380" s="6" t="s">
        <v>132</v>
      </c>
      <c r="I380" s="6" t="s">
        <v>92</v>
      </c>
      <c r="J380" s="6"/>
      <c r="K380" s="6" t="s">
        <v>3292</v>
      </c>
      <c r="L380" s="6" t="s">
        <v>3196</v>
      </c>
      <c r="M380" s="6" t="s">
        <v>3173</v>
      </c>
      <c r="N380" s="6" t="s">
        <v>3173</v>
      </c>
      <c r="O380" s="6" t="s">
        <v>3152</v>
      </c>
      <c r="P380" s="6"/>
      <c r="Q380" s="6" t="s">
        <v>6242</v>
      </c>
      <c r="R380" s="6" t="s">
        <v>6243</v>
      </c>
      <c r="S380" s="6" t="s">
        <v>23</v>
      </c>
      <c r="T380" s="6" t="s">
        <v>6244</v>
      </c>
      <c r="U380" s="6" t="s">
        <v>3140</v>
      </c>
      <c r="V380" s="6" t="s">
        <v>6245</v>
      </c>
      <c r="W380" s="6" t="s">
        <v>4592</v>
      </c>
      <c r="X380" s="6" t="s">
        <v>85</v>
      </c>
      <c r="Y380" s="6" t="s">
        <v>3140</v>
      </c>
      <c r="Z380" s="6" t="s">
        <v>78</v>
      </c>
      <c r="AA380" s="6" t="s">
        <v>6178</v>
      </c>
      <c r="AB380" s="6"/>
      <c r="AC380" s="6" t="s">
        <v>3140</v>
      </c>
      <c r="AD380" s="6" t="s">
        <v>3160</v>
      </c>
      <c r="AE380" s="6" t="s">
        <v>3331</v>
      </c>
      <c r="AF380" s="6" t="s">
        <v>6246</v>
      </c>
      <c r="AG380" s="6" t="s">
        <v>6247</v>
      </c>
      <c r="AH380" s="6" t="s">
        <v>79</v>
      </c>
    </row>
    <row r="381" spans="1:34" x14ac:dyDescent="0.25">
      <c r="A381" s="6" t="s">
        <v>1301</v>
      </c>
      <c r="B381" s="6" t="s">
        <v>1302</v>
      </c>
      <c r="C381" s="6" t="s">
        <v>6248</v>
      </c>
      <c r="D381" s="6" t="s">
        <v>1303</v>
      </c>
      <c r="E381" s="6" t="s">
        <v>3677</v>
      </c>
      <c r="F381" s="6" t="s">
        <v>3358</v>
      </c>
      <c r="G381" s="6" t="s">
        <v>98</v>
      </c>
      <c r="H381" s="6" t="s">
        <v>91</v>
      </c>
      <c r="I381" s="6" t="s">
        <v>92</v>
      </c>
      <c r="J381" s="6" t="s">
        <v>6249</v>
      </c>
      <c r="K381" s="6" t="s">
        <v>3140</v>
      </c>
      <c r="L381" s="6" t="s">
        <v>3173</v>
      </c>
      <c r="M381" s="6" t="s">
        <v>3143</v>
      </c>
      <c r="N381" s="6" t="s">
        <v>3142</v>
      </c>
      <c r="O381" s="6" t="s">
        <v>3143</v>
      </c>
      <c r="P381" s="6" t="s">
        <v>6250</v>
      </c>
      <c r="Q381" s="6" t="s">
        <v>6251</v>
      </c>
      <c r="R381" s="6" t="s">
        <v>6252</v>
      </c>
      <c r="S381" s="6" t="s">
        <v>5691</v>
      </c>
      <c r="T381" s="6" t="s">
        <v>6253</v>
      </c>
      <c r="U381" s="6" t="s">
        <v>3159</v>
      </c>
      <c r="V381" s="6" t="s">
        <v>3316</v>
      </c>
      <c r="W381" s="6" t="s">
        <v>4485</v>
      </c>
      <c r="X381" s="6" t="s">
        <v>85</v>
      </c>
      <c r="Y381" s="6" t="s">
        <v>3159</v>
      </c>
      <c r="Z381" s="6" t="s">
        <v>78</v>
      </c>
      <c r="AA381" s="6" t="s">
        <v>4176</v>
      </c>
      <c r="AB381" s="6" t="s">
        <v>6254</v>
      </c>
      <c r="AC381" s="6" t="s">
        <v>3141</v>
      </c>
      <c r="AD381" s="6" t="s">
        <v>3152</v>
      </c>
      <c r="AE381" s="6" t="s">
        <v>3279</v>
      </c>
      <c r="AF381" s="6"/>
      <c r="AG381" s="6" t="s">
        <v>6255</v>
      </c>
      <c r="AH381" s="6" t="s">
        <v>79</v>
      </c>
    </row>
    <row r="382" spans="1:34" x14ac:dyDescent="0.25">
      <c r="A382" s="6" t="s">
        <v>1304</v>
      </c>
      <c r="B382" s="6" t="s">
        <v>1305</v>
      </c>
      <c r="C382" s="6" t="s">
        <v>6256</v>
      </c>
      <c r="D382" s="6" t="s">
        <v>1306</v>
      </c>
      <c r="E382" s="6" t="s">
        <v>3254</v>
      </c>
      <c r="F382" s="6" t="s">
        <v>3227</v>
      </c>
      <c r="G382" s="6" t="s">
        <v>139</v>
      </c>
      <c r="H382" s="6" t="s">
        <v>99</v>
      </c>
      <c r="I382" s="6" t="s">
        <v>74</v>
      </c>
      <c r="J382" s="6" t="s">
        <v>6257</v>
      </c>
      <c r="K382" s="6" t="s">
        <v>3140</v>
      </c>
      <c r="L382" s="6" t="s">
        <v>3188</v>
      </c>
      <c r="M382" s="6" t="s">
        <v>3196</v>
      </c>
      <c r="N382" s="6" t="s">
        <v>3143</v>
      </c>
      <c r="O382" s="6" t="s">
        <v>3143</v>
      </c>
      <c r="P382" s="6" t="s">
        <v>5462</v>
      </c>
      <c r="Q382" s="6" t="s">
        <v>3217</v>
      </c>
      <c r="R382" s="6" t="s">
        <v>6258</v>
      </c>
      <c r="S382" s="6" t="s">
        <v>23</v>
      </c>
      <c r="T382" s="6" t="s">
        <v>6259</v>
      </c>
      <c r="U382" s="6" t="s">
        <v>3292</v>
      </c>
      <c r="V382" s="6" t="s">
        <v>6260</v>
      </c>
      <c r="W382" s="6" t="s">
        <v>3672</v>
      </c>
      <c r="X382" s="6" t="s">
        <v>77</v>
      </c>
      <c r="Y382" s="6" t="s">
        <v>3140</v>
      </c>
      <c r="Z382" s="6" t="s">
        <v>93</v>
      </c>
      <c r="AA382" s="6" t="s">
        <v>3250</v>
      </c>
      <c r="AB382" s="6"/>
      <c r="AC382" s="6" t="s">
        <v>3141</v>
      </c>
      <c r="AD382" s="6" t="s">
        <v>3143</v>
      </c>
      <c r="AE382" s="6" t="s">
        <v>3318</v>
      </c>
      <c r="AF382" s="6" t="s">
        <v>6261</v>
      </c>
      <c r="AG382" s="6" t="s">
        <v>6262</v>
      </c>
      <c r="AH382" s="6" t="s">
        <v>79</v>
      </c>
    </row>
    <row r="383" spans="1:34" x14ac:dyDescent="0.25">
      <c r="A383" s="6" t="s">
        <v>1307</v>
      </c>
      <c r="B383" s="6" t="s">
        <v>1308</v>
      </c>
      <c r="C383" s="6" t="s">
        <v>6263</v>
      </c>
      <c r="D383" s="6" t="s">
        <v>1309</v>
      </c>
      <c r="E383" s="6" t="s">
        <v>3357</v>
      </c>
      <c r="F383" s="6" t="s">
        <v>3137</v>
      </c>
      <c r="G383" s="6" t="s">
        <v>226</v>
      </c>
      <c r="H383" s="6" t="s">
        <v>84</v>
      </c>
      <c r="I383" s="6" t="s">
        <v>74</v>
      </c>
      <c r="J383" s="6" t="s">
        <v>6264</v>
      </c>
      <c r="K383" s="6" t="s">
        <v>3159</v>
      </c>
      <c r="L383" s="6" t="s">
        <v>3188</v>
      </c>
      <c r="M383" s="6" t="s">
        <v>3160</v>
      </c>
      <c r="N383" s="6" t="s">
        <v>3141</v>
      </c>
      <c r="O383" s="6" t="s">
        <v>75</v>
      </c>
      <c r="P383" s="6" t="s">
        <v>4230</v>
      </c>
      <c r="Q383" s="6" t="s">
        <v>6265</v>
      </c>
      <c r="R383" s="6" t="s">
        <v>6266</v>
      </c>
      <c r="S383" s="6" t="s">
        <v>23</v>
      </c>
      <c r="T383" s="6" t="s">
        <v>6267</v>
      </c>
      <c r="U383" s="6" t="s">
        <v>3141</v>
      </c>
      <c r="V383" s="6" t="s">
        <v>3446</v>
      </c>
      <c r="W383" s="6" t="s">
        <v>3621</v>
      </c>
      <c r="X383" s="6" t="s">
        <v>85</v>
      </c>
      <c r="Y383" s="6" t="s">
        <v>3159</v>
      </c>
      <c r="Z383" s="6" t="s">
        <v>78</v>
      </c>
      <c r="AA383" s="6" t="s">
        <v>4194</v>
      </c>
      <c r="AB383" s="6"/>
      <c r="AC383" s="6" t="s">
        <v>3141</v>
      </c>
      <c r="AD383" s="6" t="s">
        <v>3152</v>
      </c>
      <c r="AE383" s="6" t="s">
        <v>3513</v>
      </c>
      <c r="AF383" s="6" t="s">
        <v>6268</v>
      </c>
      <c r="AG383" s="6" t="s">
        <v>6269</v>
      </c>
      <c r="AH383" s="6" t="s">
        <v>79</v>
      </c>
    </row>
    <row r="384" spans="1:34" x14ac:dyDescent="0.25">
      <c r="A384" s="6" t="s">
        <v>1310</v>
      </c>
      <c r="B384" s="6" t="s">
        <v>1311</v>
      </c>
      <c r="C384" s="6" t="s">
        <v>1312</v>
      </c>
      <c r="D384" s="6" t="s">
        <v>1313</v>
      </c>
      <c r="E384" s="6" t="s">
        <v>4687</v>
      </c>
      <c r="F384" s="6" t="s">
        <v>3201</v>
      </c>
      <c r="G384" s="6" t="s">
        <v>131</v>
      </c>
      <c r="H384" s="6" t="s">
        <v>132</v>
      </c>
      <c r="I384" s="6" t="s">
        <v>92</v>
      </c>
      <c r="J384" s="6" t="s">
        <v>3217</v>
      </c>
      <c r="K384" s="6" t="s">
        <v>3292</v>
      </c>
      <c r="L384" s="6" t="s">
        <v>3142</v>
      </c>
      <c r="M384" s="6" t="s">
        <v>3173</v>
      </c>
      <c r="N384" s="6" t="s">
        <v>3188</v>
      </c>
      <c r="O384" s="6" t="s">
        <v>3141</v>
      </c>
      <c r="P384" s="6" t="s">
        <v>6270</v>
      </c>
      <c r="Q384" s="6" t="s">
        <v>6271</v>
      </c>
      <c r="R384" s="6" t="s">
        <v>6272</v>
      </c>
      <c r="S384" s="6" t="s">
        <v>21</v>
      </c>
      <c r="T384" s="6"/>
      <c r="U384" s="6" t="s">
        <v>3192</v>
      </c>
      <c r="V384" s="6" t="s">
        <v>6108</v>
      </c>
      <c r="W384" s="6" t="s">
        <v>4643</v>
      </c>
      <c r="X384" s="6" t="s">
        <v>85</v>
      </c>
      <c r="Y384" s="6" t="s">
        <v>3141</v>
      </c>
      <c r="Z384" s="6" t="s">
        <v>78</v>
      </c>
      <c r="AA384" s="6" t="s">
        <v>4227</v>
      </c>
      <c r="AB384" s="6"/>
      <c r="AC384" s="6" t="s">
        <v>3159</v>
      </c>
      <c r="AD384" s="6" t="s">
        <v>3143</v>
      </c>
      <c r="AE384" s="6" t="s">
        <v>3293</v>
      </c>
      <c r="AF384" s="6"/>
      <c r="AG384" s="6" t="s">
        <v>6273</v>
      </c>
      <c r="AH384" s="6" t="s">
        <v>79</v>
      </c>
    </row>
    <row r="385" spans="1:34" x14ac:dyDescent="0.25">
      <c r="A385" s="6" t="s">
        <v>1314</v>
      </c>
      <c r="B385" s="6" t="s">
        <v>1315</v>
      </c>
      <c r="C385" s="6" t="s">
        <v>1316</v>
      </c>
      <c r="D385" s="6" t="s">
        <v>6274</v>
      </c>
      <c r="E385" s="6" t="s">
        <v>3279</v>
      </c>
      <c r="F385" s="6" t="s">
        <v>3227</v>
      </c>
      <c r="G385" s="6" t="s">
        <v>127</v>
      </c>
      <c r="H385" s="6" t="s">
        <v>132</v>
      </c>
      <c r="I385" s="6" t="s">
        <v>92</v>
      </c>
      <c r="J385" s="6" t="s">
        <v>6275</v>
      </c>
      <c r="K385" s="6" t="s">
        <v>3159</v>
      </c>
      <c r="L385" s="6" t="s">
        <v>3243</v>
      </c>
      <c r="M385" s="6" t="s">
        <v>75</v>
      </c>
      <c r="N385" s="6" t="s">
        <v>3159</v>
      </c>
      <c r="O385" s="6" t="s">
        <v>3141</v>
      </c>
      <c r="P385" s="6" t="s">
        <v>6276</v>
      </c>
      <c r="Q385" s="6" t="s">
        <v>6277</v>
      </c>
      <c r="R385" s="6" t="s">
        <v>6278</v>
      </c>
      <c r="S385" s="6" t="s">
        <v>22</v>
      </c>
      <c r="T385" s="6" t="s">
        <v>6279</v>
      </c>
      <c r="U385" s="6" t="s">
        <v>3159</v>
      </c>
      <c r="V385" s="6" t="s">
        <v>4029</v>
      </c>
      <c r="W385" s="6" t="s">
        <v>4654</v>
      </c>
      <c r="X385" s="6" t="s">
        <v>77</v>
      </c>
      <c r="Y385" s="6" t="s">
        <v>3141</v>
      </c>
      <c r="Z385" s="6" t="s">
        <v>93</v>
      </c>
      <c r="AA385" s="6" t="s">
        <v>3776</v>
      </c>
      <c r="AB385" s="6"/>
      <c r="AC385" s="6" t="s">
        <v>3141</v>
      </c>
      <c r="AD385" s="6" t="s">
        <v>3243</v>
      </c>
      <c r="AE385" s="6" t="s">
        <v>3136</v>
      </c>
      <c r="AF385" s="6" t="s">
        <v>6280</v>
      </c>
      <c r="AG385" s="6" t="s">
        <v>6281</v>
      </c>
      <c r="AH385" s="6" t="s">
        <v>4004</v>
      </c>
    </row>
    <row r="386" spans="1:34" x14ac:dyDescent="0.25">
      <c r="A386" s="6" t="s">
        <v>1318</v>
      </c>
      <c r="B386" s="6" t="s">
        <v>1319</v>
      </c>
      <c r="C386" s="6"/>
      <c r="D386" s="6"/>
      <c r="E386" s="6" t="s">
        <v>3282</v>
      </c>
      <c r="F386" s="6" t="s">
        <v>71</v>
      </c>
      <c r="G386" s="6" t="s">
        <v>174</v>
      </c>
      <c r="H386" s="6" t="s">
        <v>91</v>
      </c>
      <c r="I386" s="6" t="s">
        <v>92</v>
      </c>
      <c r="J386" s="6" t="s">
        <v>3217</v>
      </c>
      <c r="K386" s="6" t="s">
        <v>3141</v>
      </c>
      <c r="L386" s="6" t="s">
        <v>3152</v>
      </c>
      <c r="M386" s="6" t="s">
        <v>3143</v>
      </c>
      <c r="N386" s="6" t="s">
        <v>3243</v>
      </c>
      <c r="O386" s="6" t="s">
        <v>3143</v>
      </c>
      <c r="P386" s="6" t="s">
        <v>5846</v>
      </c>
      <c r="Q386" s="6"/>
      <c r="R386" s="6" t="s">
        <v>6282</v>
      </c>
      <c r="S386" s="6" t="s">
        <v>20</v>
      </c>
      <c r="T386" s="6"/>
      <c r="U386" s="6" t="s">
        <v>3141</v>
      </c>
      <c r="V386" s="6" t="s">
        <v>3447</v>
      </c>
      <c r="W386" s="6" t="s">
        <v>3691</v>
      </c>
      <c r="X386" s="6" t="s">
        <v>77</v>
      </c>
      <c r="Y386" s="6" t="s">
        <v>3292</v>
      </c>
      <c r="Z386" s="6" t="s">
        <v>93</v>
      </c>
      <c r="AA386" s="6" t="s">
        <v>3415</v>
      </c>
      <c r="AB386" s="6" t="s">
        <v>6283</v>
      </c>
      <c r="AC386" s="6" t="s">
        <v>3140</v>
      </c>
      <c r="AD386" s="6" t="s">
        <v>3141</v>
      </c>
      <c r="AE386" s="6" t="s">
        <v>3235</v>
      </c>
      <c r="AF386" s="6"/>
      <c r="AG386" s="6" t="s">
        <v>6284</v>
      </c>
      <c r="AH386" s="6" t="s">
        <v>79</v>
      </c>
    </row>
    <row r="387" spans="1:34" x14ac:dyDescent="0.25">
      <c r="A387" s="6" t="s">
        <v>1320</v>
      </c>
      <c r="B387" s="6" t="s">
        <v>947</v>
      </c>
      <c r="C387" s="6" t="s">
        <v>1321</v>
      </c>
      <c r="D387" s="6" t="s">
        <v>6285</v>
      </c>
      <c r="E387" s="6" t="s">
        <v>3460</v>
      </c>
      <c r="F387" s="6" t="s">
        <v>3358</v>
      </c>
      <c r="G387" s="6" t="s">
        <v>153</v>
      </c>
      <c r="H387" s="6" t="s">
        <v>84</v>
      </c>
      <c r="I387" s="6" t="s">
        <v>74</v>
      </c>
      <c r="J387" s="6" t="s">
        <v>6286</v>
      </c>
      <c r="K387" s="6" t="s">
        <v>3159</v>
      </c>
      <c r="L387" s="6" t="s">
        <v>3142</v>
      </c>
      <c r="M387" s="6" t="s">
        <v>3160</v>
      </c>
      <c r="N387" s="6" t="s">
        <v>3243</v>
      </c>
      <c r="O387" s="6" t="s">
        <v>3152</v>
      </c>
      <c r="P387" s="6" t="s">
        <v>3582</v>
      </c>
      <c r="Q387" s="6"/>
      <c r="R387" s="6" t="s">
        <v>6287</v>
      </c>
      <c r="S387" s="6" t="s">
        <v>21</v>
      </c>
      <c r="T387" s="6" t="s">
        <v>6288</v>
      </c>
      <c r="U387" s="6" t="s">
        <v>4264</v>
      </c>
      <c r="V387" s="6" t="s">
        <v>6289</v>
      </c>
      <c r="W387" s="6" t="s">
        <v>3691</v>
      </c>
      <c r="X387" s="6" t="s">
        <v>85</v>
      </c>
      <c r="Y387" s="6" t="s">
        <v>3140</v>
      </c>
      <c r="Z387" s="6" t="s">
        <v>78</v>
      </c>
      <c r="AA387" s="6" t="s">
        <v>3439</v>
      </c>
      <c r="AB387" s="6" t="s">
        <v>6290</v>
      </c>
      <c r="AC387" s="6" t="s">
        <v>3141</v>
      </c>
      <c r="AD387" s="6" t="s">
        <v>3196</v>
      </c>
      <c r="AE387" s="6" t="s">
        <v>3293</v>
      </c>
      <c r="AF387" s="6"/>
      <c r="AG387" s="6" t="s">
        <v>6291</v>
      </c>
      <c r="AH387" s="6" t="s">
        <v>79</v>
      </c>
    </row>
    <row r="388" spans="1:34" x14ac:dyDescent="0.25">
      <c r="A388" s="6" t="s">
        <v>1323</v>
      </c>
      <c r="B388" s="6" t="s">
        <v>1324</v>
      </c>
      <c r="C388" s="6"/>
      <c r="D388" s="6"/>
      <c r="E388" s="6" t="s">
        <v>3970</v>
      </c>
      <c r="F388" s="6" t="s">
        <v>89</v>
      </c>
      <c r="G388" s="6" t="s">
        <v>5020</v>
      </c>
      <c r="H388" s="6" t="s">
        <v>73</v>
      </c>
      <c r="I388" s="6" t="s">
        <v>74</v>
      </c>
      <c r="J388" s="6"/>
      <c r="K388" s="6" t="s">
        <v>3140</v>
      </c>
      <c r="L388" s="6" t="s">
        <v>3142</v>
      </c>
      <c r="M388" s="6" t="s">
        <v>3143</v>
      </c>
      <c r="N388" s="6" t="s">
        <v>75</v>
      </c>
      <c r="O388" s="6" t="s">
        <v>3142</v>
      </c>
      <c r="P388" s="6" t="s">
        <v>6292</v>
      </c>
      <c r="Q388" s="6" t="s">
        <v>6293</v>
      </c>
      <c r="R388" s="6" t="s">
        <v>6294</v>
      </c>
      <c r="S388" s="6" t="s">
        <v>23</v>
      </c>
      <c r="T388" s="6" t="s">
        <v>6295</v>
      </c>
      <c r="U388" s="6" t="s">
        <v>3141</v>
      </c>
      <c r="V388" s="6" t="s">
        <v>6296</v>
      </c>
      <c r="W388" s="6" t="s">
        <v>3783</v>
      </c>
      <c r="X388" s="6" t="s">
        <v>85</v>
      </c>
      <c r="Y388" s="6" t="s">
        <v>3159</v>
      </c>
      <c r="Z388" s="6" t="s">
        <v>78</v>
      </c>
      <c r="AA388" s="6" t="s">
        <v>3976</v>
      </c>
      <c r="AB388" s="6"/>
      <c r="AC388" s="6" t="s">
        <v>3292</v>
      </c>
      <c r="AD388" s="6" t="s">
        <v>3143</v>
      </c>
      <c r="AE388" s="6" t="s">
        <v>3153</v>
      </c>
      <c r="AF388" s="6" t="s">
        <v>6297</v>
      </c>
      <c r="AG388" s="6" t="s">
        <v>6298</v>
      </c>
      <c r="AH388" s="6" t="s">
        <v>79</v>
      </c>
    </row>
    <row r="389" spans="1:34" x14ac:dyDescent="0.25">
      <c r="A389" s="6" t="s">
        <v>1325</v>
      </c>
      <c r="B389" s="6" t="s">
        <v>1326</v>
      </c>
      <c r="C389" s="6" t="s">
        <v>6299</v>
      </c>
      <c r="D389" s="6" t="s">
        <v>6300</v>
      </c>
      <c r="E389" s="6" t="s">
        <v>4358</v>
      </c>
      <c r="F389" s="6" t="s">
        <v>89</v>
      </c>
      <c r="G389" s="6" t="s">
        <v>98</v>
      </c>
      <c r="H389" s="6" t="s">
        <v>132</v>
      </c>
      <c r="I389" s="6" t="s">
        <v>92</v>
      </c>
      <c r="J389" s="6" t="s">
        <v>6301</v>
      </c>
      <c r="K389" s="6" t="s">
        <v>3159</v>
      </c>
      <c r="L389" s="6" t="s">
        <v>76</v>
      </c>
      <c r="M389" s="6" t="s">
        <v>3152</v>
      </c>
      <c r="N389" s="6" t="s">
        <v>3143</v>
      </c>
      <c r="O389" s="6" t="s">
        <v>3243</v>
      </c>
      <c r="P389" s="6" t="s">
        <v>3628</v>
      </c>
      <c r="Q389" s="6" t="s">
        <v>6302</v>
      </c>
      <c r="R389" s="6" t="s">
        <v>6303</v>
      </c>
      <c r="S389" s="6" t="s">
        <v>6304</v>
      </c>
      <c r="T389" s="6" t="s">
        <v>6305</v>
      </c>
      <c r="U389" s="6" t="s">
        <v>3140</v>
      </c>
      <c r="V389" s="6" t="s">
        <v>6151</v>
      </c>
      <c r="W389" s="6" t="s">
        <v>5064</v>
      </c>
      <c r="X389" s="6" t="s">
        <v>77</v>
      </c>
      <c r="Y389" s="6" t="s">
        <v>3140</v>
      </c>
      <c r="Z389" s="6" t="s">
        <v>78</v>
      </c>
      <c r="AA389" s="6" t="s">
        <v>4117</v>
      </c>
      <c r="AB389" s="6"/>
      <c r="AC389" s="6" t="s">
        <v>3159</v>
      </c>
      <c r="AD389" s="6" t="s">
        <v>3243</v>
      </c>
      <c r="AE389" s="6" t="s">
        <v>3513</v>
      </c>
      <c r="AF389" s="6" t="s">
        <v>6306</v>
      </c>
      <c r="AG389" s="6" t="s">
        <v>6020</v>
      </c>
      <c r="AH389" s="6" t="s">
        <v>79</v>
      </c>
    </row>
    <row r="390" spans="1:34" x14ac:dyDescent="0.25">
      <c r="A390" s="6" t="s">
        <v>1328</v>
      </c>
      <c r="B390" s="6" t="s">
        <v>1329</v>
      </c>
      <c r="C390" s="6" t="s">
        <v>6307</v>
      </c>
      <c r="D390" s="6" t="s">
        <v>1330</v>
      </c>
      <c r="E390" s="6" t="s">
        <v>3677</v>
      </c>
      <c r="F390" s="6" t="s">
        <v>3227</v>
      </c>
      <c r="G390" s="6" t="s">
        <v>83</v>
      </c>
      <c r="H390" s="6" t="s">
        <v>144</v>
      </c>
      <c r="I390" s="6" t="s">
        <v>92</v>
      </c>
      <c r="J390" s="6" t="s">
        <v>6308</v>
      </c>
      <c r="K390" s="6" t="s">
        <v>3159</v>
      </c>
      <c r="L390" s="6" t="s">
        <v>3160</v>
      </c>
      <c r="M390" s="6" t="s">
        <v>76</v>
      </c>
      <c r="N390" s="6" t="s">
        <v>3160</v>
      </c>
      <c r="O390" s="6" t="s">
        <v>3141</v>
      </c>
      <c r="P390" s="6" t="s">
        <v>5443</v>
      </c>
      <c r="Q390" s="6" t="s">
        <v>6309</v>
      </c>
      <c r="R390" s="6" t="s">
        <v>6310</v>
      </c>
      <c r="S390" s="6" t="s">
        <v>21</v>
      </c>
      <c r="T390" s="6" t="s">
        <v>6311</v>
      </c>
      <c r="U390" s="6" t="s">
        <v>3141</v>
      </c>
      <c r="V390" s="6" t="s">
        <v>3728</v>
      </c>
      <c r="W390" s="6" t="s">
        <v>3289</v>
      </c>
      <c r="X390" s="6" t="s">
        <v>85</v>
      </c>
      <c r="Y390" s="6" t="s">
        <v>3159</v>
      </c>
      <c r="Z390" s="6" t="s">
        <v>93</v>
      </c>
      <c r="AA390" s="6" t="s">
        <v>3683</v>
      </c>
      <c r="AB390" s="6" t="s">
        <v>6312</v>
      </c>
      <c r="AC390" s="6" t="s">
        <v>3141</v>
      </c>
      <c r="AD390" s="6" t="s">
        <v>3143</v>
      </c>
      <c r="AE390" s="6" t="s">
        <v>3323</v>
      </c>
      <c r="AF390" s="6"/>
      <c r="AG390" s="6" t="s">
        <v>6313</v>
      </c>
      <c r="AH390" s="6" t="s">
        <v>79</v>
      </c>
    </row>
    <row r="391" spans="1:34" x14ac:dyDescent="0.25">
      <c r="A391" s="6" t="s">
        <v>1331</v>
      </c>
      <c r="B391" s="6" t="s">
        <v>1332</v>
      </c>
      <c r="C391" s="6" t="s">
        <v>1333</v>
      </c>
      <c r="D391" s="6" t="s">
        <v>1334</v>
      </c>
      <c r="E391" s="6" t="s">
        <v>3843</v>
      </c>
      <c r="F391" s="6" t="s">
        <v>71</v>
      </c>
      <c r="G391" s="6" t="s">
        <v>174</v>
      </c>
      <c r="H391" s="6" t="s">
        <v>144</v>
      </c>
      <c r="I391" s="6" t="s">
        <v>92</v>
      </c>
      <c r="J391" s="6"/>
      <c r="K391" s="6" t="s">
        <v>3159</v>
      </c>
      <c r="L391" s="6" t="s">
        <v>3141</v>
      </c>
      <c r="M391" s="6" t="s">
        <v>76</v>
      </c>
      <c r="N391" s="6" t="s">
        <v>3143</v>
      </c>
      <c r="O391" s="6" t="s">
        <v>3160</v>
      </c>
      <c r="P391" s="6" t="s">
        <v>3536</v>
      </c>
      <c r="Q391" s="6" t="s">
        <v>6314</v>
      </c>
      <c r="R391" s="6" t="s">
        <v>6315</v>
      </c>
      <c r="S391" s="6" t="s">
        <v>20</v>
      </c>
      <c r="T391" s="6"/>
      <c r="U391" s="6" t="s">
        <v>3159</v>
      </c>
      <c r="V391" s="6" t="s">
        <v>6316</v>
      </c>
      <c r="W391" s="6" t="s">
        <v>3691</v>
      </c>
      <c r="X391" s="6" t="s">
        <v>85</v>
      </c>
      <c r="Y391" s="6" t="s">
        <v>3292</v>
      </c>
      <c r="Z391" s="6" t="s">
        <v>93</v>
      </c>
      <c r="AA391" s="6" t="s">
        <v>3195</v>
      </c>
      <c r="AB391" s="6"/>
      <c r="AC391" s="6" t="s">
        <v>3159</v>
      </c>
      <c r="AD391" s="6" t="s">
        <v>3141</v>
      </c>
      <c r="AE391" s="6" t="s">
        <v>3136</v>
      </c>
      <c r="AF391" s="6"/>
      <c r="AG391" s="6" t="s">
        <v>6317</v>
      </c>
      <c r="AH391" s="6" t="s">
        <v>79</v>
      </c>
    </row>
    <row r="392" spans="1:34" x14ac:dyDescent="0.25">
      <c r="A392" s="6" t="s">
        <v>1335</v>
      </c>
      <c r="B392" s="6" t="s">
        <v>1336</v>
      </c>
      <c r="C392" s="6" t="s">
        <v>6318</v>
      </c>
      <c r="D392" s="6" t="s">
        <v>1337</v>
      </c>
      <c r="E392" s="6" t="s">
        <v>3185</v>
      </c>
      <c r="F392" s="6" t="s">
        <v>3358</v>
      </c>
      <c r="G392" s="6" t="s">
        <v>106</v>
      </c>
      <c r="H392" s="6" t="s">
        <v>6319</v>
      </c>
      <c r="I392" s="6" t="s">
        <v>74</v>
      </c>
      <c r="J392" s="6" t="s">
        <v>3217</v>
      </c>
      <c r="K392" s="6" t="s">
        <v>3140</v>
      </c>
      <c r="L392" s="6" t="s">
        <v>76</v>
      </c>
      <c r="M392" s="6" t="s">
        <v>3196</v>
      </c>
      <c r="N392" s="6" t="s">
        <v>3243</v>
      </c>
      <c r="O392" s="6" t="s">
        <v>3141</v>
      </c>
      <c r="P392" s="6" t="s">
        <v>6320</v>
      </c>
      <c r="Q392" s="6" t="s">
        <v>3217</v>
      </c>
      <c r="R392" s="6" t="s">
        <v>6321</v>
      </c>
      <c r="S392" s="6" t="s">
        <v>23</v>
      </c>
      <c r="T392" s="6" t="s">
        <v>6322</v>
      </c>
      <c r="U392" s="6" t="s">
        <v>3159</v>
      </c>
      <c r="V392" s="6" t="s">
        <v>4848</v>
      </c>
      <c r="W392" s="6" t="s">
        <v>3672</v>
      </c>
      <c r="X392" s="6" t="s">
        <v>85</v>
      </c>
      <c r="Y392" s="6" t="s">
        <v>3159</v>
      </c>
      <c r="Z392" s="6" t="s">
        <v>93</v>
      </c>
      <c r="AA392" s="6" t="s">
        <v>3588</v>
      </c>
      <c r="AB392" s="6"/>
      <c r="AC392" s="6" t="s">
        <v>3159</v>
      </c>
      <c r="AD392" s="6" t="s">
        <v>75</v>
      </c>
      <c r="AE392" s="6" t="s">
        <v>3428</v>
      </c>
      <c r="AF392" s="6" t="s">
        <v>6323</v>
      </c>
      <c r="AG392" s="6" t="s">
        <v>6324</v>
      </c>
      <c r="AH392" s="6" t="s">
        <v>79</v>
      </c>
    </row>
    <row r="393" spans="1:34" x14ac:dyDescent="0.25">
      <c r="A393" s="6" t="s">
        <v>1338</v>
      </c>
      <c r="B393" s="6" t="s">
        <v>6325</v>
      </c>
      <c r="C393" s="6" t="s">
        <v>6326</v>
      </c>
      <c r="D393" s="6" t="s">
        <v>6327</v>
      </c>
      <c r="E393" s="6" t="s">
        <v>3213</v>
      </c>
      <c r="F393" s="6" t="s">
        <v>3137</v>
      </c>
      <c r="G393" s="6" t="s">
        <v>143</v>
      </c>
      <c r="H393" s="6" t="s">
        <v>107</v>
      </c>
      <c r="I393" s="6" t="s">
        <v>92</v>
      </c>
      <c r="J393" s="6" t="s">
        <v>6328</v>
      </c>
      <c r="K393" s="6" t="s">
        <v>3140</v>
      </c>
      <c r="L393" s="6" t="s">
        <v>3243</v>
      </c>
      <c r="M393" s="6" t="s">
        <v>76</v>
      </c>
      <c r="N393" s="6" t="s">
        <v>3143</v>
      </c>
      <c r="O393" s="6" t="s">
        <v>3159</v>
      </c>
      <c r="P393" s="6" t="s">
        <v>6329</v>
      </c>
      <c r="Q393" s="6" t="s">
        <v>6330</v>
      </c>
      <c r="R393" s="6" t="s">
        <v>6331</v>
      </c>
      <c r="S393" s="6" t="s">
        <v>21</v>
      </c>
      <c r="T393" s="6"/>
      <c r="U393" s="6" t="s">
        <v>3192</v>
      </c>
      <c r="V393" s="6" t="s">
        <v>6332</v>
      </c>
      <c r="W393" s="6" t="s">
        <v>3250</v>
      </c>
      <c r="X393" s="6" t="s">
        <v>85</v>
      </c>
      <c r="Y393" s="6" t="s">
        <v>3159</v>
      </c>
      <c r="Z393" s="6" t="s">
        <v>93</v>
      </c>
      <c r="AA393" s="6" t="s">
        <v>6333</v>
      </c>
      <c r="AB393" s="6"/>
      <c r="AC393" s="6" t="s">
        <v>3141</v>
      </c>
      <c r="AD393" s="6" t="s">
        <v>3188</v>
      </c>
      <c r="AE393" s="6" t="s">
        <v>3136</v>
      </c>
      <c r="AF393" s="6"/>
      <c r="AG393" s="6" t="s">
        <v>6334</v>
      </c>
      <c r="AH393" s="6" t="s">
        <v>79</v>
      </c>
    </row>
    <row r="394" spans="1:34" x14ac:dyDescent="0.25">
      <c r="A394" s="6" t="s">
        <v>1341</v>
      </c>
      <c r="B394" s="6" t="s">
        <v>1342</v>
      </c>
      <c r="C394" s="6" t="s">
        <v>6335</v>
      </c>
      <c r="D394" s="6" t="s">
        <v>6336</v>
      </c>
      <c r="E394" s="6" t="s">
        <v>3157</v>
      </c>
      <c r="F394" s="6" t="s">
        <v>3283</v>
      </c>
      <c r="G394" s="6" t="s">
        <v>98</v>
      </c>
      <c r="H394" s="6" t="s">
        <v>5066</v>
      </c>
      <c r="I394" s="6" t="s">
        <v>92</v>
      </c>
      <c r="J394" s="6"/>
      <c r="K394" s="6" t="s">
        <v>3140</v>
      </c>
      <c r="L394" s="6" t="s">
        <v>3142</v>
      </c>
      <c r="M394" s="6" t="s">
        <v>3152</v>
      </c>
      <c r="N394" s="6" t="s">
        <v>3142</v>
      </c>
      <c r="O394" s="6" t="s">
        <v>3152</v>
      </c>
      <c r="P394" s="6" t="s">
        <v>6337</v>
      </c>
      <c r="Q394" s="6" t="s">
        <v>6338</v>
      </c>
      <c r="R394" s="6" t="s">
        <v>6339</v>
      </c>
      <c r="S394" s="6" t="s">
        <v>5691</v>
      </c>
      <c r="T394" s="6" t="s">
        <v>6340</v>
      </c>
      <c r="U394" s="6" t="s">
        <v>3141</v>
      </c>
      <c r="V394" s="6" t="s">
        <v>6341</v>
      </c>
      <c r="W394" s="6" t="s">
        <v>4654</v>
      </c>
      <c r="X394" s="6" t="s">
        <v>77</v>
      </c>
      <c r="Y394" s="6" t="s">
        <v>3159</v>
      </c>
      <c r="Z394" s="6" t="s">
        <v>93</v>
      </c>
      <c r="AA394" s="6" t="s">
        <v>6342</v>
      </c>
      <c r="AB394" s="6"/>
      <c r="AC394" s="6" t="s">
        <v>3140</v>
      </c>
      <c r="AD394" s="6" t="s">
        <v>3243</v>
      </c>
      <c r="AE394" s="6" t="s">
        <v>3323</v>
      </c>
      <c r="AF394" s="6"/>
      <c r="AG394" s="6" t="s">
        <v>6343</v>
      </c>
      <c r="AH394" s="6" t="s">
        <v>79</v>
      </c>
    </row>
    <row r="395" spans="1:34" x14ac:dyDescent="0.25">
      <c r="A395" s="6" t="s">
        <v>1344</v>
      </c>
      <c r="B395" s="6" t="s">
        <v>983</v>
      </c>
      <c r="C395" s="6" t="s">
        <v>1345</v>
      </c>
      <c r="D395" s="6" t="s">
        <v>1346</v>
      </c>
      <c r="E395" s="6" t="s">
        <v>3636</v>
      </c>
      <c r="F395" s="6" t="s">
        <v>3137</v>
      </c>
      <c r="G395" s="6" t="s">
        <v>215</v>
      </c>
      <c r="H395" s="6" t="s">
        <v>144</v>
      </c>
      <c r="I395" s="6" t="s">
        <v>92</v>
      </c>
      <c r="J395" s="6" t="s">
        <v>3217</v>
      </c>
      <c r="K395" s="6" t="s">
        <v>3159</v>
      </c>
      <c r="L395" s="6" t="s">
        <v>75</v>
      </c>
      <c r="M395" s="6" t="s">
        <v>3188</v>
      </c>
      <c r="N395" s="6" t="s">
        <v>3141</v>
      </c>
      <c r="O395" s="6" t="s">
        <v>3143</v>
      </c>
      <c r="P395" s="6" t="s">
        <v>6344</v>
      </c>
      <c r="Q395" s="6" t="s">
        <v>6345</v>
      </c>
      <c r="R395" s="6" t="s">
        <v>6346</v>
      </c>
      <c r="S395" s="6" t="s">
        <v>21</v>
      </c>
      <c r="T395" s="6" t="s">
        <v>6347</v>
      </c>
      <c r="U395" s="6" t="s">
        <v>3140</v>
      </c>
      <c r="V395" s="6" t="s">
        <v>6348</v>
      </c>
      <c r="W395" s="6" t="s">
        <v>3718</v>
      </c>
      <c r="X395" s="6" t="s">
        <v>77</v>
      </c>
      <c r="Y395" s="6" t="s">
        <v>3140</v>
      </c>
      <c r="Z395" s="6" t="s">
        <v>78</v>
      </c>
      <c r="AA395" s="6" t="s">
        <v>3587</v>
      </c>
      <c r="AB395" s="6"/>
      <c r="AC395" s="6" t="s">
        <v>3141</v>
      </c>
      <c r="AD395" s="6" t="s">
        <v>76</v>
      </c>
      <c r="AE395" s="6" t="s">
        <v>3323</v>
      </c>
      <c r="AF395" s="6"/>
      <c r="AG395" s="6" t="s">
        <v>6349</v>
      </c>
      <c r="AH395" s="6" t="s">
        <v>79</v>
      </c>
    </row>
    <row r="396" spans="1:34" x14ac:dyDescent="0.25">
      <c r="A396" s="6" t="s">
        <v>1347</v>
      </c>
      <c r="B396" s="6" t="s">
        <v>1348</v>
      </c>
      <c r="C396" s="6" t="s">
        <v>1349</v>
      </c>
      <c r="D396" s="6" t="s">
        <v>1350</v>
      </c>
      <c r="E396" s="6" t="s">
        <v>3626</v>
      </c>
      <c r="F396" s="6" t="s">
        <v>3214</v>
      </c>
      <c r="G396" s="6" t="s">
        <v>139</v>
      </c>
      <c r="H396" s="6" t="s">
        <v>144</v>
      </c>
      <c r="I396" s="6" t="s">
        <v>92</v>
      </c>
      <c r="J396" s="6" t="s">
        <v>3217</v>
      </c>
      <c r="K396" s="6" t="s">
        <v>3292</v>
      </c>
      <c r="L396" s="6" t="s">
        <v>76</v>
      </c>
      <c r="M396" s="6" t="s">
        <v>75</v>
      </c>
      <c r="N396" s="6" t="s">
        <v>3196</v>
      </c>
      <c r="O396" s="6" t="s">
        <v>3173</v>
      </c>
      <c r="P396" s="6" t="s">
        <v>6350</v>
      </c>
      <c r="Q396" s="6" t="s">
        <v>6351</v>
      </c>
      <c r="R396" s="6" t="s">
        <v>6352</v>
      </c>
      <c r="S396" s="6" t="s">
        <v>21</v>
      </c>
      <c r="T396" s="6" t="s">
        <v>6353</v>
      </c>
      <c r="U396" s="6" t="s">
        <v>3159</v>
      </c>
      <c r="V396" s="6" t="s">
        <v>6354</v>
      </c>
      <c r="W396" s="6" t="s">
        <v>3830</v>
      </c>
      <c r="X396" s="6" t="s">
        <v>77</v>
      </c>
      <c r="Y396" s="6" t="s">
        <v>3141</v>
      </c>
      <c r="Z396" s="6" t="s">
        <v>93</v>
      </c>
      <c r="AA396" s="6" t="s">
        <v>4501</v>
      </c>
      <c r="AB396" s="6" t="s">
        <v>6355</v>
      </c>
      <c r="AC396" s="6" t="s">
        <v>3159</v>
      </c>
      <c r="AD396" s="6" t="s">
        <v>3243</v>
      </c>
      <c r="AE396" s="6" t="s">
        <v>3293</v>
      </c>
      <c r="AF396" s="6"/>
      <c r="AG396" s="6" t="s">
        <v>6356</v>
      </c>
      <c r="AH396" s="6" t="s">
        <v>79</v>
      </c>
    </row>
    <row r="397" spans="1:34" x14ac:dyDescent="0.25">
      <c r="A397" s="6" t="s">
        <v>1351</v>
      </c>
      <c r="B397" s="6" t="s">
        <v>1352</v>
      </c>
      <c r="C397" s="6" t="s">
        <v>6357</v>
      </c>
      <c r="D397" s="6" t="s">
        <v>1353</v>
      </c>
      <c r="E397" s="6" t="s">
        <v>3636</v>
      </c>
      <c r="F397" s="6" t="s">
        <v>3214</v>
      </c>
      <c r="G397" s="6" t="s">
        <v>314</v>
      </c>
      <c r="H397" s="6" t="s">
        <v>84</v>
      </c>
      <c r="I397" s="6" t="s">
        <v>74</v>
      </c>
      <c r="J397" s="6" t="s">
        <v>6358</v>
      </c>
      <c r="K397" s="6" t="s">
        <v>3159</v>
      </c>
      <c r="L397" s="6" t="s">
        <v>3188</v>
      </c>
      <c r="M397" s="6" t="s">
        <v>3141</v>
      </c>
      <c r="N397" s="6" t="s">
        <v>3152</v>
      </c>
      <c r="O397" s="6" t="s">
        <v>3243</v>
      </c>
      <c r="P397" s="6" t="s">
        <v>6359</v>
      </c>
      <c r="Q397" s="6" t="s">
        <v>6360</v>
      </c>
      <c r="R397" s="6" t="s">
        <v>6361</v>
      </c>
      <c r="S397" s="6" t="s">
        <v>3287</v>
      </c>
      <c r="T397" s="6" t="s">
        <v>6362</v>
      </c>
      <c r="U397" s="6" t="s">
        <v>3275</v>
      </c>
      <c r="V397" s="6" t="s">
        <v>6363</v>
      </c>
      <c r="W397" s="6" t="s">
        <v>3455</v>
      </c>
      <c r="X397" s="6" t="s">
        <v>161</v>
      </c>
      <c r="Y397" s="6" t="s">
        <v>3159</v>
      </c>
      <c r="Z397" s="6" t="s">
        <v>78</v>
      </c>
      <c r="AA397" s="6" t="s">
        <v>4873</v>
      </c>
      <c r="AB397" s="6"/>
      <c r="AC397" s="6" t="s">
        <v>3141</v>
      </c>
      <c r="AD397" s="6" t="s">
        <v>3188</v>
      </c>
      <c r="AE397" s="6" t="s">
        <v>3136</v>
      </c>
      <c r="AF397" s="6"/>
      <c r="AG397" s="6" t="s">
        <v>6364</v>
      </c>
      <c r="AH397" s="6" t="s">
        <v>79</v>
      </c>
    </row>
    <row r="398" spans="1:34" x14ac:dyDescent="0.25">
      <c r="A398" s="6" t="s">
        <v>1354</v>
      </c>
      <c r="B398" s="6" t="s">
        <v>1355</v>
      </c>
      <c r="C398" s="6" t="s">
        <v>6365</v>
      </c>
      <c r="D398" s="6" t="s">
        <v>1356</v>
      </c>
      <c r="E398" s="6" t="s">
        <v>3170</v>
      </c>
      <c r="F398" s="6" t="s">
        <v>3137</v>
      </c>
      <c r="G398" s="6" t="s">
        <v>143</v>
      </c>
      <c r="H398" s="6" t="s">
        <v>144</v>
      </c>
      <c r="I398" s="6" t="s">
        <v>92</v>
      </c>
      <c r="J398" s="6" t="s">
        <v>6366</v>
      </c>
      <c r="K398" s="6" t="s">
        <v>3140</v>
      </c>
      <c r="L398" s="6" t="s">
        <v>3173</v>
      </c>
      <c r="M398" s="6" t="s">
        <v>3243</v>
      </c>
      <c r="N398" s="6" t="s">
        <v>3188</v>
      </c>
      <c r="O398" s="6" t="s">
        <v>3143</v>
      </c>
      <c r="P398" s="6" t="s">
        <v>6221</v>
      </c>
      <c r="Q398" s="6"/>
      <c r="R398" s="6" t="s">
        <v>6367</v>
      </c>
      <c r="S398" s="6" t="s">
        <v>22</v>
      </c>
      <c r="T398" s="6" t="s">
        <v>6368</v>
      </c>
      <c r="U398" s="6" t="s">
        <v>3141</v>
      </c>
      <c r="V398" s="6" t="s">
        <v>6369</v>
      </c>
      <c r="W398" s="6" t="s">
        <v>3490</v>
      </c>
      <c r="X398" s="6" t="s">
        <v>85</v>
      </c>
      <c r="Y398" s="6" t="s">
        <v>3140</v>
      </c>
      <c r="Z398" s="6" t="s">
        <v>78</v>
      </c>
      <c r="AA398" s="6" t="s">
        <v>4194</v>
      </c>
      <c r="AB398" s="6"/>
      <c r="AC398" s="6" t="s">
        <v>3159</v>
      </c>
      <c r="AD398" s="6" t="s">
        <v>3152</v>
      </c>
      <c r="AE398" s="6" t="s">
        <v>3622</v>
      </c>
      <c r="AF398" s="6" t="s">
        <v>6370</v>
      </c>
      <c r="AG398" s="6" t="s">
        <v>6371</v>
      </c>
      <c r="AH398" s="6" t="s">
        <v>79</v>
      </c>
    </row>
    <row r="399" spans="1:34" x14ac:dyDescent="0.25">
      <c r="A399" s="6" t="s">
        <v>1357</v>
      </c>
      <c r="B399" s="6" t="s">
        <v>1358</v>
      </c>
      <c r="C399" s="6" t="s">
        <v>1359</v>
      </c>
      <c r="D399" s="6" t="s">
        <v>1360</v>
      </c>
      <c r="E399" s="6" t="s">
        <v>3213</v>
      </c>
      <c r="F399" s="6" t="s">
        <v>3283</v>
      </c>
      <c r="G399" s="6" t="s">
        <v>106</v>
      </c>
      <c r="H399" s="6" t="s">
        <v>103</v>
      </c>
      <c r="I399" s="6" t="s">
        <v>74</v>
      </c>
      <c r="J399" s="6" t="s">
        <v>6372</v>
      </c>
      <c r="K399" s="6" t="s">
        <v>3140</v>
      </c>
      <c r="L399" s="6" t="s">
        <v>76</v>
      </c>
      <c r="M399" s="6" t="s">
        <v>3243</v>
      </c>
      <c r="N399" s="6" t="s">
        <v>3160</v>
      </c>
      <c r="O399" s="6" t="s">
        <v>3196</v>
      </c>
      <c r="P399" s="6" t="s">
        <v>5982</v>
      </c>
      <c r="Q399" s="6" t="s">
        <v>6373</v>
      </c>
      <c r="R399" s="6" t="s">
        <v>6374</v>
      </c>
      <c r="S399" s="6" t="s">
        <v>22</v>
      </c>
      <c r="T399" s="6"/>
      <c r="U399" s="6" t="s">
        <v>4264</v>
      </c>
      <c r="V399" s="6" t="s">
        <v>6375</v>
      </c>
      <c r="W399" s="6" t="s">
        <v>4398</v>
      </c>
      <c r="X399" s="6" t="s">
        <v>77</v>
      </c>
      <c r="Y399" s="6" t="s">
        <v>3141</v>
      </c>
      <c r="Z399" s="6" t="s">
        <v>93</v>
      </c>
      <c r="AA399" s="6" t="s">
        <v>3375</v>
      </c>
      <c r="AB399" s="6"/>
      <c r="AC399" s="6" t="s">
        <v>3141</v>
      </c>
      <c r="AD399" s="6" t="s">
        <v>3141</v>
      </c>
      <c r="AE399" s="6" t="s">
        <v>3279</v>
      </c>
      <c r="AF399" s="6" t="s">
        <v>6376</v>
      </c>
      <c r="AG399" s="6" t="s">
        <v>5005</v>
      </c>
      <c r="AH399" s="6" t="s">
        <v>79</v>
      </c>
    </row>
    <row r="400" spans="1:34" x14ac:dyDescent="0.25">
      <c r="A400" s="6" t="s">
        <v>1361</v>
      </c>
      <c r="B400" s="6" t="s">
        <v>1362</v>
      </c>
      <c r="C400" s="6" t="s">
        <v>6377</v>
      </c>
      <c r="D400" s="6" t="s">
        <v>1363</v>
      </c>
      <c r="E400" s="6" t="s">
        <v>3921</v>
      </c>
      <c r="F400" s="6" t="s">
        <v>71</v>
      </c>
      <c r="G400" s="6" t="s">
        <v>131</v>
      </c>
      <c r="H400" s="6" t="s">
        <v>132</v>
      </c>
      <c r="I400" s="6" t="s">
        <v>92</v>
      </c>
      <c r="J400" s="6" t="s">
        <v>6378</v>
      </c>
      <c r="K400" s="6" t="s">
        <v>3141</v>
      </c>
      <c r="L400" s="6" t="s">
        <v>3141</v>
      </c>
      <c r="M400" s="6" t="s">
        <v>3160</v>
      </c>
      <c r="N400" s="6" t="s">
        <v>3143</v>
      </c>
      <c r="O400" s="6" t="s">
        <v>3152</v>
      </c>
      <c r="P400" s="6" t="s">
        <v>5880</v>
      </c>
      <c r="Q400" s="6" t="s">
        <v>6379</v>
      </c>
      <c r="R400" s="6" t="s">
        <v>6380</v>
      </c>
      <c r="S400" s="6" t="s">
        <v>23</v>
      </c>
      <c r="T400" s="6" t="s">
        <v>6381</v>
      </c>
      <c r="U400" s="6" t="s">
        <v>3141</v>
      </c>
      <c r="V400" s="6" t="s">
        <v>4450</v>
      </c>
      <c r="W400" s="6" t="s">
        <v>3375</v>
      </c>
      <c r="X400" s="6" t="s">
        <v>85</v>
      </c>
      <c r="Y400" s="6" t="s">
        <v>3140</v>
      </c>
      <c r="Z400" s="6" t="s">
        <v>78</v>
      </c>
      <c r="AA400" s="6" t="s">
        <v>3250</v>
      </c>
      <c r="AB400" s="6"/>
      <c r="AC400" s="6" t="s">
        <v>3141</v>
      </c>
      <c r="AD400" s="6" t="s">
        <v>3152</v>
      </c>
      <c r="AE400" s="6" t="s">
        <v>3513</v>
      </c>
      <c r="AF400" s="6" t="s">
        <v>6382</v>
      </c>
      <c r="AG400" s="6" t="s">
        <v>6383</v>
      </c>
      <c r="AH400" s="6" t="s">
        <v>79</v>
      </c>
    </row>
    <row r="401" spans="1:34" x14ac:dyDescent="0.25">
      <c r="A401" s="6" t="s">
        <v>1364</v>
      </c>
      <c r="B401" s="6" t="s">
        <v>1365</v>
      </c>
      <c r="C401" s="6" t="s">
        <v>6384</v>
      </c>
      <c r="D401" s="6" t="s">
        <v>1366</v>
      </c>
      <c r="E401" s="6" t="s">
        <v>3471</v>
      </c>
      <c r="F401" s="6" t="s">
        <v>3137</v>
      </c>
      <c r="G401" s="6" t="s">
        <v>417</v>
      </c>
      <c r="H401" s="6" t="s">
        <v>91</v>
      </c>
      <c r="I401" s="6" t="s">
        <v>92</v>
      </c>
      <c r="J401" s="6" t="s">
        <v>6385</v>
      </c>
      <c r="K401" s="6" t="s">
        <v>3141</v>
      </c>
      <c r="L401" s="6" t="s">
        <v>75</v>
      </c>
      <c r="M401" s="6" t="s">
        <v>3141</v>
      </c>
      <c r="N401" s="6" t="s">
        <v>75</v>
      </c>
      <c r="O401" s="6" t="s">
        <v>3152</v>
      </c>
      <c r="P401" s="6" t="s">
        <v>6386</v>
      </c>
      <c r="Q401" s="6" t="s">
        <v>3217</v>
      </c>
      <c r="R401" s="6" t="s">
        <v>6387</v>
      </c>
      <c r="S401" s="6" t="s">
        <v>20</v>
      </c>
      <c r="T401" s="6"/>
      <c r="U401" s="6" t="s">
        <v>3292</v>
      </c>
      <c r="V401" s="6" t="s">
        <v>6388</v>
      </c>
      <c r="W401" s="6" t="s">
        <v>4441</v>
      </c>
      <c r="X401" s="6" t="s">
        <v>77</v>
      </c>
      <c r="Y401" s="6" t="s">
        <v>3292</v>
      </c>
      <c r="Z401" s="6" t="s">
        <v>78</v>
      </c>
      <c r="AA401" s="6" t="s">
        <v>3221</v>
      </c>
      <c r="AB401" s="6" t="s">
        <v>6389</v>
      </c>
      <c r="AC401" s="6" t="s">
        <v>3141</v>
      </c>
      <c r="AD401" s="6" t="s">
        <v>3143</v>
      </c>
      <c r="AE401" s="6" t="s">
        <v>3235</v>
      </c>
      <c r="AF401" s="6"/>
      <c r="AG401" s="6" t="s">
        <v>3503</v>
      </c>
      <c r="AH401" s="6" t="s">
        <v>79</v>
      </c>
    </row>
    <row r="402" spans="1:34" x14ac:dyDescent="0.25">
      <c r="A402" s="6" t="s">
        <v>1367</v>
      </c>
      <c r="B402" s="6" t="s">
        <v>1368</v>
      </c>
      <c r="C402" s="6" t="s">
        <v>6390</v>
      </c>
      <c r="D402" s="6" t="s">
        <v>1369</v>
      </c>
      <c r="E402" s="6" t="s">
        <v>3279</v>
      </c>
      <c r="F402" s="6" t="s">
        <v>3227</v>
      </c>
      <c r="G402" s="6" t="s">
        <v>115</v>
      </c>
      <c r="H402" s="6" t="s">
        <v>166</v>
      </c>
      <c r="I402" s="6" t="s">
        <v>74</v>
      </c>
      <c r="J402" s="6" t="s">
        <v>6391</v>
      </c>
      <c r="K402" s="6" t="s">
        <v>3159</v>
      </c>
      <c r="L402" s="6" t="s">
        <v>75</v>
      </c>
      <c r="M402" s="6" t="s">
        <v>3141</v>
      </c>
      <c r="N402" s="6" t="s">
        <v>3188</v>
      </c>
      <c r="O402" s="6" t="s">
        <v>3152</v>
      </c>
      <c r="P402" s="6" t="s">
        <v>6392</v>
      </c>
      <c r="Q402" s="6" t="s">
        <v>3217</v>
      </c>
      <c r="R402" s="6" t="s">
        <v>6393</v>
      </c>
      <c r="S402" s="6" t="s">
        <v>23</v>
      </c>
      <c r="T402" s="6" t="s">
        <v>6394</v>
      </c>
      <c r="U402" s="6" t="s">
        <v>3159</v>
      </c>
      <c r="V402" s="6" t="s">
        <v>6395</v>
      </c>
      <c r="W402" s="6" t="s">
        <v>3447</v>
      </c>
      <c r="X402" s="6" t="s">
        <v>85</v>
      </c>
      <c r="Y402" s="6" t="s">
        <v>3192</v>
      </c>
      <c r="Z402" s="6" t="s">
        <v>93</v>
      </c>
      <c r="AA402" s="6" t="s">
        <v>4407</v>
      </c>
      <c r="AB402" s="6"/>
      <c r="AC402" s="6" t="s">
        <v>3140</v>
      </c>
      <c r="AD402" s="6" t="s">
        <v>3143</v>
      </c>
      <c r="AE402" s="6" t="s">
        <v>3331</v>
      </c>
      <c r="AF402" s="6" t="s">
        <v>6396</v>
      </c>
      <c r="AG402" s="6" t="s">
        <v>6397</v>
      </c>
      <c r="AH402" s="6" t="s">
        <v>79</v>
      </c>
    </row>
    <row r="403" spans="1:34" x14ac:dyDescent="0.25">
      <c r="A403" s="6" t="s">
        <v>1370</v>
      </c>
      <c r="B403" s="6" t="s">
        <v>1371</v>
      </c>
      <c r="C403" s="6" t="s">
        <v>1372</v>
      </c>
      <c r="D403" s="6" t="s">
        <v>1373</v>
      </c>
      <c r="E403" s="6" t="s">
        <v>4542</v>
      </c>
      <c r="F403" s="6" t="s">
        <v>89</v>
      </c>
      <c r="G403" s="6" t="s">
        <v>72</v>
      </c>
      <c r="H403" s="6" t="s">
        <v>103</v>
      </c>
      <c r="I403" s="6" t="s">
        <v>74</v>
      </c>
      <c r="J403" s="6" t="s">
        <v>6398</v>
      </c>
      <c r="K403" s="6" t="s">
        <v>3159</v>
      </c>
      <c r="L403" s="6" t="s">
        <v>3196</v>
      </c>
      <c r="M403" s="6" t="s">
        <v>3152</v>
      </c>
      <c r="N403" s="6" t="s">
        <v>3152</v>
      </c>
      <c r="O403" s="6" t="s">
        <v>3160</v>
      </c>
      <c r="P403" s="6" t="s">
        <v>6399</v>
      </c>
      <c r="Q403" s="6" t="s">
        <v>6400</v>
      </c>
      <c r="R403" s="6" t="s">
        <v>6401</v>
      </c>
      <c r="S403" s="6" t="s">
        <v>22</v>
      </c>
      <c r="T403" s="6"/>
      <c r="U403" s="6" t="s">
        <v>3159</v>
      </c>
      <c r="V403" s="6" t="s">
        <v>6402</v>
      </c>
      <c r="W403" s="6" t="s">
        <v>3195</v>
      </c>
      <c r="X403" s="6" t="s">
        <v>85</v>
      </c>
      <c r="Y403" s="6" t="s">
        <v>3141</v>
      </c>
      <c r="Z403" s="6" t="s">
        <v>93</v>
      </c>
      <c r="AA403" s="6" t="s">
        <v>4676</v>
      </c>
      <c r="AB403" s="6"/>
      <c r="AC403" s="6" t="s">
        <v>3141</v>
      </c>
      <c r="AD403" s="6" t="s">
        <v>3243</v>
      </c>
      <c r="AE403" s="6" t="s">
        <v>3136</v>
      </c>
      <c r="AF403" s="6" t="s">
        <v>6403</v>
      </c>
      <c r="AG403" s="6" t="s">
        <v>6404</v>
      </c>
      <c r="AH403" s="6" t="s">
        <v>94</v>
      </c>
    </row>
    <row r="404" spans="1:34" x14ac:dyDescent="0.25">
      <c r="A404" s="6" t="s">
        <v>1374</v>
      </c>
      <c r="B404" s="6" t="s">
        <v>1375</v>
      </c>
      <c r="C404" s="6" t="s">
        <v>1376</v>
      </c>
      <c r="D404" s="6" t="s">
        <v>1377</v>
      </c>
      <c r="E404" s="6" t="s">
        <v>3357</v>
      </c>
      <c r="F404" s="6" t="s">
        <v>3358</v>
      </c>
      <c r="G404" s="6" t="s">
        <v>72</v>
      </c>
      <c r="H404" s="6" t="s">
        <v>91</v>
      </c>
      <c r="I404" s="6" t="s">
        <v>92</v>
      </c>
      <c r="J404" s="6" t="s">
        <v>6405</v>
      </c>
      <c r="K404" s="6" t="s">
        <v>3140</v>
      </c>
      <c r="L404" s="6" t="s">
        <v>3159</v>
      </c>
      <c r="M404" s="6" t="s">
        <v>3173</v>
      </c>
      <c r="N404" s="6" t="s">
        <v>3243</v>
      </c>
      <c r="O404" s="6" t="s">
        <v>75</v>
      </c>
      <c r="P404" s="6" t="s">
        <v>3325</v>
      </c>
      <c r="Q404" s="6" t="s">
        <v>6406</v>
      </c>
      <c r="R404" s="6" t="s">
        <v>6407</v>
      </c>
      <c r="S404" s="6" t="s">
        <v>22</v>
      </c>
      <c r="T404" s="6" t="s">
        <v>6408</v>
      </c>
      <c r="U404" s="6" t="s">
        <v>3275</v>
      </c>
      <c r="V404" s="6" t="s">
        <v>5614</v>
      </c>
      <c r="W404" s="6" t="s">
        <v>5032</v>
      </c>
      <c r="X404" s="6" t="s">
        <v>85</v>
      </c>
      <c r="Y404" s="6" t="s">
        <v>3192</v>
      </c>
      <c r="Z404" s="6" t="s">
        <v>78</v>
      </c>
      <c r="AA404" s="6" t="s">
        <v>4108</v>
      </c>
      <c r="AB404" s="6"/>
      <c r="AC404" s="6" t="s">
        <v>3141</v>
      </c>
      <c r="AD404" s="6" t="s">
        <v>3243</v>
      </c>
      <c r="AE404" s="6" t="s">
        <v>3323</v>
      </c>
      <c r="AF404" s="6" t="s">
        <v>6409</v>
      </c>
      <c r="AG404" s="6" t="s">
        <v>6410</v>
      </c>
      <c r="AH404" s="6" t="s">
        <v>79</v>
      </c>
    </row>
    <row r="405" spans="1:34" x14ac:dyDescent="0.25">
      <c r="A405" s="6" t="s">
        <v>1378</v>
      </c>
      <c r="B405" s="6" t="s">
        <v>1379</v>
      </c>
      <c r="C405" s="6" t="s">
        <v>6411</v>
      </c>
      <c r="D405" s="6" t="s">
        <v>1380</v>
      </c>
      <c r="E405" s="6" t="s">
        <v>3235</v>
      </c>
      <c r="F405" s="6" t="s">
        <v>3369</v>
      </c>
      <c r="G405" s="6" t="s">
        <v>417</v>
      </c>
      <c r="H405" s="6" t="s">
        <v>99</v>
      </c>
      <c r="I405" s="6" t="s">
        <v>74</v>
      </c>
      <c r="J405" s="6" t="s">
        <v>6412</v>
      </c>
      <c r="K405" s="6" t="s">
        <v>3140</v>
      </c>
      <c r="L405" s="6" t="s">
        <v>3188</v>
      </c>
      <c r="M405" s="6" t="s">
        <v>3143</v>
      </c>
      <c r="N405" s="6" t="s">
        <v>3160</v>
      </c>
      <c r="O405" s="6" t="s">
        <v>3188</v>
      </c>
      <c r="P405" s="6" t="s">
        <v>5443</v>
      </c>
      <c r="Q405" s="6" t="s">
        <v>6413</v>
      </c>
      <c r="R405" s="6" t="s">
        <v>6414</v>
      </c>
      <c r="S405" s="6" t="s">
        <v>20</v>
      </c>
      <c r="T405" s="6" t="s">
        <v>6415</v>
      </c>
      <c r="U405" s="6" t="s">
        <v>3140</v>
      </c>
      <c r="V405" s="6" t="s">
        <v>4708</v>
      </c>
      <c r="W405" s="6" t="s">
        <v>4194</v>
      </c>
      <c r="X405" s="6" t="s">
        <v>77</v>
      </c>
      <c r="Y405" s="6" t="s">
        <v>3140</v>
      </c>
      <c r="Z405" s="6" t="s">
        <v>78</v>
      </c>
      <c r="AA405" s="6" t="s">
        <v>3718</v>
      </c>
      <c r="AB405" s="6"/>
      <c r="AC405" s="6" t="s">
        <v>3159</v>
      </c>
      <c r="AD405" s="6" t="s">
        <v>3243</v>
      </c>
      <c r="AE405" s="6" t="s">
        <v>3235</v>
      </c>
      <c r="AF405" s="6"/>
      <c r="AG405" s="6" t="s">
        <v>6416</v>
      </c>
      <c r="AH405" s="6" t="s">
        <v>79</v>
      </c>
    </row>
    <row r="406" spans="1:34" x14ac:dyDescent="0.25">
      <c r="A406" s="6" t="s">
        <v>1381</v>
      </c>
      <c r="B406" s="6" t="s">
        <v>1382</v>
      </c>
      <c r="C406" s="6" t="s">
        <v>1383</v>
      </c>
      <c r="D406" s="6" t="s">
        <v>6417</v>
      </c>
      <c r="E406" s="6"/>
      <c r="F406" s="6" t="s">
        <v>3269</v>
      </c>
      <c r="G406" s="6" t="s">
        <v>3215</v>
      </c>
      <c r="H406" s="6" t="s">
        <v>103</v>
      </c>
      <c r="I406" s="6" t="s">
        <v>74</v>
      </c>
      <c r="J406" s="6" t="s">
        <v>6418</v>
      </c>
      <c r="K406" s="6" t="s">
        <v>3141</v>
      </c>
      <c r="L406" s="6" t="s">
        <v>3143</v>
      </c>
      <c r="M406" s="6" t="s">
        <v>3243</v>
      </c>
      <c r="N406" s="6" t="s">
        <v>3152</v>
      </c>
      <c r="O406" s="6" t="s">
        <v>3143</v>
      </c>
      <c r="P406" s="6" t="s">
        <v>3638</v>
      </c>
      <c r="Q406" s="6" t="s">
        <v>6419</v>
      </c>
      <c r="R406" s="6" t="s">
        <v>6420</v>
      </c>
      <c r="S406" s="6" t="s">
        <v>23</v>
      </c>
      <c r="T406" s="6" t="s">
        <v>6421</v>
      </c>
      <c r="U406" s="6" t="s">
        <v>3394</v>
      </c>
      <c r="V406" s="6" t="s">
        <v>4143</v>
      </c>
      <c r="W406" s="6" t="s">
        <v>3374</v>
      </c>
      <c r="X406" s="6" t="s">
        <v>85</v>
      </c>
      <c r="Y406" s="6" t="s">
        <v>3141</v>
      </c>
      <c r="Z406" s="6" t="s">
        <v>78</v>
      </c>
      <c r="AA406" s="6" t="s">
        <v>4918</v>
      </c>
      <c r="AB406" s="6" t="s">
        <v>6422</v>
      </c>
      <c r="AC406" s="6" t="s">
        <v>3159</v>
      </c>
      <c r="AD406" s="6" t="s">
        <v>75</v>
      </c>
      <c r="AE406" s="6" t="s">
        <v>3513</v>
      </c>
      <c r="AF406" s="6" t="s">
        <v>6423</v>
      </c>
      <c r="AG406" s="6" t="s">
        <v>6424</v>
      </c>
      <c r="AH406" s="6" t="s">
        <v>79</v>
      </c>
    </row>
    <row r="407" spans="1:34" x14ac:dyDescent="0.25">
      <c r="A407" s="6" t="s">
        <v>1385</v>
      </c>
      <c r="B407" s="6" t="s">
        <v>528</v>
      </c>
      <c r="C407" s="6"/>
      <c r="D407" s="6" t="s">
        <v>1386</v>
      </c>
      <c r="E407" s="6" t="s">
        <v>3240</v>
      </c>
      <c r="F407" s="6" t="s">
        <v>3214</v>
      </c>
      <c r="G407" s="6" t="s">
        <v>3370</v>
      </c>
      <c r="H407" s="6" t="s">
        <v>132</v>
      </c>
      <c r="I407" s="6" t="s">
        <v>92</v>
      </c>
      <c r="J407" s="6" t="s">
        <v>6425</v>
      </c>
      <c r="K407" s="6" t="s">
        <v>3141</v>
      </c>
      <c r="L407" s="6" t="s">
        <v>3143</v>
      </c>
      <c r="M407" s="6" t="s">
        <v>3243</v>
      </c>
      <c r="N407" s="6" t="s">
        <v>3143</v>
      </c>
      <c r="O407" s="6" t="s">
        <v>3152</v>
      </c>
      <c r="P407" s="6" t="s">
        <v>6426</v>
      </c>
      <c r="Q407" s="6" t="s">
        <v>6427</v>
      </c>
      <c r="R407" s="6" t="s">
        <v>6428</v>
      </c>
      <c r="S407" s="6" t="s">
        <v>23</v>
      </c>
      <c r="T407" s="6" t="s">
        <v>6429</v>
      </c>
      <c r="U407" s="6" t="s">
        <v>3141</v>
      </c>
      <c r="V407" s="6" t="s">
        <v>6430</v>
      </c>
      <c r="W407" s="6" t="s">
        <v>5231</v>
      </c>
      <c r="X407" s="6" t="s">
        <v>85</v>
      </c>
      <c r="Y407" s="6" t="s">
        <v>3159</v>
      </c>
      <c r="Z407" s="6" t="s">
        <v>93</v>
      </c>
      <c r="AA407" s="6" t="s">
        <v>4135</v>
      </c>
      <c r="AB407" s="6"/>
      <c r="AC407" s="6" t="s">
        <v>3141</v>
      </c>
      <c r="AD407" s="6" t="s">
        <v>3141</v>
      </c>
      <c r="AE407" s="6" t="s">
        <v>3331</v>
      </c>
      <c r="AF407" s="6" t="s">
        <v>6431</v>
      </c>
      <c r="AG407" s="6" t="s">
        <v>6432</v>
      </c>
      <c r="AH407" s="6" t="s">
        <v>79</v>
      </c>
    </row>
    <row r="408" spans="1:34" x14ac:dyDescent="0.25">
      <c r="A408" s="6" t="s">
        <v>1387</v>
      </c>
      <c r="B408" s="6" t="s">
        <v>1388</v>
      </c>
      <c r="C408" s="6"/>
      <c r="D408" s="6" t="s">
        <v>1389</v>
      </c>
      <c r="E408" s="6" t="s">
        <v>3843</v>
      </c>
      <c r="F408" s="6" t="s">
        <v>89</v>
      </c>
      <c r="G408" s="6" t="s">
        <v>131</v>
      </c>
      <c r="H408" s="6" t="s">
        <v>73</v>
      </c>
      <c r="I408" s="6" t="s">
        <v>74</v>
      </c>
      <c r="J408" s="6" t="s">
        <v>6433</v>
      </c>
      <c r="K408" s="6" t="s">
        <v>3159</v>
      </c>
      <c r="L408" s="6" t="s">
        <v>3152</v>
      </c>
      <c r="M408" s="6" t="s">
        <v>3188</v>
      </c>
      <c r="N408" s="6" t="s">
        <v>3243</v>
      </c>
      <c r="O408" s="6" t="s">
        <v>3160</v>
      </c>
      <c r="P408" s="6" t="s">
        <v>4736</v>
      </c>
      <c r="Q408" s="6" t="s">
        <v>6434</v>
      </c>
      <c r="R408" s="6" t="s">
        <v>6435</v>
      </c>
      <c r="S408" s="6" t="s">
        <v>20</v>
      </c>
      <c r="T408" s="6" t="s">
        <v>6436</v>
      </c>
      <c r="U408" s="6" t="s">
        <v>3159</v>
      </c>
      <c r="V408" s="6" t="s">
        <v>5248</v>
      </c>
      <c r="W408" s="6" t="s">
        <v>3672</v>
      </c>
      <c r="X408" s="6" t="s">
        <v>85</v>
      </c>
      <c r="Y408" s="6" t="s">
        <v>3140</v>
      </c>
      <c r="Z408" s="6" t="s">
        <v>194</v>
      </c>
      <c r="AA408" s="6" t="s">
        <v>3195</v>
      </c>
      <c r="AB408" s="6"/>
      <c r="AC408" s="6" t="s">
        <v>3141</v>
      </c>
      <c r="AD408" s="6" t="s">
        <v>3152</v>
      </c>
      <c r="AE408" s="6" t="s">
        <v>3169</v>
      </c>
      <c r="AF408" s="6"/>
      <c r="AG408" s="6" t="s">
        <v>6437</v>
      </c>
      <c r="AH408" s="6" t="s">
        <v>79</v>
      </c>
    </row>
    <row r="409" spans="1:34" x14ac:dyDescent="0.25">
      <c r="A409" s="6" t="s">
        <v>1390</v>
      </c>
      <c r="B409" s="6" t="s">
        <v>909</v>
      </c>
      <c r="C409" s="6" t="s">
        <v>1391</v>
      </c>
      <c r="D409" s="6" t="s">
        <v>1392</v>
      </c>
      <c r="E409" s="6" t="s">
        <v>3921</v>
      </c>
      <c r="F409" s="6" t="s">
        <v>3214</v>
      </c>
      <c r="G409" s="6" t="s">
        <v>143</v>
      </c>
      <c r="H409" s="6" t="s">
        <v>73</v>
      </c>
      <c r="I409" s="6" t="s">
        <v>74</v>
      </c>
      <c r="J409" s="6" t="s">
        <v>6438</v>
      </c>
      <c r="K409" s="6" t="s">
        <v>3140</v>
      </c>
      <c r="L409" s="6" t="s">
        <v>3159</v>
      </c>
      <c r="M409" s="6" t="s">
        <v>3159</v>
      </c>
      <c r="N409" s="6" t="s">
        <v>3160</v>
      </c>
      <c r="O409" s="6" t="s">
        <v>75</v>
      </c>
      <c r="P409" s="6" t="s">
        <v>5957</v>
      </c>
      <c r="Q409" s="6"/>
      <c r="R409" s="6" t="s">
        <v>6439</v>
      </c>
      <c r="S409" s="6" t="s">
        <v>22</v>
      </c>
      <c r="T409" s="6" t="s">
        <v>6440</v>
      </c>
      <c r="U409" s="6" t="s">
        <v>3141</v>
      </c>
      <c r="V409" s="6" t="s">
        <v>6441</v>
      </c>
      <c r="W409" s="6" t="s">
        <v>3468</v>
      </c>
      <c r="X409" s="6" t="s">
        <v>77</v>
      </c>
      <c r="Y409" s="6" t="s">
        <v>3292</v>
      </c>
      <c r="Z409" s="6" t="s">
        <v>93</v>
      </c>
      <c r="AA409" s="6" t="s">
        <v>3455</v>
      </c>
      <c r="AB409" s="6"/>
      <c r="AC409" s="6" t="s">
        <v>3159</v>
      </c>
      <c r="AD409" s="6" t="s">
        <v>3188</v>
      </c>
      <c r="AE409" s="6" t="s">
        <v>3235</v>
      </c>
      <c r="AF409" s="6" t="s">
        <v>6442</v>
      </c>
      <c r="AG409" s="6" t="s">
        <v>4540</v>
      </c>
      <c r="AH409" s="6" t="s">
        <v>79</v>
      </c>
    </row>
    <row r="410" spans="1:34" x14ac:dyDescent="0.25">
      <c r="A410" s="6" t="s">
        <v>1393</v>
      </c>
      <c r="B410" s="6" t="s">
        <v>1394</v>
      </c>
      <c r="C410" s="6" t="s">
        <v>6443</v>
      </c>
      <c r="D410" s="6" t="s">
        <v>1395</v>
      </c>
      <c r="E410" s="6" t="s">
        <v>3432</v>
      </c>
      <c r="F410" s="6" t="s">
        <v>3214</v>
      </c>
      <c r="G410" s="6" t="s">
        <v>115</v>
      </c>
      <c r="H410" s="6" t="s">
        <v>103</v>
      </c>
      <c r="I410" s="6" t="s">
        <v>74</v>
      </c>
      <c r="J410" s="6" t="s">
        <v>3217</v>
      </c>
      <c r="K410" s="6" t="s">
        <v>3141</v>
      </c>
      <c r="L410" s="6" t="s">
        <v>3141</v>
      </c>
      <c r="M410" s="6" t="s">
        <v>3152</v>
      </c>
      <c r="N410" s="6" t="s">
        <v>3141</v>
      </c>
      <c r="O410" s="6" t="s">
        <v>3152</v>
      </c>
      <c r="P410" s="6" t="s">
        <v>3714</v>
      </c>
      <c r="Q410" s="6" t="s">
        <v>6444</v>
      </c>
      <c r="R410" s="6" t="s">
        <v>6445</v>
      </c>
      <c r="S410" s="6" t="s">
        <v>23</v>
      </c>
      <c r="T410" s="6"/>
      <c r="U410" s="6" t="s">
        <v>3140</v>
      </c>
      <c r="V410" s="6" t="s">
        <v>6446</v>
      </c>
      <c r="W410" s="6" t="s">
        <v>4290</v>
      </c>
      <c r="X410" s="6" t="s">
        <v>85</v>
      </c>
      <c r="Y410" s="6" t="s">
        <v>3192</v>
      </c>
      <c r="Z410" s="6" t="s">
        <v>78</v>
      </c>
      <c r="AA410" s="6" t="s">
        <v>3621</v>
      </c>
      <c r="AB410" s="6"/>
      <c r="AC410" s="6" t="s">
        <v>3159</v>
      </c>
      <c r="AD410" s="6" t="s">
        <v>3243</v>
      </c>
      <c r="AE410" s="6" t="s">
        <v>3513</v>
      </c>
      <c r="AF410" s="6" t="s">
        <v>6447</v>
      </c>
      <c r="AG410" s="6" t="s">
        <v>4810</v>
      </c>
      <c r="AH410" s="6" t="s">
        <v>79</v>
      </c>
    </row>
    <row r="411" spans="1:34" x14ac:dyDescent="0.25">
      <c r="A411" s="6" t="s">
        <v>1396</v>
      </c>
      <c r="B411" s="6" t="s">
        <v>1291</v>
      </c>
      <c r="C411" s="6" t="s">
        <v>1397</v>
      </c>
      <c r="D411" s="6" t="s">
        <v>6448</v>
      </c>
      <c r="E411" s="6" t="s">
        <v>3309</v>
      </c>
      <c r="F411" s="6" t="s">
        <v>3201</v>
      </c>
      <c r="G411" s="6" t="s">
        <v>83</v>
      </c>
      <c r="H411" s="6" t="s">
        <v>132</v>
      </c>
      <c r="I411" s="6" t="s">
        <v>92</v>
      </c>
      <c r="J411" s="6" t="s">
        <v>6449</v>
      </c>
      <c r="K411" s="6" t="s">
        <v>3140</v>
      </c>
      <c r="L411" s="6" t="s">
        <v>3159</v>
      </c>
      <c r="M411" s="6" t="s">
        <v>3160</v>
      </c>
      <c r="N411" s="6" t="s">
        <v>3188</v>
      </c>
      <c r="O411" s="6" t="s">
        <v>3152</v>
      </c>
      <c r="P411" s="6" t="s">
        <v>6450</v>
      </c>
      <c r="Q411" s="6" t="s">
        <v>6451</v>
      </c>
      <c r="R411" s="6" t="s">
        <v>6452</v>
      </c>
      <c r="S411" s="6" t="s">
        <v>22</v>
      </c>
      <c r="T411" s="6" t="s">
        <v>6453</v>
      </c>
      <c r="U411" s="6" t="s">
        <v>3141</v>
      </c>
      <c r="V411" s="6" t="s">
        <v>6454</v>
      </c>
      <c r="W411" s="6" t="s">
        <v>4227</v>
      </c>
      <c r="X411" s="6" t="s">
        <v>77</v>
      </c>
      <c r="Y411" s="6" t="s">
        <v>3140</v>
      </c>
      <c r="Z411" s="6" t="s">
        <v>78</v>
      </c>
      <c r="AA411" s="6" t="s">
        <v>6455</v>
      </c>
      <c r="AB411" s="6"/>
      <c r="AC411" s="6" t="s">
        <v>3141</v>
      </c>
      <c r="AD411" s="6" t="s">
        <v>3152</v>
      </c>
      <c r="AE411" s="6" t="s">
        <v>3136</v>
      </c>
      <c r="AF411" s="6" t="s">
        <v>6456</v>
      </c>
      <c r="AG411" s="6" t="s">
        <v>6457</v>
      </c>
      <c r="AH411" s="6" t="s">
        <v>79</v>
      </c>
    </row>
    <row r="412" spans="1:34" x14ac:dyDescent="0.25">
      <c r="A412" s="6" t="s">
        <v>1399</v>
      </c>
      <c r="B412" s="6" t="s">
        <v>1400</v>
      </c>
      <c r="C412" s="6" t="s">
        <v>6458</v>
      </c>
      <c r="D412" s="6" t="s">
        <v>6459</v>
      </c>
      <c r="E412" s="6" t="s">
        <v>3432</v>
      </c>
      <c r="F412" s="6" t="s">
        <v>3358</v>
      </c>
      <c r="G412" s="6" t="s">
        <v>83</v>
      </c>
      <c r="H412" s="6" t="s">
        <v>103</v>
      </c>
      <c r="I412" s="6" t="s">
        <v>74</v>
      </c>
      <c r="J412" s="6"/>
      <c r="K412" s="6" t="s">
        <v>3140</v>
      </c>
      <c r="L412" s="6" t="s">
        <v>3143</v>
      </c>
      <c r="M412" s="6" t="s">
        <v>3243</v>
      </c>
      <c r="N412" s="6" t="s">
        <v>3142</v>
      </c>
      <c r="O412" s="6" t="s">
        <v>3159</v>
      </c>
      <c r="P412" s="6" t="s">
        <v>3649</v>
      </c>
      <c r="Q412" s="6"/>
      <c r="R412" s="6" t="s">
        <v>6460</v>
      </c>
      <c r="S412" s="6" t="s">
        <v>21</v>
      </c>
      <c r="T412" s="6" t="s">
        <v>6461</v>
      </c>
      <c r="U412" s="6" t="s">
        <v>3275</v>
      </c>
      <c r="V412" s="6" t="s">
        <v>3261</v>
      </c>
      <c r="W412" s="6" t="s">
        <v>3439</v>
      </c>
      <c r="X412" s="6" t="s">
        <v>6462</v>
      </c>
      <c r="Y412" s="6" t="s">
        <v>3159</v>
      </c>
      <c r="Z412" s="6" t="s">
        <v>78</v>
      </c>
      <c r="AA412" s="6" t="s">
        <v>3264</v>
      </c>
      <c r="AB412" s="6"/>
      <c r="AC412" s="6" t="s">
        <v>3141</v>
      </c>
      <c r="AD412" s="6" t="s">
        <v>3143</v>
      </c>
      <c r="AE412" s="6" t="s">
        <v>3323</v>
      </c>
      <c r="AF412" s="6"/>
      <c r="AG412" s="6" t="s">
        <v>6463</v>
      </c>
      <c r="AH412" s="6" t="s">
        <v>79</v>
      </c>
    </row>
    <row r="413" spans="1:34" x14ac:dyDescent="0.25">
      <c r="A413" s="6" t="s">
        <v>1402</v>
      </c>
      <c r="B413" s="6" t="s">
        <v>1403</v>
      </c>
      <c r="C413" s="6" t="s">
        <v>6464</v>
      </c>
      <c r="D413" s="6" t="s">
        <v>1404</v>
      </c>
      <c r="E413" s="6" t="s">
        <v>3843</v>
      </c>
      <c r="F413" s="6" t="s">
        <v>71</v>
      </c>
      <c r="G413" s="6" t="s">
        <v>215</v>
      </c>
      <c r="H413" s="6" t="s">
        <v>144</v>
      </c>
      <c r="I413" s="6" t="s">
        <v>92</v>
      </c>
      <c r="J413" s="6"/>
      <c r="K413" s="6" t="s">
        <v>3140</v>
      </c>
      <c r="L413" s="6" t="s">
        <v>3142</v>
      </c>
      <c r="M413" s="6" t="s">
        <v>3152</v>
      </c>
      <c r="N413" s="6" t="s">
        <v>3141</v>
      </c>
      <c r="O413" s="6" t="s">
        <v>3196</v>
      </c>
      <c r="P413" s="6" t="s">
        <v>6465</v>
      </c>
      <c r="Q413" s="6" t="s">
        <v>6466</v>
      </c>
      <c r="R413" s="6" t="s">
        <v>6467</v>
      </c>
      <c r="S413" s="6" t="s">
        <v>3412</v>
      </c>
      <c r="T413" s="6" t="s">
        <v>6468</v>
      </c>
      <c r="U413" s="6" t="s">
        <v>4264</v>
      </c>
      <c r="V413" s="6" t="s">
        <v>6469</v>
      </c>
      <c r="W413" s="6" t="s">
        <v>4618</v>
      </c>
      <c r="X413" s="6" t="s">
        <v>85</v>
      </c>
      <c r="Y413" s="6" t="s">
        <v>3141</v>
      </c>
      <c r="Z413" s="6" t="s">
        <v>78</v>
      </c>
      <c r="AA413" s="6" t="s">
        <v>3195</v>
      </c>
      <c r="AB413" s="6"/>
      <c r="AC413" s="6" t="s">
        <v>3141</v>
      </c>
      <c r="AD413" s="6" t="s">
        <v>3141</v>
      </c>
      <c r="AE413" s="6" t="s">
        <v>3235</v>
      </c>
      <c r="AF413" s="6"/>
      <c r="AG413" s="6" t="s">
        <v>6470</v>
      </c>
      <c r="AH413" s="6" t="s">
        <v>79</v>
      </c>
    </row>
    <row r="414" spans="1:34" x14ac:dyDescent="0.25">
      <c r="A414" s="6" t="s">
        <v>1405</v>
      </c>
      <c r="B414" s="6" t="s">
        <v>6471</v>
      </c>
      <c r="C414" s="6"/>
      <c r="D414" s="6" t="s">
        <v>1407</v>
      </c>
      <c r="E414" s="6" t="s">
        <v>3141</v>
      </c>
      <c r="F414" s="6" t="s">
        <v>3283</v>
      </c>
      <c r="G414" s="6" t="s">
        <v>388</v>
      </c>
      <c r="H414" s="6" t="s">
        <v>6472</v>
      </c>
      <c r="I414" s="6" t="s">
        <v>92</v>
      </c>
      <c r="J414" s="6" t="s">
        <v>6473</v>
      </c>
      <c r="K414" s="6" t="s">
        <v>3140</v>
      </c>
      <c r="L414" s="6" t="s">
        <v>3141</v>
      </c>
      <c r="M414" s="6" t="s">
        <v>3141</v>
      </c>
      <c r="N414" s="6" t="s">
        <v>3142</v>
      </c>
      <c r="O414" s="6" t="s">
        <v>3196</v>
      </c>
      <c r="P414" s="6" t="s">
        <v>6474</v>
      </c>
      <c r="Q414" s="6" t="s">
        <v>6475</v>
      </c>
      <c r="R414" s="6" t="s">
        <v>6476</v>
      </c>
      <c r="S414" s="6" t="s">
        <v>23</v>
      </c>
      <c r="T414" s="6"/>
      <c r="U414" s="6" t="s">
        <v>3140</v>
      </c>
      <c r="V414" s="6" t="s">
        <v>6477</v>
      </c>
      <c r="W414" s="6" t="s">
        <v>4470</v>
      </c>
      <c r="X414" s="6" t="s">
        <v>77</v>
      </c>
      <c r="Y414" s="6" t="s">
        <v>3159</v>
      </c>
      <c r="Z414" s="6" t="s">
        <v>3329</v>
      </c>
      <c r="AA414" s="6" t="s">
        <v>4381</v>
      </c>
      <c r="AB414" s="6"/>
      <c r="AC414" s="6" t="s">
        <v>3141</v>
      </c>
      <c r="AD414" s="6" t="s">
        <v>3243</v>
      </c>
      <c r="AE414" s="6" t="s">
        <v>3513</v>
      </c>
      <c r="AF414" s="6" t="s">
        <v>6478</v>
      </c>
      <c r="AG414" s="6" t="s">
        <v>6479</v>
      </c>
      <c r="AH414" s="6" t="s">
        <v>79</v>
      </c>
    </row>
    <row r="415" spans="1:34" x14ac:dyDescent="0.25">
      <c r="A415" s="6" t="s">
        <v>1408</v>
      </c>
      <c r="B415" s="6" t="s">
        <v>6480</v>
      </c>
      <c r="C415" s="6" t="s">
        <v>1410</v>
      </c>
      <c r="D415" s="6" t="s">
        <v>1411</v>
      </c>
      <c r="E415" s="6" t="s">
        <v>4358</v>
      </c>
      <c r="F415" s="6" t="s">
        <v>3137</v>
      </c>
      <c r="G415" s="6" t="s">
        <v>314</v>
      </c>
      <c r="H415" s="6" t="s">
        <v>73</v>
      </c>
      <c r="I415" s="6" t="s">
        <v>74</v>
      </c>
      <c r="J415" s="6"/>
      <c r="K415" s="6" t="s">
        <v>3141</v>
      </c>
      <c r="L415" s="6" t="s">
        <v>75</v>
      </c>
      <c r="M415" s="6" t="s">
        <v>3152</v>
      </c>
      <c r="N415" s="6" t="s">
        <v>3152</v>
      </c>
      <c r="O415" s="6" t="s">
        <v>3160</v>
      </c>
      <c r="P415" s="6" t="s">
        <v>5397</v>
      </c>
      <c r="Q415" s="6" t="s">
        <v>3217</v>
      </c>
      <c r="R415" s="6" t="s">
        <v>6481</v>
      </c>
      <c r="S415" s="6" t="s">
        <v>23</v>
      </c>
      <c r="T415" s="6"/>
      <c r="U415" s="6" t="s">
        <v>3159</v>
      </c>
      <c r="V415" s="6" t="s">
        <v>4795</v>
      </c>
      <c r="W415" s="6" t="s">
        <v>3405</v>
      </c>
      <c r="X415" s="6" t="s">
        <v>77</v>
      </c>
      <c r="Y415" s="6" t="s">
        <v>3159</v>
      </c>
      <c r="Z415" s="6" t="s">
        <v>3263</v>
      </c>
      <c r="AA415" s="6" t="s">
        <v>3802</v>
      </c>
      <c r="AB415" s="6"/>
      <c r="AC415" s="6" t="s">
        <v>3140</v>
      </c>
      <c r="AD415" s="6" t="s">
        <v>3188</v>
      </c>
      <c r="AE415" s="6" t="s">
        <v>3513</v>
      </c>
      <c r="AF415" s="6" t="s">
        <v>6482</v>
      </c>
      <c r="AG415" s="6" t="s">
        <v>3937</v>
      </c>
      <c r="AH415" s="6" t="s">
        <v>4004</v>
      </c>
    </row>
    <row r="416" spans="1:34" x14ac:dyDescent="0.25">
      <c r="A416" s="6" t="s">
        <v>1412</v>
      </c>
      <c r="B416" s="6" t="s">
        <v>350</v>
      </c>
      <c r="C416" s="6" t="s">
        <v>6483</v>
      </c>
      <c r="D416" s="6" t="s">
        <v>1413</v>
      </c>
      <c r="E416" s="6" t="s">
        <v>3279</v>
      </c>
      <c r="F416" s="6" t="s">
        <v>3214</v>
      </c>
      <c r="G416" s="6" t="s">
        <v>139</v>
      </c>
      <c r="H416" s="6" t="s">
        <v>107</v>
      </c>
      <c r="I416" s="6" t="s">
        <v>92</v>
      </c>
      <c r="J416" s="6" t="s">
        <v>6484</v>
      </c>
      <c r="K416" s="6" t="s">
        <v>3159</v>
      </c>
      <c r="L416" s="6" t="s">
        <v>3143</v>
      </c>
      <c r="M416" s="6" t="s">
        <v>3152</v>
      </c>
      <c r="N416" s="6" t="s">
        <v>3243</v>
      </c>
      <c r="O416" s="6" t="s">
        <v>3196</v>
      </c>
      <c r="P416" s="6" t="s">
        <v>6084</v>
      </c>
      <c r="Q416" s="6"/>
      <c r="R416" s="6" t="s">
        <v>6485</v>
      </c>
      <c r="S416" s="6" t="s">
        <v>3287</v>
      </c>
      <c r="T416" s="6" t="s">
        <v>6486</v>
      </c>
      <c r="U416" s="6" t="s">
        <v>3141</v>
      </c>
      <c r="V416" s="6" t="s">
        <v>6487</v>
      </c>
      <c r="W416" s="6" t="s">
        <v>3262</v>
      </c>
      <c r="X416" s="6" t="s">
        <v>85</v>
      </c>
      <c r="Y416" s="6" t="s">
        <v>3140</v>
      </c>
      <c r="Z416" s="6" t="s">
        <v>3343</v>
      </c>
      <c r="AA416" s="6" t="s">
        <v>5216</v>
      </c>
      <c r="AB416" s="6"/>
      <c r="AC416" s="6" t="s">
        <v>3141</v>
      </c>
      <c r="AD416" s="6" t="s">
        <v>3243</v>
      </c>
      <c r="AE416" s="6" t="s">
        <v>3136</v>
      </c>
      <c r="AF416" s="6"/>
      <c r="AG416" s="6"/>
      <c r="AH416" s="6" t="s">
        <v>79</v>
      </c>
    </row>
    <row r="417" spans="1:34" x14ac:dyDescent="0.25">
      <c r="A417" s="6" t="s">
        <v>1414</v>
      </c>
      <c r="B417" s="6" t="s">
        <v>1415</v>
      </c>
      <c r="C417" s="6" t="s">
        <v>1416</v>
      </c>
      <c r="D417" s="6" t="s">
        <v>1417</v>
      </c>
      <c r="E417" s="6" t="s">
        <v>3226</v>
      </c>
      <c r="F417" s="6" t="s">
        <v>3283</v>
      </c>
      <c r="G417" s="6" t="s">
        <v>388</v>
      </c>
      <c r="H417" s="6" t="s">
        <v>132</v>
      </c>
      <c r="I417" s="6" t="s">
        <v>92</v>
      </c>
      <c r="J417" s="6"/>
      <c r="K417" s="6" t="s">
        <v>3141</v>
      </c>
      <c r="L417" s="6" t="s">
        <v>75</v>
      </c>
      <c r="M417" s="6" t="s">
        <v>75</v>
      </c>
      <c r="N417" s="6" t="s">
        <v>3141</v>
      </c>
      <c r="O417" s="6" t="s">
        <v>3143</v>
      </c>
      <c r="P417" s="6" t="s">
        <v>6488</v>
      </c>
      <c r="Q417" s="6" t="s">
        <v>6489</v>
      </c>
      <c r="R417" s="6" t="s">
        <v>6490</v>
      </c>
      <c r="S417" s="6" t="s">
        <v>22</v>
      </c>
      <c r="T417" s="6" t="s">
        <v>6491</v>
      </c>
      <c r="U417" s="6" t="s">
        <v>3141</v>
      </c>
      <c r="V417" s="6" t="s">
        <v>6492</v>
      </c>
      <c r="W417" s="6" t="s">
        <v>3405</v>
      </c>
      <c r="X417" s="6" t="s">
        <v>77</v>
      </c>
      <c r="Y417" s="6" t="s">
        <v>3159</v>
      </c>
      <c r="Z417" s="6" t="s">
        <v>93</v>
      </c>
      <c r="AA417" s="6" t="s">
        <v>3288</v>
      </c>
      <c r="AB417" s="6"/>
      <c r="AC417" s="6" t="s">
        <v>3141</v>
      </c>
      <c r="AD417" s="6" t="s">
        <v>3141</v>
      </c>
      <c r="AE417" s="6" t="s">
        <v>3210</v>
      </c>
      <c r="AF417" s="6" t="s">
        <v>6493</v>
      </c>
      <c r="AG417" s="6" t="s">
        <v>4100</v>
      </c>
      <c r="AH417" s="6" t="s">
        <v>79</v>
      </c>
    </row>
    <row r="418" spans="1:34" x14ac:dyDescent="0.25">
      <c r="A418" s="6" t="s">
        <v>1418</v>
      </c>
      <c r="B418" s="6" t="s">
        <v>1419</v>
      </c>
      <c r="C418" s="6" t="s">
        <v>1420</v>
      </c>
      <c r="D418" s="6" t="s">
        <v>1421</v>
      </c>
      <c r="E418" s="6" t="s">
        <v>3254</v>
      </c>
      <c r="F418" s="6" t="s">
        <v>89</v>
      </c>
      <c r="G418" s="6" t="s">
        <v>4604</v>
      </c>
      <c r="H418" s="6" t="s">
        <v>144</v>
      </c>
      <c r="I418" s="6" t="s">
        <v>92</v>
      </c>
      <c r="J418" s="6" t="s">
        <v>6494</v>
      </c>
      <c r="K418" s="6" t="s">
        <v>3140</v>
      </c>
      <c r="L418" s="6" t="s">
        <v>3159</v>
      </c>
      <c r="M418" s="6" t="s">
        <v>3243</v>
      </c>
      <c r="N418" s="6" t="s">
        <v>3143</v>
      </c>
      <c r="O418" s="6" t="s">
        <v>3188</v>
      </c>
      <c r="P418" s="6" t="s">
        <v>3914</v>
      </c>
      <c r="Q418" s="6" t="s">
        <v>6495</v>
      </c>
      <c r="R418" s="6" t="s">
        <v>6496</v>
      </c>
      <c r="S418" s="6" t="s">
        <v>21</v>
      </c>
      <c r="T418" s="6" t="s">
        <v>6497</v>
      </c>
      <c r="U418" s="6" t="s">
        <v>3141</v>
      </c>
      <c r="V418" s="6" t="s">
        <v>6498</v>
      </c>
      <c r="W418" s="6" t="s">
        <v>5215</v>
      </c>
      <c r="X418" s="6" t="s">
        <v>85</v>
      </c>
      <c r="Y418" s="6" t="s">
        <v>3292</v>
      </c>
      <c r="Z418" s="6" t="s">
        <v>93</v>
      </c>
      <c r="AA418" s="6" t="s">
        <v>5046</v>
      </c>
      <c r="AB418" s="6"/>
      <c r="AC418" s="6" t="s">
        <v>3141</v>
      </c>
      <c r="AD418" s="6" t="s">
        <v>3243</v>
      </c>
      <c r="AE418" s="6" t="s">
        <v>3323</v>
      </c>
      <c r="AF418" s="6"/>
      <c r="AG418" s="6" t="s">
        <v>6499</v>
      </c>
      <c r="AH418" s="6" t="s">
        <v>79</v>
      </c>
    </row>
    <row r="419" spans="1:34" x14ac:dyDescent="0.25">
      <c r="A419" s="6" t="s">
        <v>1422</v>
      </c>
      <c r="B419" s="6" t="s">
        <v>1423</v>
      </c>
      <c r="C419" s="6" t="s">
        <v>1424</v>
      </c>
      <c r="D419" s="6" t="s">
        <v>6500</v>
      </c>
      <c r="E419" s="6" t="s">
        <v>4687</v>
      </c>
      <c r="F419" s="6" t="s">
        <v>3283</v>
      </c>
      <c r="G419" s="6" t="s">
        <v>153</v>
      </c>
      <c r="H419" s="6" t="s">
        <v>73</v>
      </c>
      <c r="I419" s="6" t="s">
        <v>74</v>
      </c>
      <c r="J419" s="6" t="s">
        <v>6501</v>
      </c>
      <c r="K419" s="6" t="s">
        <v>3159</v>
      </c>
      <c r="L419" s="6" t="s">
        <v>3196</v>
      </c>
      <c r="M419" s="6" t="s">
        <v>3160</v>
      </c>
      <c r="N419" s="6" t="s">
        <v>3141</v>
      </c>
      <c r="O419" s="6" t="s">
        <v>3143</v>
      </c>
      <c r="P419" s="6" t="s">
        <v>6174</v>
      </c>
      <c r="Q419" s="6" t="s">
        <v>6502</v>
      </c>
      <c r="R419" s="6" t="s">
        <v>6503</v>
      </c>
      <c r="S419" s="6" t="s">
        <v>22</v>
      </c>
      <c r="T419" s="6" t="s">
        <v>6504</v>
      </c>
      <c r="U419" s="6" t="s">
        <v>3141</v>
      </c>
      <c r="V419" s="6" t="s">
        <v>6505</v>
      </c>
      <c r="W419" s="6" t="s">
        <v>3467</v>
      </c>
      <c r="X419" s="6" t="s">
        <v>77</v>
      </c>
      <c r="Y419" s="6" t="s">
        <v>3292</v>
      </c>
      <c r="Z419" s="6" t="s">
        <v>93</v>
      </c>
      <c r="AA419" s="6" t="s">
        <v>6506</v>
      </c>
      <c r="AB419" s="6"/>
      <c r="AC419" s="6" t="s">
        <v>3141</v>
      </c>
      <c r="AD419" s="6" t="s">
        <v>3243</v>
      </c>
      <c r="AE419" s="6" t="s">
        <v>3235</v>
      </c>
      <c r="AF419" s="6" t="s">
        <v>6507</v>
      </c>
      <c r="AG419" s="6" t="s">
        <v>6508</v>
      </c>
      <c r="AH419" s="6" t="s">
        <v>79</v>
      </c>
    </row>
    <row r="420" spans="1:34" x14ac:dyDescent="0.25">
      <c r="A420" s="6" t="s">
        <v>1426</v>
      </c>
      <c r="B420" s="6" t="s">
        <v>6509</v>
      </c>
      <c r="C420" s="6" t="s">
        <v>6510</v>
      </c>
      <c r="D420" s="6" t="s">
        <v>1428</v>
      </c>
      <c r="E420" s="6" t="s">
        <v>3136</v>
      </c>
      <c r="F420" s="6" t="s">
        <v>3283</v>
      </c>
      <c r="G420" s="6" t="s">
        <v>417</v>
      </c>
      <c r="H420" s="6" t="s">
        <v>91</v>
      </c>
      <c r="I420" s="6" t="s">
        <v>92</v>
      </c>
      <c r="J420" s="6" t="s">
        <v>6511</v>
      </c>
      <c r="K420" s="6" t="s">
        <v>3292</v>
      </c>
      <c r="L420" s="6" t="s">
        <v>3142</v>
      </c>
      <c r="M420" s="6" t="s">
        <v>3173</v>
      </c>
      <c r="N420" s="6" t="s">
        <v>3188</v>
      </c>
      <c r="O420" s="6" t="s">
        <v>75</v>
      </c>
      <c r="P420" s="6" t="s">
        <v>6512</v>
      </c>
      <c r="Q420" s="6" t="s">
        <v>6513</v>
      </c>
      <c r="R420" s="6" t="s">
        <v>6514</v>
      </c>
      <c r="S420" s="6" t="s">
        <v>21</v>
      </c>
      <c r="T420" s="6" t="s">
        <v>6515</v>
      </c>
      <c r="U420" s="6" t="s">
        <v>3141</v>
      </c>
      <c r="V420" s="6" t="s">
        <v>3697</v>
      </c>
      <c r="W420" s="6" t="s">
        <v>3729</v>
      </c>
      <c r="X420" s="6" t="s">
        <v>85</v>
      </c>
      <c r="Y420" s="6" t="s">
        <v>3292</v>
      </c>
      <c r="Z420" s="6" t="s">
        <v>78</v>
      </c>
      <c r="AA420" s="6" t="s">
        <v>3954</v>
      </c>
      <c r="AB420" s="6"/>
      <c r="AC420" s="6" t="s">
        <v>3141</v>
      </c>
      <c r="AD420" s="6" t="s">
        <v>3143</v>
      </c>
      <c r="AE420" s="6" t="s">
        <v>3279</v>
      </c>
      <c r="AF420" s="6"/>
      <c r="AG420" s="6" t="s">
        <v>6516</v>
      </c>
      <c r="AH420" s="6" t="s">
        <v>79</v>
      </c>
    </row>
    <row r="421" spans="1:34" x14ac:dyDescent="0.25">
      <c r="A421" s="6" t="s">
        <v>1429</v>
      </c>
      <c r="B421" s="6" t="s">
        <v>1430</v>
      </c>
      <c r="C421" s="6" t="s">
        <v>6517</v>
      </c>
      <c r="D421" s="6" t="s">
        <v>1431</v>
      </c>
      <c r="E421" s="6" t="s">
        <v>3760</v>
      </c>
      <c r="F421" s="6" t="s">
        <v>3137</v>
      </c>
      <c r="G421" s="6" t="s">
        <v>72</v>
      </c>
      <c r="H421" s="6" t="s">
        <v>103</v>
      </c>
      <c r="I421" s="6" t="s">
        <v>74</v>
      </c>
      <c r="J421" s="6"/>
      <c r="K421" s="6" t="s">
        <v>3159</v>
      </c>
      <c r="L421" s="6" t="s">
        <v>3243</v>
      </c>
      <c r="M421" s="6" t="s">
        <v>3141</v>
      </c>
      <c r="N421" s="6" t="s">
        <v>3196</v>
      </c>
      <c r="O421" s="6" t="s">
        <v>3141</v>
      </c>
      <c r="P421" s="6" t="s">
        <v>5211</v>
      </c>
      <c r="Q421" s="6" t="s">
        <v>6518</v>
      </c>
      <c r="R421" s="6" t="s">
        <v>6519</v>
      </c>
      <c r="S421" s="6" t="s">
        <v>22</v>
      </c>
      <c r="T421" s="6" t="s">
        <v>6520</v>
      </c>
      <c r="U421" s="6" t="s">
        <v>3292</v>
      </c>
      <c r="V421" s="6" t="s">
        <v>5741</v>
      </c>
      <c r="W421" s="6" t="s">
        <v>3415</v>
      </c>
      <c r="X421" s="6" t="s">
        <v>77</v>
      </c>
      <c r="Y421" s="6" t="s">
        <v>3140</v>
      </c>
      <c r="Z421" s="6" t="s">
        <v>93</v>
      </c>
      <c r="AA421" s="6" t="s">
        <v>3810</v>
      </c>
      <c r="AB421" s="6"/>
      <c r="AC421" s="6" t="s">
        <v>3159</v>
      </c>
      <c r="AD421" s="6" t="s">
        <v>3152</v>
      </c>
      <c r="AE421" s="6" t="s">
        <v>3210</v>
      </c>
      <c r="AF421" s="6" t="s">
        <v>6521</v>
      </c>
      <c r="AG421" s="6" t="s">
        <v>6522</v>
      </c>
      <c r="AH421" s="6" t="s">
        <v>79</v>
      </c>
    </row>
    <row r="422" spans="1:34" x14ac:dyDescent="0.25">
      <c r="A422" s="6" t="s">
        <v>1432</v>
      </c>
      <c r="B422" s="6" t="s">
        <v>887</v>
      </c>
      <c r="C422" s="6" t="s">
        <v>1433</v>
      </c>
      <c r="D422" s="6" t="s">
        <v>6523</v>
      </c>
      <c r="E422" s="6" t="s">
        <v>3309</v>
      </c>
      <c r="F422" s="6" t="s">
        <v>3137</v>
      </c>
      <c r="G422" s="6" t="s">
        <v>106</v>
      </c>
      <c r="H422" s="6" t="s">
        <v>107</v>
      </c>
      <c r="I422" s="6" t="s">
        <v>92</v>
      </c>
      <c r="J422" s="6" t="s">
        <v>6524</v>
      </c>
      <c r="K422" s="6" t="s">
        <v>3159</v>
      </c>
      <c r="L422" s="6" t="s">
        <v>3159</v>
      </c>
      <c r="M422" s="6" t="s">
        <v>3143</v>
      </c>
      <c r="N422" s="6" t="s">
        <v>3141</v>
      </c>
      <c r="O422" s="6" t="s">
        <v>3141</v>
      </c>
      <c r="P422" s="6" t="s">
        <v>6525</v>
      </c>
      <c r="Q422" s="6" t="s">
        <v>3217</v>
      </c>
      <c r="R422" s="6" t="s">
        <v>6526</v>
      </c>
      <c r="S422" s="6" t="s">
        <v>20</v>
      </c>
      <c r="T422" s="6" t="s">
        <v>6527</v>
      </c>
      <c r="U422" s="6" t="s">
        <v>3159</v>
      </c>
      <c r="V422" s="6" t="s">
        <v>6528</v>
      </c>
      <c r="W422" s="6" t="s">
        <v>3847</v>
      </c>
      <c r="X422" s="6" t="s">
        <v>85</v>
      </c>
      <c r="Y422" s="6" t="s">
        <v>3159</v>
      </c>
      <c r="Z422" s="6" t="s">
        <v>93</v>
      </c>
      <c r="AA422" s="6" t="s">
        <v>4981</v>
      </c>
      <c r="AB422" s="6"/>
      <c r="AC422" s="6" t="s">
        <v>3141</v>
      </c>
      <c r="AD422" s="6" t="s">
        <v>3143</v>
      </c>
      <c r="AE422" s="6" t="s">
        <v>3136</v>
      </c>
      <c r="AF422" s="6"/>
      <c r="AG422" s="6" t="s">
        <v>6529</v>
      </c>
      <c r="AH422" s="6" t="s">
        <v>79</v>
      </c>
    </row>
    <row r="423" spans="1:34" x14ac:dyDescent="0.25">
      <c r="A423" s="6" t="s">
        <v>1435</v>
      </c>
      <c r="B423" s="6" t="s">
        <v>1436</v>
      </c>
      <c r="C423" s="6" t="s">
        <v>6530</v>
      </c>
      <c r="D423" s="6" t="s">
        <v>1437</v>
      </c>
      <c r="E423" s="6" t="s">
        <v>3323</v>
      </c>
      <c r="F423" s="6" t="s">
        <v>3201</v>
      </c>
      <c r="G423" s="6" t="s">
        <v>106</v>
      </c>
      <c r="H423" s="6" t="s">
        <v>73</v>
      </c>
      <c r="I423" s="6" t="s">
        <v>74</v>
      </c>
      <c r="J423" s="6"/>
      <c r="K423" s="6" t="s">
        <v>3141</v>
      </c>
      <c r="L423" s="6" t="s">
        <v>3243</v>
      </c>
      <c r="M423" s="6" t="s">
        <v>3143</v>
      </c>
      <c r="N423" s="6" t="s">
        <v>3152</v>
      </c>
      <c r="O423" s="6" t="s">
        <v>3160</v>
      </c>
      <c r="P423" s="6" t="s">
        <v>6531</v>
      </c>
      <c r="Q423" s="6" t="s">
        <v>6532</v>
      </c>
      <c r="R423" s="6" t="s">
        <v>6533</v>
      </c>
      <c r="S423" s="6" t="s">
        <v>21</v>
      </c>
      <c r="T423" s="6" t="s">
        <v>6534</v>
      </c>
      <c r="U423" s="6" t="s">
        <v>3141</v>
      </c>
      <c r="V423" s="6" t="s">
        <v>6068</v>
      </c>
      <c r="W423" s="6" t="s">
        <v>3673</v>
      </c>
      <c r="X423" s="6" t="s">
        <v>85</v>
      </c>
      <c r="Y423" s="6" t="s">
        <v>3141</v>
      </c>
      <c r="Z423" s="6" t="s">
        <v>194</v>
      </c>
      <c r="AA423" s="6" t="s">
        <v>5273</v>
      </c>
      <c r="AB423" s="6"/>
      <c r="AC423" s="6" t="s">
        <v>3141</v>
      </c>
      <c r="AD423" s="6" t="s">
        <v>3243</v>
      </c>
      <c r="AE423" s="6" t="s">
        <v>3279</v>
      </c>
      <c r="AF423" s="6"/>
      <c r="AG423" s="6" t="s">
        <v>6535</v>
      </c>
      <c r="AH423" s="6" t="s">
        <v>79</v>
      </c>
    </row>
    <row r="424" spans="1:34" x14ac:dyDescent="0.25">
      <c r="A424" s="6" t="s">
        <v>1438</v>
      </c>
      <c r="B424" s="6" t="s">
        <v>1439</v>
      </c>
      <c r="C424" s="6" t="s">
        <v>1440</v>
      </c>
      <c r="D424" s="6" t="s">
        <v>1441</v>
      </c>
      <c r="E424" s="6" t="s">
        <v>3279</v>
      </c>
      <c r="F424" s="6" t="s">
        <v>3369</v>
      </c>
      <c r="G424" s="6" t="s">
        <v>115</v>
      </c>
      <c r="H424" s="6" t="s">
        <v>73</v>
      </c>
      <c r="I424" s="6" t="s">
        <v>74</v>
      </c>
      <c r="J424" s="6" t="s">
        <v>6536</v>
      </c>
      <c r="K424" s="6" t="s">
        <v>3140</v>
      </c>
      <c r="L424" s="6" t="s">
        <v>3159</v>
      </c>
      <c r="M424" s="6" t="s">
        <v>3196</v>
      </c>
      <c r="N424" s="6" t="s">
        <v>3143</v>
      </c>
      <c r="O424" s="6" t="s">
        <v>3243</v>
      </c>
      <c r="P424" s="6" t="s">
        <v>6537</v>
      </c>
      <c r="Q424" s="6" t="s">
        <v>6538</v>
      </c>
      <c r="R424" s="6" t="s">
        <v>6539</v>
      </c>
      <c r="S424" s="6" t="s">
        <v>20</v>
      </c>
      <c r="T424" s="6"/>
      <c r="U424" s="6" t="s">
        <v>3141</v>
      </c>
      <c r="V424" s="6" t="s">
        <v>6540</v>
      </c>
      <c r="W424" s="6" t="s">
        <v>3976</v>
      </c>
      <c r="X424" s="6" t="s">
        <v>85</v>
      </c>
      <c r="Y424" s="6" t="s">
        <v>3140</v>
      </c>
      <c r="Z424" s="6" t="s">
        <v>78</v>
      </c>
      <c r="AA424" s="6" t="s">
        <v>3195</v>
      </c>
      <c r="AB424" s="6"/>
      <c r="AC424" s="6" t="s">
        <v>3141</v>
      </c>
      <c r="AD424" s="6" t="s">
        <v>3160</v>
      </c>
      <c r="AE424" s="6" t="s">
        <v>3235</v>
      </c>
      <c r="AF424" s="6"/>
      <c r="AG424" s="6" t="s">
        <v>4236</v>
      </c>
      <c r="AH424" s="6" t="s">
        <v>79</v>
      </c>
    </row>
    <row r="425" spans="1:34" x14ac:dyDescent="0.25">
      <c r="A425" s="6" t="s">
        <v>1442</v>
      </c>
      <c r="B425" s="6" t="s">
        <v>1443</v>
      </c>
      <c r="C425" s="6" t="s">
        <v>6541</v>
      </c>
      <c r="D425" s="6" t="s">
        <v>6542</v>
      </c>
      <c r="E425" s="6" t="s">
        <v>4155</v>
      </c>
      <c r="F425" s="6" t="s">
        <v>3201</v>
      </c>
      <c r="G425" s="6" t="s">
        <v>115</v>
      </c>
      <c r="H425" s="6" t="s">
        <v>132</v>
      </c>
      <c r="I425" s="6" t="s">
        <v>92</v>
      </c>
      <c r="J425" s="6"/>
      <c r="K425" s="6" t="s">
        <v>3140</v>
      </c>
      <c r="L425" s="6" t="s">
        <v>75</v>
      </c>
      <c r="M425" s="6" t="s">
        <v>3173</v>
      </c>
      <c r="N425" s="6" t="s">
        <v>3152</v>
      </c>
      <c r="O425" s="6" t="s">
        <v>3173</v>
      </c>
      <c r="P425" s="6" t="s">
        <v>3981</v>
      </c>
      <c r="Q425" s="6" t="s">
        <v>6543</v>
      </c>
      <c r="R425" s="6" t="s">
        <v>6544</v>
      </c>
      <c r="S425" s="6" t="s">
        <v>21</v>
      </c>
      <c r="T425" s="6" t="s">
        <v>6545</v>
      </c>
      <c r="U425" s="6" t="s">
        <v>3141</v>
      </c>
      <c r="V425" s="6" t="s">
        <v>5373</v>
      </c>
      <c r="W425" s="6" t="s">
        <v>3683</v>
      </c>
      <c r="X425" s="6" t="s">
        <v>85</v>
      </c>
      <c r="Y425" s="6" t="s">
        <v>3140</v>
      </c>
      <c r="Z425" s="6" t="s">
        <v>194</v>
      </c>
      <c r="AA425" s="6" t="s">
        <v>3621</v>
      </c>
      <c r="AB425" s="6"/>
      <c r="AC425" s="6" t="s">
        <v>3141</v>
      </c>
      <c r="AD425" s="6" t="s">
        <v>3152</v>
      </c>
      <c r="AE425" s="6" t="s">
        <v>3136</v>
      </c>
      <c r="AF425" s="6"/>
      <c r="AG425" s="6" t="s">
        <v>6546</v>
      </c>
      <c r="AH425" s="6" t="s">
        <v>79</v>
      </c>
    </row>
    <row r="426" spans="1:34" x14ac:dyDescent="0.25">
      <c r="A426" s="6" t="s">
        <v>1445</v>
      </c>
      <c r="B426" s="6" t="s">
        <v>117</v>
      </c>
      <c r="C426" s="6" t="s">
        <v>6547</v>
      </c>
      <c r="D426" s="6"/>
      <c r="E426" s="6" t="s">
        <v>3200</v>
      </c>
      <c r="F426" s="6" t="s">
        <v>3283</v>
      </c>
      <c r="G426" s="6" t="s">
        <v>226</v>
      </c>
      <c r="H426" s="6" t="s">
        <v>107</v>
      </c>
      <c r="I426" s="6" t="s">
        <v>92</v>
      </c>
      <c r="J426" s="6"/>
      <c r="K426" s="6" t="s">
        <v>3159</v>
      </c>
      <c r="L426" s="6" t="s">
        <v>3143</v>
      </c>
      <c r="M426" s="6" t="s">
        <v>3243</v>
      </c>
      <c r="N426" s="6" t="s">
        <v>3141</v>
      </c>
      <c r="O426" s="6" t="s">
        <v>3188</v>
      </c>
      <c r="P426" s="6" t="s">
        <v>6213</v>
      </c>
      <c r="Q426" s="6"/>
      <c r="R426" s="6" t="s">
        <v>6548</v>
      </c>
      <c r="S426" s="6" t="s">
        <v>23</v>
      </c>
      <c r="T426" s="6" t="s">
        <v>6549</v>
      </c>
      <c r="U426" s="6" t="s">
        <v>3292</v>
      </c>
      <c r="V426" s="6" t="s">
        <v>3965</v>
      </c>
      <c r="W426" s="6" t="s">
        <v>3976</v>
      </c>
      <c r="X426" s="6" t="s">
        <v>161</v>
      </c>
      <c r="Y426" s="6" t="s">
        <v>3159</v>
      </c>
      <c r="Z426" s="6" t="s">
        <v>3343</v>
      </c>
      <c r="AA426" s="6" t="s">
        <v>4440</v>
      </c>
      <c r="AB426" s="6"/>
      <c r="AC426" s="6" t="s">
        <v>3159</v>
      </c>
      <c r="AD426" s="6" t="s">
        <v>3152</v>
      </c>
      <c r="AE426" s="6" t="s">
        <v>3513</v>
      </c>
      <c r="AF426" s="6" t="s">
        <v>6550</v>
      </c>
      <c r="AG426" s="6" t="s">
        <v>6551</v>
      </c>
      <c r="AH426" s="6" t="s">
        <v>3334</v>
      </c>
    </row>
    <row r="427" spans="1:34" x14ac:dyDescent="0.25">
      <c r="A427" s="6" t="s">
        <v>1446</v>
      </c>
      <c r="B427" s="6" t="s">
        <v>1443</v>
      </c>
      <c r="C427" s="6"/>
      <c r="D427" s="6" t="s">
        <v>6552</v>
      </c>
      <c r="E427" s="6" t="s">
        <v>4828</v>
      </c>
      <c r="F427" s="6" t="s">
        <v>3358</v>
      </c>
      <c r="G427" s="6" t="s">
        <v>143</v>
      </c>
      <c r="H427" s="6" t="s">
        <v>103</v>
      </c>
      <c r="I427" s="6" t="s">
        <v>74</v>
      </c>
      <c r="J427" s="6" t="s">
        <v>6553</v>
      </c>
      <c r="K427" s="6" t="s">
        <v>3140</v>
      </c>
      <c r="L427" s="6" t="s">
        <v>3188</v>
      </c>
      <c r="M427" s="6" t="s">
        <v>3188</v>
      </c>
      <c r="N427" s="6" t="s">
        <v>3143</v>
      </c>
      <c r="O427" s="6" t="s">
        <v>3160</v>
      </c>
      <c r="P427" s="6" t="s">
        <v>6554</v>
      </c>
      <c r="Q427" s="6"/>
      <c r="R427" s="6" t="s">
        <v>6555</v>
      </c>
      <c r="S427" s="6" t="s">
        <v>20</v>
      </c>
      <c r="T427" s="6" t="s">
        <v>6556</v>
      </c>
      <c r="U427" s="6" t="s">
        <v>3141</v>
      </c>
      <c r="V427" s="6" t="s">
        <v>6557</v>
      </c>
      <c r="W427" s="6" t="s">
        <v>3316</v>
      </c>
      <c r="X427" s="6" t="s">
        <v>85</v>
      </c>
      <c r="Y427" s="6" t="s">
        <v>3192</v>
      </c>
      <c r="Z427" s="6" t="s">
        <v>93</v>
      </c>
      <c r="AA427" s="6" t="s">
        <v>6558</v>
      </c>
      <c r="AB427" s="6"/>
      <c r="AC427" s="6" t="s">
        <v>3141</v>
      </c>
      <c r="AD427" s="6" t="s">
        <v>3143</v>
      </c>
      <c r="AE427" s="6" t="s">
        <v>3293</v>
      </c>
      <c r="AF427" s="6"/>
      <c r="AG427" s="6" t="s">
        <v>5468</v>
      </c>
      <c r="AH427" s="6" t="s">
        <v>79</v>
      </c>
    </row>
    <row r="428" spans="1:34" x14ac:dyDescent="0.25">
      <c r="A428" s="6" t="s">
        <v>1448</v>
      </c>
      <c r="B428" s="6" t="s">
        <v>1449</v>
      </c>
      <c r="C428" s="6" t="s">
        <v>1450</v>
      </c>
      <c r="D428" s="6" t="s">
        <v>6559</v>
      </c>
      <c r="E428" s="6" t="s">
        <v>3309</v>
      </c>
      <c r="F428" s="6" t="s">
        <v>3201</v>
      </c>
      <c r="G428" s="6" t="s">
        <v>90</v>
      </c>
      <c r="H428" s="6" t="s">
        <v>5131</v>
      </c>
      <c r="I428" s="6" t="s">
        <v>92</v>
      </c>
      <c r="J428" s="6" t="s">
        <v>6560</v>
      </c>
      <c r="K428" s="6" t="s">
        <v>3140</v>
      </c>
      <c r="L428" s="6" t="s">
        <v>3142</v>
      </c>
      <c r="M428" s="6" t="s">
        <v>3160</v>
      </c>
      <c r="N428" s="6" t="s">
        <v>3159</v>
      </c>
      <c r="O428" s="6" t="s">
        <v>3143</v>
      </c>
      <c r="P428" s="6" t="s">
        <v>3553</v>
      </c>
      <c r="Q428" s="6"/>
      <c r="R428" s="6" t="s">
        <v>6561</v>
      </c>
      <c r="S428" s="6" t="s">
        <v>23</v>
      </c>
      <c r="T428" s="6" t="s">
        <v>3217</v>
      </c>
      <c r="U428" s="6" t="s">
        <v>3159</v>
      </c>
      <c r="V428" s="6" t="s">
        <v>6562</v>
      </c>
      <c r="W428" s="6" t="s">
        <v>3181</v>
      </c>
      <c r="X428" s="6" t="s">
        <v>77</v>
      </c>
      <c r="Y428" s="6" t="s">
        <v>3141</v>
      </c>
      <c r="Z428" s="6" t="s">
        <v>78</v>
      </c>
      <c r="AA428" s="6" t="s">
        <v>4568</v>
      </c>
      <c r="AB428" s="6" t="s">
        <v>6563</v>
      </c>
      <c r="AC428" s="6" t="s">
        <v>3141</v>
      </c>
      <c r="AD428" s="6" t="s">
        <v>3143</v>
      </c>
      <c r="AE428" s="6" t="s">
        <v>3331</v>
      </c>
      <c r="AF428" s="6" t="s">
        <v>6564</v>
      </c>
      <c r="AG428" s="6" t="s">
        <v>6565</v>
      </c>
      <c r="AH428" s="6" t="s">
        <v>79</v>
      </c>
    </row>
    <row r="429" spans="1:34" x14ac:dyDescent="0.25">
      <c r="A429" s="6" t="s">
        <v>1452</v>
      </c>
      <c r="B429" s="6" t="s">
        <v>1453</v>
      </c>
      <c r="C429" s="6" t="s">
        <v>1454</v>
      </c>
      <c r="D429" s="6" t="s">
        <v>6566</v>
      </c>
      <c r="E429" s="6" t="s">
        <v>4358</v>
      </c>
      <c r="F429" s="6" t="s">
        <v>3137</v>
      </c>
      <c r="G429" s="6" t="s">
        <v>131</v>
      </c>
      <c r="H429" s="6" t="s">
        <v>103</v>
      </c>
      <c r="I429" s="6" t="s">
        <v>74</v>
      </c>
      <c r="J429" s="6" t="s">
        <v>6567</v>
      </c>
      <c r="K429" s="6" t="s">
        <v>3141</v>
      </c>
      <c r="L429" s="6" t="s">
        <v>3160</v>
      </c>
      <c r="M429" s="6" t="s">
        <v>3141</v>
      </c>
      <c r="N429" s="6" t="s">
        <v>3143</v>
      </c>
      <c r="O429" s="6" t="s">
        <v>3152</v>
      </c>
      <c r="P429" s="6" t="s">
        <v>4754</v>
      </c>
      <c r="Q429" s="6" t="s">
        <v>3217</v>
      </c>
      <c r="R429" s="6" t="s">
        <v>6568</v>
      </c>
      <c r="S429" s="6" t="s">
        <v>21</v>
      </c>
      <c r="T429" s="6"/>
      <c r="U429" s="6" t="s">
        <v>3140</v>
      </c>
      <c r="V429" s="6" t="s">
        <v>6569</v>
      </c>
      <c r="W429" s="6" t="s">
        <v>3330</v>
      </c>
      <c r="X429" s="6" t="s">
        <v>85</v>
      </c>
      <c r="Y429" s="6" t="s">
        <v>3292</v>
      </c>
      <c r="Z429" s="6" t="s">
        <v>93</v>
      </c>
      <c r="AA429" s="6" t="s">
        <v>4067</v>
      </c>
      <c r="AB429" s="6"/>
      <c r="AC429" s="6" t="s">
        <v>3159</v>
      </c>
      <c r="AD429" s="6" t="s">
        <v>3141</v>
      </c>
      <c r="AE429" s="6" t="s">
        <v>3293</v>
      </c>
      <c r="AF429" s="6"/>
      <c r="AG429" s="6" t="s">
        <v>6570</v>
      </c>
      <c r="AH429" s="6" t="s">
        <v>79</v>
      </c>
    </row>
    <row r="430" spans="1:34" x14ac:dyDescent="0.25">
      <c r="A430" s="6" t="s">
        <v>1456</v>
      </c>
      <c r="B430" s="6" t="s">
        <v>1457</v>
      </c>
      <c r="C430" s="6" t="s">
        <v>1458</v>
      </c>
      <c r="D430" s="6" t="s">
        <v>6571</v>
      </c>
      <c r="E430" s="6" t="s">
        <v>4190</v>
      </c>
      <c r="F430" s="6" t="s">
        <v>3137</v>
      </c>
      <c r="G430" s="6" t="s">
        <v>153</v>
      </c>
      <c r="H430" s="6" t="s">
        <v>166</v>
      </c>
      <c r="I430" s="6" t="s">
        <v>74</v>
      </c>
      <c r="J430" s="6" t="s">
        <v>3217</v>
      </c>
      <c r="K430" s="6" t="s">
        <v>3292</v>
      </c>
      <c r="L430" s="6" t="s">
        <v>3159</v>
      </c>
      <c r="M430" s="6" t="s">
        <v>3141</v>
      </c>
      <c r="N430" s="6" t="s">
        <v>3188</v>
      </c>
      <c r="O430" s="6" t="s">
        <v>3142</v>
      </c>
      <c r="P430" s="6" t="s">
        <v>6292</v>
      </c>
      <c r="Q430" s="6" t="s">
        <v>6572</v>
      </c>
      <c r="R430" s="6" t="s">
        <v>6573</v>
      </c>
      <c r="S430" s="6" t="s">
        <v>20</v>
      </c>
      <c r="T430" s="6" t="s">
        <v>6574</v>
      </c>
      <c r="U430" s="6" t="s">
        <v>3159</v>
      </c>
      <c r="V430" s="6" t="s">
        <v>6178</v>
      </c>
      <c r="W430" s="6" t="s">
        <v>3728</v>
      </c>
      <c r="X430" s="6" t="s">
        <v>161</v>
      </c>
      <c r="Y430" s="6" t="s">
        <v>3140</v>
      </c>
      <c r="Z430" s="6" t="s">
        <v>93</v>
      </c>
      <c r="AA430" s="6" t="s">
        <v>4441</v>
      </c>
      <c r="AB430" s="6" t="s">
        <v>6575</v>
      </c>
      <c r="AC430" s="6" t="s">
        <v>3141</v>
      </c>
      <c r="AD430" s="6" t="s">
        <v>3152</v>
      </c>
      <c r="AE430" s="6" t="s">
        <v>3136</v>
      </c>
      <c r="AF430" s="6"/>
      <c r="AG430" s="6" t="s">
        <v>6576</v>
      </c>
      <c r="AH430" s="6" t="s">
        <v>94</v>
      </c>
    </row>
    <row r="431" spans="1:34" x14ac:dyDescent="0.25">
      <c r="A431" s="6" t="s">
        <v>1460</v>
      </c>
      <c r="B431" s="6" t="s">
        <v>1461</v>
      </c>
      <c r="C431" s="6" t="s">
        <v>6577</v>
      </c>
      <c r="D431" s="6" t="s">
        <v>1462</v>
      </c>
      <c r="E431" s="6" t="s">
        <v>3786</v>
      </c>
      <c r="F431" s="6" t="s">
        <v>3201</v>
      </c>
      <c r="G431" s="6" t="s">
        <v>115</v>
      </c>
      <c r="H431" s="6" t="s">
        <v>107</v>
      </c>
      <c r="I431" s="6" t="s">
        <v>92</v>
      </c>
      <c r="J431" s="6" t="s">
        <v>6578</v>
      </c>
      <c r="K431" s="6" t="s">
        <v>3292</v>
      </c>
      <c r="L431" s="6" t="s">
        <v>3173</v>
      </c>
      <c r="M431" s="6" t="s">
        <v>3196</v>
      </c>
      <c r="N431" s="6" t="s">
        <v>3160</v>
      </c>
      <c r="O431" s="6" t="s">
        <v>3159</v>
      </c>
      <c r="P431" s="6" t="s">
        <v>6579</v>
      </c>
      <c r="Q431" s="6" t="s">
        <v>6580</v>
      </c>
      <c r="R431" s="6" t="s">
        <v>6581</v>
      </c>
      <c r="S431" s="6" t="s">
        <v>22</v>
      </c>
      <c r="T431" s="6" t="s">
        <v>6582</v>
      </c>
      <c r="U431" s="6" t="s">
        <v>3140</v>
      </c>
      <c r="V431" s="6" t="s">
        <v>3839</v>
      </c>
      <c r="W431" s="6" t="s">
        <v>3194</v>
      </c>
      <c r="X431" s="6" t="s">
        <v>77</v>
      </c>
      <c r="Y431" s="6" t="s">
        <v>3140</v>
      </c>
      <c r="Z431" s="6" t="s">
        <v>194</v>
      </c>
      <c r="AA431" s="6" t="s">
        <v>3232</v>
      </c>
      <c r="AB431" s="6"/>
      <c r="AC431" s="6" t="s">
        <v>3141</v>
      </c>
      <c r="AD431" s="6" t="s">
        <v>3160</v>
      </c>
      <c r="AE431" s="6" t="s">
        <v>3136</v>
      </c>
      <c r="AF431" s="6" t="s">
        <v>6583</v>
      </c>
      <c r="AG431" s="6" t="s">
        <v>5351</v>
      </c>
      <c r="AH431" s="6" t="s">
        <v>94</v>
      </c>
    </row>
    <row r="432" spans="1:34" x14ac:dyDescent="0.25">
      <c r="A432" s="6" t="s">
        <v>1463</v>
      </c>
      <c r="B432" s="6" t="s">
        <v>1464</v>
      </c>
      <c r="C432" s="6" t="s">
        <v>6584</v>
      </c>
      <c r="D432" s="6"/>
      <c r="E432" s="6" t="s">
        <v>4828</v>
      </c>
      <c r="F432" s="6" t="s">
        <v>3227</v>
      </c>
      <c r="G432" s="6" t="s">
        <v>6585</v>
      </c>
      <c r="H432" s="6" t="s">
        <v>84</v>
      </c>
      <c r="I432" s="6" t="s">
        <v>74</v>
      </c>
      <c r="J432" s="6" t="s">
        <v>6586</v>
      </c>
      <c r="K432" s="6" t="s">
        <v>3292</v>
      </c>
      <c r="L432" s="6" t="s">
        <v>76</v>
      </c>
      <c r="M432" s="6" t="s">
        <v>3196</v>
      </c>
      <c r="N432" s="6" t="s">
        <v>3142</v>
      </c>
      <c r="O432" s="6" t="s">
        <v>3143</v>
      </c>
      <c r="P432" s="6" t="s">
        <v>6512</v>
      </c>
      <c r="Q432" s="6" t="s">
        <v>6587</v>
      </c>
      <c r="R432" s="6" t="s">
        <v>6588</v>
      </c>
      <c r="S432" s="6" t="s">
        <v>20</v>
      </c>
      <c r="T432" s="6" t="s">
        <v>6589</v>
      </c>
      <c r="U432" s="6" t="s">
        <v>3141</v>
      </c>
      <c r="V432" s="6" t="s">
        <v>6590</v>
      </c>
      <c r="W432" s="6" t="s">
        <v>3873</v>
      </c>
      <c r="X432" s="6" t="s">
        <v>85</v>
      </c>
      <c r="Y432" s="6" t="s">
        <v>3192</v>
      </c>
      <c r="Z432" s="6" t="s">
        <v>78</v>
      </c>
      <c r="AA432" s="6" t="s">
        <v>6591</v>
      </c>
      <c r="AB432" s="6"/>
      <c r="AC432" s="6" t="s">
        <v>3141</v>
      </c>
      <c r="AD432" s="6" t="s">
        <v>3160</v>
      </c>
      <c r="AE432" s="6" t="s">
        <v>3169</v>
      </c>
      <c r="AF432" s="6"/>
      <c r="AG432" s="6"/>
      <c r="AH432" s="6" t="s">
        <v>79</v>
      </c>
    </row>
    <row r="433" spans="1:34" x14ac:dyDescent="0.25">
      <c r="A433" s="6" t="s">
        <v>1465</v>
      </c>
      <c r="B433" s="6" t="s">
        <v>1466</v>
      </c>
      <c r="C433" s="6" t="s">
        <v>1467</v>
      </c>
      <c r="D433" s="6" t="s">
        <v>1468</v>
      </c>
      <c r="E433" s="6" t="s">
        <v>3843</v>
      </c>
      <c r="F433" s="6" t="s">
        <v>3227</v>
      </c>
      <c r="G433" s="6" t="s">
        <v>127</v>
      </c>
      <c r="H433" s="6" t="s">
        <v>166</v>
      </c>
      <c r="I433" s="6" t="s">
        <v>74</v>
      </c>
      <c r="J433" s="6" t="s">
        <v>6592</v>
      </c>
      <c r="K433" s="6" t="s">
        <v>3140</v>
      </c>
      <c r="L433" s="6" t="s">
        <v>3160</v>
      </c>
      <c r="M433" s="6" t="s">
        <v>3173</v>
      </c>
      <c r="N433" s="6" t="s">
        <v>3142</v>
      </c>
      <c r="O433" s="6" t="s">
        <v>3152</v>
      </c>
      <c r="P433" s="6" t="s">
        <v>4157</v>
      </c>
      <c r="Q433" s="6" t="s">
        <v>6593</v>
      </c>
      <c r="R433" s="6" t="s">
        <v>6594</v>
      </c>
      <c r="S433" s="6" t="s">
        <v>23</v>
      </c>
      <c r="T433" s="6" t="s">
        <v>6595</v>
      </c>
      <c r="U433" s="6" t="s">
        <v>3159</v>
      </c>
      <c r="V433" s="6" t="s">
        <v>5011</v>
      </c>
      <c r="W433" s="6" t="s">
        <v>3802</v>
      </c>
      <c r="X433" s="6" t="s">
        <v>85</v>
      </c>
      <c r="Y433" s="6" t="s">
        <v>3140</v>
      </c>
      <c r="Z433" s="6" t="s">
        <v>93</v>
      </c>
      <c r="AA433" s="6" t="s">
        <v>3195</v>
      </c>
      <c r="AB433" s="6"/>
      <c r="AC433" s="6" t="s">
        <v>3141</v>
      </c>
      <c r="AD433" s="6" t="s">
        <v>3173</v>
      </c>
      <c r="AE433" s="6" t="s">
        <v>3331</v>
      </c>
      <c r="AF433" s="6" t="s">
        <v>6596</v>
      </c>
      <c r="AG433" s="6" t="s">
        <v>6597</v>
      </c>
      <c r="AH433" s="6" t="s">
        <v>79</v>
      </c>
    </row>
    <row r="434" spans="1:34" x14ac:dyDescent="0.25">
      <c r="A434" s="6" t="s">
        <v>1469</v>
      </c>
      <c r="B434" s="6" t="s">
        <v>1470</v>
      </c>
      <c r="C434" s="6" t="s">
        <v>6598</v>
      </c>
      <c r="D434" s="6" t="s">
        <v>1471</v>
      </c>
      <c r="E434" s="6" t="s">
        <v>3420</v>
      </c>
      <c r="F434" s="6" t="s">
        <v>3201</v>
      </c>
      <c r="G434" s="6" t="s">
        <v>153</v>
      </c>
      <c r="H434" s="6" t="s">
        <v>84</v>
      </c>
      <c r="I434" s="6" t="s">
        <v>74</v>
      </c>
      <c r="J434" s="6" t="s">
        <v>6599</v>
      </c>
      <c r="K434" s="6" t="s">
        <v>3292</v>
      </c>
      <c r="L434" s="6" t="s">
        <v>3173</v>
      </c>
      <c r="M434" s="6" t="s">
        <v>3196</v>
      </c>
      <c r="N434" s="6" t="s">
        <v>75</v>
      </c>
      <c r="O434" s="6" t="s">
        <v>3173</v>
      </c>
      <c r="P434" s="6" t="s">
        <v>6600</v>
      </c>
      <c r="Q434" s="6" t="s">
        <v>6601</v>
      </c>
      <c r="R434" s="6" t="s">
        <v>6602</v>
      </c>
      <c r="S434" s="6" t="s">
        <v>21</v>
      </c>
      <c r="T434" s="6" t="s">
        <v>3217</v>
      </c>
      <c r="U434" s="6" t="s">
        <v>3141</v>
      </c>
      <c r="V434" s="6" t="s">
        <v>4272</v>
      </c>
      <c r="W434" s="6" t="s">
        <v>3416</v>
      </c>
      <c r="X434" s="6" t="s">
        <v>85</v>
      </c>
      <c r="Y434" s="6" t="s">
        <v>3292</v>
      </c>
      <c r="Z434" s="6" t="s">
        <v>93</v>
      </c>
      <c r="AA434" s="6" t="s">
        <v>5231</v>
      </c>
      <c r="AB434" s="6"/>
      <c r="AC434" s="6" t="s">
        <v>3141</v>
      </c>
      <c r="AD434" s="6" t="s">
        <v>3152</v>
      </c>
      <c r="AE434" s="6" t="s">
        <v>3279</v>
      </c>
      <c r="AF434" s="6"/>
      <c r="AG434" s="6" t="s">
        <v>6603</v>
      </c>
      <c r="AH434" s="6" t="s">
        <v>79</v>
      </c>
    </row>
    <row r="435" spans="1:34" x14ac:dyDescent="0.25">
      <c r="A435" s="6" t="s">
        <v>1472</v>
      </c>
      <c r="B435" s="6" t="s">
        <v>1473</v>
      </c>
      <c r="C435" s="6" t="s">
        <v>6604</v>
      </c>
      <c r="D435" s="6" t="s">
        <v>1474</v>
      </c>
      <c r="E435" s="6" t="s">
        <v>3432</v>
      </c>
      <c r="F435" s="6" t="s">
        <v>3283</v>
      </c>
      <c r="G435" s="6" t="s">
        <v>4604</v>
      </c>
      <c r="H435" s="6" t="s">
        <v>107</v>
      </c>
      <c r="I435" s="6" t="s">
        <v>92</v>
      </c>
      <c r="J435" s="6" t="s">
        <v>6605</v>
      </c>
      <c r="K435" s="6" t="s">
        <v>3159</v>
      </c>
      <c r="L435" s="6" t="s">
        <v>3188</v>
      </c>
      <c r="M435" s="6" t="s">
        <v>3152</v>
      </c>
      <c r="N435" s="6" t="s">
        <v>75</v>
      </c>
      <c r="O435" s="6" t="s">
        <v>3141</v>
      </c>
      <c r="P435" s="6" t="s">
        <v>6606</v>
      </c>
      <c r="Q435" s="6" t="s">
        <v>6607</v>
      </c>
      <c r="R435" s="6" t="s">
        <v>6608</v>
      </c>
      <c r="S435" s="6" t="s">
        <v>23</v>
      </c>
      <c r="T435" s="6" t="s">
        <v>6609</v>
      </c>
      <c r="U435" s="6" t="s">
        <v>3141</v>
      </c>
      <c r="V435" s="6" t="s">
        <v>6610</v>
      </c>
      <c r="W435" s="6" t="s">
        <v>3577</v>
      </c>
      <c r="X435" s="6" t="s">
        <v>77</v>
      </c>
      <c r="Y435" s="6" t="s">
        <v>3292</v>
      </c>
      <c r="Z435" s="6" t="s">
        <v>78</v>
      </c>
      <c r="AA435" s="6" t="s">
        <v>6455</v>
      </c>
      <c r="AB435" s="6" t="s">
        <v>6611</v>
      </c>
      <c r="AC435" s="6" t="s">
        <v>3159</v>
      </c>
      <c r="AD435" s="6" t="s">
        <v>3152</v>
      </c>
      <c r="AE435" s="6" t="s">
        <v>3318</v>
      </c>
      <c r="AF435" s="6" t="s">
        <v>6612</v>
      </c>
      <c r="AG435" s="6" t="s">
        <v>6613</v>
      </c>
      <c r="AH435" s="6" t="s">
        <v>79</v>
      </c>
    </row>
    <row r="436" spans="1:34" x14ac:dyDescent="0.25">
      <c r="A436" s="6" t="s">
        <v>1475</v>
      </c>
      <c r="B436" s="6" t="s">
        <v>357</v>
      </c>
      <c r="C436" s="6" t="s">
        <v>6614</v>
      </c>
      <c r="D436" s="6" t="s">
        <v>6615</v>
      </c>
      <c r="E436" s="6" t="s">
        <v>3570</v>
      </c>
      <c r="F436" s="6" t="s">
        <v>3214</v>
      </c>
      <c r="G436" s="6" t="s">
        <v>131</v>
      </c>
      <c r="H436" s="6" t="s">
        <v>132</v>
      </c>
      <c r="I436" s="6" t="s">
        <v>92</v>
      </c>
      <c r="J436" s="6" t="s">
        <v>6616</v>
      </c>
      <c r="K436" s="6" t="s">
        <v>3159</v>
      </c>
      <c r="L436" s="6" t="s">
        <v>3196</v>
      </c>
      <c r="M436" s="6" t="s">
        <v>3152</v>
      </c>
      <c r="N436" s="6" t="s">
        <v>3143</v>
      </c>
      <c r="O436" s="6" t="s">
        <v>3152</v>
      </c>
      <c r="P436" s="6" t="s">
        <v>6617</v>
      </c>
      <c r="Q436" s="6" t="s">
        <v>6618</v>
      </c>
      <c r="R436" s="6" t="s">
        <v>6619</v>
      </c>
      <c r="S436" s="6" t="s">
        <v>20</v>
      </c>
      <c r="T436" s="6" t="s">
        <v>6620</v>
      </c>
      <c r="U436" s="6" t="s">
        <v>3141</v>
      </c>
      <c r="V436" s="6" t="s">
        <v>6621</v>
      </c>
      <c r="W436" s="6" t="s">
        <v>3291</v>
      </c>
      <c r="X436" s="6" t="s">
        <v>77</v>
      </c>
      <c r="Y436" s="6" t="s">
        <v>3159</v>
      </c>
      <c r="Z436" s="6" t="s">
        <v>194</v>
      </c>
      <c r="AA436" s="6" t="s">
        <v>3405</v>
      </c>
      <c r="AB436" s="6" t="s">
        <v>6622</v>
      </c>
      <c r="AC436" s="6" t="s">
        <v>3140</v>
      </c>
      <c r="AD436" s="6" t="s">
        <v>75</v>
      </c>
      <c r="AE436" s="6" t="s">
        <v>3235</v>
      </c>
      <c r="AF436" s="6"/>
      <c r="AG436" s="6" t="s">
        <v>6623</v>
      </c>
      <c r="AH436" s="6" t="s">
        <v>3334</v>
      </c>
    </row>
    <row r="437" spans="1:34" x14ac:dyDescent="0.25">
      <c r="A437" s="6" t="s">
        <v>1477</v>
      </c>
      <c r="B437" s="6" t="s">
        <v>375</v>
      </c>
      <c r="C437" s="6"/>
      <c r="D437" s="6" t="s">
        <v>1478</v>
      </c>
      <c r="E437" s="6" t="s">
        <v>4358</v>
      </c>
      <c r="F437" s="6" t="s">
        <v>89</v>
      </c>
      <c r="G437" s="6" t="s">
        <v>139</v>
      </c>
      <c r="H437" s="6" t="s">
        <v>144</v>
      </c>
      <c r="I437" s="6" t="s">
        <v>92</v>
      </c>
      <c r="J437" s="6" t="s">
        <v>6624</v>
      </c>
      <c r="K437" s="6" t="s">
        <v>3159</v>
      </c>
      <c r="L437" s="6" t="s">
        <v>3141</v>
      </c>
      <c r="M437" s="6" t="s">
        <v>3173</v>
      </c>
      <c r="N437" s="6" t="s">
        <v>75</v>
      </c>
      <c r="O437" s="6" t="s">
        <v>3243</v>
      </c>
      <c r="P437" s="6" t="s">
        <v>5283</v>
      </c>
      <c r="Q437" s="6"/>
      <c r="R437" s="6" t="s">
        <v>6625</v>
      </c>
      <c r="S437" s="6" t="s">
        <v>3671</v>
      </c>
      <c r="T437" s="6" t="s">
        <v>6626</v>
      </c>
      <c r="U437" s="6" t="s">
        <v>4264</v>
      </c>
      <c r="V437" s="6" t="s">
        <v>6627</v>
      </c>
      <c r="W437" s="6" t="s">
        <v>6628</v>
      </c>
      <c r="X437" s="6" t="s">
        <v>161</v>
      </c>
      <c r="Y437" s="6" t="s">
        <v>3140</v>
      </c>
      <c r="Z437" s="6" t="s">
        <v>78</v>
      </c>
      <c r="AA437" s="6" t="s">
        <v>3439</v>
      </c>
      <c r="AB437" s="6"/>
      <c r="AC437" s="6" t="s">
        <v>3141</v>
      </c>
      <c r="AD437" s="6" t="s">
        <v>3141</v>
      </c>
      <c r="AE437" s="6" t="s">
        <v>3331</v>
      </c>
      <c r="AF437" s="6" t="s">
        <v>6629</v>
      </c>
      <c r="AG437" s="6" t="s">
        <v>6630</v>
      </c>
      <c r="AH437" s="6" t="s">
        <v>79</v>
      </c>
    </row>
    <row r="438" spans="1:34" x14ac:dyDescent="0.25">
      <c r="A438" s="6" t="s">
        <v>1479</v>
      </c>
      <c r="B438" s="6" t="s">
        <v>1061</v>
      </c>
      <c r="C438" s="6" t="s">
        <v>6631</v>
      </c>
      <c r="D438" s="6"/>
      <c r="E438" s="6" t="s">
        <v>4155</v>
      </c>
      <c r="F438" s="6" t="s">
        <v>3214</v>
      </c>
      <c r="G438" s="6" t="s">
        <v>127</v>
      </c>
      <c r="H438" s="6" t="s">
        <v>107</v>
      </c>
      <c r="I438" s="6" t="s">
        <v>92</v>
      </c>
      <c r="J438" s="6"/>
      <c r="K438" s="6" t="s">
        <v>3159</v>
      </c>
      <c r="L438" s="6" t="s">
        <v>3152</v>
      </c>
      <c r="M438" s="6" t="s">
        <v>3143</v>
      </c>
      <c r="N438" s="6" t="s">
        <v>3160</v>
      </c>
      <c r="O438" s="6" t="s">
        <v>76</v>
      </c>
      <c r="P438" s="6" t="s">
        <v>6632</v>
      </c>
      <c r="Q438" s="6" t="s">
        <v>6633</v>
      </c>
      <c r="R438" s="6" t="s">
        <v>6634</v>
      </c>
      <c r="S438" s="6" t="s">
        <v>23</v>
      </c>
      <c r="T438" s="6" t="s">
        <v>6635</v>
      </c>
      <c r="U438" s="6" t="s">
        <v>3141</v>
      </c>
      <c r="V438" s="6" t="s">
        <v>6636</v>
      </c>
      <c r="W438" s="6" t="s">
        <v>3755</v>
      </c>
      <c r="X438" s="6" t="s">
        <v>85</v>
      </c>
      <c r="Y438" s="6" t="s">
        <v>3140</v>
      </c>
      <c r="Z438" s="6" t="s">
        <v>78</v>
      </c>
      <c r="AA438" s="6" t="s">
        <v>3830</v>
      </c>
      <c r="AB438" s="6"/>
      <c r="AC438" s="6" t="s">
        <v>3141</v>
      </c>
      <c r="AD438" s="6" t="s">
        <v>76</v>
      </c>
      <c r="AE438" s="6" t="s">
        <v>3331</v>
      </c>
      <c r="AF438" s="6" t="s">
        <v>6637</v>
      </c>
      <c r="AG438" s="6" t="s">
        <v>6638</v>
      </c>
      <c r="AH438" s="6" t="s">
        <v>79</v>
      </c>
    </row>
    <row r="439" spans="1:34" x14ac:dyDescent="0.25">
      <c r="A439" s="6" t="s">
        <v>1480</v>
      </c>
      <c r="B439" s="6" t="s">
        <v>1481</v>
      </c>
      <c r="C439" s="6" t="s">
        <v>6639</v>
      </c>
      <c r="D439" s="6"/>
      <c r="E439" s="6" t="s">
        <v>3282</v>
      </c>
      <c r="F439" s="6" t="s">
        <v>3201</v>
      </c>
      <c r="G439" s="6" t="s">
        <v>3712</v>
      </c>
      <c r="H439" s="6" t="s">
        <v>3834</v>
      </c>
      <c r="I439" s="6" t="s">
        <v>74</v>
      </c>
      <c r="J439" s="6" t="s">
        <v>3217</v>
      </c>
      <c r="K439" s="6" t="s">
        <v>3140</v>
      </c>
      <c r="L439" s="6" t="s">
        <v>76</v>
      </c>
      <c r="M439" s="6" t="s">
        <v>3159</v>
      </c>
      <c r="N439" s="6" t="s">
        <v>3141</v>
      </c>
      <c r="O439" s="6" t="s">
        <v>3141</v>
      </c>
      <c r="P439" s="6"/>
      <c r="Q439" s="6" t="s">
        <v>6640</v>
      </c>
      <c r="R439" s="6" t="s">
        <v>6641</v>
      </c>
      <c r="S439" s="6" t="s">
        <v>23</v>
      </c>
      <c r="T439" s="6" t="s">
        <v>3217</v>
      </c>
      <c r="U439" s="6" t="s">
        <v>3141</v>
      </c>
      <c r="V439" s="6" t="s">
        <v>6642</v>
      </c>
      <c r="W439" s="6" t="s">
        <v>4126</v>
      </c>
      <c r="X439" s="6" t="s">
        <v>161</v>
      </c>
      <c r="Y439" s="6" t="s">
        <v>3140</v>
      </c>
      <c r="Z439" s="6" t="s">
        <v>93</v>
      </c>
      <c r="AA439" s="6" t="s">
        <v>3683</v>
      </c>
      <c r="AB439" s="6"/>
      <c r="AC439" s="6" t="s">
        <v>3140</v>
      </c>
      <c r="AD439" s="6" t="s">
        <v>3160</v>
      </c>
      <c r="AE439" s="6" t="s">
        <v>3513</v>
      </c>
      <c r="AF439" s="6" t="s">
        <v>6643</v>
      </c>
      <c r="AG439" s="6" t="s">
        <v>4898</v>
      </c>
      <c r="AH439" s="6" t="s">
        <v>3334</v>
      </c>
    </row>
    <row r="440" spans="1:34" x14ac:dyDescent="0.25">
      <c r="A440" s="6" t="s">
        <v>1482</v>
      </c>
      <c r="B440" s="6" t="s">
        <v>1483</v>
      </c>
      <c r="C440" s="6" t="s">
        <v>6644</v>
      </c>
      <c r="D440" s="6" t="s">
        <v>1484</v>
      </c>
      <c r="E440" s="6" t="s">
        <v>3296</v>
      </c>
      <c r="F440" s="6" t="s">
        <v>3283</v>
      </c>
      <c r="G440" s="6" t="s">
        <v>72</v>
      </c>
      <c r="H440" s="6" t="s">
        <v>103</v>
      </c>
      <c r="I440" s="6" t="s">
        <v>74</v>
      </c>
      <c r="J440" s="6" t="s">
        <v>6645</v>
      </c>
      <c r="K440" s="6" t="s">
        <v>3141</v>
      </c>
      <c r="L440" s="6" t="s">
        <v>3160</v>
      </c>
      <c r="M440" s="6" t="s">
        <v>3143</v>
      </c>
      <c r="N440" s="6" t="s">
        <v>3243</v>
      </c>
      <c r="O440" s="6" t="s">
        <v>3141</v>
      </c>
      <c r="P440" s="6" t="s">
        <v>3638</v>
      </c>
      <c r="Q440" s="6" t="s">
        <v>6646</v>
      </c>
      <c r="R440" s="6" t="s">
        <v>6647</v>
      </c>
      <c r="S440" s="6" t="s">
        <v>20</v>
      </c>
      <c r="T440" s="6" t="s">
        <v>6648</v>
      </c>
      <c r="U440" s="6" t="s">
        <v>3292</v>
      </c>
      <c r="V440" s="6" t="s">
        <v>6649</v>
      </c>
      <c r="W440" s="6" t="s">
        <v>3264</v>
      </c>
      <c r="X440" s="6" t="s">
        <v>85</v>
      </c>
      <c r="Y440" s="6" t="s">
        <v>3159</v>
      </c>
      <c r="Z440" s="6" t="s">
        <v>78</v>
      </c>
      <c r="AA440" s="6" t="s">
        <v>6178</v>
      </c>
      <c r="AB440" s="6"/>
      <c r="AC440" s="6" t="s">
        <v>3140</v>
      </c>
      <c r="AD440" s="6" t="s">
        <v>3141</v>
      </c>
      <c r="AE440" s="6" t="s">
        <v>3293</v>
      </c>
      <c r="AF440" s="6"/>
      <c r="AG440" s="6" t="s">
        <v>4733</v>
      </c>
      <c r="AH440" s="6" t="s">
        <v>79</v>
      </c>
    </row>
    <row r="441" spans="1:34" x14ac:dyDescent="0.25">
      <c r="A441" s="6" t="s">
        <v>1485</v>
      </c>
      <c r="B441" s="6" t="s">
        <v>6650</v>
      </c>
      <c r="C441" s="6" t="s">
        <v>1486</v>
      </c>
      <c r="D441" s="6" t="s">
        <v>6651</v>
      </c>
      <c r="E441" s="6" t="s">
        <v>3420</v>
      </c>
      <c r="F441" s="6" t="s">
        <v>3201</v>
      </c>
      <c r="G441" s="6" t="s">
        <v>5020</v>
      </c>
      <c r="H441" s="6" t="s">
        <v>73</v>
      </c>
      <c r="I441" s="6" t="s">
        <v>74</v>
      </c>
      <c r="J441" s="6" t="s">
        <v>3217</v>
      </c>
      <c r="K441" s="6" t="s">
        <v>3140</v>
      </c>
      <c r="L441" s="6" t="s">
        <v>3152</v>
      </c>
      <c r="M441" s="6" t="s">
        <v>3196</v>
      </c>
      <c r="N441" s="6" t="s">
        <v>3141</v>
      </c>
      <c r="O441" s="6" t="s">
        <v>3188</v>
      </c>
      <c r="P441" s="6" t="s">
        <v>6652</v>
      </c>
      <c r="Q441" s="6" t="s">
        <v>6653</v>
      </c>
      <c r="R441" s="6" t="s">
        <v>6654</v>
      </c>
      <c r="S441" s="6" t="s">
        <v>20</v>
      </c>
      <c r="T441" s="6" t="s">
        <v>6655</v>
      </c>
      <c r="U441" s="6" t="s">
        <v>3292</v>
      </c>
      <c r="V441" s="6" t="s">
        <v>6656</v>
      </c>
      <c r="W441" s="6" t="s">
        <v>3550</v>
      </c>
      <c r="X441" s="6" t="s">
        <v>85</v>
      </c>
      <c r="Y441" s="6" t="s">
        <v>3159</v>
      </c>
      <c r="Z441" s="6" t="s">
        <v>93</v>
      </c>
      <c r="AA441" s="6" t="s">
        <v>3755</v>
      </c>
      <c r="AB441" s="6" t="s">
        <v>6657</v>
      </c>
      <c r="AC441" s="6" t="s">
        <v>3159</v>
      </c>
      <c r="AD441" s="6" t="s">
        <v>3152</v>
      </c>
      <c r="AE441" s="6" t="s">
        <v>3235</v>
      </c>
      <c r="AF441" s="6"/>
      <c r="AG441" s="6" t="s">
        <v>6658</v>
      </c>
      <c r="AH441" s="6" t="s">
        <v>79</v>
      </c>
    </row>
    <row r="442" spans="1:34" x14ac:dyDescent="0.25">
      <c r="A442" s="6" t="s">
        <v>1488</v>
      </c>
      <c r="B442" s="6" t="s">
        <v>1489</v>
      </c>
      <c r="C442" s="6" t="s">
        <v>6659</v>
      </c>
      <c r="D442" s="6" t="s">
        <v>6660</v>
      </c>
      <c r="E442" s="6" t="s">
        <v>3843</v>
      </c>
      <c r="F442" s="6" t="s">
        <v>3358</v>
      </c>
      <c r="G442" s="6" t="s">
        <v>98</v>
      </c>
      <c r="H442" s="6" t="s">
        <v>91</v>
      </c>
      <c r="I442" s="6" t="s">
        <v>92</v>
      </c>
      <c r="J442" s="6" t="s">
        <v>6661</v>
      </c>
      <c r="K442" s="6" t="s">
        <v>3159</v>
      </c>
      <c r="L442" s="6" t="s">
        <v>3173</v>
      </c>
      <c r="M442" s="6" t="s">
        <v>75</v>
      </c>
      <c r="N442" s="6" t="s">
        <v>75</v>
      </c>
      <c r="O442" s="6" t="s">
        <v>3243</v>
      </c>
      <c r="P442" s="6" t="s">
        <v>6662</v>
      </c>
      <c r="Q442" s="6" t="s">
        <v>6663</v>
      </c>
      <c r="R442" s="6" t="s">
        <v>6664</v>
      </c>
      <c r="S442" s="6" t="s">
        <v>5691</v>
      </c>
      <c r="T442" s="6" t="s">
        <v>6665</v>
      </c>
      <c r="U442" s="6" t="s">
        <v>3141</v>
      </c>
      <c r="V442" s="6" t="s">
        <v>5476</v>
      </c>
      <c r="W442" s="6" t="s">
        <v>3987</v>
      </c>
      <c r="X442" s="6" t="s">
        <v>85</v>
      </c>
      <c r="Y442" s="6" t="s">
        <v>3140</v>
      </c>
      <c r="Z442" s="6" t="s">
        <v>78</v>
      </c>
      <c r="AA442" s="6" t="s">
        <v>3195</v>
      </c>
      <c r="AB442" s="6" t="s">
        <v>6666</v>
      </c>
      <c r="AC442" s="6" t="s">
        <v>3141</v>
      </c>
      <c r="AD442" s="6" t="s">
        <v>3141</v>
      </c>
      <c r="AE442" s="6" t="s">
        <v>3136</v>
      </c>
      <c r="AF442" s="6"/>
      <c r="AG442" s="6" t="s">
        <v>6667</v>
      </c>
      <c r="AH442" s="6" t="s">
        <v>3334</v>
      </c>
    </row>
    <row r="443" spans="1:34" x14ac:dyDescent="0.25">
      <c r="A443" s="6" t="s">
        <v>1491</v>
      </c>
      <c r="B443" s="6" t="s">
        <v>1205</v>
      </c>
      <c r="C443" s="6" t="s">
        <v>6668</v>
      </c>
      <c r="D443" s="6" t="s">
        <v>1492</v>
      </c>
      <c r="E443" s="6" t="s">
        <v>3235</v>
      </c>
      <c r="F443" s="6" t="s">
        <v>3201</v>
      </c>
      <c r="G443" s="6" t="s">
        <v>3255</v>
      </c>
      <c r="H443" s="6" t="s">
        <v>107</v>
      </c>
      <c r="I443" s="6" t="s">
        <v>92</v>
      </c>
      <c r="J443" s="6" t="s">
        <v>6669</v>
      </c>
      <c r="K443" s="6" t="s">
        <v>3141</v>
      </c>
      <c r="L443" s="6" t="s">
        <v>3243</v>
      </c>
      <c r="M443" s="6" t="s">
        <v>3143</v>
      </c>
      <c r="N443" s="6" t="s">
        <v>75</v>
      </c>
      <c r="O443" s="6" t="s">
        <v>3152</v>
      </c>
      <c r="P443" s="6" t="s">
        <v>6670</v>
      </c>
      <c r="Q443" s="6" t="s">
        <v>6671</v>
      </c>
      <c r="R443" s="6" t="s">
        <v>6672</v>
      </c>
      <c r="S443" s="6" t="s">
        <v>20</v>
      </c>
      <c r="T443" s="6" t="s">
        <v>6673</v>
      </c>
      <c r="U443" s="6" t="s">
        <v>3141</v>
      </c>
      <c r="V443" s="6" t="s">
        <v>6674</v>
      </c>
      <c r="W443" s="6" t="s">
        <v>3342</v>
      </c>
      <c r="X443" s="6" t="s">
        <v>77</v>
      </c>
      <c r="Y443" s="6" t="s">
        <v>3159</v>
      </c>
      <c r="Z443" s="6" t="s">
        <v>93</v>
      </c>
      <c r="AA443" s="6" t="s">
        <v>3250</v>
      </c>
      <c r="AB443" s="6" t="s">
        <v>6675</v>
      </c>
      <c r="AC443" s="6" t="s">
        <v>3141</v>
      </c>
      <c r="AD443" s="6" t="s">
        <v>3141</v>
      </c>
      <c r="AE443" s="6" t="s">
        <v>3293</v>
      </c>
      <c r="AF443" s="6"/>
      <c r="AG443" s="6" t="s">
        <v>6676</v>
      </c>
      <c r="AH443" s="6" t="s">
        <v>79</v>
      </c>
    </row>
    <row r="444" spans="1:34" x14ac:dyDescent="0.25">
      <c r="A444" s="6" t="s">
        <v>1493</v>
      </c>
      <c r="B444" s="6" t="s">
        <v>1494</v>
      </c>
      <c r="C444" s="6" t="s">
        <v>1495</v>
      </c>
      <c r="D444" s="6" t="s">
        <v>6677</v>
      </c>
      <c r="E444" s="6" t="s">
        <v>4542</v>
      </c>
      <c r="F444" s="6" t="s">
        <v>89</v>
      </c>
      <c r="G444" s="6" t="s">
        <v>417</v>
      </c>
      <c r="H444" s="6" t="s">
        <v>132</v>
      </c>
      <c r="I444" s="6" t="s">
        <v>92</v>
      </c>
      <c r="J444" s="6"/>
      <c r="K444" s="6" t="s">
        <v>3141</v>
      </c>
      <c r="L444" s="6" t="s">
        <v>75</v>
      </c>
      <c r="M444" s="6" t="s">
        <v>3143</v>
      </c>
      <c r="N444" s="6" t="s">
        <v>3152</v>
      </c>
      <c r="O444" s="6" t="s">
        <v>3141</v>
      </c>
      <c r="P444" s="6" t="s">
        <v>5406</v>
      </c>
      <c r="Q444" s="6" t="s">
        <v>6678</v>
      </c>
      <c r="R444" s="6" t="s">
        <v>6679</v>
      </c>
      <c r="S444" s="6" t="s">
        <v>21</v>
      </c>
      <c r="T444" s="6" t="s">
        <v>6680</v>
      </c>
      <c r="U444" s="6" t="s">
        <v>3141</v>
      </c>
      <c r="V444" s="6" t="s">
        <v>6681</v>
      </c>
      <c r="W444" s="6" t="s">
        <v>4643</v>
      </c>
      <c r="X444" s="6" t="s">
        <v>77</v>
      </c>
      <c r="Y444" s="6" t="s">
        <v>3141</v>
      </c>
      <c r="Z444" s="6" t="s">
        <v>194</v>
      </c>
      <c r="AA444" s="6" t="s">
        <v>3330</v>
      </c>
      <c r="AB444" s="6" t="s">
        <v>6682</v>
      </c>
      <c r="AC444" s="6" t="s">
        <v>3141</v>
      </c>
      <c r="AD444" s="6" t="s">
        <v>3243</v>
      </c>
      <c r="AE444" s="6" t="s">
        <v>3279</v>
      </c>
      <c r="AF444" s="6"/>
      <c r="AG444" s="6" t="s">
        <v>6683</v>
      </c>
      <c r="AH444" s="6" t="s">
        <v>79</v>
      </c>
    </row>
    <row r="445" spans="1:34" x14ac:dyDescent="0.25">
      <c r="A445" s="6" t="s">
        <v>1497</v>
      </c>
      <c r="B445" s="6" t="s">
        <v>6684</v>
      </c>
      <c r="C445" s="6" t="s">
        <v>6685</v>
      </c>
      <c r="D445" s="6" t="s">
        <v>6686</v>
      </c>
      <c r="E445" s="6" t="s">
        <v>3471</v>
      </c>
      <c r="F445" s="6" t="s">
        <v>3214</v>
      </c>
      <c r="G445" s="6" t="s">
        <v>115</v>
      </c>
      <c r="H445" s="6" t="s">
        <v>99</v>
      </c>
      <c r="I445" s="6" t="s">
        <v>74</v>
      </c>
      <c r="J445" s="6"/>
      <c r="K445" s="6" t="s">
        <v>3140</v>
      </c>
      <c r="L445" s="6" t="s">
        <v>75</v>
      </c>
      <c r="M445" s="6" t="s">
        <v>3142</v>
      </c>
      <c r="N445" s="6" t="s">
        <v>3160</v>
      </c>
      <c r="O445" s="6" t="s">
        <v>3196</v>
      </c>
      <c r="P445" s="6" t="s">
        <v>4122</v>
      </c>
      <c r="Q445" s="6"/>
      <c r="R445" s="6" t="s">
        <v>6687</v>
      </c>
      <c r="S445" s="6" t="s">
        <v>23</v>
      </c>
      <c r="T445" s="6" t="s">
        <v>6688</v>
      </c>
      <c r="U445" s="6" t="s">
        <v>3141</v>
      </c>
      <c r="V445" s="6" t="s">
        <v>3665</v>
      </c>
      <c r="W445" s="6" t="s">
        <v>4918</v>
      </c>
      <c r="X445" s="6" t="s">
        <v>77</v>
      </c>
      <c r="Y445" s="6" t="s">
        <v>3159</v>
      </c>
      <c r="Z445" s="6" t="s">
        <v>78</v>
      </c>
      <c r="AA445" s="6" t="s">
        <v>4067</v>
      </c>
      <c r="AB445" s="6" t="s">
        <v>6689</v>
      </c>
      <c r="AC445" s="6" t="s">
        <v>3159</v>
      </c>
      <c r="AD445" s="6" t="s">
        <v>3141</v>
      </c>
      <c r="AE445" s="6" t="s">
        <v>3513</v>
      </c>
      <c r="AF445" s="6" t="s">
        <v>6690</v>
      </c>
      <c r="AG445" s="6" t="s">
        <v>6691</v>
      </c>
      <c r="AH445" s="6" t="s">
        <v>79</v>
      </c>
    </row>
    <row r="446" spans="1:34" x14ac:dyDescent="0.25">
      <c r="A446" s="6" t="s">
        <v>1500</v>
      </c>
      <c r="B446" s="6" t="s">
        <v>1501</v>
      </c>
      <c r="C446" s="6" t="s">
        <v>1502</v>
      </c>
      <c r="D446" s="6" t="s">
        <v>6692</v>
      </c>
      <c r="E446" s="6" t="s">
        <v>3722</v>
      </c>
      <c r="F446" s="6" t="s">
        <v>3227</v>
      </c>
      <c r="G446" s="6" t="s">
        <v>6693</v>
      </c>
      <c r="H446" s="6" t="s">
        <v>166</v>
      </c>
      <c r="I446" s="6" t="s">
        <v>74</v>
      </c>
      <c r="J446" s="6" t="s">
        <v>6694</v>
      </c>
      <c r="K446" s="6" t="s">
        <v>3140</v>
      </c>
      <c r="L446" s="6" t="s">
        <v>3159</v>
      </c>
      <c r="M446" s="6" t="s">
        <v>3196</v>
      </c>
      <c r="N446" s="6" t="s">
        <v>3143</v>
      </c>
      <c r="O446" s="6" t="s">
        <v>75</v>
      </c>
      <c r="P446" s="6" t="s">
        <v>6695</v>
      </c>
      <c r="Q446" s="6" t="s">
        <v>6696</v>
      </c>
      <c r="R446" s="6" t="s">
        <v>6697</v>
      </c>
      <c r="S446" s="6" t="s">
        <v>22</v>
      </c>
      <c r="T446" s="6" t="s">
        <v>6698</v>
      </c>
      <c r="U446" s="6" t="s">
        <v>3141</v>
      </c>
      <c r="V446" s="6" t="s">
        <v>5843</v>
      </c>
      <c r="W446" s="6" t="s">
        <v>3478</v>
      </c>
      <c r="X446" s="6" t="s">
        <v>77</v>
      </c>
      <c r="Y446" s="6" t="s">
        <v>3192</v>
      </c>
      <c r="Z446" s="6" t="s">
        <v>93</v>
      </c>
      <c r="AA446" s="6" t="s">
        <v>4049</v>
      </c>
      <c r="AB446" s="6"/>
      <c r="AC446" s="6" t="s">
        <v>3159</v>
      </c>
      <c r="AD446" s="6" t="s">
        <v>3143</v>
      </c>
      <c r="AE446" s="6" t="s">
        <v>3136</v>
      </c>
      <c r="AF446" s="6" t="s">
        <v>6699</v>
      </c>
      <c r="AG446" s="6" t="s">
        <v>6700</v>
      </c>
      <c r="AH446" s="6" t="s">
        <v>79</v>
      </c>
    </row>
    <row r="447" spans="1:34" x14ac:dyDescent="0.25">
      <c r="A447" s="6" t="s">
        <v>1504</v>
      </c>
      <c r="B447" s="6" t="s">
        <v>1505</v>
      </c>
      <c r="C447" s="6" t="s">
        <v>6701</v>
      </c>
      <c r="D447" s="6" t="s">
        <v>1506</v>
      </c>
      <c r="E447" s="6" t="s">
        <v>3323</v>
      </c>
      <c r="F447" s="6" t="s">
        <v>3201</v>
      </c>
      <c r="G447" s="6" t="s">
        <v>120</v>
      </c>
      <c r="H447" s="6" t="s">
        <v>144</v>
      </c>
      <c r="I447" s="6" t="s">
        <v>92</v>
      </c>
      <c r="J447" s="6" t="s">
        <v>6702</v>
      </c>
      <c r="K447" s="6" t="s">
        <v>3159</v>
      </c>
      <c r="L447" s="6" t="s">
        <v>3173</v>
      </c>
      <c r="M447" s="6" t="s">
        <v>3143</v>
      </c>
      <c r="N447" s="6" t="s">
        <v>3141</v>
      </c>
      <c r="O447" s="6" t="s">
        <v>75</v>
      </c>
      <c r="P447" s="6" t="s">
        <v>5745</v>
      </c>
      <c r="Q447" s="6" t="s">
        <v>6703</v>
      </c>
      <c r="R447" s="6" t="s">
        <v>6704</v>
      </c>
      <c r="S447" s="6" t="s">
        <v>22</v>
      </c>
      <c r="T447" s="6" t="s">
        <v>6705</v>
      </c>
      <c r="U447" s="6" t="s">
        <v>3141</v>
      </c>
      <c r="V447" s="6" t="s">
        <v>6341</v>
      </c>
      <c r="W447" s="6" t="s">
        <v>4217</v>
      </c>
      <c r="X447" s="6" t="s">
        <v>85</v>
      </c>
      <c r="Y447" s="6" t="s">
        <v>3141</v>
      </c>
      <c r="Z447" s="6" t="s">
        <v>78</v>
      </c>
      <c r="AA447" s="6" t="s">
        <v>6706</v>
      </c>
      <c r="AB447" s="6"/>
      <c r="AC447" s="6" t="s">
        <v>3159</v>
      </c>
      <c r="AD447" s="6" t="s">
        <v>76</v>
      </c>
      <c r="AE447" s="6" t="s">
        <v>3323</v>
      </c>
      <c r="AF447" s="6" t="s">
        <v>6707</v>
      </c>
      <c r="AG447" s="6"/>
      <c r="AH447" s="6" t="s">
        <v>79</v>
      </c>
    </row>
    <row r="448" spans="1:34" x14ac:dyDescent="0.25">
      <c r="A448" s="6" t="s">
        <v>1507</v>
      </c>
      <c r="B448" s="6" t="s">
        <v>1508</v>
      </c>
      <c r="C448" s="6" t="s">
        <v>1509</v>
      </c>
      <c r="D448" s="6" t="s">
        <v>6708</v>
      </c>
      <c r="E448" s="6" t="s">
        <v>3200</v>
      </c>
      <c r="F448" s="6" t="s">
        <v>3358</v>
      </c>
      <c r="G448" s="6" t="s">
        <v>143</v>
      </c>
      <c r="H448" s="6" t="s">
        <v>166</v>
      </c>
      <c r="I448" s="6" t="s">
        <v>74</v>
      </c>
      <c r="J448" s="6" t="s">
        <v>6709</v>
      </c>
      <c r="K448" s="6" t="s">
        <v>3140</v>
      </c>
      <c r="L448" s="6" t="s">
        <v>3196</v>
      </c>
      <c r="M448" s="6" t="s">
        <v>3160</v>
      </c>
      <c r="N448" s="6" t="s">
        <v>3159</v>
      </c>
      <c r="O448" s="6" t="s">
        <v>3243</v>
      </c>
      <c r="P448" s="6" t="s">
        <v>5462</v>
      </c>
      <c r="Q448" s="6" t="s">
        <v>6710</v>
      </c>
      <c r="R448" s="6" t="s">
        <v>6711</v>
      </c>
      <c r="S448" s="6" t="s">
        <v>21</v>
      </c>
      <c r="T448" s="6" t="s">
        <v>6712</v>
      </c>
      <c r="U448" s="6" t="s">
        <v>3141</v>
      </c>
      <c r="V448" s="6" t="s">
        <v>5328</v>
      </c>
      <c r="W448" s="6" t="s">
        <v>3847</v>
      </c>
      <c r="X448" s="6" t="s">
        <v>85</v>
      </c>
      <c r="Y448" s="6" t="s">
        <v>3159</v>
      </c>
      <c r="Z448" s="6" t="s">
        <v>194</v>
      </c>
      <c r="AA448" s="6" t="s">
        <v>4485</v>
      </c>
      <c r="AB448" s="6"/>
      <c r="AC448" s="6" t="s">
        <v>3159</v>
      </c>
      <c r="AD448" s="6" t="s">
        <v>75</v>
      </c>
      <c r="AE448" s="6" t="s">
        <v>3136</v>
      </c>
      <c r="AF448" s="6"/>
      <c r="AG448" s="6" t="s">
        <v>6713</v>
      </c>
      <c r="AH448" s="6" t="s">
        <v>94</v>
      </c>
    </row>
    <row r="449" spans="1:34" x14ac:dyDescent="0.25">
      <c r="A449" s="6" t="s">
        <v>1511</v>
      </c>
      <c r="B449" s="6" t="s">
        <v>1512</v>
      </c>
      <c r="C449" s="6" t="s">
        <v>1513</v>
      </c>
      <c r="D449" s="6" t="s">
        <v>6714</v>
      </c>
      <c r="E449" s="6" t="s">
        <v>4542</v>
      </c>
      <c r="F449" s="6" t="s">
        <v>3283</v>
      </c>
      <c r="G449" s="6" t="s">
        <v>98</v>
      </c>
      <c r="H449" s="6" t="s">
        <v>132</v>
      </c>
      <c r="I449" s="6" t="s">
        <v>92</v>
      </c>
      <c r="J449" s="6" t="s">
        <v>6715</v>
      </c>
      <c r="K449" s="6" t="s">
        <v>3159</v>
      </c>
      <c r="L449" s="6" t="s">
        <v>3141</v>
      </c>
      <c r="M449" s="6" t="s">
        <v>3142</v>
      </c>
      <c r="N449" s="6" t="s">
        <v>3160</v>
      </c>
      <c r="O449" s="6" t="s">
        <v>3243</v>
      </c>
      <c r="P449" s="6" t="s">
        <v>5481</v>
      </c>
      <c r="Q449" s="6"/>
      <c r="R449" s="6" t="s">
        <v>6716</v>
      </c>
      <c r="S449" s="6" t="s">
        <v>23</v>
      </c>
      <c r="T449" s="6" t="s">
        <v>3217</v>
      </c>
      <c r="U449" s="6" t="s">
        <v>3141</v>
      </c>
      <c r="V449" s="6" t="s">
        <v>6681</v>
      </c>
      <c r="W449" s="6" t="s">
        <v>3588</v>
      </c>
      <c r="X449" s="6" t="s">
        <v>85</v>
      </c>
      <c r="Y449" s="6" t="s">
        <v>3140</v>
      </c>
      <c r="Z449" s="6" t="s">
        <v>93</v>
      </c>
      <c r="AA449" s="6" t="s">
        <v>5876</v>
      </c>
      <c r="AB449" s="6" t="s">
        <v>6717</v>
      </c>
      <c r="AC449" s="6" t="s">
        <v>3141</v>
      </c>
      <c r="AD449" s="6" t="s">
        <v>3160</v>
      </c>
      <c r="AE449" s="6" t="s">
        <v>3428</v>
      </c>
      <c r="AF449" s="6" t="s">
        <v>6718</v>
      </c>
      <c r="AG449" s="6" t="s">
        <v>6719</v>
      </c>
      <c r="AH449" s="6" t="s">
        <v>79</v>
      </c>
    </row>
    <row r="450" spans="1:34" x14ac:dyDescent="0.25">
      <c r="A450" s="6" t="s">
        <v>1515</v>
      </c>
      <c r="B450" s="6" t="s">
        <v>1516</v>
      </c>
      <c r="C450" s="6" t="s">
        <v>6720</v>
      </c>
      <c r="D450" s="6"/>
      <c r="E450" s="6" t="s">
        <v>3254</v>
      </c>
      <c r="F450" s="6" t="s">
        <v>3227</v>
      </c>
      <c r="G450" s="6" t="s">
        <v>106</v>
      </c>
      <c r="H450" s="6" t="s">
        <v>103</v>
      </c>
      <c r="I450" s="6" t="s">
        <v>74</v>
      </c>
      <c r="J450" s="6"/>
      <c r="K450" s="6" t="s">
        <v>3159</v>
      </c>
      <c r="L450" s="6" t="s">
        <v>3159</v>
      </c>
      <c r="M450" s="6" t="s">
        <v>3141</v>
      </c>
      <c r="N450" s="6" t="s">
        <v>3152</v>
      </c>
      <c r="O450" s="6" t="s">
        <v>3152</v>
      </c>
      <c r="P450" s="6" t="s">
        <v>6161</v>
      </c>
      <c r="Q450" s="6" t="s">
        <v>6721</v>
      </c>
      <c r="R450" s="6" t="s">
        <v>6722</v>
      </c>
      <c r="S450" s="6" t="s">
        <v>21</v>
      </c>
      <c r="T450" s="6" t="s">
        <v>6723</v>
      </c>
      <c r="U450" s="6" t="s">
        <v>3292</v>
      </c>
      <c r="V450" s="6" t="s">
        <v>6724</v>
      </c>
      <c r="W450" s="6" t="s">
        <v>3233</v>
      </c>
      <c r="X450" s="6" t="s">
        <v>3290</v>
      </c>
      <c r="Y450" s="6" t="s">
        <v>3292</v>
      </c>
      <c r="Z450" s="6" t="s">
        <v>78</v>
      </c>
      <c r="AA450" s="6" t="s">
        <v>4227</v>
      </c>
      <c r="AB450" s="6"/>
      <c r="AC450" s="6" t="s">
        <v>3159</v>
      </c>
      <c r="AD450" s="6" t="s">
        <v>3143</v>
      </c>
      <c r="AE450" s="6" t="s">
        <v>3235</v>
      </c>
      <c r="AF450" s="6"/>
      <c r="AG450" s="6" t="s">
        <v>6725</v>
      </c>
      <c r="AH450" s="6" t="s">
        <v>79</v>
      </c>
    </row>
    <row r="451" spans="1:34" x14ac:dyDescent="0.25">
      <c r="A451" s="6" t="s">
        <v>1517</v>
      </c>
      <c r="B451" s="6" t="s">
        <v>1518</v>
      </c>
      <c r="C451" s="6" t="s">
        <v>6726</v>
      </c>
      <c r="D451" s="6" t="s">
        <v>1519</v>
      </c>
      <c r="E451" s="6" t="s">
        <v>3970</v>
      </c>
      <c r="F451" s="6" t="s">
        <v>89</v>
      </c>
      <c r="G451" s="6" t="s">
        <v>226</v>
      </c>
      <c r="H451" s="6" t="s">
        <v>99</v>
      </c>
      <c r="I451" s="6" t="s">
        <v>74</v>
      </c>
      <c r="J451" s="6"/>
      <c r="K451" s="6" t="s">
        <v>3159</v>
      </c>
      <c r="L451" s="6" t="s">
        <v>3188</v>
      </c>
      <c r="M451" s="6" t="s">
        <v>3160</v>
      </c>
      <c r="N451" s="6" t="s">
        <v>3152</v>
      </c>
      <c r="O451" s="6" t="s">
        <v>3141</v>
      </c>
      <c r="P451" s="6" t="s">
        <v>6727</v>
      </c>
      <c r="Q451" s="6" t="s">
        <v>6728</v>
      </c>
      <c r="R451" s="6" t="s">
        <v>6729</v>
      </c>
      <c r="S451" s="6" t="s">
        <v>21</v>
      </c>
      <c r="T451" s="6" t="s">
        <v>6730</v>
      </c>
      <c r="U451" s="6" t="s">
        <v>3141</v>
      </c>
      <c r="V451" s="6" t="s">
        <v>3852</v>
      </c>
      <c r="W451" s="6" t="s">
        <v>3673</v>
      </c>
      <c r="X451" s="6" t="s">
        <v>85</v>
      </c>
      <c r="Y451" s="6" t="s">
        <v>3141</v>
      </c>
      <c r="Z451" s="6" t="s">
        <v>93</v>
      </c>
      <c r="AA451" s="6" t="s">
        <v>3587</v>
      </c>
      <c r="AB451" s="6"/>
      <c r="AC451" s="6" t="s">
        <v>3141</v>
      </c>
      <c r="AD451" s="6" t="s">
        <v>3160</v>
      </c>
      <c r="AE451" s="6" t="s">
        <v>3293</v>
      </c>
      <c r="AF451" s="6"/>
      <c r="AG451" s="6" t="s">
        <v>6731</v>
      </c>
      <c r="AH451" s="6" t="s">
        <v>79</v>
      </c>
    </row>
    <row r="452" spans="1:34" x14ac:dyDescent="0.25">
      <c r="A452" s="6" t="s">
        <v>1520</v>
      </c>
      <c r="B452" s="6" t="s">
        <v>1521</v>
      </c>
      <c r="C452" s="6"/>
      <c r="D452" s="6" t="s">
        <v>6732</v>
      </c>
      <c r="E452" s="6" t="s">
        <v>3157</v>
      </c>
      <c r="F452" s="6" t="s">
        <v>3269</v>
      </c>
      <c r="G452" s="6" t="s">
        <v>388</v>
      </c>
      <c r="H452" s="6" t="s">
        <v>6733</v>
      </c>
      <c r="I452" s="6" t="s">
        <v>74</v>
      </c>
      <c r="J452" s="6" t="s">
        <v>6734</v>
      </c>
      <c r="K452" s="6" t="s">
        <v>3159</v>
      </c>
      <c r="L452" s="6" t="s">
        <v>76</v>
      </c>
      <c r="M452" s="6" t="s">
        <v>3243</v>
      </c>
      <c r="N452" s="6" t="s">
        <v>3141</v>
      </c>
      <c r="O452" s="6" t="s">
        <v>3143</v>
      </c>
      <c r="P452" s="6" t="s">
        <v>5428</v>
      </c>
      <c r="Q452" s="6" t="s">
        <v>6735</v>
      </c>
      <c r="R452" s="6" t="s">
        <v>6736</v>
      </c>
      <c r="S452" s="6" t="s">
        <v>23</v>
      </c>
      <c r="T452" s="6" t="s">
        <v>6737</v>
      </c>
      <c r="U452" s="6" t="s">
        <v>3141</v>
      </c>
      <c r="V452" s="6" t="s">
        <v>3965</v>
      </c>
      <c r="W452" s="6" t="s">
        <v>3489</v>
      </c>
      <c r="X452" s="6" t="s">
        <v>77</v>
      </c>
      <c r="Y452" s="6" t="s">
        <v>3292</v>
      </c>
      <c r="Z452" s="6" t="s">
        <v>78</v>
      </c>
      <c r="AA452" s="6" t="s">
        <v>3811</v>
      </c>
      <c r="AB452" s="6"/>
      <c r="AC452" s="6" t="s">
        <v>3140</v>
      </c>
      <c r="AD452" s="6" t="s">
        <v>3152</v>
      </c>
      <c r="AE452" s="6" t="s">
        <v>3318</v>
      </c>
      <c r="AF452" s="6" t="s">
        <v>6738</v>
      </c>
      <c r="AG452" s="6" t="s">
        <v>6739</v>
      </c>
      <c r="AH452" s="6" t="s">
        <v>79</v>
      </c>
    </row>
    <row r="453" spans="1:34" x14ac:dyDescent="0.25">
      <c r="A453" s="6" t="s">
        <v>1523</v>
      </c>
      <c r="B453" s="6" t="s">
        <v>1524</v>
      </c>
      <c r="C453" s="6" t="s">
        <v>1525</v>
      </c>
      <c r="D453" s="6" t="s">
        <v>1526</v>
      </c>
      <c r="E453" s="6" t="s">
        <v>3460</v>
      </c>
      <c r="F453" s="6" t="s">
        <v>3201</v>
      </c>
      <c r="G453" s="6" t="s">
        <v>5150</v>
      </c>
      <c r="H453" s="6" t="s">
        <v>166</v>
      </c>
      <c r="I453" s="6" t="s">
        <v>74</v>
      </c>
      <c r="J453" s="6"/>
      <c r="K453" s="6" t="s">
        <v>3159</v>
      </c>
      <c r="L453" s="6" t="s">
        <v>75</v>
      </c>
      <c r="M453" s="6" t="s">
        <v>3160</v>
      </c>
      <c r="N453" s="6" t="s">
        <v>3159</v>
      </c>
      <c r="O453" s="6" t="s">
        <v>3152</v>
      </c>
      <c r="P453" s="6" t="s">
        <v>4147</v>
      </c>
      <c r="Q453" s="6" t="s">
        <v>6740</v>
      </c>
      <c r="R453" s="6" t="s">
        <v>6741</v>
      </c>
      <c r="S453" s="6" t="s">
        <v>23</v>
      </c>
      <c r="T453" s="6" t="s">
        <v>6742</v>
      </c>
      <c r="U453" s="6" t="s">
        <v>3140</v>
      </c>
      <c r="V453" s="6" t="s">
        <v>6743</v>
      </c>
      <c r="W453" s="6" t="s">
        <v>3364</v>
      </c>
      <c r="X453" s="6" t="s">
        <v>85</v>
      </c>
      <c r="Y453" s="6" t="s">
        <v>3140</v>
      </c>
      <c r="Z453" s="6" t="s">
        <v>93</v>
      </c>
      <c r="AA453" s="6" t="s">
        <v>4781</v>
      </c>
      <c r="AB453" s="6" t="s">
        <v>6744</v>
      </c>
      <c r="AC453" s="6" t="s">
        <v>3141</v>
      </c>
      <c r="AD453" s="6" t="s">
        <v>3143</v>
      </c>
      <c r="AE453" s="6" t="s">
        <v>3513</v>
      </c>
      <c r="AF453" s="6" t="s">
        <v>6745</v>
      </c>
      <c r="AG453" s="6" t="s">
        <v>4816</v>
      </c>
      <c r="AH453" s="6" t="s">
        <v>94</v>
      </c>
    </row>
    <row r="454" spans="1:34" x14ac:dyDescent="0.25">
      <c r="A454" s="6" t="s">
        <v>1527</v>
      </c>
      <c r="B454" s="6" t="s">
        <v>620</v>
      </c>
      <c r="C454" s="6"/>
      <c r="D454" s="6" t="s">
        <v>6746</v>
      </c>
      <c r="E454" s="6" t="s">
        <v>3240</v>
      </c>
      <c r="F454" s="6" t="s">
        <v>71</v>
      </c>
      <c r="G454" s="6" t="s">
        <v>90</v>
      </c>
      <c r="H454" s="6" t="s">
        <v>103</v>
      </c>
      <c r="I454" s="6" t="s">
        <v>74</v>
      </c>
      <c r="J454" s="6" t="s">
        <v>6747</v>
      </c>
      <c r="K454" s="6" t="s">
        <v>3141</v>
      </c>
      <c r="L454" s="6" t="s">
        <v>75</v>
      </c>
      <c r="M454" s="6" t="s">
        <v>75</v>
      </c>
      <c r="N454" s="6" t="s">
        <v>3152</v>
      </c>
      <c r="O454" s="6" t="s">
        <v>3152</v>
      </c>
      <c r="P454" s="6" t="s">
        <v>6748</v>
      </c>
      <c r="Q454" s="6" t="s">
        <v>3217</v>
      </c>
      <c r="R454" s="6" t="s">
        <v>6749</v>
      </c>
      <c r="S454" s="6" t="s">
        <v>22</v>
      </c>
      <c r="T454" s="6"/>
      <c r="U454" s="6" t="s">
        <v>3192</v>
      </c>
      <c r="V454" s="6" t="s">
        <v>4749</v>
      </c>
      <c r="W454" s="6" t="s">
        <v>3954</v>
      </c>
      <c r="X454" s="6" t="s">
        <v>77</v>
      </c>
      <c r="Y454" s="6" t="s">
        <v>3292</v>
      </c>
      <c r="Z454" s="6" t="s">
        <v>93</v>
      </c>
      <c r="AA454" s="6" t="s">
        <v>3468</v>
      </c>
      <c r="AB454" s="6"/>
      <c r="AC454" s="6" t="s">
        <v>3159</v>
      </c>
      <c r="AD454" s="6" t="s">
        <v>3143</v>
      </c>
      <c r="AE454" s="6" t="s">
        <v>3235</v>
      </c>
      <c r="AF454" s="6" t="s">
        <v>6750</v>
      </c>
      <c r="AG454" s="6" t="s">
        <v>6227</v>
      </c>
      <c r="AH454" s="6" t="s">
        <v>79</v>
      </c>
    </row>
    <row r="455" spans="1:34" x14ac:dyDescent="0.25">
      <c r="A455" s="6" t="s">
        <v>1529</v>
      </c>
      <c r="B455" s="6" t="s">
        <v>1530</v>
      </c>
      <c r="C455" s="6"/>
      <c r="D455" s="6" t="s">
        <v>6751</v>
      </c>
      <c r="E455" s="6" t="s">
        <v>3617</v>
      </c>
      <c r="F455" s="6" t="s">
        <v>3227</v>
      </c>
      <c r="G455" s="6" t="s">
        <v>215</v>
      </c>
      <c r="H455" s="6" t="s">
        <v>166</v>
      </c>
      <c r="I455" s="6" t="s">
        <v>74</v>
      </c>
      <c r="J455" s="6" t="s">
        <v>6752</v>
      </c>
      <c r="K455" s="6" t="s">
        <v>3140</v>
      </c>
      <c r="L455" s="6" t="s">
        <v>3188</v>
      </c>
      <c r="M455" s="6" t="s">
        <v>3160</v>
      </c>
      <c r="N455" s="6" t="s">
        <v>3173</v>
      </c>
      <c r="O455" s="6" t="s">
        <v>3143</v>
      </c>
      <c r="P455" s="6" t="s">
        <v>6753</v>
      </c>
      <c r="Q455" s="6" t="s">
        <v>6754</v>
      </c>
      <c r="R455" s="6" t="s">
        <v>6755</v>
      </c>
      <c r="S455" s="6" t="s">
        <v>23</v>
      </c>
      <c r="T455" s="6" t="s">
        <v>6756</v>
      </c>
      <c r="U455" s="6" t="s">
        <v>3141</v>
      </c>
      <c r="V455" s="6" t="s">
        <v>6757</v>
      </c>
      <c r="W455" s="6" t="s">
        <v>3747</v>
      </c>
      <c r="X455" s="6" t="s">
        <v>85</v>
      </c>
      <c r="Y455" s="6" t="s">
        <v>3141</v>
      </c>
      <c r="Z455" s="6" t="s">
        <v>93</v>
      </c>
      <c r="AA455" s="6" t="s">
        <v>3208</v>
      </c>
      <c r="AB455" s="6" t="s">
        <v>6758</v>
      </c>
      <c r="AC455" s="6" t="s">
        <v>3140</v>
      </c>
      <c r="AD455" s="6" t="s">
        <v>3141</v>
      </c>
      <c r="AE455" s="6" t="s">
        <v>3153</v>
      </c>
      <c r="AF455" s="6" t="s">
        <v>6759</v>
      </c>
      <c r="AG455" s="6" t="s">
        <v>6760</v>
      </c>
      <c r="AH455" s="6" t="s">
        <v>79</v>
      </c>
    </row>
    <row r="456" spans="1:34" x14ac:dyDescent="0.25">
      <c r="A456" s="6" t="s">
        <v>1532</v>
      </c>
      <c r="B456" s="6" t="s">
        <v>415</v>
      </c>
      <c r="C456" s="6" t="s">
        <v>1533</v>
      </c>
      <c r="D456" s="6" t="s">
        <v>6761</v>
      </c>
      <c r="E456" s="6" t="s">
        <v>3432</v>
      </c>
      <c r="F456" s="6" t="s">
        <v>3283</v>
      </c>
      <c r="G456" s="6" t="s">
        <v>83</v>
      </c>
      <c r="H456" s="6" t="s">
        <v>107</v>
      </c>
      <c r="I456" s="6" t="s">
        <v>92</v>
      </c>
      <c r="J456" s="6" t="s">
        <v>6762</v>
      </c>
      <c r="K456" s="6" t="s">
        <v>3159</v>
      </c>
      <c r="L456" s="6" t="s">
        <v>3141</v>
      </c>
      <c r="M456" s="6" t="s">
        <v>75</v>
      </c>
      <c r="N456" s="6" t="s">
        <v>3243</v>
      </c>
      <c r="O456" s="6" t="s">
        <v>3188</v>
      </c>
      <c r="P456" s="6" t="s">
        <v>6763</v>
      </c>
      <c r="Q456" s="6"/>
      <c r="R456" s="6" t="s">
        <v>6764</v>
      </c>
      <c r="S456" s="6" t="s">
        <v>21</v>
      </c>
      <c r="T456" s="6" t="s">
        <v>6765</v>
      </c>
      <c r="U456" s="6" t="s">
        <v>3140</v>
      </c>
      <c r="V456" s="6" t="s">
        <v>4576</v>
      </c>
      <c r="W456" s="6" t="s">
        <v>3873</v>
      </c>
      <c r="X456" s="6" t="s">
        <v>85</v>
      </c>
      <c r="Y456" s="6" t="s">
        <v>3140</v>
      </c>
      <c r="Z456" s="6" t="s">
        <v>78</v>
      </c>
      <c r="AA456" s="6" t="s">
        <v>3223</v>
      </c>
      <c r="AB456" s="6"/>
      <c r="AC456" s="6" t="s">
        <v>3141</v>
      </c>
      <c r="AD456" s="6" t="s">
        <v>3141</v>
      </c>
      <c r="AE456" s="6" t="s">
        <v>3136</v>
      </c>
      <c r="AF456" s="6"/>
      <c r="AG456" s="6" t="s">
        <v>6766</v>
      </c>
      <c r="AH456" s="6" t="s">
        <v>79</v>
      </c>
    </row>
    <row r="457" spans="1:34" x14ac:dyDescent="0.25">
      <c r="A457" s="6" t="s">
        <v>1535</v>
      </c>
      <c r="B457" s="6" t="s">
        <v>1536</v>
      </c>
      <c r="C457" s="6" t="s">
        <v>6767</v>
      </c>
      <c r="D457" s="6" t="s">
        <v>1537</v>
      </c>
      <c r="E457" s="6" t="s">
        <v>3296</v>
      </c>
      <c r="F457" s="6" t="s">
        <v>3283</v>
      </c>
      <c r="G457" s="6" t="s">
        <v>174</v>
      </c>
      <c r="H457" s="6" t="s">
        <v>73</v>
      </c>
      <c r="I457" s="6" t="s">
        <v>74</v>
      </c>
      <c r="J457" s="6" t="s">
        <v>6768</v>
      </c>
      <c r="K457" s="6" t="s">
        <v>3141</v>
      </c>
      <c r="L457" s="6" t="s">
        <v>3160</v>
      </c>
      <c r="M457" s="6" t="s">
        <v>3152</v>
      </c>
      <c r="N457" s="6" t="s">
        <v>3243</v>
      </c>
      <c r="O457" s="6" t="s">
        <v>3160</v>
      </c>
      <c r="P457" s="6" t="s">
        <v>6769</v>
      </c>
      <c r="Q457" s="6" t="s">
        <v>6770</v>
      </c>
      <c r="R457" s="6" t="s">
        <v>6771</v>
      </c>
      <c r="S457" s="6" t="s">
        <v>3287</v>
      </c>
      <c r="T457" s="6" t="s">
        <v>6772</v>
      </c>
      <c r="U457" s="6" t="s">
        <v>3159</v>
      </c>
      <c r="V457" s="6" t="s">
        <v>4509</v>
      </c>
      <c r="W457" s="6" t="s">
        <v>4981</v>
      </c>
      <c r="X457" s="6" t="s">
        <v>85</v>
      </c>
      <c r="Y457" s="6" t="s">
        <v>3140</v>
      </c>
      <c r="Z457" s="6" t="s">
        <v>4344</v>
      </c>
      <c r="AA457" s="6" t="s">
        <v>3150</v>
      </c>
      <c r="AB457" s="6"/>
      <c r="AC457" s="6" t="s">
        <v>3141</v>
      </c>
      <c r="AD457" s="6" t="s">
        <v>3143</v>
      </c>
      <c r="AE457" s="6" t="s">
        <v>3169</v>
      </c>
      <c r="AF457" s="6"/>
      <c r="AG457" s="6" t="s">
        <v>6773</v>
      </c>
      <c r="AH457" s="6" t="s">
        <v>79</v>
      </c>
    </row>
    <row r="458" spans="1:34" x14ac:dyDescent="0.25">
      <c r="A458" s="6" t="s">
        <v>1538</v>
      </c>
      <c r="B458" s="6" t="s">
        <v>1539</v>
      </c>
      <c r="C458" s="6" t="s">
        <v>1540</v>
      </c>
      <c r="D458" s="6" t="s">
        <v>6774</v>
      </c>
      <c r="E458" s="6" t="s">
        <v>3703</v>
      </c>
      <c r="F458" s="6" t="s">
        <v>3137</v>
      </c>
      <c r="G458" s="6" t="s">
        <v>127</v>
      </c>
      <c r="H458" s="6" t="s">
        <v>84</v>
      </c>
      <c r="I458" s="6" t="s">
        <v>74</v>
      </c>
      <c r="J458" s="6" t="s">
        <v>6775</v>
      </c>
      <c r="K458" s="6" t="s">
        <v>3141</v>
      </c>
      <c r="L458" s="6" t="s">
        <v>75</v>
      </c>
      <c r="M458" s="6" t="s">
        <v>75</v>
      </c>
      <c r="N458" s="6" t="s">
        <v>75</v>
      </c>
      <c r="O458" s="6" t="s">
        <v>75</v>
      </c>
      <c r="P458" s="6" t="s">
        <v>6057</v>
      </c>
      <c r="Q458" s="6"/>
      <c r="R458" s="6" t="s">
        <v>6776</v>
      </c>
      <c r="S458" s="6" t="s">
        <v>23</v>
      </c>
      <c r="T458" s="6" t="s">
        <v>6777</v>
      </c>
      <c r="U458" s="6" t="s">
        <v>3140</v>
      </c>
      <c r="V458" s="6" t="s">
        <v>6778</v>
      </c>
      <c r="W458" s="6" t="s">
        <v>3747</v>
      </c>
      <c r="X458" s="6" t="s">
        <v>77</v>
      </c>
      <c r="Y458" s="6" t="s">
        <v>3140</v>
      </c>
      <c r="Z458" s="6" t="s">
        <v>194</v>
      </c>
      <c r="AA458" s="6" t="s">
        <v>3289</v>
      </c>
      <c r="AB458" s="6"/>
      <c r="AC458" s="6" t="s">
        <v>3141</v>
      </c>
      <c r="AD458" s="6" t="s">
        <v>3143</v>
      </c>
      <c r="AE458" s="6" t="s">
        <v>3428</v>
      </c>
      <c r="AF458" s="6" t="s">
        <v>6779</v>
      </c>
      <c r="AG458" s="6" t="s">
        <v>6780</v>
      </c>
      <c r="AH458" s="6" t="s">
        <v>79</v>
      </c>
    </row>
    <row r="459" spans="1:34" x14ac:dyDescent="0.25">
      <c r="A459" s="6" t="s">
        <v>1542</v>
      </c>
      <c r="B459" s="6" t="s">
        <v>1543</v>
      </c>
      <c r="C459" s="6" t="s">
        <v>6781</v>
      </c>
      <c r="D459" s="6" t="s">
        <v>1544</v>
      </c>
      <c r="E459" s="6" t="s">
        <v>3136</v>
      </c>
      <c r="F459" s="6" t="s">
        <v>3283</v>
      </c>
      <c r="G459" s="6" t="s">
        <v>143</v>
      </c>
      <c r="H459" s="6" t="s">
        <v>91</v>
      </c>
      <c r="I459" s="6" t="s">
        <v>92</v>
      </c>
      <c r="J459" s="6" t="s">
        <v>6782</v>
      </c>
      <c r="K459" s="6" t="s">
        <v>3140</v>
      </c>
      <c r="L459" s="6" t="s">
        <v>75</v>
      </c>
      <c r="M459" s="6" t="s">
        <v>3196</v>
      </c>
      <c r="N459" s="6" t="s">
        <v>3196</v>
      </c>
      <c r="O459" s="6" t="s">
        <v>3243</v>
      </c>
      <c r="P459" s="6" t="s">
        <v>6783</v>
      </c>
      <c r="Q459" s="6" t="s">
        <v>6784</v>
      </c>
      <c r="R459" s="6" t="s">
        <v>6785</v>
      </c>
      <c r="S459" s="6" t="s">
        <v>20</v>
      </c>
      <c r="T459" s="6" t="s">
        <v>6786</v>
      </c>
      <c r="U459" s="6" t="s">
        <v>3141</v>
      </c>
      <c r="V459" s="6" t="s">
        <v>6787</v>
      </c>
      <c r="W459" s="6" t="s">
        <v>3783</v>
      </c>
      <c r="X459" s="6" t="s">
        <v>3290</v>
      </c>
      <c r="Y459" s="6" t="s">
        <v>3159</v>
      </c>
      <c r="Z459" s="6" t="s">
        <v>93</v>
      </c>
      <c r="AA459" s="6" t="s">
        <v>4485</v>
      </c>
      <c r="AB459" s="6"/>
      <c r="AC459" s="6" t="s">
        <v>3141</v>
      </c>
      <c r="AD459" s="6" t="s">
        <v>3243</v>
      </c>
      <c r="AE459" s="6" t="s">
        <v>3136</v>
      </c>
      <c r="AF459" s="6"/>
      <c r="AG459" s="6" t="s">
        <v>6788</v>
      </c>
      <c r="AH459" s="6" t="s">
        <v>79</v>
      </c>
    </row>
    <row r="460" spans="1:34" x14ac:dyDescent="0.25">
      <c r="A460" s="6" t="s">
        <v>1545</v>
      </c>
      <c r="B460" s="6" t="s">
        <v>1546</v>
      </c>
      <c r="C460" s="6" t="s">
        <v>6789</v>
      </c>
      <c r="D460" s="6" t="s">
        <v>1547</v>
      </c>
      <c r="E460" s="6" t="s">
        <v>3570</v>
      </c>
      <c r="F460" s="6" t="s">
        <v>3369</v>
      </c>
      <c r="G460" s="6" t="s">
        <v>6790</v>
      </c>
      <c r="H460" s="6" t="s">
        <v>84</v>
      </c>
      <c r="I460" s="6" t="s">
        <v>74</v>
      </c>
      <c r="J460" s="6"/>
      <c r="K460" s="6" t="s">
        <v>3159</v>
      </c>
      <c r="L460" s="6" t="s">
        <v>3152</v>
      </c>
      <c r="M460" s="6" t="s">
        <v>3152</v>
      </c>
      <c r="N460" s="6" t="s">
        <v>3243</v>
      </c>
      <c r="O460" s="6" t="s">
        <v>3173</v>
      </c>
      <c r="P460" s="6" t="s">
        <v>6791</v>
      </c>
      <c r="Q460" s="6" t="s">
        <v>6792</v>
      </c>
      <c r="R460" s="6" t="s">
        <v>6793</v>
      </c>
      <c r="S460" s="6" t="s">
        <v>23</v>
      </c>
      <c r="T460" s="6" t="s">
        <v>3217</v>
      </c>
      <c r="U460" s="6" t="s">
        <v>3141</v>
      </c>
      <c r="V460" s="6" t="s">
        <v>6794</v>
      </c>
      <c r="W460" s="6" t="s">
        <v>5418</v>
      </c>
      <c r="X460" s="6" t="s">
        <v>85</v>
      </c>
      <c r="Y460" s="6" t="s">
        <v>3159</v>
      </c>
      <c r="Z460" s="6" t="s">
        <v>78</v>
      </c>
      <c r="AA460" s="6" t="s">
        <v>3477</v>
      </c>
      <c r="AB460" s="6"/>
      <c r="AC460" s="6" t="s">
        <v>3159</v>
      </c>
      <c r="AD460" s="6" t="s">
        <v>3143</v>
      </c>
      <c r="AE460" s="6" t="s">
        <v>3331</v>
      </c>
      <c r="AF460" s="6" t="s">
        <v>6795</v>
      </c>
      <c r="AG460" s="6" t="s">
        <v>6796</v>
      </c>
      <c r="AH460" s="6" t="s">
        <v>79</v>
      </c>
    </row>
    <row r="461" spans="1:34" x14ac:dyDescent="0.25">
      <c r="A461" s="6" t="s">
        <v>1548</v>
      </c>
      <c r="B461" s="6" t="s">
        <v>6797</v>
      </c>
      <c r="C461" s="6" t="s">
        <v>1549</v>
      </c>
      <c r="D461" s="6" t="s">
        <v>1550</v>
      </c>
      <c r="E461" s="6" t="s">
        <v>4025</v>
      </c>
      <c r="F461" s="6" t="s">
        <v>3283</v>
      </c>
      <c r="G461" s="6" t="s">
        <v>174</v>
      </c>
      <c r="H461" s="6" t="s">
        <v>73</v>
      </c>
      <c r="I461" s="6" t="s">
        <v>74</v>
      </c>
      <c r="J461" s="6"/>
      <c r="K461" s="6" t="s">
        <v>3159</v>
      </c>
      <c r="L461" s="6" t="s">
        <v>3243</v>
      </c>
      <c r="M461" s="6" t="s">
        <v>3141</v>
      </c>
      <c r="N461" s="6" t="s">
        <v>3143</v>
      </c>
      <c r="O461" s="6" t="s">
        <v>3159</v>
      </c>
      <c r="P461" s="6" t="s">
        <v>6798</v>
      </c>
      <c r="Q461" s="6" t="s">
        <v>6799</v>
      </c>
      <c r="R461" s="6" t="s">
        <v>6800</v>
      </c>
      <c r="S461" s="6" t="s">
        <v>21</v>
      </c>
      <c r="T461" s="6" t="s">
        <v>6801</v>
      </c>
      <c r="U461" s="6" t="s">
        <v>3141</v>
      </c>
      <c r="V461" s="6" t="s">
        <v>6802</v>
      </c>
      <c r="W461" s="6" t="s">
        <v>3489</v>
      </c>
      <c r="X461" s="6" t="s">
        <v>85</v>
      </c>
      <c r="Y461" s="6" t="s">
        <v>3140</v>
      </c>
      <c r="Z461" s="6" t="s">
        <v>78</v>
      </c>
      <c r="AA461" s="6" t="s">
        <v>3994</v>
      </c>
      <c r="AB461" s="6"/>
      <c r="AC461" s="6" t="s">
        <v>3141</v>
      </c>
      <c r="AD461" s="6" t="s">
        <v>3152</v>
      </c>
      <c r="AE461" s="6" t="s">
        <v>3235</v>
      </c>
      <c r="AF461" s="6"/>
      <c r="AG461" s="6" t="s">
        <v>6803</v>
      </c>
      <c r="AH461" s="6" t="s">
        <v>79</v>
      </c>
    </row>
    <row r="462" spans="1:34" x14ac:dyDescent="0.25">
      <c r="A462" s="6" t="s">
        <v>1551</v>
      </c>
      <c r="B462" s="6" t="s">
        <v>1552</v>
      </c>
      <c r="C462" s="6" t="s">
        <v>1553</v>
      </c>
      <c r="D462" s="6" t="s">
        <v>1554</v>
      </c>
      <c r="E462" s="6" t="s">
        <v>3268</v>
      </c>
      <c r="F462" s="6" t="s">
        <v>3358</v>
      </c>
      <c r="G462" s="6" t="s">
        <v>115</v>
      </c>
      <c r="H462" s="6" t="s">
        <v>107</v>
      </c>
      <c r="I462" s="6" t="s">
        <v>92</v>
      </c>
      <c r="J462" s="6"/>
      <c r="K462" s="6" t="s">
        <v>3159</v>
      </c>
      <c r="L462" s="6" t="s">
        <v>3188</v>
      </c>
      <c r="M462" s="6" t="s">
        <v>3160</v>
      </c>
      <c r="N462" s="6" t="s">
        <v>3243</v>
      </c>
      <c r="O462" s="6" t="s">
        <v>3160</v>
      </c>
      <c r="P462" s="6" t="s">
        <v>6804</v>
      </c>
      <c r="Q462" s="6"/>
      <c r="R462" s="6" t="s">
        <v>6805</v>
      </c>
      <c r="S462" s="6" t="s">
        <v>21</v>
      </c>
      <c r="T462" s="6" t="s">
        <v>6806</v>
      </c>
      <c r="U462" s="6" t="s">
        <v>3192</v>
      </c>
      <c r="V462" s="6" t="s">
        <v>6332</v>
      </c>
      <c r="W462" s="6" t="s">
        <v>3673</v>
      </c>
      <c r="X462" s="6" t="s">
        <v>77</v>
      </c>
      <c r="Y462" s="6" t="s">
        <v>3292</v>
      </c>
      <c r="Z462" s="6" t="s">
        <v>194</v>
      </c>
      <c r="AA462" s="6" t="s">
        <v>3289</v>
      </c>
      <c r="AB462" s="6" t="s">
        <v>6807</v>
      </c>
      <c r="AC462" s="6" t="s">
        <v>3292</v>
      </c>
      <c r="AD462" s="6" t="s">
        <v>3243</v>
      </c>
      <c r="AE462" s="6" t="s">
        <v>3293</v>
      </c>
      <c r="AF462" s="6"/>
      <c r="AG462" s="6"/>
      <c r="AH462" s="6" t="s">
        <v>79</v>
      </c>
    </row>
    <row r="463" spans="1:34" x14ac:dyDescent="0.25">
      <c r="A463" s="6" t="s">
        <v>1555</v>
      </c>
      <c r="B463" s="6" t="s">
        <v>1556</v>
      </c>
      <c r="C463" s="6" t="s">
        <v>6808</v>
      </c>
      <c r="D463" s="6" t="s">
        <v>6809</v>
      </c>
      <c r="E463" s="6" t="s">
        <v>3388</v>
      </c>
      <c r="F463" s="6" t="s">
        <v>3227</v>
      </c>
      <c r="G463" s="6" t="s">
        <v>83</v>
      </c>
      <c r="H463" s="6" t="s">
        <v>73</v>
      </c>
      <c r="I463" s="6" t="s">
        <v>74</v>
      </c>
      <c r="J463" s="6" t="s">
        <v>6810</v>
      </c>
      <c r="K463" s="6" t="s">
        <v>3140</v>
      </c>
      <c r="L463" s="6" t="s">
        <v>3196</v>
      </c>
      <c r="M463" s="6" t="s">
        <v>3159</v>
      </c>
      <c r="N463" s="6" t="s">
        <v>3243</v>
      </c>
      <c r="O463" s="6" t="s">
        <v>3152</v>
      </c>
      <c r="P463" s="6" t="s">
        <v>6811</v>
      </c>
      <c r="Q463" s="6" t="s">
        <v>6812</v>
      </c>
      <c r="R463" s="6" t="s">
        <v>6813</v>
      </c>
      <c r="S463" s="6" t="s">
        <v>22</v>
      </c>
      <c r="T463" s="6" t="s">
        <v>3217</v>
      </c>
      <c r="U463" s="6" t="s">
        <v>3141</v>
      </c>
      <c r="V463" s="6" t="s">
        <v>5357</v>
      </c>
      <c r="W463" s="6" t="s">
        <v>6628</v>
      </c>
      <c r="X463" s="6" t="s">
        <v>77</v>
      </c>
      <c r="Y463" s="6" t="s">
        <v>3141</v>
      </c>
      <c r="Z463" s="6" t="s">
        <v>3329</v>
      </c>
      <c r="AA463" s="6" t="s">
        <v>6591</v>
      </c>
      <c r="AB463" s="6"/>
      <c r="AC463" s="6" t="s">
        <v>3141</v>
      </c>
      <c r="AD463" s="6" t="s">
        <v>3188</v>
      </c>
      <c r="AE463" s="6" t="s">
        <v>3279</v>
      </c>
      <c r="AF463" s="6" t="s">
        <v>6814</v>
      </c>
      <c r="AG463" s="6" t="s">
        <v>6815</v>
      </c>
      <c r="AH463" s="6" t="s">
        <v>79</v>
      </c>
    </row>
    <row r="464" spans="1:34" x14ac:dyDescent="0.25">
      <c r="A464" s="6" t="s">
        <v>1558</v>
      </c>
      <c r="B464" s="6" t="s">
        <v>1559</v>
      </c>
      <c r="C464" s="6"/>
      <c r="D464" s="6" t="s">
        <v>1560</v>
      </c>
      <c r="E464" s="6" t="s">
        <v>3185</v>
      </c>
      <c r="F464" s="6" t="s">
        <v>3283</v>
      </c>
      <c r="G464" s="6" t="s">
        <v>6816</v>
      </c>
      <c r="H464" s="6" t="s">
        <v>91</v>
      </c>
      <c r="I464" s="6" t="s">
        <v>92</v>
      </c>
      <c r="J464" s="6" t="s">
        <v>6817</v>
      </c>
      <c r="K464" s="6" t="s">
        <v>3159</v>
      </c>
      <c r="L464" s="6" t="s">
        <v>3159</v>
      </c>
      <c r="M464" s="6" t="s">
        <v>75</v>
      </c>
      <c r="N464" s="6" t="s">
        <v>3152</v>
      </c>
      <c r="O464" s="6" t="s">
        <v>75</v>
      </c>
      <c r="P464" s="6" t="s">
        <v>6818</v>
      </c>
      <c r="Q464" s="6" t="s">
        <v>6819</v>
      </c>
      <c r="R464" s="6" t="s">
        <v>6820</v>
      </c>
      <c r="S464" s="6" t="s">
        <v>22</v>
      </c>
      <c r="T464" s="6"/>
      <c r="U464" s="6" t="s">
        <v>3141</v>
      </c>
      <c r="V464" s="6" t="s">
        <v>6821</v>
      </c>
      <c r="W464" s="6" t="s">
        <v>4050</v>
      </c>
      <c r="X464" s="6" t="s">
        <v>77</v>
      </c>
      <c r="Y464" s="6" t="s">
        <v>3292</v>
      </c>
      <c r="Z464" s="6" t="s">
        <v>93</v>
      </c>
      <c r="AA464" s="6" t="s">
        <v>4592</v>
      </c>
      <c r="AB464" s="6"/>
      <c r="AC464" s="6" t="s">
        <v>3141</v>
      </c>
      <c r="AD464" s="6" t="s">
        <v>3160</v>
      </c>
      <c r="AE464" s="6" t="s">
        <v>3323</v>
      </c>
      <c r="AF464" s="6" t="s">
        <v>6822</v>
      </c>
      <c r="AG464" s="6" t="s">
        <v>6823</v>
      </c>
      <c r="AH464" s="6" t="s">
        <v>79</v>
      </c>
    </row>
    <row r="465" spans="1:34" x14ac:dyDescent="0.25">
      <c r="A465" s="6" t="s">
        <v>1561</v>
      </c>
      <c r="B465" s="6" t="s">
        <v>1562</v>
      </c>
      <c r="C465" s="6" t="s">
        <v>1563</v>
      </c>
      <c r="D465" s="6" t="s">
        <v>1564</v>
      </c>
      <c r="E465" s="6" t="s">
        <v>3647</v>
      </c>
      <c r="F465" s="6" t="s">
        <v>3283</v>
      </c>
      <c r="G465" s="6" t="s">
        <v>120</v>
      </c>
      <c r="H465" s="6" t="s">
        <v>107</v>
      </c>
      <c r="I465" s="6" t="s">
        <v>92</v>
      </c>
      <c r="J465" s="6" t="s">
        <v>6824</v>
      </c>
      <c r="K465" s="6" t="s">
        <v>3140</v>
      </c>
      <c r="L465" s="6" t="s">
        <v>3243</v>
      </c>
      <c r="M465" s="6" t="s">
        <v>3142</v>
      </c>
      <c r="N465" s="6" t="s">
        <v>3173</v>
      </c>
      <c r="O465" s="6" t="s">
        <v>3143</v>
      </c>
      <c r="P465" s="6" t="s">
        <v>4776</v>
      </c>
      <c r="Q465" s="6" t="s">
        <v>3217</v>
      </c>
      <c r="R465" s="6" t="s">
        <v>6825</v>
      </c>
      <c r="S465" s="6" t="s">
        <v>21</v>
      </c>
      <c r="T465" s="6" t="s">
        <v>6826</v>
      </c>
      <c r="U465" s="6" t="s">
        <v>3141</v>
      </c>
      <c r="V465" s="6" t="s">
        <v>5215</v>
      </c>
      <c r="W465" s="6" t="s">
        <v>3532</v>
      </c>
      <c r="X465" s="6" t="s">
        <v>77</v>
      </c>
      <c r="Y465" s="6" t="s">
        <v>3140</v>
      </c>
      <c r="Z465" s="6" t="s">
        <v>78</v>
      </c>
      <c r="AA465" s="6" t="s">
        <v>3663</v>
      </c>
      <c r="AB465" s="6"/>
      <c r="AC465" s="6" t="s">
        <v>3141</v>
      </c>
      <c r="AD465" s="6" t="s">
        <v>3143</v>
      </c>
      <c r="AE465" s="6" t="s">
        <v>3235</v>
      </c>
      <c r="AF465" s="6"/>
      <c r="AG465" s="6" t="s">
        <v>6827</v>
      </c>
      <c r="AH465" s="6" t="s">
        <v>79</v>
      </c>
    </row>
    <row r="466" spans="1:34" x14ac:dyDescent="0.25">
      <c r="A466" s="6" t="s">
        <v>1565</v>
      </c>
      <c r="B466" s="6" t="s">
        <v>6828</v>
      </c>
      <c r="C466" s="6" t="s">
        <v>6829</v>
      </c>
      <c r="D466" s="6" t="s">
        <v>1567</v>
      </c>
      <c r="E466" s="6" t="s">
        <v>3136</v>
      </c>
      <c r="F466" s="6" t="s">
        <v>89</v>
      </c>
      <c r="G466" s="6" t="s">
        <v>4823</v>
      </c>
      <c r="H466" s="6" t="s">
        <v>73</v>
      </c>
      <c r="I466" s="6" t="s">
        <v>74</v>
      </c>
      <c r="J466" s="6"/>
      <c r="K466" s="6" t="s">
        <v>3141</v>
      </c>
      <c r="L466" s="6" t="s">
        <v>3143</v>
      </c>
      <c r="M466" s="6" t="s">
        <v>75</v>
      </c>
      <c r="N466" s="6" t="s">
        <v>75</v>
      </c>
      <c r="O466" s="6" t="s">
        <v>75</v>
      </c>
      <c r="P466" s="6" t="s">
        <v>5575</v>
      </c>
      <c r="Q466" s="6" t="s">
        <v>3217</v>
      </c>
      <c r="R466" s="6" t="s">
        <v>6830</v>
      </c>
      <c r="S466" s="6" t="s">
        <v>22</v>
      </c>
      <c r="T466" s="6"/>
      <c r="U466" s="6" t="s">
        <v>3141</v>
      </c>
      <c r="V466" s="6" t="s">
        <v>6831</v>
      </c>
      <c r="W466" s="6" t="s">
        <v>3489</v>
      </c>
      <c r="X466" s="6" t="s">
        <v>77</v>
      </c>
      <c r="Y466" s="6" t="s">
        <v>3159</v>
      </c>
      <c r="Z466" s="6" t="s">
        <v>93</v>
      </c>
      <c r="AA466" s="6" t="s">
        <v>3477</v>
      </c>
      <c r="AB466" s="6" t="s">
        <v>6832</v>
      </c>
      <c r="AC466" s="6" t="s">
        <v>3141</v>
      </c>
      <c r="AD466" s="6" t="s">
        <v>3152</v>
      </c>
      <c r="AE466" s="6" t="s">
        <v>3622</v>
      </c>
      <c r="AF466" s="6" t="s">
        <v>6833</v>
      </c>
      <c r="AG466" s="6" t="s">
        <v>6834</v>
      </c>
      <c r="AH466" s="6" t="s">
        <v>3657</v>
      </c>
    </row>
    <row r="467" spans="1:34" x14ac:dyDescent="0.25">
      <c r="A467" s="6" t="s">
        <v>1568</v>
      </c>
      <c r="B467" s="6" t="s">
        <v>1569</v>
      </c>
      <c r="C467" s="6"/>
      <c r="D467" s="6" t="s">
        <v>1570</v>
      </c>
      <c r="E467" s="6" t="s">
        <v>3970</v>
      </c>
      <c r="F467" s="6" t="s">
        <v>3201</v>
      </c>
      <c r="G467" s="6" t="s">
        <v>226</v>
      </c>
      <c r="H467" s="6" t="s">
        <v>6835</v>
      </c>
      <c r="I467" s="6" t="s">
        <v>74</v>
      </c>
      <c r="J467" s="6" t="s">
        <v>6836</v>
      </c>
      <c r="K467" s="6" t="s">
        <v>3159</v>
      </c>
      <c r="L467" s="6" t="s">
        <v>75</v>
      </c>
      <c r="M467" s="6" t="s">
        <v>3243</v>
      </c>
      <c r="N467" s="6" t="s">
        <v>3141</v>
      </c>
      <c r="O467" s="6" t="s">
        <v>3196</v>
      </c>
      <c r="P467" s="6" t="s">
        <v>6128</v>
      </c>
      <c r="Q467" s="6" t="s">
        <v>6837</v>
      </c>
      <c r="R467" s="6" t="s">
        <v>6838</v>
      </c>
      <c r="S467" s="6" t="s">
        <v>21</v>
      </c>
      <c r="T467" s="6" t="s">
        <v>6839</v>
      </c>
      <c r="U467" s="6" t="s">
        <v>3275</v>
      </c>
      <c r="V467" s="6" t="s">
        <v>4435</v>
      </c>
      <c r="W467" s="6" t="s">
        <v>3262</v>
      </c>
      <c r="X467" s="6" t="s">
        <v>85</v>
      </c>
      <c r="Y467" s="6" t="s">
        <v>3192</v>
      </c>
      <c r="Z467" s="6" t="s">
        <v>78</v>
      </c>
      <c r="AA467" s="6" t="s">
        <v>4675</v>
      </c>
      <c r="AB467" s="6"/>
      <c r="AC467" s="6" t="s">
        <v>3141</v>
      </c>
      <c r="AD467" s="6" t="s">
        <v>3141</v>
      </c>
      <c r="AE467" s="6" t="s">
        <v>3235</v>
      </c>
      <c r="AF467" s="6"/>
      <c r="AG467" s="6"/>
      <c r="AH467" s="6" t="s">
        <v>79</v>
      </c>
    </row>
    <row r="468" spans="1:34" x14ac:dyDescent="0.25">
      <c r="A468" s="6" t="s">
        <v>1571</v>
      </c>
      <c r="B468" s="6" t="s">
        <v>909</v>
      </c>
      <c r="C468" s="6" t="s">
        <v>1572</v>
      </c>
      <c r="D468" s="6" t="s">
        <v>1573</v>
      </c>
      <c r="E468" s="6" t="s">
        <v>3471</v>
      </c>
      <c r="F468" s="6" t="s">
        <v>89</v>
      </c>
      <c r="G468" s="6" t="s">
        <v>83</v>
      </c>
      <c r="H468" s="6" t="s">
        <v>144</v>
      </c>
      <c r="I468" s="6" t="s">
        <v>92</v>
      </c>
      <c r="J468" s="6" t="s">
        <v>6840</v>
      </c>
      <c r="K468" s="6" t="s">
        <v>3140</v>
      </c>
      <c r="L468" s="6" t="s">
        <v>3142</v>
      </c>
      <c r="M468" s="6" t="s">
        <v>3243</v>
      </c>
      <c r="N468" s="6" t="s">
        <v>3160</v>
      </c>
      <c r="O468" s="6" t="s">
        <v>3196</v>
      </c>
      <c r="P468" s="6" t="s">
        <v>6386</v>
      </c>
      <c r="Q468" s="6"/>
      <c r="R468" s="6" t="s">
        <v>6841</v>
      </c>
      <c r="S468" s="6" t="s">
        <v>22</v>
      </c>
      <c r="T468" s="6" t="s">
        <v>6842</v>
      </c>
      <c r="U468" s="6" t="s">
        <v>3192</v>
      </c>
      <c r="V468" s="6" t="s">
        <v>6843</v>
      </c>
      <c r="W468" s="6" t="s">
        <v>4463</v>
      </c>
      <c r="X468" s="6" t="s">
        <v>85</v>
      </c>
      <c r="Y468" s="6" t="s">
        <v>3140</v>
      </c>
      <c r="Z468" s="6" t="s">
        <v>3614</v>
      </c>
      <c r="AA468" s="6" t="s">
        <v>4463</v>
      </c>
      <c r="AB468" s="6" t="s">
        <v>6844</v>
      </c>
      <c r="AC468" s="6" t="s">
        <v>3141</v>
      </c>
      <c r="AD468" s="6" t="s">
        <v>3143</v>
      </c>
      <c r="AE468" s="6" t="s">
        <v>3323</v>
      </c>
      <c r="AF468" s="6" t="s">
        <v>6845</v>
      </c>
      <c r="AG468" s="6" t="s">
        <v>6846</v>
      </c>
      <c r="AH468" s="6" t="s">
        <v>79</v>
      </c>
    </row>
    <row r="469" spans="1:34" x14ac:dyDescent="0.25">
      <c r="A469" s="6" t="s">
        <v>1574</v>
      </c>
      <c r="B469" s="6" t="s">
        <v>1575</v>
      </c>
      <c r="C469" s="6" t="s">
        <v>6847</v>
      </c>
      <c r="D469" s="6" t="s">
        <v>1576</v>
      </c>
      <c r="E469" s="6" t="s">
        <v>4542</v>
      </c>
      <c r="F469" s="6" t="s">
        <v>3283</v>
      </c>
      <c r="G469" s="6" t="s">
        <v>4243</v>
      </c>
      <c r="H469" s="6" t="s">
        <v>99</v>
      </c>
      <c r="I469" s="6" t="s">
        <v>74</v>
      </c>
      <c r="J469" s="6" t="s">
        <v>6848</v>
      </c>
      <c r="K469" s="6" t="s">
        <v>3159</v>
      </c>
      <c r="L469" s="6" t="s">
        <v>3173</v>
      </c>
      <c r="M469" s="6" t="s">
        <v>3243</v>
      </c>
      <c r="N469" s="6" t="s">
        <v>3143</v>
      </c>
      <c r="O469" s="6" t="s">
        <v>3141</v>
      </c>
      <c r="P469" s="6" t="s">
        <v>6084</v>
      </c>
      <c r="Q469" s="6" t="s">
        <v>6849</v>
      </c>
      <c r="R469" s="6" t="s">
        <v>6850</v>
      </c>
      <c r="S469" s="6" t="s">
        <v>22</v>
      </c>
      <c r="T469" s="6" t="s">
        <v>6851</v>
      </c>
      <c r="U469" s="6" t="s">
        <v>3141</v>
      </c>
      <c r="V469" s="6" t="s">
        <v>3907</v>
      </c>
      <c r="W469" s="6" t="s">
        <v>5418</v>
      </c>
      <c r="X469" s="6" t="s">
        <v>161</v>
      </c>
      <c r="Y469" s="6" t="s">
        <v>3141</v>
      </c>
      <c r="Z469" s="6" t="s">
        <v>78</v>
      </c>
      <c r="AA469" s="6" t="s">
        <v>4563</v>
      </c>
      <c r="AB469" s="6"/>
      <c r="AC469" s="6" t="s">
        <v>3141</v>
      </c>
      <c r="AD469" s="6" t="s">
        <v>3152</v>
      </c>
      <c r="AE469" s="6" t="s">
        <v>3622</v>
      </c>
      <c r="AF469" s="6" t="s">
        <v>6852</v>
      </c>
      <c r="AG469" s="6" t="s">
        <v>6853</v>
      </c>
      <c r="AH469" s="6" t="s">
        <v>79</v>
      </c>
    </row>
    <row r="470" spans="1:34" x14ac:dyDescent="0.25">
      <c r="A470" s="6" t="s">
        <v>1577</v>
      </c>
      <c r="B470" s="6" t="s">
        <v>1128</v>
      </c>
      <c r="C470" s="6"/>
      <c r="D470" s="6" t="s">
        <v>1578</v>
      </c>
      <c r="E470" s="6" t="s">
        <v>3636</v>
      </c>
      <c r="F470" s="6" t="s">
        <v>3201</v>
      </c>
      <c r="G470" s="6" t="s">
        <v>143</v>
      </c>
      <c r="H470" s="6" t="s">
        <v>6319</v>
      </c>
      <c r="I470" s="6" t="s">
        <v>74</v>
      </c>
      <c r="J470" s="6" t="s">
        <v>6854</v>
      </c>
      <c r="K470" s="6" t="s">
        <v>3159</v>
      </c>
      <c r="L470" s="6" t="s">
        <v>3188</v>
      </c>
      <c r="M470" s="6" t="s">
        <v>75</v>
      </c>
      <c r="N470" s="6" t="s">
        <v>3243</v>
      </c>
      <c r="O470" s="6" t="s">
        <v>3152</v>
      </c>
      <c r="P470" s="6" t="s">
        <v>5617</v>
      </c>
      <c r="Q470" s="6"/>
      <c r="R470" s="6" t="s">
        <v>6855</v>
      </c>
      <c r="S470" s="6" t="s">
        <v>21</v>
      </c>
      <c r="T470" s="6" t="s">
        <v>6856</v>
      </c>
      <c r="U470" s="6" t="s">
        <v>3159</v>
      </c>
      <c r="V470" s="6" t="s">
        <v>6857</v>
      </c>
      <c r="W470" s="6" t="s">
        <v>4135</v>
      </c>
      <c r="X470" s="6" t="s">
        <v>77</v>
      </c>
      <c r="Y470" s="6" t="s">
        <v>3292</v>
      </c>
      <c r="Z470" s="6" t="s">
        <v>78</v>
      </c>
      <c r="AA470" s="6" t="s">
        <v>3149</v>
      </c>
      <c r="AB470" s="6"/>
      <c r="AC470" s="6" t="s">
        <v>3141</v>
      </c>
      <c r="AD470" s="6" t="s">
        <v>3143</v>
      </c>
      <c r="AE470" s="6" t="s">
        <v>3136</v>
      </c>
      <c r="AF470" s="6"/>
      <c r="AG470" s="6"/>
      <c r="AH470" s="6" t="s">
        <v>79</v>
      </c>
    </row>
    <row r="471" spans="1:34" x14ac:dyDescent="0.25">
      <c r="A471" s="6" t="s">
        <v>1579</v>
      </c>
      <c r="B471" s="6" t="s">
        <v>1580</v>
      </c>
      <c r="C471" s="6" t="s">
        <v>6858</v>
      </c>
      <c r="D471" s="6" t="s">
        <v>6859</v>
      </c>
      <c r="E471" s="6" t="s">
        <v>4542</v>
      </c>
      <c r="F471" s="6" t="s">
        <v>71</v>
      </c>
      <c r="G471" s="6" t="s">
        <v>3370</v>
      </c>
      <c r="H471" s="6" t="s">
        <v>91</v>
      </c>
      <c r="I471" s="6" t="s">
        <v>92</v>
      </c>
      <c r="J471" s="6"/>
      <c r="K471" s="6" t="s">
        <v>3140</v>
      </c>
      <c r="L471" s="6" t="s">
        <v>3196</v>
      </c>
      <c r="M471" s="6" t="s">
        <v>3173</v>
      </c>
      <c r="N471" s="6" t="s">
        <v>3152</v>
      </c>
      <c r="O471" s="6" t="s">
        <v>3160</v>
      </c>
      <c r="P471" s="6" t="s">
        <v>6860</v>
      </c>
      <c r="Q471" s="6" t="s">
        <v>6861</v>
      </c>
      <c r="R471" s="6" t="s">
        <v>6862</v>
      </c>
      <c r="S471" s="6" t="s">
        <v>20</v>
      </c>
      <c r="T471" s="6" t="s">
        <v>6863</v>
      </c>
      <c r="U471" s="6" t="s">
        <v>3141</v>
      </c>
      <c r="V471" s="6" t="s">
        <v>4092</v>
      </c>
      <c r="W471" s="6" t="s">
        <v>3603</v>
      </c>
      <c r="X471" s="6" t="s">
        <v>77</v>
      </c>
      <c r="Y471" s="6" t="s">
        <v>3159</v>
      </c>
      <c r="Z471" s="6" t="s">
        <v>93</v>
      </c>
      <c r="AA471" s="6" t="s">
        <v>3728</v>
      </c>
      <c r="AB471" s="6"/>
      <c r="AC471" s="6" t="s">
        <v>3141</v>
      </c>
      <c r="AD471" s="6" t="s">
        <v>3196</v>
      </c>
      <c r="AE471" s="6" t="s">
        <v>3136</v>
      </c>
      <c r="AF471" s="6"/>
      <c r="AG471" s="6" t="s">
        <v>6864</v>
      </c>
      <c r="AH471" s="6" t="s">
        <v>79</v>
      </c>
    </row>
    <row r="472" spans="1:34" x14ac:dyDescent="0.25">
      <c r="A472" s="6" t="s">
        <v>1582</v>
      </c>
      <c r="B472" s="6" t="s">
        <v>1583</v>
      </c>
      <c r="C472" s="6" t="s">
        <v>1584</v>
      </c>
      <c r="D472" s="6" t="s">
        <v>1585</v>
      </c>
      <c r="E472" s="6" t="s">
        <v>3647</v>
      </c>
      <c r="F472" s="6" t="s">
        <v>89</v>
      </c>
      <c r="G472" s="6" t="s">
        <v>417</v>
      </c>
      <c r="H472" s="6" t="s">
        <v>91</v>
      </c>
      <c r="I472" s="6" t="s">
        <v>92</v>
      </c>
      <c r="J472" s="6" t="s">
        <v>6865</v>
      </c>
      <c r="K472" s="6" t="s">
        <v>3140</v>
      </c>
      <c r="L472" s="6" t="s">
        <v>3159</v>
      </c>
      <c r="M472" s="6" t="s">
        <v>3188</v>
      </c>
      <c r="N472" s="6" t="s">
        <v>75</v>
      </c>
      <c r="O472" s="6" t="s">
        <v>3141</v>
      </c>
      <c r="P472" s="6" t="s">
        <v>6866</v>
      </c>
      <c r="Q472" s="6"/>
      <c r="R472" s="6" t="s">
        <v>6867</v>
      </c>
      <c r="S472" s="6" t="s">
        <v>21</v>
      </c>
      <c r="T472" s="6" t="s">
        <v>6868</v>
      </c>
      <c r="U472" s="6" t="s">
        <v>3141</v>
      </c>
      <c r="V472" s="6" t="s">
        <v>6869</v>
      </c>
      <c r="W472" s="6" t="s">
        <v>5038</v>
      </c>
      <c r="X472" s="6" t="s">
        <v>77</v>
      </c>
      <c r="Y472" s="6" t="s">
        <v>3159</v>
      </c>
      <c r="Z472" s="6" t="s">
        <v>93</v>
      </c>
      <c r="AA472" s="6" t="s">
        <v>6870</v>
      </c>
      <c r="AB472" s="6"/>
      <c r="AC472" s="6" t="s">
        <v>3159</v>
      </c>
      <c r="AD472" s="6" t="s">
        <v>3152</v>
      </c>
      <c r="AE472" s="6" t="s">
        <v>3293</v>
      </c>
      <c r="AF472" s="6"/>
      <c r="AG472" s="6"/>
      <c r="AH472" s="6" t="s">
        <v>79</v>
      </c>
    </row>
    <row r="473" spans="1:34" x14ac:dyDescent="0.25">
      <c r="A473" s="6" t="s">
        <v>1586</v>
      </c>
      <c r="B473" s="6" t="s">
        <v>1587</v>
      </c>
      <c r="C473" s="6" t="s">
        <v>6871</v>
      </c>
      <c r="D473" s="6" t="s">
        <v>1588</v>
      </c>
      <c r="E473" s="6" t="s">
        <v>3157</v>
      </c>
      <c r="F473" s="6" t="s">
        <v>71</v>
      </c>
      <c r="G473" s="6" t="s">
        <v>115</v>
      </c>
      <c r="H473" s="6" t="s">
        <v>99</v>
      </c>
      <c r="I473" s="6" t="s">
        <v>74</v>
      </c>
      <c r="J473" s="6" t="s">
        <v>6872</v>
      </c>
      <c r="K473" s="6" t="s">
        <v>3159</v>
      </c>
      <c r="L473" s="6" t="s">
        <v>75</v>
      </c>
      <c r="M473" s="6" t="s">
        <v>3142</v>
      </c>
      <c r="N473" s="6" t="s">
        <v>3160</v>
      </c>
      <c r="O473" s="6" t="s">
        <v>3143</v>
      </c>
      <c r="P473" s="6"/>
      <c r="Q473" s="6" t="s">
        <v>6873</v>
      </c>
      <c r="R473" s="6" t="s">
        <v>6874</v>
      </c>
      <c r="S473" s="6" t="s">
        <v>23</v>
      </c>
      <c r="T473" s="6" t="s">
        <v>6875</v>
      </c>
      <c r="U473" s="6" t="s">
        <v>3141</v>
      </c>
      <c r="V473" s="6" t="s">
        <v>6177</v>
      </c>
      <c r="W473" s="6" t="s">
        <v>3180</v>
      </c>
      <c r="X473" s="6" t="s">
        <v>85</v>
      </c>
      <c r="Y473" s="6" t="s">
        <v>3292</v>
      </c>
      <c r="Z473" s="6" t="s">
        <v>93</v>
      </c>
      <c r="AA473" s="6" t="s">
        <v>6876</v>
      </c>
      <c r="AB473" s="6"/>
      <c r="AC473" s="6" t="s">
        <v>3159</v>
      </c>
      <c r="AD473" s="6" t="s">
        <v>3160</v>
      </c>
      <c r="AE473" s="6" t="s">
        <v>3428</v>
      </c>
      <c r="AF473" s="6" t="s">
        <v>6877</v>
      </c>
      <c r="AG473" s="6" t="s">
        <v>5487</v>
      </c>
      <c r="AH473" s="6" t="s">
        <v>79</v>
      </c>
    </row>
    <row r="474" spans="1:34" x14ac:dyDescent="0.25">
      <c r="A474" s="6" t="s">
        <v>1589</v>
      </c>
      <c r="B474" s="6" t="s">
        <v>1291</v>
      </c>
      <c r="C474" s="6" t="s">
        <v>6878</v>
      </c>
      <c r="D474" s="6" t="s">
        <v>1590</v>
      </c>
      <c r="E474" s="6" t="s">
        <v>4025</v>
      </c>
      <c r="F474" s="6" t="s">
        <v>3137</v>
      </c>
      <c r="G474" s="6" t="s">
        <v>6879</v>
      </c>
      <c r="H474" s="6" t="s">
        <v>132</v>
      </c>
      <c r="I474" s="6" t="s">
        <v>92</v>
      </c>
      <c r="J474" s="6" t="s">
        <v>6880</v>
      </c>
      <c r="K474" s="6" t="s">
        <v>3140</v>
      </c>
      <c r="L474" s="6" t="s">
        <v>3173</v>
      </c>
      <c r="M474" s="6" t="s">
        <v>3243</v>
      </c>
      <c r="N474" s="6" t="s">
        <v>3159</v>
      </c>
      <c r="O474" s="6" t="s">
        <v>75</v>
      </c>
      <c r="P474" s="6" t="s">
        <v>5254</v>
      </c>
      <c r="Q474" s="6" t="s">
        <v>3217</v>
      </c>
      <c r="R474" s="6" t="s">
        <v>6881</v>
      </c>
      <c r="S474" s="6" t="s">
        <v>20</v>
      </c>
      <c r="T474" s="6" t="s">
        <v>6882</v>
      </c>
      <c r="U474" s="6" t="s">
        <v>3140</v>
      </c>
      <c r="V474" s="6" t="s">
        <v>6883</v>
      </c>
      <c r="W474" s="6" t="s">
        <v>4684</v>
      </c>
      <c r="X474" s="6" t="s">
        <v>77</v>
      </c>
      <c r="Y474" s="6" t="s">
        <v>3141</v>
      </c>
      <c r="Z474" s="6" t="s">
        <v>93</v>
      </c>
      <c r="AA474" s="6" t="s">
        <v>3791</v>
      </c>
      <c r="AB474" s="6"/>
      <c r="AC474" s="6" t="s">
        <v>3141</v>
      </c>
      <c r="AD474" s="6" t="s">
        <v>3143</v>
      </c>
      <c r="AE474" s="6" t="s">
        <v>3169</v>
      </c>
      <c r="AF474" s="6"/>
      <c r="AG474" s="6" t="s">
        <v>6884</v>
      </c>
      <c r="AH474" s="6" t="s">
        <v>79</v>
      </c>
    </row>
    <row r="475" spans="1:34" x14ac:dyDescent="0.25">
      <c r="A475" s="6" t="s">
        <v>1591</v>
      </c>
      <c r="B475" s="6" t="s">
        <v>1592</v>
      </c>
      <c r="C475" s="6" t="s">
        <v>6885</v>
      </c>
      <c r="D475" s="6" t="s">
        <v>6886</v>
      </c>
      <c r="E475" s="6" t="s">
        <v>4687</v>
      </c>
      <c r="F475" s="6" t="s">
        <v>3201</v>
      </c>
      <c r="G475" s="6" t="s">
        <v>417</v>
      </c>
      <c r="H475" s="6" t="s">
        <v>144</v>
      </c>
      <c r="I475" s="6" t="s">
        <v>92</v>
      </c>
      <c r="J475" s="6" t="s">
        <v>6887</v>
      </c>
      <c r="K475" s="6" t="s">
        <v>3159</v>
      </c>
      <c r="L475" s="6" t="s">
        <v>75</v>
      </c>
      <c r="M475" s="6" t="s">
        <v>76</v>
      </c>
      <c r="N475" s="6" t="s">
        <v>75</v>
      </c>
      <c r="O475" s="6" t="s">
        <v>3243</v>
      </c>
      <c r="P475" s="6" t="s">
        <v>3762</v>
      </c>
      <c r="Q475" s="6" t="s">
        <v>6888</v>
      </c>
      <c r="R475" s="6" t="s">
        <v>6889</v>
      </c>
      <c r="S475" s="6" t="s">
        <v>22</v>
      </c>
      <c r="T475" s="6" t="s">
        <v>6890</v>
      </c>
      <c r="U475" s="6" t="s">
        <v>3292</v>
      </c>
      <c r="V475" s="6" t="s">
        <v>6891</v>
      </c>
      <c r="W475" s="6" t="s">
        <v>3577</v>
      </c>
      <c r="X475" s="6" t="s">
        <v>85</v>
      </c>
      <c r="Y475" s="6" t="s">
        <v>3141</v>
      </c>
      <c r="Z475" s="6" t="s">
        <v>93</v>
      </c>
      <c r="AA475" s="6" t="s">
        <v>6892</v>
      </c>
      <c r="AB475" s="6" t="s">
        <v>6893</v>
      </c>
      <c r="AC475" s="6" t="s">
        <v>3141</v>
      </c>
      <c r="AD475" s="6" t="s">
        <v>75</v>
      </c>
      <c r="AE475" s="6" t="s">
        <v>3323</v>
      </c>
      <c r="AF475" s="6" t="s">
        <v>6894</v>
      </c>
      <c r="AG475" s="6" t="s">
        <v>3450</v>
      </c>
      <c r="AH475" s="6" t="s">
        <v>79</v>
      </c>
    </row>
    <row r="476" spans="1:34" x14ac:dyDescent="0.25">
      <c r="A476" s="6" t="s">
        <v>1594</v>
      </c>
      <c r="B476" s="6" t="s">
        <v>412</v>
      </c>
      <c r="C476" s="6" t="s">
        <v>1595</v>
      </c>
      <c r="D476" s="6" t="s">
        <v>6895</v>
      </c>
      <c r="E476" s="6" t="s">
        <v>3703</v>
      </c>
      <c r="F476" s="6" t="s">
        <v>3358</v>
      </c>
      <c r="G476" s="6" t="s">
        <v>4489</v>
      </c>
      <c r="H476" s="6" t="s">
        <v>132</v>
      </c>
      <c r="I476" s="6" t="s">
        <v>92</v>
      </c>
      <c r="J476" s="6" t="s">
        <v>6896</v>
      </c>
      <c r="K476" s="6" t="s">
        <v>3159</v>
      </c>
      <c r="L476" s="6" t="s">
        <v>3159</v>
      </c>
      <c r="M476" s="6" t="s">
        <v>3141</v>
      </c>
      <c r="N476" s="6" t="s">
        <v>3143</v>
      </c>
      <c r="O476" s="6" t="s">
        <v>3152</v>
      </c>
      <c r="P476" s="6" t="s">
        <v>6897</v>
      </c>
      <c r="Q476" s="6" t="s">
        <v>6898</v>
      </c>
      <c r="R476" s="6" t="s">
        <v>6899</v>
      </c>
      <c r="S476" s="6" t="s">
        <v>23</v>
      </c>
      <c r="T476" s="6" t="s">
        <v>6900</v>
      </c>
      <c r="U476" s="6" t="s">
        <v>3275</v>
      </c>
      <c r="V476" s="6" t="s">
        <v>6901</v>
      </c>
      <c r="W476" s="6" t="s">
        <v>3316</v>
      </c>
      <c r="X476" s="6" t="s">
        <v>77</v>
      </c>
      <c r="Y476" s="6" t="s">
        <v>3140</v>
      </c>
      <c r="Z476" s="6" t="s">
        <v>93</v>
      </c>
      <c r="AA476" s="6" t="s">
        <v>3222</v>
      </c>
      <c r="AB476" s="6"/>
      <c r="AC476" s="6" t="s">
        <v>3141</v>
      </c>
      <c r="AD476" s="6" t="s">
        <v>3141</v>
      </c>
      <c r="AE476" s="6" t="s">
        <v>3513</v>
      </c>
      <c r="AF476" s="6" t="s">
        <v>6902</v>
      </c>
      <c r="AG476" s="6" t="s">
        <v>6903</v>
      </c>
      <c r="AH476" s="6" t="s">
        <v>94</v>
      </c>
    </row>
    <row r="477" spans="1:34" x14ac:dyDescent="0.25">
      <c r="A477" s="6" t="s">
        <v>1597</v>
      </c>
      <c r="B477" s="6" t="s">
        <v>1598</v>
      </c>
      <c r="C477" s="6" t="s">
        <v>6904</v>
      </c>
      <c r="D477" s="6" t="s">
        <v>1599</v>
      </c>
      <c r="E477" s="6" t="s">
        <v>3157</v>
      </c>
      <c r="F477" s="6" t="s">
        <v>3227</v>
      </c>
      <c r="G477" s="6" t="s">
        <v>6879</v>
      </c>
      <c r="H477" s="6" t="s">
        <v>103</v>
      </c>
      <c r="I477" s="6" t="s">
        <v>74</v>
      </c>
      <c r="J477" s="6" t="s">
        <v>6905</v>
      </c>
      <c r="K477" s="6" t="s">
        <v>3292</v>
      </c>
      <c r="L477" s="6" t="s">
        <v>3142</v>
      </c>
      <c r="M477" s="6" t="s">
        <v>3196</v>
      </c>
      <c r="N477" s="6" t="s">
        <v>76</v>
      </c>
      <c r="O477" s="6" t="s">
        <v>3160</v>
      </c>
      <c r="P477" s="6" t="s">
        <v>6906</v>
      </c>
      <c r="Q477" s="6"/>
      <c r="R477" s="6" t="s">
        <v>6907</v>
      </c>
      <c r="S477" s="6" t="s">
        <v>21</v>
      </c>
      <c r="T477" s="6" t="s">
        <v>6908</v>
      </c>
      <c r="U477" s="6" t="s">
        <v>3292</v>
      </c>
      <c r="V477" s="6" t="s">
        <v>6909</v>
      </c>
      <c r="W477" s="6" t="s">
        <v>3468</v>
      </c>
      <c r="X477" s="6" t="s">
        <v>77</v>
      </c>
      <c r="Y477" s="6" t="s">
        <v>3292</v>
      </c>
      <c r="Z477" s="6" t="s">
        <v>78</v>
      </c>
      <c r="AA477" s="6" t="s">
        <v>3374</v>
      </c>
      <c r="AB477" s="6"/>
      <c r="AC477" s="6" t="s">
        <v>3141</v>
      </c>
      <c r="AD477" s="6" t="s">
        <v>3141</v>
      </c>
      <c r="AE477" s="6" t="s">
        <v>3235</v>
      </c>
      <c r="AF477" s="6"/>
      <c r="AG477" s="6" t="s">
        <v>6910</v>
      </c>
      <c r="AH477" s="6" t="s">
        <v>94</v>
      </c>
    </row>
    <row r="478" spans="1:34" x14ac:dyDescent="0.25">
      <c r="A478" s="6" t="s">
        <v>1600</v>
      </c>
      <c r="B478" s="6" t="s">
        <v>1601</v>
      </c>
      <c r="C478" s="6" t="s">
        <v>6911</v>
      </c>
      <c r="D478" s="6"/>
      <c r="E478" s="6" t="s">
        <v>4358</v>
      </c>
      <c r="F478" s="6" t="s">
        <v>3283</v>
      </c>
      <c r="G478" s="6" t="s">
        <v>4329</v>
      </c>
      <c r="H478" s="6" t="s">
        <v>103</v>
      </c>
      <c r="I478" s="6" t="s">
        <v>74</v>
      </c>
      <c r="J478" s="6" t="s">
        <v>6912</v>
      </c>
      <c r="K478" s="6" t="s">
        <v>3159</v>
      </c>
      <c r="L478" s="6" t="s">
        <v>75</v>
      </c>
      <c r="M478" s="6" t="s">
        <v>3152</v>
      </c>
      <c r="N478" s="6" t="s">
        <v>3141</v>
      </c>
      <c r="O478" s="6" t="s">
        <v>3196</v>
      </c>
      <c r="P478" s="6" t="s">
        <v>5908</v>
      </c>
      <c r="Q478" s="6"/>
      <c r="R478" s="6" t="s">
        <v>6913</v>
      </c>
      <c r="S478" s="6" t="s">
        <v>23</v>
      </c>
      <c r="T478" s="6"/>
      <c r="U478" s="6" t="s">
        <v>3275</v>
      </c>
      <c r="V478" s="6" t="s">
        <v>4980</v>
      </c>
      <c r="W478" s="6" t="s">
        <v>3364</v>
      </c>
      <c r="X478" s="6" t="s">
        <v>85</v>
      </c>
      <c r="Y478" s="6" t="s">
        <v>3141</v>
      </c>
      <c r="Z478" s="6" t="s">
        <v>194</v>
      </c>
      <c r="AA478" s="6" t="s">
        <v>5032</v>
      </c>
      <c r="AB478" s="6"/>
      <c r="AC478" s="6" t="s">
        <v>3141</v>
      </c>
      <c r="AD478" s="6" t="s">
        <v>3143</v>
      </c>
      <c r="AE478" s="6" t="s">
        <v>3153</v>
      </c>
      <c r="AF478" s="6" t="s">
        <v>6914</v>
      </c>
      <c r="AG478" s="6"/>
      <c r="AH478" s="6" t="s">
        <v>79</v>
      </c>
    </row>
    <row r="479" spans="1:34" x14ac:dyDescent="0.25">
      <c r="A479" s="6" t="s">
        <v>1602</v>
      </c>
      <c r="B479" s="6" t="s">
        <v>278</v>
      </c>
      <c r="C479" s="6"/>
      <c r="D479" s="6" t="s">
        <v>6915</v>
      </c>
      <c r="E479" s="6"/>
      <c r="F479" s="6" t="s">
        <v>89</v>
      </c>
      <c r="G479" s="6" t="s">
        <v>106</v>
      </c>
      <c r="H479" s="6" t="s">
        <v>103</v>
      </c>
      <c r="I479" s="6" t="s">
        <v>74</v>
      </c>
      <c r="J479" s="6" t="s">
        <v>6916</v>
      </c>
      <c r="K479" s="6" t="s">
        <v>3159</v>
      </c>
      <c r="L479" s="6" t="s">
        <v>3142</v>
      </c>
      <c r="M479" s="6" t="s">
        <v>3243</v>
      </c>
      <c r="N479" s="6" t="s">
        <v>3143</v>
      </c>
      <c r="O479" s="6" t="s">
        <v>3152</v>
      </c>
      <c r="P479" s="6" t="s">
        <v>6917</v>
      </c>
      <c r="Q479" s="6" t="s">
        <v>6918</v>
      </c>
      <c r="R479" s="6" t="s">
        <v>6919</v>
      </c>
      <c r="S479" s="6" t="s">
        <v>20</v>
      </c>
      <c r="T479" s="6" t="s">
        <v>3217</v>
      </c>
      <c r="U479" s="6" t="s">
        <v>3292</v>
      </c>
      <c r="V479" s="6" t="s">
        <v>6920</v>
      </c>
      <c r="W479" s="6" t="s">
        <v>3208</v>
      </c>
      <c r="X479" s="6" t="s">
        <v>85</v>
      </c>
      <c r="Y479" s="6" t="s">
        <v>3192</v>
      </c>
      <c r="Z479" s="6" t="s">
        <v>194</v>
      </c>
      <c r="AA479" s="6" t="s">
        <v>3365</v>
      </c>
      <c r="AB479" s="6"/>
      <c r="AC479" s="6" t="s">
        <v>3141</v>
      </c>
      <c r="AD479" s="6" t="s">
        <v>3160</v>
      </c>
      <c r="AE479" s="6" t="s">
        <v>3235</v>
      </c>
      <c r="AF479" s="6"/>
      <c r="AG479" s="6" t="s">
        <v>5757</v>
      </c>
      <c r="AH479" s="6" t="s">
        <v>79</v>
      </c>
    </row>
    <row r="480" spans="1:34" x14ac:dyDescent="0.25">
      <c r="A480" s="6" t="s">
        <v>1604</v>
      </c>
      <c r="B480" s="6" t="s">
        <v>1605</v>
      </c>
      <c r="C480" s="6" t="s">
        <v>6921</v>
      </c>
      <c r="D480" s="6" t="s">
        <v>1606</v>
      </c>
      <c r="E480" s="6" t="s">
        <v>3282</v>
      </c>
      <c r="F480" s="6" t="s">
        <v>3214</v>
      </c>
      <c r="G480" s="6" t="s">
        <v>131</v>
      </c>
      <c r="H480" s="6" t="s">
        <v>166</v>
      </c>
      <c r="I480" s="6" t="s">
        <v>74</v>
      </c>
      <c r="J480" s="6" t="s">
        <v>6922</v>
      </c>
      <c r="K480" s="6" t="s">
        <v>3140</v>
      </c>
      <c r="L480" s="6" t="s">
        <v>3159</v>
      </c>
      <c r="M480" s="6" t="s">
        <v>3160</v>
      </c>
      <c r="N480" s="6" t="s">
        <v>3188</v>
      </c>
      <c r="O480" s="6" t="s">
        <v>3152</v>
      </c>
      <c r="P480" s="6" t="s">
        <v>6923</v>
      </c>
      <c r="Q480" s="6" t="s">
        <v>6924</v>
      </c>
      <c r="R480" s="6" t="s">
        <v>6925</v>
      </c>
      <c r="S480" s="6" t="s">
        <v>23</v>
      </c>
      <c r="T480" s="6" t="s">
        <v>6926</v>
      </c>
      <c r="U480" s="6" t="s">
        <v>3159</v>
      </c>
      <c r="V480" s="6" t="s">
        <v>6927</v>
      </c>
      <c r="W480" s="6" t="s">
        <v>3416</v>
      </c>
      <c r="X480" s="6" t="s">
        <v>161</v>
      </c>
      <c r="Y480" s="6" t="s">
        <v>3141</v>
      </c>
      <c r="Z480" s="6" t="s">
        <v>3263</v>
      </c>
      <c r="AA480" s="6" t="s">
        <v>3541</v>
      </c>
      <c r="AB480" s="6"/>
      <c r="AC480" s="6" t="s">
        <v>3141</v>
      </c>
      <c r="AD480" s="6" t="s">
        <v>3188</v>
      </c>
      <c r="AE480" s="6" t="s">
        <v>3428</v>
      </c>
      <c r="AF480" s="6" t="s">
        <v>6928</v>
      </c>
      <c r="AG480" s="6" t="s">
        <v>5147</v>
      </c>
      <c r="AH480" s="6" t="s">
        <v>79</v>
      </c>
    </row>
    <row r="481" spans="1:34" x14ac:dyDescent="0.25">
      <c r="A481" s="6" t="s">
        <v>1607</v>
      </c>
      <c r="B481" s="6" t="s">
        <v>1608</v>
      </c>
      <c r="C481" s="6" t="s">
        <v>6929</v>
      </c>
      <c r="D481" s="6" t="s">
        <v>6930</v>
      </c>
      <c r="E481" s="6" t="s">
        <v>3323</v>
      </c>
      <c r="F481" s="6" t="s">
        <v>3214</v>
      </c>
      <c r="G481" s="6" t="s">
        <v>115</v>
      </c>
      <c r="H481" s="6" t="s">
        <v>84</v>
      </c>
      <c r="I481" s="6" t="s">
        <v>74</v>
      </c>
      <c r="J481" s="6" t="s">
        <v>6931</v>
      </c>
      <c r="K481" s="6" t="s">
        <v>3159</v>
      </c>
      <c r="L481" s="6" t="s">
        <v>3143</v>
      </c>
      <c r="M481" s="6" t="s">
        <v>3141</v>
      </c>
      <c r="N481" s="6" t="s">
        <v>76</v>
      </c>
      <c r="O481" s="6" t="s">
        <v>3143</v>
      </c>
      <c r="P481" s="6" t="s">
        <v>6932</v>
      </c>
      <c r="Q481" s="6" t="s">
        <v>6933</v>
      </c>
      <c r="R481" s="6" t="s">
        <v>6934</v>
      </c>
      <c r="S481" s="6" t="s">
        <v>21</v>
      </c>
      <c r="T481" s="6"/>
      <c r="U481" s="6" t="s">
        <v>3292</v>
      </c>
      <c r="V481" s="6" t="s">
        <v>6935</v>
      </c>
      <c r="W481" s="6" t="s">
        <v>3587</v>
      </c>
      <c r="X481" s="6" t="s">
        <v>77</v>
      </c>
      <c r="Y481" s="6" t="s">
        <v>3159</v>
      </c>
      <c r="Z481" s="6" t="s">
        <v>194</v>
      </c>
      <c r="AA481" s="6" t="s">
        <v>5926</v>
      </c>
      <c r="AB481" s="6" t="s">
        <v>6936</v>
      </c>
      <c r="AC481" s="6" t="s">
        <v>3140</v>
      </c>
      <c r="AD481" s="6" t="s">
        <v>3152</v>
      </c>
      <c r="AE481" s="6" t="s">
        <v>3235</v>
      </c>
      <c r="AF481" s="6"/>
      <c r="AG481" s="6" t="s">
        <v>6937</v>
      </c>
      <c r="AH481" s="6" t="s">
        <v>79</v>
      </c>
    </row>
    <row r="482" spans="1:34" x14ac:dyDescent="0.25">
      <c r="A482" s="6" t="s">
        <v>1610</v>
      </c>
      <c r="B482" s="6" t="s">
        <v>1611</v>
      </c>
      <c r="C482" s="6" t="s">
        <v>6938</v>
      </c>
      <c r="D482" s="6" t="s">
        <v>1612</v>
      </c>
      <c r="E482" s="6" t="s">
        <v>3921</v>
      </c>
      <c r="F482" s="6" t="s">
        <v>3214</v>
      </c>
      <c r="G482" s="6" t="s">
        <v>5624</v>
      </c>
      <c r="H482" s="6" t="s">
        <v>4620</v>
      </c>
      <c r="I482" s="6" t="s">
        <v>74</v>
      </c>
      <c r="J482" s="6" t="s">
        <v>6939</v>
      </c>
      <c r="K482" s="6" t="s">
        <v>3140</v>
      </c>
      <c r="L482" s="6" t="s">
        <v>75</v>
      </c>
      <c r="M482" s="6" t="s">
        <v>3188</v>
      </c>
      <c r="N482" s="6" t="s">
        <v>3188</v>
      </c>
      <c r="O482" s="6" t="s">
        <v>3143</v>
      </c>
      <c r="P482" s="6" t="s">
        <v>6940</v>
      </c>
      <c r="Q482" s="6" t="s">
        <v>6941</v>
      </c>
      <c r="R482" s="6" t="s">
        <v>6942</v>
      </c>
      <c r="S482" s="6" t="s">
        <v>23</v>
      </c>
      <c r="T482" s="6" t="s">
        <v>6943</v>
      </c>
      <c r="U482" s="6" t="s">
        <v>3292</v>
      </c>
      <c r="V482" s="6" t="s">
        <v>3692</v>
      </c>
      <c r="W482" s="6" t="s">
        <v>4217</v>
      </c>
      <c r="X482" s="6" t="s">
        <v>85</v>
      </c>
      <c r="Y482" s="6" t="s">
        <v>3292</v>
      </c>
      <c r="Z482" s="6" t="s">
        <v>3263</v>
      </c>
      <c r="AA482" s="6" t="s">
        <v>4592</v>
      </c>
      <c r="AB482" s="6"/>
      <c r="AC482" s="6" t="s">
        <v>3141</v>
      </c>
      <c r="AD482" s="6" t="s">
        <v>3159</v>
      </c>
      <c r="AE482" s="6" t="s">
        <v>3318</v>
      </c>
      <c r="AF482" s="6" t="s">
        <v>6944</v>
      </c>
      <c r="AG482" s="6" t="s">
        <v>6945</v>
      </c>
      <c r="AH482" s="6" t="s">
        <v>79</v>
      </c>
    </row>
    <row r="483" spans="1:34" x14ac:dyDescent="0.25">
      <c r="A483" s="6" t="s">
        <v>1613</v>
      </c>
      <c r="B483" s="6" t="s">
        <v>1614</v>
      </c>
      <c r="C483" s="6" t="s">
        <v>6946</v>
      </c>
      <c r="D483" s="6"/>
      <c r="E483" s="6" t="s">
        <v>3636</v>
      </c>
      <c r="F483" s="6" t="s">
        <v>3358</v>
      </c>
      <c r="G483" s="6" t="s">
        <v>226</v>
      </c>
      <c r="H483" s="6" t="s">
        <v>99</v>
      </c>
      <c r="I483" s="6" t="s">
        <v>74</v>
      </c>
      <c r="J483" s="6" t="s">
        <v>6947</v>
      </c>
      <c r="K483" s="6" t="s">
        <v>3292</v>
      </c>
      <c r="L483" s="6" t="s">
        <v>3173</v>
      </c>
      <c r="M483" s="6" t="s">
        <v>3188</v>
      </c>
      <c r="N483" s="6" t="s">
        <v>3152</v>
      </c>
      <c r="O483" s="6" t="s">
        <v>3173</v>
      </c>
      <c r="P483" s="6" t="s">
        <v>5639</v>
      </c>
      <c r="Q483" s="6"/>
      <c r="R483" s="6" t="s">
        <v>6948</v>
      </c>
      <c r="S483" s="6" t="s">
        <v>21</v>
      </c>
      <c r="T483" s="6"/>
      <c r="U483" s="6" t="s">
        <v>3141</v>
      </c>
      <c r="V483" s="6" t="s">
        <v>6342</v>
      </c>
      <c r="W483" s="6" t="s">
        <v>4050</v>
      </c>
      <c r="X483" s="6" t="s">
        <v>6949</v>
      </c>
      <c r="Y483" s="6" t="s">
        <v>3159</v>
      </c>
      <c r="Z483" s="6" t="s">
        <v>93</v>
      </c>
      <c r="AA483" s="6" t="s">
        <v>6950</v>
      </c>
      <c r="AB483" s="6"/>
      <c r="AC483" s="6" t="s">
        <v>3159</v>
      </c>
      <c r="AD483" s="6" t="s">
        <v>3160</v>
      </c>
      <c r="AE483" s="6" t="s">
        <v>3136</v>
      </c>
      <c r="AF483" s="6"/>
      <c r="AG483" s="6" t="s">
        <v>6951</v>
      </c>
      <c r="AH483" s="6" t="s">
        <v>79</v>
      </c>
    </row>
    <row r="484" spans="1:34" x14ac:dyDescent="0.25">
      <c r="A484" s="6" t="s">
        <v>1615</v>
      </c>
      <c r="B484" s="6" t="s">
        <v>1616</v>
      </c>
      <c r="C484" s="6"/>
      <c r="D484" s="6" t="s">
        <v>1617</v>
      </c>
      <c r="E484" s="6" t="s">
        <v>3471</v>
      </c>
      <c r="F484" s="6" t="s">
        <v>71</v>
      </c>
      <c r="G484" s="6" t="s">
        <v>4489</v>
      </c>
      <c r="H484" s="6" t="s">
        <v>107</v>
      </c>
      <c r="I484" s="6" t="s">
        <v>92</v>
      </c>
      <c r="J484" s="6" t="s">
        <v>6952</v>
      </c>
      <c r="K484" s="6" t="s">
        <v>3292</v>
      </c>
      <c r="L484" s="6" t="s">
        <v>3142</v>
      </c>
      <c r="M484" s="6" t="s">
        <v>3142</v>
      </c>
      <c r="N484" s="6" t="s">
        <v>3160</v>
      </c>
      <c r="O484" s="6" t="s">
        <v>3196</v>
      </c>
      <c r="P484" s="6" t="s">
        <v>6953</v>
      </c>
      <c r="Q484" s="6" t="s">
        <v>6954</v>
      </c>
      <c r="R484" s="6" t="s">
        <v>6955</v>
      </c>
      <c r="S484" s="6" t="s">
        <v>22</v>
      </c>
      <c r="T484" s="6" t="s">
        <v>6956</v>
      </c>
      <c r="U484" s="6" t="s">
        <v>3159</v>
      </c>
      <c r="V484" s="6" t="s">
        <v>3782</v>
      </c>
      <c r="W484" s="6" t="s">
        <v>4592</v>
      </c>
      <c r="X484" s="6" t="s">
        <v>77</v>
      </c>
      <c r="Y484" s="6" t="s">
        <v>3140</v>
      </c>
      <c r="Z484" s="6" t="s">
        <v>78</v>
      </c>
      <c r="AA484" s="6" t="s">
        <v>3501</v>
      </c>
      <c r="AB484" s="6"/>
      <c r="AC484" s="6" t="s">
        <v>3159</v>
      </c>
      <c r="AD484" s="6" t="s">
        <v>3143</v>
      </c>
      <c r="AE484" s="6" t="s">
        <v>3279</v>
      </c>
      <c r="AF484" s="6" t="s">
        <v>6957</v>
      </c>
      <c r="AG484" s="6"/>
      <c r="AH484" s="6" t="s">
        <v>79</v>
      </c>
    </row>
    <row r="485" spans="1:34" x14ac:dyDescent="0.25">
      <c r="A485" s="6" t="s">
        <v>1618</v>
      </c>
      <c r="B485" s="6" t="s">
        <v>6958</v>
      </c>
      <c r="C485" s="6" t="s">
        <v>6959</v>
      </c>
      <c r="D485" s="6" t="s">
        <v>1620</v>
      </c>
      <c r="E485" s="6" t="s">
        <v>3213</v>
      </c>
      <c r="F485" s="6" t="s">
        <v>3201</v>
      </c>
      <c r="G485" s="6" t="s">
        <v>388</v>
      </c>
      <c r="H485" s="6" t="s">
        <v>91</v>
      </c>
      <c r="I485" s="6" t="s">
        <v>92</v>
      </c>
      <c r="J485" s="6" t="s">
        <v>6960</v>
      </c>
      <c r="K485" s="6" t="s">
        <v>3292</v>
      </c>
      <c r="L485" s="6" t="s">
        <v>3173</v>
      </c>
      <c r="M485" s="6" t="s">
        <v>76</v>
      </c>
      <c r="N485" s="6" t="s">
        <v>3173</v>
      </c>
      <c r="O485" s="6" t="s">
        <v>75</v>
      </c>
      <c r="P485" s="6" t="s">
        <v>3878</v>
      </c>
      <c r="Q485" s="6" t="s">
        <v>6961</v>
      </c>
      <c r="R485" s="6" t="s">
        <v>6962</v>
      </c>
      <c r="S485" s="6" t="s">
        <v>21</v>
      </c>
      <c r="T485" s="6" t="s">
        <v>6963</v>
      </c>
      <c r="U485" s="6" t="s">
        <v>3140</v>
      </c>
      <c r="V485" s="6" t="s">
        <v>5011</v>
      </c>
      <c r="W485" s="6" t="s">
        <v>3477</v>
      </c>
      <c r="X485" s="6" t="s">
        <v>85</v>
      </c>
      <c r="Y485" s="6" t="s">
        <v>3141</v>
      </c>
      <c r="Z485" s="6" t="s">
        <v>93</v>
      </c>
      <c r="AA485" s="6" t="s">
        <v>3943</v>
      </c>
      <c r="AB485" s="6"/>
      <c r="AC485" s="6" t="s">
        <v>3159</v>
      </c>
      <c r="AD485" s="6" t="s">
        <v>3143</v>
      </c>
      <c r="AE485" s="6" t="s">
        <v>3323</v>
      </c>
      <c r="AF485" s="6"/>
      <c r="AG485" s="6" t="s">
        <v>5949</v>
      </c>
      <c r="AH485" s="6" t="s">
        <v>94</v>
      </c>
    </row>
    <row r="486" spans="1:34" x14ac:dyDescent="0.25">
      <c r="A486" s="6" t="s">
        <v>1621</v>
      </c>
      <c r="B486" s="6" t="s">
        <v>1622</v>
      </c>
      <c r="C486" s="6" t="s">
        <v>1623</v>
      </c>
      <c r="D486" s="6" t="s">
        <v>6964</v>
      </c>
      <c r="E486" s="6" t="s">
        <v>3722</v>
      </c>
      <c r="F486" s="6" t="s">
        <v>3201</v>
      </c>
      <c r="G486" s="6" t="s">
        <v>5313</v>
      </c>
      <c r="H486" s="6" t="s">
        <v>5121</v>
      </c>
      <c r="I486" s="6" t="s">
        <v>92</v>
      </c>
      <c r="J486" s="6" t="s">
        <v>6965</v>
      </c>
      <c r="K486" s="6" t="s">
        <v>3140</v>
      </c>
      <c r="L486" s="6" t="s">
        <v>3196</v>
      </c>
      <c r="M486" s="6" t="s">
        <v>3196</v>
      </c>
      <c r="N486" s="6" t="s">
        <v>3141</v>
      </c>
      <c r="O486" s="6" t="s">
        <v>3152</v>
      </c>
      <c r="P486" s="6" t="s">
        <v>6966</v>
      </c>
      <c r="Q486" s="6" t="s">
        <v>6967</v>
      </c>
      <c r="R486" s="6" t="s">
        <v>6968</v>
      </c>
      <c r="S486" s="6" t="s">
        <v>23</v>
      </c>
      <c r="T486" s="6" t="s">
        <v>6969</v>
      </c>
      <c r="U486" s="6" t="s">
        <v>3192</v>
      </c>
      <c r="V486" s="6" t="s">
        <v>6970</v>
      </c>
      <c r="W486" s="6" t="s">
        <v>4643</v>
      </c>
      <c r="X486" s="6" t="s">
        <v>77</v>
      </c>
      <c r="Y486" s="6" t="s">
        <v>3140</v>
      </c>
      <c r="Z486" s="6" t="s">
        <v>3343</v>
      </c>
      <c r="AA486" s="6" t="s">
        <v>6971</v>
      </c>
      <c r="AB486" s="6"/>
      <c r="AC486" s="6" t="s">
        <v>3140</v>
      </c>
      <c r="AD486" s="6" t="s">
        <v>3152</v>
      </c>
      <c r="AE486" s="6" t="s">
        <v>3428</v>
      </c>
      <c r="AF486" s="6" t="s">
        <v>6972</v>
      </c>
      <c r="AG486" s="6" t="s">
        <v>6910</v>
      </c>
      <c r="AH486" s="6" t="s">
        <v>79</v>
      </c>
    </row>
    <row r="487" spans="1:34" x14ac:dyDescent="0.25">
      <c r="A487" s="6" t="s">
        <v>1625</v>
      </c>
      <c r="B487" s="6" t="s">
        <v>677</v>
      </c>
      <c r="C487" s="6"/>
      <c r="D487" s="6" t="s">
        <v>6973</v>
      </c>
      <c r="E487" s="6" t="s">
        <v>3136</v>
      </c>
      <c r="F487" s="6" t="s">
        <v>3201</v>
      </c>
      <c r="G487" s="6" t="s">
        <v>215</v>
      </c>
      <c r="H487" s="6" t="s">
        <v>91</v>
      </c>
      <c r="I487" s="6" t="s">
        <v>92</v>
      </c>
      <c r="J487" s="6" t="s">
        <v>6974</v>
      </c>
      <c r="K487" s="6" t="s">
        <v>3159</v>
      </c>
      <c r="L487" s="6" t="s">
        <v>3173</v>
      </c>
      <c r="M487" s="6" t="s">
        <v>3243</v>
      </c>
      <c r="N487" s="6" t="s">
        <v>3143</v>
      </c>
      <c r="O487" s="6" t="s">
        <v>75</v>
      </c>
      <c r="P487" s="6" t="s">
        <v>4302</v>
      </c>
      <c r="Q487" s="6" t="s">
        <v>6975</v>
      </c>
      <c r="R487" s="6" t="s">
        <v>6976</v>
      </c>
      <c r="S487" s="6" t="s">
        <v>23</v>
      </c>
      <c r="T487" s="6" t="s">
        <v>3217</v>
      </c>
      <c r="U487" s="6" t="s">
        <v>3292</v>
      </c>
      <c r="V487" s="6" t="s">
        <v>6891</v>
      </c>
      <c r="W487" s="6" t="s">
        <v>3416</v>
      </c>
      <c r="X487" s="6" t="s">
        <v>85</v>
      </c>
      <c r="Y487" s="6" t="s">
        <v>3140</v>
      </c>
      <c r="Z487" s="6" t="s">
        <v>93</v>
      </c>
      <c r="AA487" s="6" t="s">
        <v>3181</v>
      </c>
      <c r="AB487" s="6"/>
      <c r="AC487" s="6" t="s">
        <v>3140</v>
      </c>
      <c r="AD487" s="6" t="s">
        <v>3188</v>
      </c>
      <c r="AE487" s="6" t="s">
        <v>3318</v>
      </c>
      <c r="AF487" s="6" t="s">
        <v>6977</v>
      </c>
      <c r="AG487" s="6" t="s">
        <v>6978</v>
      </c>
      <c r="AH487" s="6" t="s">
        <v>79</v>
      </c>
    </row>
    <row r="488" spans="1:34" x14ac:dyDescent="0.25">
      <c r="A488" s="6" t="s">
        <v>1627</v>
      </c>
      <c r="B488" s="6" t="s">
        <v>1628</v>
      </c>
      <c r="C488" s="6" t="s">
        <v>1629</v>
      </c>
      <c r="D488" s="6" t="s">
        <v>6979</v>
      </c>
      <c r="E488" s="6" t="s">
        <v>3346</v>
      </c>
      <c r="F488" s="6" t="s">
        <v>3227</v>
      </c>
      <c r="G488" s="6" t="s">
        <v>83</v>
      </c>
      <c r="H488" s="6" t="s">
        <v>107</v>
      </c>
      <c r="I488" s="6" t="s">
        <v>92</v>
      </c>
      <c r="J488" s="6" t="s">
        <v>6980</v>
      </c>
      <c r="K488" s="6" t="s">
        <v>3140</v>
      </c>
      <c r="L488" s="6" t="s">
        <v>3142</v>
      </c>
      <c r="M488" s="6" t="s">
        <v>3159</v>
      </c>
      <c r="N488" s="6" t="s">
        <v>3160</v>
      </c>
      <c r="O488" s="6" t="s">
        <v>3143</v>
      </c>
      <c r="P488" s="6" t="s">
        <v>6981</v>
      </c>
      <c r="Q488" s="6" t="s">
        <v>6982</v>
      </c>
      <c r="R488" s="6" t="s">
        <v>6983</v>
      </c>
      <c r="S488" s="6" t="s">
        <v>23</v>
      </c>
      <c r="T488" s="6" t="s">
        <v>3217</v>
      </c>
      <c r="U488" s="6" t="s">
        <v>3159</v>
      </c>
      <c r="V488" s="6" t="s">
        <v>6984</v>
      </c>
      <c r="W488" s="6" t="s">
        <v>3523</v>
      </c>
      <c r="X488" s="6" t="s">
        <v>85</v>
      </c>
      <c r="Y488" s="6" t="s">
        <v>3159</v>
      </c>
      <c r="Z488" s="6" t="s">
        <v>93</v>
      </c>
      <c r="AA488" s="6" t="s">
        <v>4644</v>
      </c>
      <c r="AB488" s="6"/>
      <c r="AC488" s="6" t="s">
        <v>3159</v>
      </c>
      <c r="AD488" s="6" t="s">
        <v>3160</v>
      </c>
      <c r="AE488" s="6" t="s">
        <v>3331</v>
      </c>
      <c r="AF488" s="6" t="s">
        <v>6985</v>
      </c>
      <c r="AG488" s="6"/>
      <c r="AH488" s="6" t="s">
        <v>79</v>
      </c>
    </row>
    <row r="489" spans="1:34" x14ac:dyDescent="0.25">
      <c r="A489" s="6" t="s">
        <v>1631</v>
      </c>
      <c r="B489" s="6" t="s">
        <v>1632</v>
      </c>
      <c r="C489" s="6" t="s">
        <v>6986</v>
      </c>
      <c r="D489" s="6" t="s">
        <v>1633</v>
      </c>
      <c r="E489" s="6" t="s">
        <v>3843</v>
      </c>
      <c r="F489" s="6" t="s">
        <v>89</v>
      </c>
      <c r="G489" s="6" t="s">
        <v>4329</v>
      </c>
      <c r="H489" s="6" t="s">
        <v>73</v>
      </c>
      <c r="I489" s="6" t="s">
        <v>74</v>
      </c>
      <c r="J489" s="6" t="s">
        <v>6987</v>
      </c>
      <c r="K489" s="6" t="s">
        <v>3140</v>
      </c>
      <c r="L489" s="6" t="s">
        <v>3173</v>
      </c>
      <c r="M489" s="6" t="s">
        <v>3243</v>
      </c>
      <c r="N489" s="6" t="s">
        <v>3152</v>
      </c>
      <c r="O489" s="6" t="s">
        <v>3196</v>
      </c>
      <c r="P489" s="6" t="s">
        <v>6988</v>
      </c>
      <c r="Q489" s="6" t="s">
        <v>6989</v>
      </c>
      <c r="R489" s="6" t="s">
        <v>6990</v>
      </c>
      <c r="S489" s="6" t="s">
        <v>20</v>
      </c>
      <c r="T489" s="6" t="s">
        <v>6991</v>
      </c>
      <c r="U489" s="6" t="s">
        <v>4264</v>
      </c>
      <c r="V489" s="6" t="s">
        <v>6992</v>
      </c>
      <c r="W489" s="6" t="s">
        <v>5002</v>
      </c>
      <c r="X489" s="6" t="s">
        <v>85</v>
      </c>
      <c r="Y489" s="6" t="s">
        <v>3141</v>
      </c>
      <c r="Z489" s="6" t="s">
        <v>78</v>
      </c>
      <c r="AA489" s="6" t="s">
        <v>3195</v>
      </c>
      <c r="AB489" s="6"/>
      <c r="AC489" s="6" t="s">
        <v>3159</v>
      </c>
      <c r="AD489" s="6" t="s">
        <v>3243</v>
      </c>
      <c r="AE489" s="6" t="s">
        <v>3169</v>
      </c>
      <c r="AF489" s="6"/>
      <c r="AG489" s="6" t="s">
        <v>5823</v>
      </c>
      <c r="AH489" s="6" t="s">
        <v>79</v>
      </c>
    </row>
    <row r="490" spans="1:34" x14ac:dyDescent="0.25">
      <c r="A490" s="6" t="s">
        <v>1634</v>
      </c>
      <c r="B490" s="6" t="s">
        <v>1635</v>
      </c>
      <c r="C490" s="6" t="s">
        <v>6993</v>
      </c>
      <c r="D490" s="6" t="s">
        <v>1636</v>
      </c>
      <c r="E490" s="6" t="s">
        <v>3677</v>
      </c>
      <c r="F490" s="6" t="s">
        <v>3283</v>
      </c>
      <c r="G490" s="6" t="s">
        <v>72</v>
      </c>
      <c r="H490" s="6" t="s">
        <v>84</v>
      </c>
      <c r="I490" s="6" t="s">
        <v>74</v>
      </c>
      <c r="J490" s="6" t="s">
        <v>6994</v>
      </c>
      <c r="K490" s="6" t="s">
        <v>3141</v>
      </c>
      <c r="L490" s="6" t="s">
        <v>3143</v>
      </c>
      <c r="M490" s="6" t="s">
        <v>75</v>
      </c>
      <c r="N490" s="6" t="s">
        <v>3160</v>
      </c>
      <c r="O490" s="6" t="s">
        <v>3141</v>
      </c>
      <c r="P490" s="6" t="s">
        <v>6995</v>
      </c>
      <c r="Q490" s="6" t="s">
        <v>6996</v>
      </c>
      <c r="R490" s="6" t="s">
        <v>6997</v>
      </c>
      <c r="S490" s="6" t="s">
        <v>3287</v>
      </c>
      <c r="T490" s="6" t="s">
        <v>6998</v>
      </c>
      <c r="U490" s="6" t="s">
        <v>3275</v>
      </c>
      <c r="V490" s="6" t="s">
        <v>5093</v>
      </c>
      <c r="W490" s="6" t="s">
        <v>3439</v>
      </c>
      <c r="X490" s="6" t="s">
        <v>85</v>
      </c>
      <c r="Y490" s="6" t="s">
        <v>3141</v>
      </c>
      <c r="Z490" s="6" t="s">
        <v>194</v>
      </c>
      <c r="AA490" s="6" t="s">
        <v>3550</v>
      </c>
      <c r="AB490" s="6"/>
      <c r="AC490" s="6" t="s">
        <v>3141</v>
      </c>
      <c r="AD490" s="6" t="s">
        <v>3141</v>
      </c>
      <c r="AE490" s="6" t="s">
        <v>3235</v>
      </c>
      <c r="AF490" s="6"/>
      <c r="AG490" s="6" t="s">
        <v>6999</v>
      </c>
      <c r="AH490" s="6" t="s">
        <v>79</v>
      </c>
    </row>
    <row r="491" spans="1:34" x14ac:dyDescent="0.25">
      <c r="A491" s="6" t="s">
        <v>1637</v>
      </c>
      <c r="B491" s="6" t="s">
        <v>1638</v>
      </c>
      <c r="C491" s="6" t="s">
        <v>1639</v>
      </c>
      <c r="D491" s="6" t="s">
        <v>7000</v>
      </c>
      <c r="E491" s="6" t="s">
        <v>4542</v>
      </c>
      <c r="F491" s="6" t="s">
        <v>3201</v>
      </c>
      <c r="G491" s="6" t="s">
        <v>115</v>
      </c>
      <c r="H491" s="6" t="s">
        <v>84</v>
      </c>
      <c r="I491" s="6" t="s">
        <v>74</v>
      </c>
      <c r="J491" s="6"/>
      <c r="K491" s="6" t="s">
        <v>3292</v>
      </c>
      <c r="L491" s="6" t="s">
        <v>3173</v>
      </c>
      <c r="M491" s="6" t="s">
        <v>76</v>
      </c>
      <c r="N491" s="6" t="s">
        <v>3173</v>
      </c>
      <c r="O491" s="6" t="s">
        <v>3143</v>
      </c>
      <c r="P491" s="6" t="s">
        <v>7001</v>
      </c>
      <c r="Q491" s="6" t="s">
        <v>7002</v>
      </c>
      <c r="R491" s="6" t="s">
        <v>7003</v>
      </c>
      <c r="S491" s="6" t="s">
        <v>20</v>
      </c>
      <c r="T491" s="6" t="s">
        <v>7004</v>
      </c>
      <c r="U491" s="6" t="s">
        <v>3275</v>
      </c>
      <c r="V491" s="6" t="s">
        <v>7005</v>
      </c>
      <c r="W491" s="6" t="s">
        <v>4654</v>
      </c>
      <c r="X491" s="6" t="s">
        <v>85</v>
      </c>
      <c r="Y491" s="6" t="s">
        <v>3141</v>
      </c>
      <c r="Z491" s="6" t="s">
        <v>78</v>
      </c>
      <c r="AA491" s="6" t="s">
        <v>3455</v>
      </c>
      <c r="AB491" s="6"/>
      <c r="AC491" s="6" t="s">
        <v>3141</v>
      </c>
      <c r="AD491" s="6" t="s">
        <v>3141</v>
      </c>
      <c r="AE491" s="6" t="s">
        <v>3235</v>
      </c>
      <c r="AF491" s="6"/>
      <c r="AG491" s="6" t="s">
        <v>7006</v>
      </c>
      <c r="AH491" s="6" t="s">
        <v>79</v>
      </c>
    </row>
    <row r="492" spans="1:34" x14ac:dyDescent="0.25">
      <c r="A492" s="6" t="s">
        <v>1641</v>
      </c>
      <c r="B492" s="6" t="s">
        <v>1642</v>
      </c>
      <c r="C492" s="6" t="s">
        <v>1643</v>
      </c>
      <c r="D492" s="6" t="s">
        <v>1644</v>
      </c>
      <c r="E492" s="6" t="s">
        <v>3647</v>
      </c>
      <c r="F492" s="6" t="s">
        <v>3227</v>
      </c>
      <c r="G492" s="6" t="s">
        <v>388</v>
      </c>
      <c r="H492" s="6" t="s">
        <v>132</v>
      </c>
      <c r="I492" s="6" t="s">
        <v>92</v>
      </c>
      <c r="J492" s="6" t="s">
        <v>7007</v>
      </c>
      <c r="K492" s="6" t="s">
        <v>3141</v>
      </c>
      <c r="L492" s="6" t="s">
        <v>3152</v>
      </c>
      <c r="M492" s="6" t="s">
        <v>3243</v>
      </c>
      <c r="N492" s="6" t="s">
        <v>3143</v>
      </c>
      <c r="O492" s="6" t="s">
        <v>75</v>
      </c>
      <c r="P492" s="6" t="s">
        <v>7008</v>
      </c>
      <c r="Q492" s="6"/>
      <c r="R492" s="6" t="s">
        <v>7009</v>
      </c>
      <c r="S492" s="6" t="s">
        <v>23</v>
      </c>
      <c r="T492" s="6" t="s">
        <v>7010</v>
      </c>
      <c r="U492" s="6" t="s">
        <v>3141</v>
      </c>
      <c r="V492" s="6" t="s">
        <v>3382</v>
      </c>
      <c r="W492" s="6" t="s">
        <v>3598</v>
      </c>
      <c r="X492" s="6" t="s">
        <v>85</v>
      </c>
      <c r="Y492" s="6" t="s">
        <v>3141</v>
      </c>
      <c r="Z492" s="6" t="s">
        <v>93</v>
      </c>
      <c r="AA492" s="6" t="s">
        <v>3718</v>
      </c>
      <c r="AB492" s="6"/>
      <c r="AC492" s="6" t="s">
        <v>3141</v>
      </c>
      <c r="AD492" s="6" t="s">
        <v>3243</v>
      </c>
      <c r="AE492" s="6" t="s">
        <v>3513</v>
      </c>
      <c r="AF492" s="6" t="s">
        <v>7011</v>
      </c>
      <c r="AG492" s="6" t="s">
        <v>7012</v>
      </c>
      <c r="AH492" s="6" t="s">
        <v>79</v>
      </c>
    </row>
    <row r="493" spans="1:34" x14ac:dyDescent="0.25">
      <c r="A493" s="6" t="s">
        <v>1645</v>
      </c>
      <c r="B493" s="6" t="s">
        <v>1646</v>
      </c>
      <c r="C493" s="6" t="s">
        <v>1647</v>
      </c>
      <c r="D493" s="6" t="s">
        <v>1648</v>
      </c>
      <c r="E493" s="6" t="s">
        <v>3185</v>
      </c>
      <c r="F493" s="6" t="s">
        <v>3201</v>
      </c>
      <c r="G493" s="6" t="s">
        <v>115</v>
      </c>
      <c r="H493" s="6" t="s">
        <v>107</v>
      </c>
      <c r="I493" s="6" t="s">
        <v>92</v>
      </c>
      <c r="J493" s="6" t="s">
        <v>3217</v>
      </c>
      <c r="K493" s="6" t="s">
        <v>3159</v>
      </c>
      <c r="L493" s="6" t="s">
        <v>3159</v>
      </c>
      <c r="M493" s="6" t="s">
        <v>3152</v>
      </c>
      <c r="N493" s="6" t="s">
        <v>3243</v>
      </c>
      <c r="O493" s="6" t="s">
        <v>3152</v>
      </c>
      <c r="P493" s="6" t="s">
        <v>5237</v>
      </c>
      <c r="Q493" s="6"/>
      <c r="R493" s="6" t="s">
        <v>7013</v>
      </c>
      <c r="S493" s="6" t="s">
        <v>22</v>
      </c>
      <c r="T493" s="6" t="s">
        <v>3217</v>
      </c>
      <c r="U493" s="6" t="s">
        <v>3192</v>
      </c>
      <c r="V493" s="6" t="s">
        <v>3531</v>
      </c>
      <c r="W493" s="6" t="s">
        <v>3987</v>
      </c>
      <c r="X493" s="6" t="s">
        <v>161</v>
      </c>
      <c r="Y493" s="6" t="s">
        <v>3141</v>
      </c>
      <c r="Z493" s="6" t="s">
        <v>78</v>
      </c>
      <c r="AA493" s="6" t="s">
        <v>3448</v>
      </c>
      <c r="AB493" s="6" t="s">
        <v>7014</v>
      </c>
      <c r="AC493" s="6" t="s">
        <v>3141</v>
      </c>
      <c r="AD493" s="6" t="s">
        <v>3243</v>
      </c>
      <c r="AE493" s="6" t="s">
        <v>3210</v>
      </c>
      <c r="AF493" s="6" t="s">
        <v>7015</v>
      </c>
      <c r="AG493" s="6" t="s">
        <v>7016</v>
      </c>
      <c r="AH493" s="6" t="s">
        <v>79</v>
      </c>
    </row>
    <row r="494" spans="1:34" x14ac:dyDescent="0.25">
      <c r="A494" s="6" t="s">
        <v>1649</v>
      </c>
      <c r="B494" s="6" t="s">
        <v>1650</v>
      </c>
      <c r="C494" s="6" t="s">
        <v>1651</v>
      </c>
      <c r="D494" s="6" t="s">
        <v>7017</v>
      </c>
      <c r="E494" s="6" t="s">
        <v>3570</v>
      </c>
      <c r="F494" s="6" t="s">
        <v>3201</v>
      </c>
      <c r="G494" s="6" t="s">
        <v>120</v>
      </c>
      <c r="H494" s="6" t="s">
        <v>132</v>
      </c>
      <c r="I494" s="6" t="s">
        <v>92</v>
      </c>
      <c r="J494" s="6" t="s">
        <v>7018</v>
      </c>
      <c r="K494" s="6" t="s">
        <v>3140</v>
      </c>
      <c r="L494" s="6" t="s">
        <v>76</v>
      </c>
      <c r="M494" s="6" t="s">
        <v>3159</v>
      </c>
      <c r="N494" s="6" t="s">
        <v>3243</v>
      </c>
      <c r="O494" s="6" t="s">
        <v>3141</v>
      </c>
      <c r="P494" s="6" t="s">
        <v>7019</v>
      </c>
      <c r="Q494" s="6"/>
      <c r="R494" s="6" t="s">
        <v>7020</v>
      </c>
      <c r="S494" s="6" t="s">
        <v>20</v>
      </c>
      <c r="T494" s="6"/>
      <c r="U494" s="6" t="s">
        <v>3141</v>
      </c>
      <c r="V494" s="6" t="s">
        <v>7021</v>
      </c>
      <c r="W494" s="6" t="s">
        <v>3847</v>
      </c>
      <c r="X494" s="6" t="s">
        <v>4030</v>
      </c>
      <c r="Y494" s="6" t="s">
        <v>3292</v>
      </c>
      <c r="Z494" s="6" t="s">
        <v>78</v>
      </c>
      <c r="AA494" s="6" t="s">
        <v>4684</v>
      </c>
      <c r="AB494" s="6"/>
      <c r="AC494" s="6" t="s">
        <v>3140</v>
      </c>
      <c r="AD494" s="6" t="s">
        <v>3141</v>
      </c>
      <c r="AE494" s="6" t="s">
        <v>3235</v>
      </c>
      <c r="AF494" s="6"/>
      <c r="AG494" s="6" t="s">
        <v>7022</v>
      </c>
      <c r="AH494" s="6" t="s">
        <v>79</v>
      </c>
    </row>
    <row r="495" spans="1:34" x14ac:dyDescent="0.25">
      <c r="A495" s="6" t="s">
        <v>1653</v>
      </c>
      <c r="B495" s="6" t="s">
        <v>1654</v>
      </c>
      <c r="C495" s="6" t="s">
        <v>1655</v>
      </c>
      <c r="D495" s="6" t="s">
        <v>1656</v>
      </c>
      <c r="E495" s="6" t="s">
        <v>3254</v>
      </c>
      <c r="F495" s="6" t="s">
        <v>3283</v>
      </c>
      <c r="G495" s="6" t="s">
        <v>215</v>
      </c>
      <c r="H495" s="6" t="s">
        <v>166</v>
      </c>
      <c r="I495" s="6" t="s">
        <v>74</v>
      </c>
      <c r="J495" s="6" t="s">
        <v>7023</v>
      </c>
      <c r="K495" s="6" t="s">
        <v>3140</v>
      </c>
      <c r="L495" s="6" t="s">
        <v>76</v>
      </c>
      <c r="M495" s="6" t="s">
        <v>3143</v>
      </c>
      <c r="N495" s="6" t="s">
        <v>75</v>
      </c>
      <c r="O495" s="6" t="s">
        <v>3173</v>
      </c>
      <c r="P495" s="6" t="s">
        <v>7024</v>
      </c>
      <c r="Q495" s="6"/>
      <c r="R495" s="6" t="s">
        <v>7025</v>
      </c>
      <c r="S495" s="6" t="s">
        <v>23</v>
      </c>
      <c r="T495" s="6" t="s">
        <v>3217</v>
      </c>
      <c r="U495" s="6" t="s">
        <v>3141</v>
      </c>
      <c r="V495" s="6" t="s">
        <v>3351</v>
      </c>
      <c r="W495" s="6" t="s">
        <v>3884</v>
      </c>
      <c r="X495" s="6" t="s">
        <v>77</v>
      </c>
      <c r="Y495" s="6" t="s">
        <v>3141</v>
      </c>
      <c r="Z495" s="6" t="s">
        <v>78</v>
      </c>
      <c r="AA495" s="6" t="s">
        <v>3222</v>
      </c>
      <c r="AB495" s="6"/>
      <c r="AC495" s="6" t="s">
        <v>3159</v>
      </c>
      <c r="AD495" s="6" t="s">
        <v>3152</v>
      </c>
      <c r="AE495" s="6" t="s">
        <v>3513</v>
      </c>
      <c r="AF495" s="6" t="s">
        <v>7026</v>
      </c>
      <c r="AG495" s="6" t="s">
        <v>4835</v>
      </c>
      <c r="AH495" s="6" t="s">
        <v>79</v>
      </c>
    </row>
    <row r="496" spans="1:34" x14ac:dyDescent="0.25">
      <c r="A496" s="6" t="s">
        <v>1657</v>
      </c>
      <c r="B496" s="6" t="s">
        <v>1658</v>
      </c>
      <c r="C496" s="6" t="s">
        <v>7027</v>
      </c>
      <c r="D496" s="6" t="s">
        <v>1659</v>
      </c>
      <c r="E496" s="6" t="s">
        <v>3296</v>
      </c>
      <c r="F496" s="6" t="s">
        <v>3201</v>
      </c>
      <c r="G496" s="6" t="s">
        <v>314</v>
      </c>
      <c r="H496" s="6" t="s">
        <v>84</v>
      </c>
      <c r="I496" s="6" t="s">
        <v>74</v>
      </c>
      <c r="J496" s="6" t="s">
        <v>7028</v>
      </c>
      <c r="K496" s="6" t="s">
        <v>3140</v>
      </c>
      <c r="L496" s="6" t="s">
        <v>3142</v>
      </c>
      <c r="M496" s="6" t="s">
        <v>3142</v>
      </c>
      <c r="N496" s="6" t="s">
        <v>3141</v>
      </c>
      <c r="O496" s="6" t="s">
        <v>3141</v>
      </c>
      <c r="P496" s="6" t="s">
        <v>4147</v>
      </c>
      <c r="Q496" s="6" t="s">
        <v>7029</v>
      </c>
      <c r="R496" s="6" t="s">
        <v>7030</v>
      </c>
      <c r="S496" s="6" t="s">
        <v>22</v>
      </c>
      <c r="T496" s="6"/>
      <c r="U496" s="6" t="s">
        <v>3141</v>
      </c>
      <c r="V496" s="6" t="s">
        <v>7031</v>
      </c>
      <c r="W496" s="6" t="s">
        <v>5064</v>
      </c>
      <c r="X496" s="6" t="s">
        <v>85</v>
      </c>
      <c r="Y496" s="6" t="s">
        <v>3159</v>
      </c>
      <c r="Z496" s="6" t="s">
        <v>3343</v>
      </c>
      <c r="AA496" s="6" t="s">
        <v>6042</v>
      </c>
      <c r="AB496" s="6"/>
      <c r="AC496" s="6" t="s">
        <v>3141</v>
      </c>
      <c r="AD496" s="6" t="s">
        <v>3152</v>
      </c>
      <c r="AE496" s="6" t="s">
        <v>3235</v>
      </c>
      <c r="AF496" s="6" t="s">
        <v>7032</v>
      </c>
      <c r="AG496" s="6" t="s">
        <v>7033</v>
      </c>
      <c r="AH496" s="6" t="s">
        <v>79</v>
      </c>
    </row>
    <row r="497" spans="1:34" x14ac:dyDescent="0.25">
      <c r="A497" s="6" t="s">
        <v>1660</v>
      </c>
      <c r="B497" s="6" t="s">
        <v>7034</v>
      </c>
      <c r="C497" s="6" t="s">
        <v>1662</v>
      </c>
      <c r="D497" s="6" t="s">
        <v>1663</v>
      </c>
      <c r="E497" s="6" t="s">
        <v>4155</v>
      </c>
      <c r="F497" s="6" t="s">
        <v>3358</v>
      </c>
      <c r="G497" s="6" t="s">
        <v>131</v>
      </c>
      <c r="H497" s="6" t="s">
        <v>132</v>
      </c>
      <c r="I497" s="6" t="s">
        <v>92</v>
      </c>
      <c r="J497" s="6" t="s">
        <v>7035</v>
      </c>
      <c r="K497" s="6" t="s">
        <v>3192</v>
      </c>
      <c r="L497" s="6" t="s">
        <v>3188</v>
      </c>
      <c r="M497" s="6" t="s">
        <v>3196</v>
      </c>
      <c r="N497" s="6" t="s">
        <v>3142</v>
      </c>
      <c r="O497" s="6" t="s">
        <v>3196</v>
      </c>
      <c r="P497" s="6" t="s">
        <v>7036</v>
      </c>
      <c r="Q497" s="6" t="s">
        <v>7037</v>
      </c>
      <c r="R497" s="6" t="s">
        <v>7038</v>
      </c>
      <c r="S497" s="6" t="s">
        <v>22</v>
      </c>
      <c r="T497" s="6" t="s">
        <v>7039</v>
      </c>
      <c r="U497" s="6" t="s">
        <v>3159</v>
      </c>
      <c r="V497" s="6" t="s">
        <v>5328</v>
      </c>
      <c r="W497" s="6" t="s">
        <v>5038</v>
      </c>
      <c r="X497" s="6" t="s">
        <v>77</v>
      </c>
      <c r="Y497" s="6" t="s">
        <v>3141</v>
      </c>
      <c r="Z497" s="6" t="s">
        <v>78</v>
      </c>
      <c r="AA497" s="6" t="s">
        <v>3278</v>
      </c>
      <c r="AB497" s="6" t="s">
        <v>7040</v>
      </c>
      <c r="AC497" s="6" t="s">
        <v>3159</v>
      </c>
      <c r="AD497" s="6" t="s">
        <v>3152</v>
      </c>
      <c r="AE497" s="6" t="s">
        <v>3279</v>
      </c>
      <c r="AF497" s="6" t="s">
        <v>7041</v>
      </c>
      <c r="AG497" s="6" t="s">
        <v>7042</v>
      </c>
      <c r="AH497" s="6" t="s">
        <v>4004</v>
      </c>
    </row>
    <row r="498" spans="1:34" x14ac:dyDescent="0.25">
      <c r="A498" s="6" t="s">
        <v>1664</v>
      </c>
      <c r="B498" s="6" t="s">
        <v>1665</v>
      </c>
      <c r="C498" s="6" t="s">
        <v>7043</v>
      </c>
      <c r="D498" s="6" t="s">
        <v>1666</v>
      </c>
      <c r="E498" s="6" t="s">
        <v>3420</v>
      </c>
      <c r="F498" s="6" t="s">
        <v>3358</v>
      </c>
      <c r="G498" s="6" t="s">
        <v>388</v>
      </c>
      <c r="H498" s="6" t="s">
        <v>99</v>
      </c>
      <c r="I498" s="6" t="s">
        <v>74</v>
      </c>
      <c r="J498" s="6" t="s">
        <v>7044</v>
      </c>
      <c r="K498" s="6" t="s">
        <v>3159</v>
      </c>
      <c r="L498" s="6" t="s">
        <v>3142</v>
      </c>
      <c r="M498" s="6" t="s">
        <v>3243</v>
      </c>
      <c r="N498" s="6" t="s">
        <v>3243</v>
      </c>
      <c r="O498" s="6" t="s">
        <v>3160</v>
      </c>
      <c r="P498" s="6" t="s">
        <v>5326</v>
      </c>
      <c r="Q498" s="6" t="s">
        <v>7045</v>
      </c>
      <c r="R498" s="6" t="s">
        <v>7046</v>
      </c>
      <c r="S498" s="6" t="s">
        <v>20</v>
      </c>
      <c r="T498" s="6"/>
      <c r="U498" s="6" t="s">
        <v>3141</v>
      </c>
      <c r="V498" s="6" t="s">
        <v>7047</v>
      </c>
      <c r="W498" s="6" t="s">
        <v>3976</v>
      </c>
      <c r="X498" s="6" t="s">
        <v>77</v>
      </c>
      <c r="Y498" s="6" t="s">
        <v>3141</v>
      </c>
      <c r="Z498" s="6" t="s">
        <v>3343</v>
      </c>
      <c r="AA498" s="6" t="s">
        <v>3928</v>
      </c>
      <c r="AB498" s="6"/>
      <c r="AC498" s="6" t="s">
        <v>3140</v>
      </c>
      <c r="AD498" s="6" t="s">
        <v>3243</v>
      </c>
      <c r="AE498" s="6" t="s">
        <v>3235</v>
      </c>
      <c r="AF498" s="6"/>
      <c r="AG498" s="6" t="s">
        <v>7048</v>
      </c>
      <c r="AH498" s="6" t="s">
        <v>79</v>
      </c>
    </row>
    <row r="499" spans="1:34" x14ac:dyDescent="0.25">
      <c r="A499" s="6" t="s">
        <v>1667</v>
      </c>
      <c r="B499" s="6" t="s">
        <v>687</v>
      </c>
      <c r="C499" s="6" t="s">
        <v>7049</v>
      </c>
      <c r="D499" s="6" t="s">
        <v>1668</v>
      </c>
      <c r="E499" s="6" t="s">
        <v>3268</v>
      </c>
      <c r="F499" s="6" t="s">
        <v>89</v>
      </c>
      <c r="G499" s="6" t="s">
        <v>106</v>
      </c>
      <c r="H499" s="6" t="s">
        <v>84</v>
      </c>
      <c r="I499" s="6" t="s">
        <v>74</v>
      </c>
      <c r="J499" s="6" t="s">
        <v>7050</v>
      </c>
      <c r="K499" s="6" t="s">
        <v>3159</v>
      </c>
      <c r="L499" s="6" t="s">
        <v>76</v>
      </c>
      <c r="M499" s="6" t="s">
        <v>3243</v>
      </c>
      <c r="N499" s="6" t="s">
        <v>3152</v>
      </c>
      <c r="O499" s="6" t="s">
        <v>3143</v>
      </c>
      <c r="P499" s="6" t="s">
        <v>3244</v>
      </c>
      <c r="Q499" s="6" t="s">
        <v>7051</v>
      </c>
      <c r="R499" s="6" t="s">
        <v>7052</v>
      </c>
      <c r="S499" s="6" t="s">
        <v>21</v>
      </c>
      <c r="T499" s="6" t="s">
        <v>7053</v>
      </c>
      <c r="U499" s="6" t="s">
        <v>3192</v>
      </c>
      <c r="V499" s="6" t="s">
        <v>3532</v>
      </c>
      <c r="W499" s="6" t="s">
        <v>3262</v>
      </c>
      <c r="X499" s="6" t="s">
        <v>3290</v>
      </c>
      <c r="Y499" s="6" t="s">
        <v>3141</v>
      </c>
      <c r="Z499" s="6" t="s">
        <v>194</v>
      </c>
      <c r="AA499" s="6" t="s">
        <v>4050</v>
      </c>
      <c r="AB499" s="6"/>
      <c r="AC499" s="6" t="s">
        <v>3141</v>
      </c>
      <c r="AD499" s="6" t="s">
        <v>3243</v>
      </c>
      <c r="AE499" s="6" t="s">
        <v>3323</v>
      </c>
      <c r="AF499" s="6"/>
      <c r="AG499" s="6" t="s">
        <v>7054</v>
      </c>
      <c r="AH499" s="6" t="s">
        <v>79</v>
      </c>
    </row>
    <row r="500" spans="1:34" x14ac:dyDescent="0.25">
      <c r="A500" s="6" t="s">
        <v>1669</v>
      </c>
      <c r="B500" s="6" t="s">
        <v>1670</v>
      </c>
      <c r="C500" s="6" t="s">
        <v>1671</v>
      </c>
      <c r="D500" s="6" t="s">
        <v>1672</v>
      </c>
      <c r="E500" s="6" t="s">
        <v>4828</v>
      </c>
      <c r="F500" s="6" t="s">
        <v>3358</v>
      </c>
      <c r="G500" s="6" t="s">
        <v>120</v>
      </c>
      <c r="H500" s="6" t="s">
        <v>73</v>
      </c>
      <c r="I500" s="6" t="s">
        <v>74</v>
      </c>
      <c r="J500" s="6" t="s">
        <v>7055</v>
      </c>
      <c r="K500" s="6" t="s">
        <v>3140</v>
      </c>
      <c r="L500" s="6" t="s">
        <v>3143</v>
      </c>
      <c r="M500" s="6" t="s">
        <v>76</v>
      </c>
      <c r="N500" s="6" t="s">
        <v>3159</v>
      </c>
      <c r="O500" s="6" t="s">
        <v>3243</v>
      </c>
      <c r="P500" s="6" t="s">
        <v>7056</v>
      </c>
      <c r="Q500" s="6" t="s">
        <v>7057</v>
      </c>
      <c r="R500" s="6" t="s">
        <v>7058</v>
      </c>
      <c r="S500" s="6" t="s">
        <v>21</v>
      </c>
      <c r="T500" s="6" t="s">
        <v>7059</v>
      </c>
      <c r="U500" s="6" t="s">
        <v>3159</v>
      </c>
      <c r="V500" s="6" t="s">
        <v>6590</v>
      </c>
      <c r="W500" s="6" t="s">
        <v>3250</v>
      </c>
      <c r="X500" s="6" t="s">
        <v>85</v>
      </c>
      <c r="Y500" s="6" t="s">
        <v>3140</v>
      </c>
      <c r="Z500" s="6" t="s">
        <v>93</v>
      </c>
      <c r="AA500" s="6" t="s">
        <v>5215</v>
      </c>
      <c r="AB500" s="6" t="s">
        <v>7060</v>
      </c>
      <c r="AC500" s="6" t="s">
        <v>3141</v>
      </c>
      <c r="AD500" s="6" t="s">
        <v>3243</v>
      </c>
      <c r="AE500" s="6" t="s">
        <v>3279</v>
      </c>
      <c r="AF500" s="6"/>
      <c r="AG500" s="6" t="s">
        <v>7061</v>
      </c>
      <c r="AH500" s="6" t="s">
        <v>79</v>
      </c>
    </row>
    <row r="501" spans="1:34" x14ac:dyDescent="0.25">
      <c r="A501" s="6" t="s">
        <v>1673</v>
      </c>
      <c r="B501" s="6" t="s">
        <v>1674</v>
      </c>
      <c r="C501" s="6" t="s">
        <v>7062</v>
      </c>
      <c r="D501" s="6" t="s">
        <v>7063</v>
      </c>
      <c r="E501" s="6" t="s">
        <v>3226</v>
      </c>
      <c r="F501" s="6" t="s">
        <v>89</v>
      </c>
      <c r="G501" s="6" t="s">
        <v>139</v>
      </c>
      <c r="H501" s="6" t="s">
        <v>99</v>
      </c>
      <c r="I501" s="6" t="s">
        <v>74</v>
      </c>
      <c r="J501" s="6" t="s">
        <v>7064</v>
      </c>
      <c r="K501" s="6" t="s">
        <v>3141</v>
      </c>
      <c r="L501" s="6" t="s">
        <v>3160</v>
      </c>
      <c r="M501" s="6" t="s">
        <v>3141</v>
      </c>
      <c r="N501" s="6" t="s">
        <v>3141</v>
      </c>
      <c r="O501" s="6" t="s">
        <v>75</v>
      </c>
      <c r="P501" s="6" t="s">
        <v>5930</v>
      </c>
      <c r="Q501" s="6" t="s">
        <v>7065</v>
      </c>
      <c r="R501" s="6" t="s">
        <v>7066</v>
      </c>
      <c r="S501" s="6" t="s">
        <v>22</v>
      </c>
      <c r="T501" s="6" t="s">
        <v>7067</v>
      </c>
      <c r="U501" s="6" t="s">
        <v>3141</v>
      </c>
      <c r="V501" s="6" t="s">
        <v>7068</v>
      </c>
      <c r="W501" s="6" t="s">
        <v>4176</v>
      </c>
      <c r="X501" s="6" t="s">
        <v>85</v>
      </c>
      <c r="Y501" s="6" t="s">
        <v>3140</v>
      </c>
      <c r="Z501" s="6" t="s">
        <v>78</v>
      </c>
      <c r="AA501" s="6" t="s">
        <v>3395</v>
      </c>
      <c r="AB501" s="6" t="s">
        <v>7069</v>
      </c>
      <c r="AC501" s="6" t="s">
        <v>3141</v>
      </c>
      <c r="AD501" s="6" t="s">
        <v>3160</v>
      </c>
      <c r="AE501" s="6" t="s">
        <v>3235</v>
      </c>
      <c r="AF501" s="6" t="s">
        <v>7070</v>
      </c>
      <c r="AG501" s="6" t="s">
        <v>7071</v>
      </c>
      <c r="AH501" s="6" t="s">
        <v>79</v>
      </c>
    </row>
    <row r="502" spans="1:34" x14ac:dyDescent="0.25">
      <c r="A502" s="6" t="s">
        <v>1676</v>
      </c>
      <c r="B502" s="6" t="s">
        <v>1677</v>
      </c>
      <c r="C502" s="6"/>
      <c r="D502" s="6" t="s">
        <v>7072</v>
      </c>
      <c r="E502" s="6" t="s">
        <v>3722</v>
      </c>
      <c r="F502" s="6" t="s">
        <v>71</v>
      </c>
      <c r="G502" s="6" t="s">
        <v>3761</v>
      </c>
      <c r="H502" s="6" t="s">
        <v>84</v>
      </c>
      <c r="I502" s="6" t="s">
        <v>74</v>
      </c>
      <c r="J502" s="6" t="s">
        <v>7073</v>
      </c>
      <c r="K502" s="6" t="s">
        <v>3141</v>
      </c>
      <c r="L502" s="6" t="s">
        <v>3152</v>
      </c>
      <c r="M502" s="6" t="s">
        <v>3243</v>
      </c>
      <c r="N502" s="6" t="s">
        <v>75</v>
      </c>
      <c r="O502" s="6" t="s">
        <v>3243</v>
      </c>
      <c r="P502" s="6" t="s">
        <v>7074</v>
      </c>
      <c r="Q502" s="6" t="s">
        <v>7075</v>
      </c>
      <c r="R502" s="6" t="s">
        <v>7076</v>
      </c>
      <c r="S502" s="6" t="s">
        <v>22</v>
      </c>
      <c r="T502" s="6" t="s">
        <v>7077</v>
      </c>
      <c r="U502" s="6" t="s">
        <v>3159</v>
      </c>
      <c r="V502" s="6" t="s">
        <v>4568</v>
      </c>
      <c r="W502" s="6" t="s">
        <v>4067</v>
      </c>
      <c r="X502" s="6" t="s">
        <v>85</v>
      </c>
      <c r="Y502" s="6" t="s">
        <v>3140</v>
      </c>
      <c r="Z502" s="6" t="s">
        <v>194</v>
      </c>
      <c r="AA502" s="6" t="s">
        <v>3375</v>
      </c>
      <c r="AB502" s="6"/>
      <c r="AC502" s="6" t="s">
        <v>3141</v>
      </c>
      <c r="AD502" s="6" t="s">
        <v>3160</v>
      </c>
      <c r="AE502" s="6" t="s">
        <v>3622</v>
      </c>
      <c r="AF502" s="6" t="s">
        <v>7078</v>
      </c>
      <c r="AG502" s="6" t="s">
        <v>7079</v>
      </c>
      <c r="AH502" s="6" t="s">
        <v>79</v>
      </c>
    </row>
    <row r="503" spans="1:34" x14ac:dyDescent="0.25">
      <c r="A503" s="6" t="s">
        <v>1679</v>
      </c>
      <c r="B503" s="6" t="s">
        <v>1680</v>
      </c>
      <c r="C503" s="6" t="s">
        <v>7080</v>
      </c>
      <c r="D503" s="6" t="s">
        <v>1681</v>
      </c>
      <c r="E503" s="6" t="s">
        <v>3921</v>
      </c>
      <c r="F503" s="6" t="s">
        <v>3283</v>
      </c>
      <c r="G503" s="6" t="s">
        <v>314</v>
      </c>
      <c r="H503" s="6" t="s">
        <v>91</v>
      </c>
      <c r="I503" s="6" t="s">
        <v>92</v>
      </c>
      <c r="J503" s="6" t="s">
        <v>7081</v>
      </c>
      <c r="K503" s="6" t="s">
        <v>3159</v>
      </c>
      <c r="L503" s="6" t="s">
        <v>3196</v>
      </c>
      <c r="M503" s="6" t="s">
        <v>3143</v>
      </c>
      <c r="N503" s="6" t="s">
        <v>3160</v>
      </c>
      <c r="O503" s="6" t="s">
        <v>3243</v>
      </c>
      <c r="P503" s="6" t="s">
        <v>7056</v>
      </c>
      <c r="Q503" s="6" t="s">
        <v>7082</v>
      </c>
      <c r="R503" s="6" t="s">
        <v>7083</v>
      </c>
      <c r="S503" s="6" t="s">
        <v>20</v>
      </c>
      <c r="T503" s="6" t="s">
        <v>7084</v>
      </c>
      <c r="U503" s="6" t="s">
        <v>3159</v>
      </c>
      <c r="V503" s="6" t="s">
        <v>7085</v>
      </c>
      <c r="W503" s="6" t="s">
        <v>3404</v>
      </c>
      <c r="X503" s="6" t="s">
        <v>77</v>
      </c>
      <c r="Y503" s="6" t="s">
        <v>3141</v>
      </c>
      <c r="Z503" s="6" t="s">
        <v>78</v>
      </c>
      <c r="AA503" s="6" t="s">
        <v>4764</v>
      </c>
      <c r="AB503" s="6"/>
      <c r="AC503" s="6" t="s">
        <v>3141</v>
      </c>
      <c r="AD503" s="6" t="s">
        <v>3160</v>
      </c>
      <c r="AE503" s="6" t="s">
        <v>3293</v>
      </c>
      <c r="AF503" s="6"/>
      <c r="AG503" s="6" t="s">
        <v>5388</v>
      </c>
      <c r="AH503" s="6" t="s">
        <v>79</v>
      </c>
    </row>
    <row r="504" spans="1:34" x14ac:dyDescent="0.25">
      <c r="A504" s="6" t="s">
        <v>1682</v>
      </c>
      <c r="B504" s="6" t="s">
        <v>1683</v>
      </c>
      <c r="C504" s="6" t="s">
        <v>7086</v>
      </c>
      <c r="D504" s="6" t="s">
        <v>1684</v>
      </c>
      <c r="E504" s="6" t="s">
        <v>3722</v>
      </c>
      <c r="F504" s="6" t="s">
        <v>3214</v>
      </c>
      <c r="G504" s="6" t="s">
        <v>174</v>
      </c>
      <c r="H504" s="6" t="s">
        <v>132</v>
      </c>
      <c r="I504" s="6" t="s">
        <v>92</v>
      </c>
      <c r="J504" s="6" t="s">
        <v>7087</v>
      </c>
      <c r="K504" s="6" t="s">
        <v>3140</v>
      </c>
      <c r="L504" s="6" t="s">
        <v>3243</v>
      </c>
      <c r="M504" s="6" t="s">
        <v>3142</v>
      </c>
      <c r="N504" s="6" t="s">
        <v>3160</v>
      </c>
      <c r="O504" s="6" t="s">
        <v>76</v>
      </c>
      <c r="P504" s="6" t="s">
        <v>4948</v>
      </c>
      <c r="Q504" s="6" t="s">
        <v>7088</v>
      </c>
      <c r="R504" s="6" t="s">
        <v>7089</v>
      </c>
      <c r="S504" s="6" t="s">
        <v>23</v>
      </c>
      <c r="T504" s="6" t="s">
        <v>7090</v>
      </c>
      <c r="U504" s="6" t="s">
        <v>3141</v>
      </c>
      <c r="V504" s="6" t="s">
        <v>5094</v>
      </c>
      <c r="W504" s="6" t="s">
        <v>4764</v>
      </c>
      <c r="X504" s="6" t="s">
        <v>85</v>
      </c>
      <c r="Y504" s="6" t="s">
        <v>3159</v>
      </c>
      <c r="Z504" s="6" t="s">
        <v>93</v>
      </c>
      <c r="AA504" s="6" t="s">
        <v>3954</v>
      </c>
      <c r="AB504" s="6"/>
      <c r="AC504" s="6" t="s">
        <v>3159</v>
      </c>
      <c r="AD504" s="6" t="s">
        <v>3173</v>
      </c>
      <c r="AE504" s="6" t="s">
        <v>3318</v>
      </c>
      <c r="AF504" s="6" t="s">
        <v>7091</v>
      </c>
      <c r="AG504" s="6"/>
      <c r="AH504" s="6" t="s">
        <v>79</v>
      </c>
    </row>
    <row r="505" spans="1:34" x14ac:dyDescent="0.25">
      <c r="A505" s="6" t="s">
        <v>1685</v>
      </c>
      <c r="B505" s="6" t="s">
        <v>483</v>
      </c>
      <c r="C505" s="6" t="s">
        <v>1686</v>
      </c>
      <c r="D505" s="6" t="s">
        <v>1687</v>
      </c>
      <c r="E505" s="6" t="s">
        <v>3240</v>
      </c>
      <c r="F505" s="6" t="s">
        <v>71</v>
      </c>
      <c r="G505" s="6" t="s">
        <v>417</v>
      </c>
      <c r="H505" s="6" t="s">
        <v>99</v>
      </c>
      <c r="I505" s="6" t="s">
        <v>74</v>
      </c>
      <c r="J505" s="6" t="s">
        <v>3217</v>
      </c>
      <c r="K505" s="6" t="s">
        <v>3141</v>
      </c>
      <c r="L505" s="6" t="s">
        <v>75</v>
      </c>
      <c r="M505" s="6" t="s">
        <v>3143</v>
      </c>
      <c r="N505" s="6" t="s">
        <v>75</v>
      </c>
      <c r="O505" s="6" t="s">
        <v>3141</v>
      </c>
      <c r="P505" s="6" t="s">
        <v>3714</v>
      </c>
      <c r="Q505" s="6" t="s">
        <v>7092</v>
      </c>
      <c r="R505" s="6" t="s">
        <v>7093</v>
      </c>
      <c r="S505" s="6" t="s">
        <v>21</v>
      </c>
      <c r="T505" s="6" t="s">
        <v>7094</v>
      </c>
      <c r="U505" s="6" t="s">
        <v>3141</v>
      </c>
      <c r="V505" s="6" t="s">
        <v>7095</v>
      </c>
      <c r="W505" s="6" t="s">
        <v>4420</v>
      </c>
      <c r="X505" s="6" t="s">
        <v>85</v>
      </c>
      <c r="Y505" s="6" t="s">
        <v>3140</v>
      </c>
      <c r="Z505" s="6" t="s">
        <v>93</v>
      </c>
      <c r="AA505" s="6" t="s">
        <v>4161</v>
      </c>
      <c r="AB505" s="6" t="s">
        <v>7096</v>
      </c>
      <c r="AC505" s="6" t="s">
        <v>3141</v>
      </c>
      <c r="AD505" s="6" t="s">
        <v>3160</v>
      </c>
      <c r="AE505" s="6" t="s">
        <v>3323</v>
      </c>
      <c r="AF505" s="6"/>
      <c r="AG505" s="6" t="s">
        <v>7097</v>
      </c>
      <c r="AH505" s="6" t="s">
        <v>79</v>
      </c>
    </row>
    <row r="506" spans="1:34" x14ac:dyDescent="0.25">
      <c r="A506" s="6" t="s">
        <v>1688</v>
      </c>
      <c r="B506" s="6" t="s">
        <v>1689</v>
      </c>
      <c r="C506" s="6" t="s">
        <v>1690</v>
      </c>
      <c r="D506" s="6" t="s">
        <v>1691</v>
      </c>
      <c r="E506" s="6" t="s">
        <v>3235</v>
      </c>
      <c r="F506" s="6" t="s">
        <v>3201</v>
      </c>
      <c r="G506" s="6" t="s">
        <v>83</v>
      </c>
      <c r="H506" s="6" t="s">
        <v>91</v>
      </c>
      <c r="I506" s="6" t="s">
        <v>92</v>
      </c>
      <c r="J506" s="6" t="s">
        <v>7098</v>
      </c>
      <c r="K506" s="6" t="s">
        <v>3140</v>
      </c>
      <c r="L506" s="6" t="s">
        <v>3188</v>
      </c>
      <c r="M506" s="6" t="s">
        <v>3188</v>
      </c>
      <c r="N506" s="6" t="s">
        <v>3152</v>
      </c>
      <c r="O506" s="6" t="s">
        <v>3160</v>
      </c>
      <c r="P506" s="6" t="s">
        <v>7099</v>
      </c>
      <c r="Q506" s="6" t="s">
        <v>3217</v>
      </c>
      <c r="R506" s="6" t="s">
        <v>7100</v>
      </c>
      <c r="S506" s="6" t="s">
        <v>20</v>
      </c>
      <c r="T506" s="6" t="s">
        <v>7101</v>
      </c>
      <c r="U506" s="6" t="s">
        <v>3159</v>
      </c>
      <c r="V506" s="6" t="s">
        <v>4568</v>
      </c>
      <c r="W506" s="6" t="s">
        <v>3954</v>
      </c>
      <c r="X506" s="6" t="s">
        <v>85</v>
      </c>
      <c r="Y506" s="6" t="s">
        <v>3292</v>
      </c>
      <c r="Z506" s="6" t="s">
        <v>78</v>
      </c>
      <c r="AA506" s="6" t="s">
        <v>4592</v>
      </c>
      <c r="AB506" s="6"/>
      <c r="AC506" s="6" t="s">
        <v>3141</v>
      </c>
      <c r="AD506" s="6" t="s">
        <v>3143</v>
      </c>
      <c r="AE506" s="6" t="s">
        <v>3293</v>
      </c>
      <c r="AF506" s="6"/>
      <c r="AG506" s="6" t="s">
        <v>3458</v>
      </c>
      <c r="AH506" s="6" t="s">
        <v>79</v>
      </c>
    </row>
    <row r="507" spans="1:34" x14ac:dyDescent="0.25">
      <c r="A507" s="6" t="s">
        <v>1692</v>
      </c>
      <c r="B507" s="6" t="s">
        <v>641</v>
      </c>
      <c r="C507" s="6"/>
      <c r="D507" s="6" t="s">
        <v>7102</v>
      </c>
      <c r="E507" s="6" t="s">
        <v>3254</v>
      </c>
      <c r="F507" s="6" t="s">
        <v>3227</v>
      </c>
      <c r="G507" s="6" t="s">
        <v>417</v>
      </c>
      <c r="H507" s="6" t="s">
        <v>132</v>
      </c>
      <c r="I507" s="6" t="s">
        <v>92</v>
      </c>
      <c r="J507" s="6" t="s">
        <v>7103</v>
      </c>
      <c r="K507" s="6" t="s">
        <v>3140</v>
      </c>
      <c r="L507" s="6" t="s">
        <v>3143</v>
      </c>
      <c r="M507" s="6" t="s">
        <v>3141</v>
      </c>
      <c r="N507" s="6" t="s">
        <v>3142</v>
      </c>
      <c r="O507" s="6" t="s">
        <v>3159</v>
      </c>
      <c r="P507" s="6" t="s">
        <v>3144</v>
      </c>
      <c r="Q507" s="6" t="s">
        <v>7104</v>
      </c>
      <c r="R507" s="6" t="s">
        <v>7105</v>
      </c>
      <c r="S507" s="6" t="s">
        <v>20</v>
      </c>
      <c r="T507" s="6" t="s">
        <v>7106</v>
      </c>
      <c r="U507" s="6" t="s">
        <v>3292</v>
      </c>
      <c r="V507" s="6" t="s">
        <v>3317</v>
      </c>
      <c r="W507" s="6" t="s">
        <v>3588</v>
      </c>
      <c r="X507" s="6" t="s">
        <v>77</v>
      </c>
      <c r="Y507" s="6" t="s">
        <v>3292</v>
      </c>
      <c r="Z507" s="6" t="s">
        <v>93</v>
      </c>
      <c r="AA507" s="6" t="s">
        <v>3289</v>
      </c>
      <c r="AB507" s="6" t="s">
        <v>7107</v>
      </c>
      <c r="AC507" s="6" t="s">
        <v>3141</v>
      </c>
      <c r="AD507" s="6" t="s">
        <v>3243</v>
      </c>
      <c r="AE507" s="6" t="s">
        <v>3235</v>
      </c>
      <c r="AF507" s="6"/>
      <c r="AG507" s="6" t="s">
        <v>7108</v>
      </c>
      <c r="AH507" s="6" t="s">
        <v>79</v>
      </c>
    </row>
    <row r="508" spans="1:34" x14ac:dyDescent="0.25">
      <c r="A508" s="6" t="s">
        <v>1694</v>
      </c>
      <c r="B508" s="6" t="s">
        <v>7109</v>
      </c>
      <c r="C508" s="6" t="s">
        <v>7110</v>
      </c>
      <c r="D508" s="6" t="s">
        <v>7111</v>
      </c>
      <c r="E508" s="6" t="s">
        <v>3760</v>
      </c>
      <c r="F508" s="6" t="s">
        <v>3227</v>
      </c>
      <c r="G508" s="6" t="s">
        <v>153</v>
      </c>
      <c r="H508" s="6" t="s">
        <v>73</v>
      </c>
      <c r="I508" s="6" t="s">
        <v>74</v>
      </c>
      <c r="J508" s="6"/>
      <c r="K508" s="6" t="s">
        <v>3159</v>
      </c>
      <c r="L508" s="6" t="s">
        <v>3160</v>
      </c>
      <c r="M508" s="6" t="s">
        <v>75</v>
      </c>
      <c r="N508" s="6" t="s">
        <v>3143</v>
      </c>
      <c r="O508" s="6" t="s">
        <v>3196</v>
      </c>
      <c r="P508" s="6" t="s">
        <v>7112</v>
      </c>
      <c r="Q508" s="6" t="s">
        <v>7113</v>
      </c>
      <c r="R508" s="6" t="s">
        <v>7114</v>
      </c>
      <c r="S508" s="6" t="s">
        <v>3671</v>
      </c>
      <c r="T508" s="6"/>
      <c r="U508" s="6" t="s">
        <v>3159</v>
      </c>
      <c r="V508" s="6" t="s">
        <v>5387</v>
      </c>
      <c r="W508" s="6" t="s">
        <v>4764</v>
      </c>
      <c r="X508" s="6" t="s">
        <v>85</v>
      </c>
      <c r="Y508" s="6" t="s">
        <v>3140</v>
      </c>
      <c r="Z508" s="6" t="s">
        <v>93</v>
      </c>
      <c r="AA508" s="6" t="s">
        <v>6950</v>
      </c>
      <c r="AB508" s="6" t="s">
        <v>7115</v>
      </c>
      <c r="AC508" s="6" t="s">
        <v>3141</v>
      </c>
      <c r="AD508" s="6" t="s">
        <v>3141</v>
      </c>
      <c r="AE508" s="6" t="s">
        <v>3513</v>
      </c>
      <c r="AF508" s="6" t="s">
        <v>7116</v>
      </c>
      <c r="AG508" s="6" t="s">
        <v>7117</v>
      </c>
      <c r="AH508" s="6" t="s">
        <v>79</v>
      </c>
    </row>
    <row r="509" spans="1:34" x14ac:dyDescent="0.25">
      <c r="A509" s="6" t="s">
        <v>1697</v>
      </c>
      <c r="B509" s="6" t="s">
        <v>1698</v>
      </c>
      <c r="C509" s="6" t="s">
        <v>7118</v>
      </c>
      <c r="D509" s="6" t="s">
        <v>7119</v>
      </c>
      <c r="E509" s="6" t="s">
        <v>3254</v>
      </c>
      <c r="F509" s="6" t="s">
        <v>3227</v>
      </c>
      <c r="G509" s="6" t="s">
        <v>314</v>
      </c>
      <c r="H509" s="6" t="s">
        <v>3678</v>
      </c>
      <c r="I509" s="6" t="s">
        <v>74</v>
      </c>
      <c r="J509" s="6" t="s">
        <v>7120</v>
      </c>
      <c r="K509" s="6" t="s">
        <v>3292</v>
      </c>
      <c r="L509" s="6" t="s">
        <v>3142</v>
      </c>
      <c r="M509" s="6" t="s">
        <v>3160</v>
      </c>
      <c r="N509" s="6" t="s">
        <v>3159</v>
      </c>
      <c r="O509" s="6" t="s">
        <v>3142</v>
      </c>
      <c r="P509" s="6" t="s">
        <v>4223</v>
      </c>
      <c r="Q509" s="6" t="s">
        <v>7121</v>
      </c>
      <c r="R509" s="6" t="s">
        <v>7122</v>
      </c>
      <c r="S509" s="6" t="s">
        <v>22</v>
      </c>
      <c r="T509" s="6"/>
      <c r="U509" s="6" t="s">
        <v>3141</v>
      </c>
      <c r="V509" s="6" t="s">
        <v>7123</v>
      </c>
      <c r="W509" s="6" t="s">
        <v>3249</v>
      </c>
      <c r="X509" s="6" t="s">
        <v>85</v>
      </c>
      <c r="Y509" s="6" t="s">
        <v>3141</v>
      </c>
      <c r="Z509" s="6" t="s">
        <v>93</v>
      </c>
      <c r="AA509" s="6" t="s">
        <v>5032</v>
      </c>
      <c r="AB509" s="6" t="s">
        <v>7124</v>
      </c>
      <c r="AC509" s="6" t="s">
        <v>3141</v>
      </c>
      <c r="AD509" s="6" t="s">
        <v>3243</v>
      </c>
      <c r="AE509" s="6" t="s">
        <v>3210</v>
      </c>
      <c r="AF509" s="6" t="s">
        <v>7125</v>
      </c>
      <c r="AG509" s="6" t="s">
        <v>7126</v>
      </c>
      <c r="AH509" s="6" t="s">
        <v>79</v>
      </c>
    </row>
    <row r="510" spans="1:34" x14ac:dyDescent="0.25">
      <c r="A510" s="6" t="s">
        <v>1700</v>
      </c>
      <c r="B510" s="6" t="s">
        <v>7127</v>
      </c>
      <c r="C510" s="6" t="s">
        <v>7128</v>
      </c>
      <c r="D510" s="6" t="s">
        <v>1702</v>
      </c>
      <c r="E510" s="6" t="s">
        <v>4155</v>
      </c>
      <c r="F510" s="6" t="s">
        <v>3358</v>
      </c>
      <c r="G510" s="6" t="s">
        <v>120</v>
      </c>
      <c r="H510" s="6" t="s">
        <v>166</v>
      </c>
      <c r="I510" s="6" t="s">
        <v>74</v>
      </c>
      <c r="J510" s="6" t="s">
        <v>7129</v>
      </c>
      <c r="K510" s="6" t="s">
        <v>3141</v>
      </c>
      <c r="L510" s="6" t="s">
        <v>75</v>
      </c>
      <c r="M510" s="6" t="s">
        <v>3243</v>
      </c>
      <c r="N510" s="6" t="s">
        <v>75</v>
      </c>
      <c r="O510" s="6" t="s">
        <v>3143</v>
      </c>
      <c r="P510" s="6" t="s">
        <v>3271</v>
      </c>
      <c r="Q510" s="6" t="s">
        <v>7130</v>
      </c>
      <c r="R510" s="6" t="s">
        <v>7131</v>
      </c>
      <c r="S510" s="6" t="s">
        <v>20</v>
      </c>
      <c r="T510" s="6" t="s">
        <v>7132</v>
      </c>
      <c r="U510" s="6" t="s">
        <v>3159</v>
      </c>
      <c r="V510" s="6" t="s">
        <v>5258</v>
      </c>
      <c r="W510" s="6" t="s">
        <v>4910</v>
      </c>
      <c r="X510" s="6" t="s">
        <v>85</v>
      </c>
      <c r="Y510" s="6" t="s">
        <v>3292</v>
      </c>
      <c r="Z510" s="6" t="s">
        <v>93</v>
      </c>
      <c r="AA510" s="6" t="s">
        <v>3501</v>
      </c>
      <c r="AB510" s="6"/>
      <c r="AC510" s="6" t="s">
        <v>3141</v>
      </c>
      <c r="AD510" s="6" t="s">
        <v>3141</v>
      </c>
      <c r="AE510" s="6" t="s">
        <v>3293</v>
      </c>
      <c r="AF510" s="6"/>
      <c r="AG510" s="6" t="s">
        <v>7133</v>
      </c>
      <c r="AH510" s="6" t="s">
        <v>79</v>
      </c>
    </row>
    <row r="511" spans="1:34" x14ac:dyDescent="0.25">
      <c r="A511" s="6" t="s">
        <v>1703</v>
      </c>
      <c r="B511" s="6" t="s">
        <v>1704</v>
      </c>
      <c r="C511" s="6" t="s">
        <v>7134</v>
      </c>
      <c r="D511" s="6" t="s">
        <v>1705</v>
      </c>
      <c r="E511" s="6" t="s">
        <v>3323</v>
      </c>
      <c r="F511" s="6" t="s">
        <v>89</v>
      </c>
      <c r="G511" s="6" t="s">
        <v>98</v>
      </c>
      <c r="H511" s="6" t="s">
        <v>144</v>
      </c>
      <c r="I511" s="6" t="s">
        <v>92</v>
      </c>
      <c r="J511" s="6"/>
      <c r="K511" s="6" t="s">
        <v>3292</v>
      </c>
      <c r="L511" s="6" t="s">
        <v>76</v>
      </c>
      <c r="M511" s="6" t="s">
        <v>3159</v>
      </c>
      <c r="N511" s="6" t="s">
        <v>3142</v>
      </c>
      <c r="O511" s="6" t="s">
        <v>3243</v>
      </c>
      <c r="P511" s="6" t="s">
        <v>4309</v>
      </c>
      <c r="Q511" s="6" t="s">
        <v>7135</v>
      </c>
      <c r="R511" s="6" t="s">
        <v>7136</v>
      </c>
      <c r="S511" s="6" t="s">
        <v>23</v>
      </c>
      <c r="T511" s="6" t="s">
        <v>7137</v>
      </c>
      <c r="U511" s="6" t="s">
        <v>3141</v>
      </c>
      <c r="V511" s="6" t="s">
        <v>3927</v>
      </c>
      <c r="W511" s="6" t="s">
        <v>4067</v>
      </c>
      <c r="X511" s="6" t="s">
        <v>85</v>
      </c>
      <c r="Y511" s="6" t="s">
        <v>3141</v>
      </c>
      <c r="Z511" s="6" t="s">
        <v>78</v>
      </c>
      <c r="AA511" s="6" t="s">
        <v>5155</v>
      </c>
      <c r="AB511" s="6"/>
      <c r="AC511" s="6" t="s">
        <v>3141</v>
      </c>
      <c r="AD511" s="6" t="s">
        <v>3142</v>
      </c>
      <c r="AE511" s="6" t="s">
        <v>3153</v>
      </c>
      <c r="AF511" s="6" t="s">
        <v>7138</v>
      </c>
      <c r="AG511" s="6" t="s">
        <v>7139</v>
      </c>
      <c r="AH511" s="6" t="s">
        <v>79</v>
      </c>
    </row>
    <row r="512" spans="1:34" x14ac:dyDescent="0.25">
      <c r="A512" s="6" t="s">
        <v>1706</v>
      </c>
      <c r="B512" s="6" t="s">
        <v>1611</v>
      </c>
      <c r="C512" s="6" t="s">
        <v>7140</v>
      </c>
      <c r="D512" s="6" t="s">
        <v>1707</v>
      </c>
      <c r="E512" s="6" t="s">
        <v>3636</v>
      </c>
      <c r="F512" s="6" t="s">
        <v>3137</v>
      </c>
      <c r="G512" s="6" t="s">
        <v>143</v>
      </c>
      <c r="H512" s="6" t="s">
        <v>91</v>
      </c>
      <c r="I512" s="6" t="s">
        <v>92</v>
      </c>
      <c r="J512" s="6" t="s">
        <v>7141</v>
      </c>
      <c r="K512" s="6" t="s">
        <v>3141</v>
      </c>
      <c r="L512" s="6" t="s">
        <v>3243</v>
      </c>
      <c r="M512" s="6" t="s">
        <v>3152</v>
      </c>
      <c r="N512" s="6" t="s">
        <v>3243</v>
      </c>
      <c r="O512" s="6" t="s">
        <v>3160</v>
      </c>
      <c r="P512" s="6" t="s">
        <v>5922</v>
      </c>
      <c r="Q512" s="6" t="s">
        <v>7142</v>
      </c>
      <c r="R512" s="6" t="s">
        <v>7143</v>
      </c>
      <c r="S512" s="6" t="s">
        <v>20</v>
      </c>
      <c r="T512" s="6" t="s">
        <v>7144</v>
      </c>
      <c r="U512" s="6" t="s">
        <v>3141</v>
      </c>
      <c r="V512" s="6" t="s">
        <v>3777</v>
      </c>
      <c r="W512" s="6" t="s">
        <v>5046</v>
      </c>
      <c r="X512" s="6" t="s">
        <v>77</v>
      </c>
      <c r="Y512" s="6" t="s">
        <v>3140</v>
      </c>
      <c r="Z512" s="6" t="s">
        <v>93</v>
      </c>
      <c r="AA512" s="6" t="s">
        <v>3776</v>
      </c>
      <c r="AB512" s="6"/>
      <c r="AC512" s="6" t="s">
        <v>3141</v>
      </c>
      <c r="AD512" s="6" t="s">
        <v>3141</v>
      </c>
      <c r="AE512" s="6" t="s">
        <v>3293</v>
      </c>
      <c r="AF512" s="6"/>
      <c r="AG512" s="6" t="s">
        <v>7145</v>
      </c>
      <c r="AH512" s="6" t="s">
        <v>79</v>
      </c>
    </row>
    <row r="513" spans="1:34" x14ac:dyDescent="0.25">
      <c r="A513" s="6" t="s">
        <v>1708</v>
      </c>
      <c r="B513" s="6" t="s">
        <v>1709</v>
      </c>
      <c r="C513" s="6" t="s">
        <v>7146</v>
      </c>
      <c r="D513" s="6" t="s">
        <v>7147</v>
      </c>
      <c r="E513" s="6" t="s">
        <v>4358</v>
      </c>
      <c r="F513" s="6" t="s">
        <v>3201</v>
      </c>
      <c r="G513" s="6" t="s">
        <v>388</v>
      </c>
      <c r="H513" s="6" t="s">
        <v>91</v>
      </c>
      <c r="I513" s="6" t="s">
        <v>92</v>
      </c>
      <c r="J513" s="6" t="s">
        <v>7148</v>
      </c>
      <c r="K513" s="6" t="s">
        <v>3159</v>
      </c>
      <c r="L513" s="6" t="s">
        <v>75</v>
      </c>
      <c r="M513" s="6" t="s">
        <v>3141</v>
      </c>
      <c r="N513" s="6" t="s">
        <v>3159</v>
      </c>
      <c r="O513" s="6" t="s">
        <v>3160</v>
      </c>
      <c r="P513" s="6" t="s">
        <v>7149</v>
      </c>
      <c r="Q513" s="6" t="s">
        <v>7150</v>
      </c>
      <c r="R513" s="6" t="s">
        <v>7151</v>
      </c>
      <c r="S513" s="6" t="s">
        <v>23</v>
      </c>
      <c r="T513" s="6" t="s">
        <v>7152</v>
      </c>
      <c r="U513" s="6" t="s">
        <v>3141</v>
      </c>
      <c r="V513" s="6" t="s">
        <v>7153</v>
      </c>
      <c r="W513" s="6" t="s">
        <v>4873</v>
      </c>
      <c r="X513" s="6" t="s">
        <v>85</v>
      </c>
      <c r="Y513" s="6" t="s">
        <v>3140</v>
      </c>
      <c r="Z513" s="6" t="s">
        <v>93</v>
      </c>
      <c r="AA513" s="6" t="s">
        <v>3149</v>
      </c>
      <c r="AB513" s="6"/>
      <c r="AC513" s="6" t="s">
        <v>3141</v>
      </c>
      <c r="AD513" s="6" t="s">
        <v>3141</v>
      </c>
      <c r="AE513" s="6" t="s">
        <v>3428</v>
      </c>
      <c r="AF513" s="6" t="s">
        <v>7154</v>
      </c>
      <c r="AG513" s="6" t="s">
        <v>7155</v>
      </c>
      <c r="AH513" s="6" t="s">
        <v>79</v>
      </c>
    </row>
    <row r="514" spans="1:34" x14ac:dyDescent="0.25">
      <c r="A514" s="6" t="s">
        <v>1711</v>
      </c>
      <c r="B514" s="6" t="s">
        <v>1712</v>
      </c>
      <c r="C514" s="6" t="s">
        <v>7156</v>
      </c>
      <c r="D514" s="6" t="s">
        <v>1713</v>
      </c>
      <c r="E514" s="6" t="s">
        <v>3309</v>
      </c>
      <c r="F514" s="6" t="s">
        <v>3283</v>
      </c>
      <c r="G514" s="6" t="s">
        <v>131</v>
      </c>
      <c r="H514" s="6" t="s">
        <v>166</v>
      </c>
      <c r="I514" s="6" t="s">
        <v>74</v>
      </c>
      <c r="J514" s="6" t="s">
        <v>7157</v>
      </c>
      <c r="K514" s="6" t="s">
        <v>3141</v>
      </c>
      <c r="L514" s="6" t="s">
        <v>3152</v>
      </c>
      <c r="M514" s="6" t="s">
        <v>3143</v>
      </c>
      <c r="N514" s="6" t="s">
        <v>3143</v>
      </c>
      <c r="O514" s="6" t="s">
        <v>3143</v>
      </c>
      <c r="P514" s="6" t="s">
        <v>7158</v>
      </c>
      <c r="Q514" s="6" t="s">
        <v>7159</v>
      </c>
      <c r="R514" s="6" t="s">
        <v>7160</v>
      </c>
      <c r="S514" s="6" t="s">
        <v>23</v>
      </c>
      <c r="T514" s="6" t="s">
        <v>7161</v>
      </c>
      <c r="U514" s="6" t="s">
        <v>3159</v>
      </c>
      <c r="V514" s="6" t="s">
        <v>6891</v>
      </c>
      <c r="W514" s="6" t="s">
        <v>3767</v>
      </c>
      <c r="X514" s="6" t="s">
        <v>3290</v>
      </c>
      <c r="Y514" s="6" t="s">
        <v>3292</v>
      </c>
      <c r="Z514" s="6" t="s">
        <v>93</v>
      </c>
      <c r="AA514" s="6" t="s">
        <v>3683</v>
      </c>
      <c r="AB514" s="6" t="s">
        <v>7162</v>
      </c>
      <c r="AC514" s="6" t="s">
        <v>3292</v>
      </c>
      <c r="AD514" s="6" t="s">
        <v>3243</v>
      </c>
      <c r="AE514" s="6" t="s">
        <v>3513</v>
      </c>
      <c r="AF514" s="6" t="s">
        <v>7163</v>
      </c>
      <c r="AG514" s="6" t="s">
        <v>4016</v>
      </c>
      <c r="AH514" s="6" t="s">
        <v>79</v>
      </c>
    </row>
    <row r="515" spans="1:34" x14ac:dyDescent="0.25">
      <c r="A515" s="6" t="s">
        <v>1714</v>
      </c>
      <c r="B515" s="6" t="s">
        <v>1715</v>
      </c>
      <c r="C515" s="6" t="s">
        <v>1716</v>
      </c>
      <c r="D515" s="6" t="s">
        <v>7164</v>
      </c>
      <c r="E515" s="6" t="s">
        <v>3136</v>
      </c>
      <c r="F515" s="6" t="s">
        <v>3227</v>
      </c>
      <c r="G515" s="6" t="s">
        <v>226</v>
      </c>
      <c r="H515" s="6" t="s">
        <v>3507</v>
      </c>
      <c r="I515" s="6" t="s">
        <v>92</v>
      </c>
      <c r="J515" s="6" t="s">
        <v>7165</v>
      </c>
      <c r="K515" s="6" t="s">
        <v>3292</v>
      </c>
      <c r="L515" s="6" t="s">
        <v>3142</v>
      </c>
      <c r="M515" s="6" t="s">
        <v>3188</v>
      </c>
      <c r="N515" s="6" t="s">
        <v>3141</v>
      </c>
      <c r="O515" s="6" t="s">
        <v>3142</v>
      </c>
      <c r="P515" s="6" t="s">
        <v>7166</v>
      </c>
      <c r="Q515" s="6" t="s">
        <v>7167</v>
      </c>
      <c r="R515" s="6" t="s">
        <v>7168</v>
      </c>
      <c r="S515" s="6" t="s">
        <v>21</v>
      </c>
      <c r="T515" s="6" t="s">
        <v>7169</v>
      </c>
      <c r="U515" s="6" t="s">
        <v>3141</v>
      </c>
      <c r="V515" s="6" t="s">
        <v>7170</v>
      </c>
      <c r="W515" s="6" t="s">
        <v>4050</v>
      </c>
      <c r="X515" s="6" t="s">
        <v>85</v>
      </c>
      <c r="Y515" s="6" t="s">
        <v>3159</v>
      </c>
      <c r="Z515" s="6" t="s">
        <v>78</v>
      </c>
      <c r="AA515" s="6" t="s">
        <v>4126</v>
      </c>
      <c r="AB515" s="6"/>
      <c r="AC515" s="6" t="s">
        <v>3159</v>
      </c>
      <c r="AD515" s="6" t="s">
        <v>3152</v>
      </c>
      <c r="AE515" s="6" t="s">
        <v>3323</v>
      </c>
      <c r="AF515" s="6"/>
      <c r="AG515" s="6" t="s">
        <v>6116</v>
      </c>
      <c r="AH515" s="6" t="s">
        <v>79</v>
      </c>
    </row>
    <row r="516" spans="1:34" x14ac:dyDescent="0.25">
      <c r="A516" s="6" t="s">
        <v>1718</v>
      </c>
      <c r="B516" s="6" t="s">
        <v>1719</v>
      </c>
      <c r="C516" s="6" t="s">
        <v>1720</v>
      </c>
      <c r="D516" s="6" t="s">
        <v>1721</v>
      </c>
      <c r="E516" s="6" t="s">
        <v>3617</v>
      </c>
      <c r="F516" s="6" t="s">
        <v>71</v>
      </c>
      <c r="G516" s="6" t="s">
        <v>3704</v>
      </c>
      <c r="H516" s="6" t="s">
        <v>91</v>
      </c>
      <c r="I516" s="6" t="s">
        <v>92</v>
      </c>
      <c r="J516" s="6" t="s">
        <v>7171</v>
      </c>
      <c r="K516" s="6" t="s">
        <v>3140</v>
      </c>
      <c r="L516" s="6" t="s">
        <v>3243</v>
      </c>
      <c r="M516" s="6" t="s">
        <v>3173</v>
      </c>
      <c r="N516" s="6" t="s">
        <v>3142</v>
      </c>
      <c r="O516" s="6" t="s">
        <v>3141</v>
      </c>
      <c r="P516" s="6" t="s">
        <v>7112</v>
      </c>
      <c r="Q516" s="6" t="s">
        <v>7172</v>
      </c>
      <c r="R516" s="6" t="s">
        <v>7173</v>
      </c>
      <c r="S516" s="6" t="s">
        <v>22</v>
      </c>
      <c r="T516" s="6" t="s">
        <v>7174</v>
      </c>
      <c r="U516" s="6" t="s">
        <v>3141</v>
      </c>
      <c r="V516" s="6" t="s">
        <v>4643</v>
      </c>
      <c r="W516" s="6" t="s">
        <v>3672</v>
      </c>
      <c r="X516" s="6" t="s">
        <v>85</v>
      </c>
      <c r="Y516" s="6" t="s">
        <v>3140</v>
      </c>
      <c r="Z516" s="6" t="s">
        <v>93</v>
      </c>
      <c r="AA516" s="6" t="s">
        <v>3587</v>
      </c>
      <c r="AB516" s="6"/>
      <c r="AC516" s="6" t="s">
        <v>3292</v>
      </c>
      <c r="AD516" s="6" t="s">
        <v>75</v>
      </c>
      <c r="AE516" s="6" t="s">
        <v>3279</v>
      </c>
      <c r="AF516" s="6" t="s">
        <v>7175</v>
      </c>
      <c r="AG516" s="6" t="s">
        <v>7176</v>
      </c>
      <c r="AH516" s="6" t="s">
        <v>79</v>
      </c>
    </row>
    <row r="517" spans="1:34" x14ac:dyDescent="0.25">
      <c r="A517" s="6" t="s">
        <v>1722</v>
      </c>
      <c r="B517" s="6" t="s">
        <v>1723</v>
      </c>
      <c r="C517" s="6"/>
      <c r="D517" s="6" t="s">
        <v>1724</v>
      </c>
      <c r="E517" s="6" t="s">
        <v>3786</v>
      </c>
      <c r="F517" s="6" t="s">
        <v>71</v>
      </c>
      <c r="G517" s="6" t="s">
        <v>139</v>
      </c>
      <c r="H517" s="6" t="s">
        <v>132</v>
      </c>
      <c r="I517" s="6" t="s">
        <v>92</v>
      </c>
      <c r="J517" s="6" t="s">
        <v>7177</v>
      </c>
      <c r="K517" s="6" t="s">
        <v>3140</v>
      </c>
      <c r="L517" s="6" t="s">
        <v>3243</v>
      </c>
      <c r="M517" s="6" t="s">
        <v>3142</v>
      </c>
      <c r="N517" s="6" t="s">
        <v>3142</v>
      </c>
      <c r="O517" s="6" t="s">
        <v>3141</v>
      </c>
      <c r="P517" s="6" t="s">
        <v>7178</v>
      </c>
      <c r="Q517" s="6" t="s">
        <v>7179</v>
      </c>
      <c r="R517" s="6" t="s">
        <v>7180</v>
      </c>
      <c r="S517" s="6" t="s">
        <v>22</v>
      </c>
      <c r="T517" s="6" t="s">
        <v>7181</v>
      </c>
      <c r="U517" s="6" t="s">
        <v>3141</v>
      </c>
      <c r="V517" s="6" t="s">
        <v>5295</v>
      </c>
      <c r="W517" s="6" t="s">
        <v>4643</v>
      </c>
      <c r="X517" s="6" t="s">
        <v>77</v>
      </c>
      <c r="Y517" s="6" t="s">
        <v>3159</v>
      </c>
      <c r="Z517" s="6" t="s">
        <v>93</v>
      </c>
      <c r="AA517" s="6" t="s">
        <v>3278</v>
      </c>
      <c r="AB517" s="6"/>
      <c r="AC517" s="6" t="s">
        <v>3141</v>
      </c>
      <c r="AD517" s="6" t="s">
        <v>76</v>
      </c>
      <c r="AE517" s="6" t="s">
        <v>3136</v>
      </c>
      <c r="AF517" s="6" t="s">
        <v>7182</v>
      </c>
      <c r="AG517" s="6" t="s">
        <v>4733</v>
      </c>
      <c r="AH517" s="6" t="s">
        <v>79</v>
      </c>
    </row>
    <row r="518" spans="1:34" x14ac:dyDescent="0.25">
      <c r="A518" s="6" t="s">
        <v>1725</v>
      </c>
      <c r="B518" s="6" t="s">
        <v>1539</v>
      </c>
      <c r="C518" s="6" t="s">
        <v>7183</v>
      </c>
      <c r="D518" s="6" t="s">
        <v>1726</v>
      </c>
      <c r="E518" s="6" t="s">
        <v>3279</v>
      </c>
      <c r="F518" s="6" t="s">
        <v>3358</v>
      </c>
      <c r="G518" s="6" t="s">
        <v>115</v>
      </c>
      <c r="H518" s="6" t="s">
        <v>107</v>
      </c>
      <c r="I518" s="6" t="s">
        <v>92</v>
      </c>
      <c r="J518" s="6" t="s">
        <v>7184</v>
      </c>
      <c r="K518" s="6" t="s">
        <v>3159</v>
      </c>
      <c r="L518" s="6" t="s">
        <v>3143</v>
      </c>
      <c r="M518" s="6" t="s">
        <v>75</v>
      </c>
      <c r="N518" s="6" t="s">
        <v>76</v>
      </c>
      <c r="O518" s="6" t="s">
        <v>3243</v>
      </c>
      <c r="P518" s="6" t="s">
        <v>6161</v>
      </c>
      <c r="Q518" s="6" t="s">
        <v>7185</v>
      </c>
      <c r="R518" s="6" t="s">
        <v>7186</v>
      </c>
      <c r="S518" s="6" t="s">
        <v>20</v>
      </c>
      <c r="T518" s="6" t="s">
        <v>3217</v>
      </c>
      <c r="U518" s="6" t="s">
        <v>3141</v>
      </c>
      <c r="V518" s="6" t="s">
        <v>7187</v>
      </c>
      <c r="W518" s="6" t="s">
        <v>3195</v>
      </c>
      <c r="X518" s="6" t="s">
        <v>85</v>
      </c>
      <c r="Y518" s="6" t="s">
        <v>3159</v>
      </c>
      <c r="Z518" s="6" t="s">
        <v>78</v>
      </c>
      <c r="AA518" s="6" t="s">
        <v>4108</v>
      </c>
      <c r="AB518" s="6"/>
      <c r="AC518" s="6" t="s">
        <v>3159</v>
      </c>
      <c r="AD518" s="6" t="s">
        <v>3243</v>
      </c>
      <c r="AE518" s="6" t="s">
        <v>3169</v>
      </c>
      <c r="AF518" s="6"/>
      <c r="AG518" s="6" t="s">
        <v>7188</v>
      </c>
      <c r="AH518" s="6" t="s">
        <v>79</v>
      </c>
    </row>
    <row r="519" spans="1:34" x14ac:dyDescent="0.25">
      <c r="A519" s="6" t="s">
        <v>1727</v>
      </c>
      <c r="B519" s="6" t="s">
        <v>1728</v>
      </c>
      <c r="C519" s="6" t="s">
        <v>1729</v>
      </c>
      <c r="D519" s="6" t="s">
        <v>1730</v>
      </c>
      <c r="E519" s="6" t="s">
        <v>3235</v>
      </c>
      <c r="F519" s="6" t="s">
        <v>3201</v>
      </c>
      <c r="G519" s="6" t="s">
        <v>106</v>
      </c>
      <c r="H519" s="6" t="s">
        <v>107</v>
      </c>
      <c r="I519" s="6" t="s">
        <v>92</v>
      </c>
      <c r="J519" s="6" t="s">
        <v>7189</v>
      </c>
      <c r="K519" s="6" t="s">
        <v>3159</v>
      </c>
      <c r="L519" s="6" t="s">
        <v>75</v>
      </c>
      <c r="M519" s="6" t="s">
        <v>3159</v>
      </c>
      <c r="N519" s="6" t="s">
        <v>3143</v>
      </c>
      <c r="O519" s="6" t="s">
        <v>3152</v>
      </c>
      <c r="P519" s="6" t="s">
        <v>6811</v>
      </c>
      <c r="Q519" s="6" t="s">
        <v>7190</v>
      </c>
      <c r="R519" s="6" t="s">
        <v>7191</v>
      </c>
      <c r="S519" s="6" t="s">
        <v>21</v>
      </c>
      <c r="T519" s="6"/>
      <c r="U519" s="6" t="s">
        <v>3140</v>
      </c>
      <c r="V519" s="6" t="s">
        <v>7192</v>
      </c>
      <c r="W519" s="6" t="s">
        <v>3672</v>
      </c>
      <c r="X519" s="6" t="s">
        <v>77</v>
      </c>
      <c r="Y519" s="6" t="s">
        <v>3159</v>
      </c>
      <c r="Z519" s="6" t="s">
        <v>93</v>
      </c>
      <c r="AA519" s="6" t="s">
        <v>3264</v>
      </c>
      <c r="AB519" s="6"/>
      <c r="AC519" s="6" t="s">
        <v>3141</v>
      </c>
      <c r="AD519" s="6" t="s">
        <v>3152</v>
      </c>
      <c r="AE519" s="6" t="s">
        <v>3279</v>
      </c>
      <c r="AF519" s="6"/>
      <c r="AG519" s="6" t="s">
        <v>7193</v>
      </c>
      <c r="AH519" s="6" t="s">
        <v>79</v>
      </c>
    </row>
    <row r="520" spans="1:34" x14ac:dyDescent="0.25">
      <c r="A520" s="6" t="s">
        <v>1731</v>
      </c>
      <c r="B520" s="6" t="s">
        <v>1732</v>
      </c>
      <c r="C520" s="6" t="s">
        <v>1733</v>
      </c>
      <c r="D520" s="6" t="s">
        <v>1734</v>
      </c>
      <c r="E520" s="6" t="s">
        <v>3505</v>
      </c>
      <c r="F520" s="6" t="s">
        <v>3227</v>
      </c>
      <c r="G520" s="6" t="s">
        <v>120</v>
      </c>
      <c r="H520" s="6" t="s">
        <v>144</v>
      </c>
      <c r="I520" s="6" t="s">
        <v>92</v>
      </c>
      <c r="J520" s="6" t="s">
        <v>7194</v>
      </c>
      <c r="K520" s="6" t="s">
        <v>3159</v>
      </c>
      <c r="L520" s="6" t="s">
        <v>76</v>
      </c>
      <c r="M520" s="6" t="s">
        <v>3152</v>
      </c>
      <c r="N520" s="6" t="s">
        <v>3243</v>
      </c>
      <c r="O520" s="6" t="s">
        <v>3160</v>
      </c>
      <c r="P520" s="6" t="s">
        <v>5161</v>
      </c>
      <c r="Q520" s="6"/>
      <c r="R520" s="6" t="s">
        <v>7195</v>
      </c>
      <c r="S520" s="6" t="s">
        <v>20</v>
      </c>
      <c r="T520" s="6" t="s">
        <v>7196</v>
      </c>
      <c r="U520" s="6" t="s">
        <v>3141</v>
      </c>
      <c r="V520" s="6" t="s">
        <v>5485</v>
      </c>
      <c r="W520" s="6" t="s">
        <v>4441</v>
      </c>
      <c r="X520" s="6" t="s">
        <v>77</v>
      </c>
      <c r="Y520" s="6" t="s">
        <v>3192</v>
      </c>
      <c r="Z520" s="6" t="s">
        <v>78</v>
      </c>
      <c r="AA520" s="6" t="s">
        <v>3223</v>
      </c>
      <c r="AB520" s="6" t="s">
        <v>7197</v>
      </c>
      <c r="AC520" s="6" t="s">
        <v>3159</v>
      </c>
      <c r="AD520" s="6" t="s">
        <v>3160</v>
      </c>
      <c r="AE520" s="6" t="s">
        <v>3235</v>
      </c>
      <c r="AF520" s="6"/>
      <c r="AG520" s="6" t="s">
        <v>7198</v>
      </c>
      <c r="AH520" s="6" t="s">
        <v>79</v>
      </c>
    </row>
    <row r="521" spans="1:34" x14ac:dyDescent="0.25">
      <c r="A521" s="6" t="s">
        <v>1735</v>
      </c>
      <c r="B521" s="6" t="s">
        <v>1736</v>
      </c>
      <c r="C521" s="6" t="s">
        <v>1737</v>
      </c>
      <c r="D521" s="6" t="s">
        <v>1738</v>
      </c>
      <c r="E521" s="6" t="s">
        <v>3296</v>
      </c>
      <c r="F521" s="6" t="s">
        <v>71</v>
      </c>
      <c r="G521" s="6" t="s">
        <v>83</v>
      </c>
      <c r="H521" s="6" t="s">
        <v>107</v>
      </c>
      <c r="I521" s="6" t="s">
        <v>92</v>
      </c>
      <c r="J521" s="6" t="s">
        <v>7199</v>
      </c>
      <c r="K521" s="6" t="s">
        <v>3140</v>
      </c>
      <c r="L521" s="6" t="s">
        <v>3142</v>
      </c>
      <c r="M521" s="6" t="s">
        <v>3159</v>
      </c>
      <c r="N521" s="6" t="s">
        <v>3152</v>
      </c>
      <c r="O521" s="6" t="s">
        <v>3243</v>
      </c>
      <c r="P521" s="6" t="s">
        <v>7200</v>
      </c>
      <c r="Q521" s="6" t="s">
        <v>3217</v>
      </c>
      <c r="R521" s="6" t="s">
        <v>7201</v>
      </c>
      <c r="S521" s="6" t="s">
        <v>21</v>
      </c>
      <c r="T521" s="6"/>
      <c r="U521" s="6" t="s">
        <v>3159</v>
      </c>
      <c r="V521" s="6" t="s">
        <v>5749</v>
      </c>
      <c r="W521" s="6" t="s">
        <v>3994</v>
      </c>
      <c r="X521" s="6" t="s">
        <v>77</v>
      </c>
      <c r="Y521" s="6" t="s">
        <v>3159</v>
      </c>
      <c r="Z521" s="6" t="s">
        <v>93</v>
      </c>
      <c r="AA521" s="6" t="s">
        <v>7202</v>
      </c>
      <c r="AB521" s="6"/>
      <c r="AC521" s="6" t="s">
        <v>3140</v>
      </c>
      <c r="AD521" s="6" t="s">
        <v>3243</v>
      </c>
      <c r="AE521" s="6" t="s">
        <v>3323</v>
      </c>
      <c r="AF521" s="6"/>
      <c r="AG521" s="6" t="s">
        <v>7203</v>
      </c>
      <c r="AH521" s="6" t="s">
        <v>79</v>
      </c>
    </row>
    <row r="522" spans="1:34" x14ac:dyDescent="0.25">
      <c r="A522" s="6" t="s">
        <v>1739</v>
      </c>
      <c r="B522" s="6" t="s">
        <v>1740</v>
      </c>
      <c r="C522" s="6" t="s">
        <v>1741</v>
      </c>
      <c r="D522" s="6" t="s">
        <v>1742</v>
      </c>
      <c r="E522" s="6" t="s">
        <v>3296</v>
      </c>
      <c r="F522" s="6" t="s">
        <v>3137</v>
      </c>
      <c r="G522" s="6" t="s">
        <v>72</v>
      </c>
      <c r="H522" s="6" t="s">
        <v>99</v>
      </c>
      <c r="I522" s="6" t="s">
        <v>74</v>
      </c>
      <c r="J522" s="6" t="s">
        <v>7204</v>
      </c>
      <c r="K522" s="6" t="s">
        <v>3159</v>
      </c>
      <c r="L522" s="6" t="s">
        <v>3173</v>
      </c>
      <c r="M522" s="6" t="s">
        <v>3160</v>
      </c>
      <c r="N522" s="6" t="s">
        <v>75</v>
      </c>
      <c r="O522" s="6" t="s">
        <v>75</v>
      </c>
      <c r="P522" s="6" t="s">
        <v>7205</v>
      </c>
      <c r="Q522" s="6"/>
      <c r="R522" s="6" t="s">
        <v>7206</v>
      </c>
      <c r="S522" s="6" t="s">
        <v>23</v>
      </c>
      <c r="T522" s="6" t="s">
        <v>7207</v>
      </c>
      <c r="U522" s="6" t="s">
        <v>3141</v>
      </c>
      <c r="V522" s="6" t="s">
        <v>5603</v>
      </c>
      <c r="W522" s="6" t="s">
        <v>3303</v>
      </c>
      <c r="X522" s="6" t="s">
        <v>85</v>
      </c>
      <c r="Y522" s="6" t="s">
        <v>3159</v>
      </c>
      <c r="Z522" s="6" t="s">
        <v>78</v>
      </c>
      <c r="AA522" s="6" t="s">
        <v>7208</v>
      </c>
      <c r="AB522" s="6" t="s">
        <v>7209</v>
      </c>
      <c r="AC522" s="6" t="s">
        <v>3141</v>
      </c>
      <c r="AD522" s="6" t="s">
        <v>3243</v>
      </c>
      <c r="AE522" s="6" t="s">
        <v>3428</v>
      </c>
      <c r="AF522" s="6" t="s">
        <v>7210</v>
      </c>
      <c r="AG522" s="6" t="s">
        <v>7211</v>
      </c>
      <c r="AH522" s="6" t="s">
        <v>79</v>
      </c>
    </row>
    <row r="523" spans="1:34" x14ac:dyDescent="0.25">
      <c r="A523" s="6" t="s">
        <v>1743</v>
      </c>
      <c r="B523" s="6" t="s">
        <v>1744</v>
      </c>
      <c r="C523" s="6" t="s">
        <v>7212</v>
      </c>
      <c r="D523" s="6" t="s">
        <v>1745</v>
      </c>
      <c r="E523" s="6" t="s">
        <v>3471</v>
      </c>
      <c r="F523" s="6" t="s">
        <v>3227</v>
      </c>
      <c r="G523" s="6" t="s">
        <v>153</v>
      </c>
      <c r="H523" s="6" t="s">
        <v>144</v>
      </c>
      <c r="I523" s="6" t="s">
        <v>92</v>
      </c>
      <c r="J523" s="6" t="s">
        <v>7213</v>
      </c>
      <c r="K523" s="6" t="s">
        <v>3159</v>
      </c>
      <c r="L523" s="6" t="s">
        <v>3188</v>
      </c>
      <c r="M523" s="6" t="s">
        <v>3243</v>
      </c>
      <c r="N523" s="6" t="s">
        <v>75</v>
      </c>
      <c r="O523" s="6" t="s">
        <v>3143</v>
      </c>
      <c r="P523" s="6" t="s">
        <v>5667</v>
      </c>
      <c r="Q523" s="6" t="s">
        <v>7214</v>
      </c>
      <c r="R523" s="6" t="s">
        <v>7215</v>
      </c>
      <c r="S523" s="6" t="s">
        <v>23</v>
      </c>
      <c r="T523" s="6" t="s">
        <v>7216</v>
      </c>
      <c r="U523" s="6" t="s">
        <v>3141</v>
      </c>
      <c r="V523" s="6" t="s">
        <v>3166</v>
      </c>
      <c r="W523" s="6" t="s">
        <v>5017</v>
      </c>
      <c r="X523" s="6" t="s">
        <v>85</v>
      </c>
      <c r="Y523" s="6" t="s">
        <v>3159</v>
      </c>
      <c r="Z523" s="6" t="s">
        <v>93</v>
      </c>
      <c r="AA523" s="6" t="s">
        <v>3291</v>
      </c>
      <c r="AB523" s="6" t="s">
        <v>7217</v>
      </c>
      <c r="AC523" s="6" t="s">
        <v>3159</v>
      </c>
      <c r="AD523" s="6" t="s">
        <v>3141</v>
      </c>
      <c r="AE523" s="6" t="s">
        <v>3513</v>
      </c>
      <c r="AF523" s="6" t="s">
        <v>7218</v>
      </c>
      <c r="AG523" s="6"/>
      <c r="AH523" s="6" t="s">
        <v>79</v>
      </c>
    </row>
    <row r="524" spans="1:34" x14ac:dyDescent="0.25">
      <c r="A524" s="6" t="s">
        <v>1746</v>
      </c>
      <c r="B524" s="6" t="s">
        <v>666</v>
      </c>
      <c r="C524" s="6" t="s">
        <v>7219</v>
      </c>
      <c r="D524" s="6" t="s">
        <v>1747</v>
      </c>
      <c r="E524" s="6" t="s">
        <v>3235</v>
      </c>
      <c r="F524" s="6" t="s">
        <v>3358</v>
      </c>
      <c r="G524" s="6" t="s">
        <v>4489</v>
      </c>
      <c r="H524" s="6" t="s">
        <v>144</v>
      </c>
      <c r="I524" s="6" t="s">
        <v>92</v>
      </c>
      <c r="J524" s="6" t="s">
        <v>7220</v>
      </c>
      <c r="K524" s="6" t="s">
        <v>3159</v>
      </c>
      <c r="L524" s="6" t="s">
        <v>3143</v>
      </c>
      <c r="M524" s="6" t="s">
        <v>76</v>
      </c>
      <c r="N524" s="6" t="s">
        <v>3143</v>
      </c>
      <c r="O524" s="6" t="s">
        <v>3143</v>
      </c>
      <c r="P524" s="6" t="s">
        <v>4339</v>
      </c>
      <c r="Q524" s="6"/>
      <c r="R524" s="6" t="s">
        <v>7221</v>
      </c>
      <c r="S524" s="6" t="s">
        <v>21</v>
      </c>
      <c r="T524" s="6"/>
      <c r="U524" s="6" t="s">
        <v>3159</v>
      </c>
      <c r="V524" s="6" t="s">
        <v>7202</v>
      </c>
      <c r="W524" s="6" t="s">
        <v>3830</v>
      </c>
      <c r="X524" s="6" t="s">
        <v>85</v>
      </c>
      <c r="Y524" s="6" t="s">
        <v>3159</v>
      </c>
      <c r="Z524" s="6" t="s">
        <v>78</v>
      </c>
      <c r="AA524" s="6" t="s">
        <v>3468</v>
      </c>
      <c r="AB524" s="6" t="s">
        <v>7222</v>
      </c>
      <c r="AC524" s="6" t="s">
        <v>3141</v>
      </c>
      <c r="AD524" s="6" t="s">
        <v>3160</v>
      </c>
      <c r="AE524" s="6" t="s">
        <v>3279</v>
      </c>
      <c r="AF524" s="6"/>
      <c r="AG524" s="6" t="s">
        <v>7223</v>
      </c>
      <c r="AH524" s="6" t="s">
        <v>79</v>
      </c>
    </row>
    <row r="525" spans="1:34" x14ac:dyDescent="0.25">
      <c r="A525" s="6" t="s">
        <v>1748</v>
      </c>
      <c r="B525" s="6" t="s">
        <v>1749</v>
      </c>
      <c r="C525" s="6" t="s">
        <v>7224</v>
      </c>
      <c r="D525" s="6" t="s">
        <v>1750</v>
      </c>
      <c r="E525" s="6" t="s">
        <v>3970</v>
      </c>
      <c r="F525" s="6" t="s">
        <v>3369</v>
      </c>
      <c r="G525" s="6" t="s">
        <v>174</v>
      </c>
      <c r="H525" s="6" t="s">
        <v>132</v>
      </c>
      <c r="I525" s="6" t="s">
        <v>92</v>
      </c>
      <c r="J525" s="6" t="s">
        <v>7225</v>
      </c>
      <c r="K525" s="6" t="s">
        <v>3140</v>
      </c>
      <c r="L525" s="6" t="s">
        <v>3196</v>
      </c>
      <c r="M525" s="6" t="s">
        <v>3143</v>
      </c>
      <c r="N525" s="6" t="s">
        <v>3188</v>
      </c>
      <c r="O525" s="6" t="s">
        <v>3143</v>
      </c>
      <c r="P525" s="6" t="s">
        <v>3771</v>
      </c>
      <c r="Q525" s="6" t="s">
        <v>7226</v>
      </c>
      <c r="R525" s="6" t="s">
        <v>7227</v>
      </c>
      <c r="S525" s="6" t="s">
        <v>21</v>
      </c>
      <c r="T525" s="6" t="s">
        <v>7228</v>
      </c>
      <c r="U525" s="6" t="s">
        <v>3140</v>
      </c>
      <c r="V525" s="6" t="s">
        <v>4626</v>
      </c>
      <c r="W525" s="6" t="s">
        <v>3194</v>
      </c>
      <c r="X525" s="6" t="s">
        <v>85</v>
      </c>
      <c r="Y525" s="6" t="s">
        <v>3159</v>
      </c>
      <c r="Z525" s="6" t="s">
        <v>93</v>
      </c>
      <c r="AA525" s="6" t="s">
        <v>3150</v>
      </c>
      <c r="AB525" s="6" t="s">
        <v>7229</v>
      </c>
      <c r="AC525" s="6" t="s">
        <v>3141</v>
      </c>
      <c r="AD525" s="6" t="s">
        <v>3143</v>
      </c>
      <c r="AE525" s="6" t="s">
        <v>3235</v>
      </c>
      <c r="AF525" s="6"/>
      <c r="AG525" s="6" t="s">
        <v>7230</v>
      </c>
      <c r="AH525" s="6" t="s">
        <v>3494</v>
      </c>
    </row>
    <row r="526" spans="1:34" x14ac:dyDescent="0.25">
      <c r="A526" s="6" t="s">
        <v>1751</v>
      </c>
      <c r="B526" s="6" t="s">
        <v>1752</v>
      </c>
      <c r="C526" s="6" t="s">
        <v>1753</v>
      </c>
      <c r="D526" s="6" t="s">
        <v>7231</v>
      </c>
      <c r="E526" s="6" t="s">
        <v>3921</v>
      </c>
      <c r="F526" s="6" t="s">
        <v>3283</v>
      </c>
      <c r="G526" s="6" t="s">
        <v>83</v>
      </c>
      <c r="H526" s="6" t="s">
        <v>73</v>
      </c>
      <c r="I526" s="6" t="s">
        <v>74</v>
      </c>
      <c r="J526" s="6"/>
      <c r="K526" s="6" t="s">
        <v>3140</v>
      </c>
      <c r="L526" s="6" t="s">
        <v>3142</v>
      </c>
      <c r="M526" s="6" t="s">
        <v>3243</v>
      </c>
      <c r="N526" s="6" t="s">
        <v>3160</v>
      </c>
      <c r="O526" s="6" t="s">
        <v>3173</v>
      </c>
      <c r="P526" s="6" t="s">
        <v>5022</v>
      </c>
      <c r="Q526" s="6"/>
      <c r="R526" s="6" t="s">
        <v>7232</v>
      </c>
      <c r="S526" s="6" t="s">
        <v>20</v>
      </c>
      <c r="T526" s="6" t="s">
        <v>3217</v>
      </c>
      <c r="U526" s="6" t="s">
        <v>3141</v>
      </c>
      <c r="V526" s="6" t="s">
        <v>3193</v>
      </c>
      <c r="W526" s="6" t="s">
        <v>3262</v>
      </c>
      <c r="X526" s="6" t="s">
        <v>85</v>
      </c>
      <c r="Y526" s="6" t="s">
        <v>3140</v>
      </c>
      <c r="Z526" s="6" t="s">
        <v>78</v>
      </c>
      <c r="AA526" s="6" t="s">
        <v>3613</v>
      </c>
      <c r="AB526" s="6"/>
      <c r="AC526" s="6" t="s">
        <v>3141</v>
      </c>
      <c r="AD526" s="6" t="s">
        <v>3160</v>
      </c>
      <c r="AE526" s="6" t="s">
        <v>3169</v>
      </c>
      <c r="AF526" s="6"/>
      <c r="AG526" s="6" t="s">
        <v>7233</v>
      </c>
      <c r="AH526" s="6" t="s">
        <v>79</v>
      </c>
    </row>
    <row r="527" spans="1:34" x14ac:dyDescent="0.25">
      <c r="A527" s="6" t="s">
        <v>1755</v>
      </c>
      <c r="B527" s="6" t="s">
        <v>1756</v>
      </c>
      <c r="C527" s="6" t="s">
        <v>1757</v>
      </c>
      <c r="D527" s="6" t="s">
        <v>1758</v>
      </c>
      <c r="E527" s="6" t="s">
        <v>3617</v>
      </c>
      <c r="F527" s="6" t="s">
        <v>71</v>
      </c>
      <c r="G527" s="6" t="s">
        <v>98</v>
      </c>
      <c r="H527" s="6" t="s">
        <v>103</v>
      </c>
      <c r="I527" s="6" t="s">
        <v>74</v>
      </c>
      <c r="J527" s="6" t="s">
        <v>7234</v>
      </c>
      <c r="K527" s="6" t="s">
        <v>3159</v>
      </c>
      <c r="L527" s="6" t="s">
        <v>3142</v>
      </c>
      <c r="M527" s="6" t="s">
        <v>3152</v>
      </c>
      <c r="N527" s="6" t="s">
        <v>3160</v>
      </c>
      <c r="O527" s="6" t="s">
        <v>3160</v>
      </c>
      <c r="P527" s="6" t="s">
        <v>4132</v>
      </c>
      <c r="Q527" s="6" t="s">
        <v>7235</v>
      </c>
      <c r="R527" s="6" t="s">
        <v>7236</v>
      </c>
      <c r="S527" s="6" t="s">
        <v>3219</v>
      </c>
      <c r="T527" s="6" t="s">
        <v>7237</v>
      </c>
      <c r="U527" s="6" t="s">
        <v>3159</v>
      </c>
      <c r="V527" s="6" t="s">
        <v>7238</v>
      </c>
      <c r="W527" s="6" t="s">
        <v>3395</v>
      </c>
      <c r="X527" s="6" t="s">
        <v>85</v>
      </c>
      <c r="Y527" s="6" t="s">
        <v>3140</v>
      </c>
      <c r="Z527" s="6" t="s">
        <v>194</v>
      </c>
      <c r="AA527" s="6" t="s">
        <v>7239</v>
      </c>
      <c r="AB527" s="6"/>
      <c r="AC527" s="6" t="s">
        <v>3141</v>
      </c>
      <c r="AD527" s="6" t="s">
        <v>3152</v>
      </c>
      <c r="AE527" s="6" t="s">
        <v>3169</v>
      </c>
      <c r="AF527" s="6"/>
      <c r="AG527" s="6" t="s">
        <v>7240</v>
      </c>
      <c r="AH527" s="6" t="s">
        <v>79</v>
      </c>
    </row>
    <row r="528" spans="1:34" x14ac:dyDescent="0.25">
      <c r="A528" s="6" t="s">
        <v>1759</v>
      </c>
      <c r="B528" s="6" t="s">
        <v>1760</v>
      </c>
      <c r="C528" s="6" t="s">
        <v>7241</v>
      </c>
      <c r="D528" s="6" t="s">
        <v>7242</v>
      </c>
      <c r="E528" s="6" t="s">
        <v>3617</v>
      </c>
      <c r="F528" s="6" t="s">
        <v>3283</v>
      </c>
      <c r="G528" s="6" t="s">
        <v>139</v>
      </c>
      <c r="H528" s="6" t="s">
        <v>91</v>
      </c>
      <c r="I528" s="6" t="s">
        <v>92</v>
      </c>
      <c r="J528" s="6" t="s">
        <v>7243</v>
      </c>
      <c r="K528" s="6" t="s">
        <v>3140</v>
      </c>
      <c r="L528" s="6" t="s">
        <v>3142</v>
      </c>
      <c r="M528" s="6" t="s">
        <v>3152</v>
      </c>
      <c r="N528" s="6" t="s">
        <v>3159</v>
      </c>
      <c r="O528" s="6" t="s">
        <v>3152</v>
      </c>
      <c r="P528" s="6" t="s">
        <v>5099</v>
      </c>
      <c r="Q528" s="6"/>
      <c r="R528" s="6" t="s">
        <v>7244</v>
      </c>
      <c r="S528" s="6" t="s">
        <v>23</v>
      </c>
      <c r="T528" s="6" t="s">
        <v>7245</v>
      </c>
      <c r="U528" s="6" t="s">
        <v>3140</v>
      </c>
      <c r="V528" s="6" t="s">
        <v>7246</v>
      </c>
      <c r="W528" s="6" t="s">
        <v>3994</v>
      </c>
      <c r="X528" s="6" t="s">
        <v>4030</v>
      </c>
      <c r="Y528" s="6" t="s">
        <v>3141</v>
      </c>
      <c r="Z528" s="6" t="s">
        <v>78</v>
      </c>
      <c r="AA528" s="6" t="s">
        <v>3819</v>
      </c>
      <c r="AB528" s="6"/>
      <c r="AC528" s="6" t="s">
        <v>3292</v>
      </c>
      <c r="AD528" s="6" t="s">
        <v>3141</v>
      </c>
      <c r="AE528" s="6" t="s">
        <v>3153</v>
      </c>
      <c r="AF528" s="6" t="s">
        <v>7247</v>
      </c>
      <c r="AG528" s="6" t="s">
        <v>3624</v>
      </c>
      <c r="AH528" s="6" t="s">
        <v>94</v>
      </c>
    </row>
    <row r="529" spans="1:34" x14ac:dyDescent="0.25">
      <c r="A529" s="6" t="s">
        <v>1762</v>
      </c>
      <c r="B529" s="6" t="s">
        <v>721</v>
      </c>
      <c r="C529" s="6" t="s">
        <v>7248</v>
      </c>
      <c r="D529" s="6" t="s">
        <v>7249</v>
      </c>
      <c r="E529" s="6" t="s">
        <v>4687</v>
      </c>
      <c r="F529" s="6" t="s">
        <v>3369</v>
      </c>
      <c r="G529" s="6" t="s">
        <v>153</v>
      </c>
      <c r="H529" s="6" t="s">
        <v>73</v>
      </c>
      <c r="I529" s="6" t="s">
        <v>74</v>
      </c>
      <c r="J529" s="6" t="s">
        <v>7250</v>
      </c>
      <c r="K529" s="6" t="s">
        <v>3140</v>
      </c>
      <c r="L529" s="6" t="s">
        <v>3142</v>
      </c>
      <c r="M529" s="6" t="s">
        <v>76</v>
      </c>
      <c r="N529" s="6" t="s">
        <v>3141</v>
      </c>
      <c r="O529" s="6" t="s">
        <v>75</v>
      </c>
      <c r="P529" s="6" t="s">
        <v>7251</v>
      </c>
      <c r="Q529" s="6" t="s">
        <v>7252</v>
      </c>
      <c r="R529" s="6" t="s">
        <v>7253</v>
      </c>
      <c r="S529" s="6" t="s">
        <v>20</v>
      </c>
      <c r="T529" s="6" t="s">
        <v>7254</v>
      </c>
      <c r="U529" s="6" t="s">
        <v>3140</v>
      </c>
      <c r="V529" s="6" t="s">
        <v>7255</v>
      </c>
      <c r="W529" s="6" t="s">
        <v>3468</v>
      </c>
      <c r="X529" s="6" t="s">
        <v>77</v>
      </c>
      <c r="Y529" s="6" t="s">
        <v>3141</v>
      </c>
      <c r="Z529" s="6" t="s">
        <v>78</v>
      </c>
      <c r="AA529" s="6" t="s">
        <v>5215</v>
      </c>
      <c r="AB529" s="6"/>
      <c r="AC529" s="6" t="s">
        <v>3141</v>
      </c>
      <c r="AD529" s="6" t="s">
        <v>3243</v>
      </c>
      <c r="AE529" s="6" t="s">
        <v>3235</v>
      </c>
      <c r="AF529" s="6"/>
      <c r="AG529" s="6" t="s">
        <v>5823</v>
      </c>
      <c r="AH529" s="6" t="s">
        <v>79</v>
      </c>
    </row>
    <row r="530" spans="1:34" x14ac:dyDescent="0.25">
      <c r="A530" s="6" t="s">
        <v>1764</v>
      </c>
      <c r="B530" s="6" t="s">
        <v>1213</v>
      </c>
      <c r="C530" s="6" t="s">
        <v>1765</v>
      </c>
      <c r="D530" s="6"/>
      <c r="E530" s="6" t="s">
        <v>4828</v>
      </c>
      <c r="F530" s="6" t="s">
        <v>3283</v>
      </c>
      <c r="G530" s="6" t="s">
        <v>3506</v>
      </c>
      <c r="H530" s="6" t="s">
        <v>144</v>
      </c>
      <c r="I530" s="6" t="s">
        <v>92</v>
      </c>
      <c r="J530" s="6" t="s">
        <v>7256</v>
      </c>
      <c r="K530" s="6" t="s">
        <v>3159</v>
      </c>
      <c r="L530" s="6" t="s">
        <v>76</v>
      </c>
      <c r="M530" s="6" t="s">
        <v>3143</v>
      </c>
      <c r="N530" s="6" t="s">
        <v>3141</v>
      </c>
      <c r="O530" s="6" t="s">
        <v>3152</v>
      </c>
      <c r="P530" s="6" t="s">
        <v>3485</v>
      </c>
      <c r="Q530" s="6" t="s">
        <v>7257</v>
      </c>
      <c r="R530" s="6" t="s">
        <v>7258</v>
      </c>
      <c r="S530" s="6" t="s">
        <v>22</v>
      </c>
      <c r="T530" s="6" t="s">
        <v>7259</v>
      </c>
      <c r="U530" s="6" t="s">
        <v>3141</v>
      </c>
      <c r="V530" s="6" t="s">
        <v>3631</v>
      </c>
      <c r="W530" s="6" t="s">
        <v>3691</v>
      </c>
      <c r="X530" s="6" t="s">
        <v>85</v>
      </c>
      <c r="Y530" s="6" t="s">
        <v>3141</v>
      </c>
      <c r="Z530" s="6" t="s">
        <v>78</v>
      </c>
      <c r="AA530" s="6" t="s">
        <v>7260</v>
      </c>
      <c r="AB530" s="6" t="s">
        <v>7261</v>
      </c>
      <c r="AC530" s="6" t="s">
        <v>3141</v>
      </c>
      <c r="AD530" s="6" t="s">
        <v>3152</v>
      </c>
      <c r="AE530" s="6" t="s">
        <v>3622</v>
      </c>
      <c r="AF530" s="6" t="s">
        <v>7262</v>
      </c>
      <c r="AG530" s="6" t="s">
        <v>7263</v>
      </c>
      <c r="AH530" s="6" t="s">
        <v>79</v>
      </c>
    </row>
    <row r="531" spans="1:34" x14ac:dyDescent="0.25">
      <c r="A531" s="6" t="s">
        <v>1766</v>
      </c>
      <c r="B531" s="6" t="s">
        <v>7264</v>
      </c>
      <c r="C531" s="6" t="s">
        <v>7265</v>
      </c>
      <c r="D531" s="6"/>
      <c r="E531" s="6" t="s">
        <v>3647</v>
      </c>
      <c r="F531" s="6" t="s">
        <v>3214</v>
      </c>
      <c r="G531" s="6" t="s">
        <v>72</v>
      </c>
      <c r="H531" s="6" t="s">
        <v>84</v>
      </c>
      <c r="I531" s="6" t="s">
        <v>74</v>
      </c>
      <c r="J531" s="6" t="s">
        <v>7266</v>
      </c>
      <c r="K531" s="6" t="s">
        <v>3159</v>
      </c>
      <c r="L531" s="6" t="s">
        <v>3160</v>
      </c>
      <c r="M531" s="6" t="s">
        <v>3160</v>
      </c>
      <c r="N531" s="6" t="s">
        <v>3141</v>
      </c>
      <c r="O531" s="6" t="s">
        <v>3159</v>
      </c>
      <c r="P531" s="6" t="s">
        <v>3638</v>
      </c>
      <c r="Q531" s="6" t="s">
        <v>7267</v>
      </c>
      <c r="R531" s="6" t="s">
        <v>7268</v>
      </c>
      <c r="S531" s="6" t="s">
        <v>3671</v>
      </c>
      <c r="T531" s="6" t="s">
        <v>3217</v>
      </c>
      <c r="U531" s="6" t="s">
        <v>3275</v>
      </c>
      <c r="V531" s="6" t="s">
        <v>4804</v>
      </c>
      <c r="W531" s="6" t="s">
        <v>3603</v>
      </c>
      <c r="X531" s="6" t="s">
        <v>85</v>
      </c>
      <c r="Y531" s="6" t="s">
        <v>3141</v>
      </c>
      <c r="Z531" s="6" t="s">
        <v>93</v>
      </c>
      <c r="AA531" s="6" t="s">
        <v>4781</v>
      </c>
      <c r="AB531" s="6"/>
      <c r="AC531" s="6" t="s">
        <v>3141</v>
      </c>
      <c r="AD531" s="6" t="s">
        <v>3160</v>
      </c>
      <c r="AE531" s="6" t="s">
        <v>3428</v>
      </c>
      <c r="AF531" s="6" t="s">
        <v>7269</v>
      </c>
      <c r="AG531" s="6" t="s">
        <v>7270</v>
      </c>
      <c r="AH531" s="6" t="s">
        <v>79</v>
      </c>
    </row>
    <row r="532" spans="1:34" x14ac:dyDescent="0.25">
      <c r="A532" s="6" t="s">
        <v>1768</v>
      </c>
      <c r="B532" s="6" t="s">
        <v>1769</v>
      </c>
      <c r="C532" s="6" t="s">
        <v>7271</v>
      </c>
      <c r="D532" s="6" t="s">
        <v>1770</v>
      </c>
      <c r="E532" s="6" t="s">
        <v>3268</v>
      </c>
      <c r="F532" s="6" t="s">
        <v>89</v>
      </c>
      <c r="G532" s="6" t="s">
        <v>115</v>
      </c>
      <c r="H532" s="6" t="s">
        <v>144</v>
      </c>
      <c r="I532" s="6" t="s">
        <v>92</v>
      </c>
      <c r="J532" s="6" t="s">
        <v>3217</v>
      </c>
      <c r="K532" s="6" t="s">
        <v>3140</v>
      </c>
      <c r="L532" s="6" t="s">
        <v>3159</v>
      </c>
      <c r="M532" s="6" t="s">
        <v>76</v>
      </c>
      <c r="N532" s="6" t="s">
        <v>75</v>
      </c>
      <c r="O532" s="6" t="s">
        <v>3243</v>
      </c>
      <c r="P532" s="6" t="s">
        <v>7158</v>
      </c>
      <c r="Q532" s="6" t="s">
        <v>7272</v>
      </c>
      <c r="R532" s="6" t="s">
        <v>7273</v>
      </c>
      <c r="S532" s="6" t="s">
        <v>5691</v>
      </c>
      <c r="T532" s="6"/>
      <c r="U532" s="6" t="s">
        <v>3159</v>
      </c>
      <c r="V532" s="6" t="s">
        <v>7202</v>
      </c>
      <c r="W532" s="6" t="s">
        <v>4494</v>
      </c>
      <c r="X532" s="6" t="s">
        <v>85</v>
      </c>
      <c r="Y532" s="6" t="s">
        <v>3140</v>
      </c>
      <c r="Z532" s="6" t="s">
        <v>78</v>
      </c>
      <c r="AA532" s="6" t="s">
        <v>4050</v>
      </c>
      <c r="AB532" s="6"/>
      <c r="AC532" s="6" t="s">
        <v>3141</v>
      </c>
      <c r="AD532" s="6" t="s">
        <v>3152</v>
      </c>
      <c r="AE532" s="6" t="s">
        <v>3235</v>
      </c>
      <c r="AF532" s="6"/>
      <c r="AG532" s="6" t="s">
        <v>7274</v>
      </c>
      <c r="AH532" s="6" t="s">
        <v>79</v>
      </c>
    </row>
    <row r="533" spans="1:34" x14ac:dyDescent="0.25">
      <c r="A533" s="6" t="s">
        <v>1771</v>
      </c>
      <c r="B533" s="6" t="s">
        <v>1772</v>
      </c>
      <c r="C533" s="6"/>
      <c r="D533" s="6" t="s">
        <v>7275</v>
      </c>
      <c r="E533" s="6" t="s">
        <v>3157</v>
      </c>
      <c r="F533" s="6" t="s">
        <v>3201</v>
      </c>
      <c r="G533" s="6" t="s">
        <v>226</v>
      </c>
      <c r="H533" s="6" t="s">
        <v>107</v>
      </c>
      <c r="I533" s="6" t="s">
        <v>92</v>
      </c>
      <c r="J533" s="6" t="s">
        <v>7276</v>
      </c>
      <c r="K533" s="6" t="s">
        <v>3140</v>
      </c>
      <c r="L533" s="6" t="s">
        <v>76</v>
      </c>
      <c r="M533" s="6" t="s">
        <v>3196</v>
      </c>
      <c r="N533" s="6" t="s">
        <v>3143</v>
      </c>
      <c r="O533" s="6" t="s">
        <v>75</v>
      </c>
      <c r="P533" s="6" t="s">
        <v>6337</v>
      </c>
      <c r="Q533" s="6"/>
      <c r="R533" s="6" t="s">
        <v>7277</v>
      </c>
      <c r="S533" s="6" t="s">
        <v>3859</v>
      </c>
      <c r="T533" s="6" t="s">
        <v>7278</v>
      </c>
      <c r="U533" s="6" t="s">
        <v>3275</v>
      </c>
      <c r="V533" s="6" t="s">
        <v>5889</v>
      </c>
      <c r="W533" s="6" t="s">
        <v>3965</v>
      </c>
      <c r="X533" s="6" t="s">
        <v>85</v>
      </c>
      <c r="Y533" s="6" t="s">
        <v>3159</v>
      </c>
      <c r="Z533" s="6" t="s">
        <v>3343</v>
      </c>
      <c r="AA533" s="6" t="s">
        <v>3364</v>
      </c>
      <c r="AB533" s="6"/>
      <c r="AC533" s="6" t="s">
        <v>3159</v>
      </c>
      <c r="AD533" s="6" t="s">
        <v>75</v>
      </c>
      <c r="AE533" s="6" t="s">
        <v>3210</v>
      </c>
      <c r="AF533" s="6" t="s">
        <v>7279</v>
      </c>
      <c r="AG533" s="6" t="s">
        <v>6124</v>
      </c>
      <c r="AH533" s="6" t="s">
        <v>79</v>
      </c>
    </row>
    <row r="534" spans="1:34" x14ac:dyDescent="0.25">
      <c r="A534" s="6" t="s">
        <v>1774</v>
      </c>
      <c r="B534" s="6" t="s">
        <v>1498</v>
      </c>
      <c r="C534" s="6" t="s">
        <v>1775</v>
      </c>
      <c r="D534" s="6" t="s">
        <v>7280</v>
      </c>
      <c r="E534" s="6" t="s">
        <v>4687</v>
      </c>
      <c r="F534" s="6" t="s">
        <v>3283</v>
      </c>
      <c r="G534" s="6" t="s">
        <v>226</v>
      </c>
      <c r="H534" s="6" t="s">
        <v>99</v>
      </c>
      <c r="I534" s="6" t="s">
        <v>74</v>
      </c>
      <c r="J534" s="6" t="s">
        <v>7281</v>
      </c>
      <c r="K534" s="6" t="s">
        <v>3159</v>
      </c>
      <c r="L534" s="6" t="s">
        <v>3159</v>
      </c>
      <c r="M534" s="6" t="s">
        <v>3143</v>
      </c>
      <c r="N534" s="6" t="s">
        <v>75</v>
      </c>
      <c r="O534" s="6" t="s">
        <v>3143</v>
      </c>
      <c r="P534" s="6" t="s">
        <v>4606</v>
      </c>
      <c r="Q534" s="6" t="s">
        <v>7282</v>
      </c>
      <c r="R534" s="6" t="s">
        <v>7283</v>
      </c>
      <c r="S534" s="6" t="s">
        <v>21</v>
      </c>
      <c r="T534" s="6" t="s">
        <v>7284</v>
      </c>
      <c r="U534" s="6" t="s">
        <v>3141</v>
      </c>
      <c r="V534" s="6" t="s">
        <v>3975</v>
      </c>
      <c r="W534" s="6" t="s">
        <v>3490</v>
      </c>
      <c r="X534" s="6" t="s">
        <v>77</v>
      </c>
      <c r="Y534" s="6" t="s">
        <v>3141</v>
      </c>
      <c r="Z534" s="6" t="s">
        <v>93</v>
      </c>
      <c r="AA534" s="6" t="s">
        <v>3478</v>
      </c>
      <c r="AB534" s="6"/>
      <c r="AC534" s="6" t="s">
        <v>3159</v>
      </c>
      <c r="AD534" s="6" t="s">
        <v>3141</v>
      </c>
      <c r="AE534" s="6" t="s">
        <v>3323</v>
      </c>
      <c r="AF534" s="6"/>
      <c r="AG534" s="6" t="s">
        <v>7285</v>
      </c>
      <c r="AH534" s="6" t="s">
        <v>79</v>
      </c>
    </row>
    <row r="535" spans="1:34" x14ac:dyDescent="0.25">
      <c r="A535" s="6" t="s">
        <v>1777</v>
      </c>
      <c r="B535" s="6" t="s">
        <v>1778</v>
      </c>
      <c r="C535" s="6" t="s">
        <v>1779</v>
      </c>
      <c r="D535" s="6" t="s">
        <v>1780</v>
      </c>
      <c r="E535" s="6"/>
      <c r="F535" s="6" t="s">
        <v>3227</v>
      </c>
      <c r="G535" s="6" t="s">
        <v>153</v>
      </c>
      <c r="H535" s="6" t="s">
        <v>144</v>
      </c>
      <c r="I535" s="6" t="s">
        <v>92</v>
      </c>
      <c r="J535" s="6"/>
      <c r="K535" s="6" t="s">
        <v>3159</v>
      </c>
      <c r="L535" s="6" t="s">
        <v>3142</v>
      </c>
      <c r="M535" s="6" t="s">
        <v>3141</v>
      </c>
      <c r="N535" s="6" t="s">
        <v>75</v>
      </c>
      <c r="O535" s="6" t="s">
        <v>3152</v>
      </c>
      <c r="P535" s="6" t="s">
        <v>5220</v>
      </c>
      <c r="Q535" s="6" t="s">
        <v>3217</v>
      </c>
      <c r="R535" s="6" t="s">
        <v>7286</v>
      </c>
      <c r="S535" s="6" t="s">
        <v>22</v>
      </c>
      <c r="T535" s="6" t="s">
        <v>7287</v>
      </c>
      <c r="U535" s="6" t="s">
        <v>3192</v>
      </c>
      <c r="V535" s="6" t="s">
        <v>7288</v>
      </c>
      <c r="W535" s="6" t="s">
        <v>3541</v>
      </c>
      <c r="X535" s="6" t="s">
        <v>85</v>
      </c>
      <c r="Y535" s="6" t="s">
        <v>3292</v>
      </c>
      <c r="Z535" s="6" t="s">
        <v>194</v>
      </c>
      <c r="AA535" s="6" t="s">
        <v>7289</v>
      </c>
      <c r="AB535" s="6" t="s">
        <v>7290</v>
      </c>
      <c r="AC535" s="6" t="s">
        <v>3140</v>
      </c>
      <c r="AD535" s="6" t="s">
        <v>3243</v>
      </c>
      <c r="AE535" s="6" t="s">
        <v>3136</v>
      </c>
      <c r="AF535" s="6" t="s">
        <v>7291</v>
      </c>
      <c r="AG535" s="6" t="s">
        <v>7292</v>
      </c>
      <c r="AH535" s="6" t="s">
        <v>79</v>
      </c>
    </row>
    <row r="536" spans="1:34" x14ac:dyDescent="0.25">
      <c r="A536" s="6" t="s">
        <v>1781</v>
      </c>
      <c r="B536" s="6" t="s">
        <v>1782</v>
      </c>
      <c r="C536" s="6"/>
      <c r="D536" s="6" t="s">
        <v>7293</v>
      </c>
      <c r="E536" s="6" t="s">
        <v>3570</v>
      </c>
      <c r="F536" s="6" t="s">
        <v>89</v>
      </c>
      <c r="G536" s="6" t="s">
        <v>417</v>
      </c>
      <c r="H536" s="6" t="s">
        <v>73</v>
      </c>
      <c r="I536" s="6" t="s">
        <v>74</v>
      </c>
      <c r="J536" s="6" t="s">
        <v>7294</v>
      </c>
      <c r="K536" s="6" t="s">
        <v>3292</v>
      </c>
      <c r="L536" s="6" t="s">
        <v>3243</v>
      </c>
      <c r="M536" s="6" t="s">
        <v>3142</v>
      </c>
      <c r="N536" s="6" t="s">
        <v>76</v>
      </c>
      <c r="O536" s="6" t="s">
        <v>3159</v>
      </c>
      <c r="P536" s="6" t="s">
        <v>3714</v>
      </c>
      <c r="Q536" s="6" t="s">
        <v>7295</v>
      </c>
      <c r="R536" s="6" t="s">
        <v>7296</v>
      </c>
      <c r="S536" s="6" t="s">
        <v>20</v>
      </c>
      <c r="T536" s="6" t="s">
        <v>7297</v>
      </c>
      <c r="U536" s="6" t="s">
        <v>3292</v>
      </c>
      <c r="V536" s="6" t="s">
        <v>7298</v>
      </c>
      <c r="W536" s="6" t="s">
        <v>3455</v>
      </c>
      <c r="X536" s="6" t="s">
        <v>85</v>
      </c>
      <c r="Y536" s="6" t="s">
        <v>3140</v>
      </c>
      <c r="Z536" s="6" t="s">
        <v>194</v>
      </c>
      <c r="AA536" s="6" t="s">
        <v>5032</v>
      </c>
      <c r="AB536" s="6"/>
      <c r="AC536" s="6" t="s">
        <v>3140</v>
      </c>
      <c r="AD536" s="6" t="s">
        <v>3243</v>
      </c>
      <c r="AE536" s="6" t="s">
        <v>3293</v>
      </c>
      <c r="AF536" s="6"/>
      <c r="AG536" s="6" t="s">
        <v>7299</v>
      </c>
      <c r="AH536" s="6" t="s">
        <v>3494</v>
      </c>
    </row>
    <row r="537" spans="1:34" x14ac:dyDescent="0.25">
      <c r="A537" s="6" t="s">
        <v>1784</v>
      </c>
      <c r="B537" s="6" t="s">
        <v>7300</v>
      </c>
      <c r="C537" s="6" t="s">
        <v>1786</v>
      </c>
      <c r="D537" s="6" t="s">
        <v>1787</v>
      </c>
      <c r="E537" s="6" t="s">
        <v>3185</v>
      </c>
      <c r="F537" s="6" t="s">
        <v>3201</v>
      </c>
      <c r="G537" s="6" t="s">
        <v>83</v>
      </c>
      <c r="H537" s="6" t="s">
        <v>166</v>
      </c>
      <c r="I537" s="6" t="s">
        <v>74</v>
      </c>
      <c r="J537" s="6" t="s">
        <v>3217</v>
      </c>
      <c r="K537" s="6" t="s">
        <v>3159</v>
      </c>
      <c r="L537" s="6" t="s">
        <v>3143</v>
      </c>
      <c r="M537" s="6" t="s">
        <v>3188</v>
      </c>
      <c r="N537" s="6" t="s">
        <v>75</v>
      </c>
      <c r="O537" s="6" t="s">
        <v>3160</v>
      </c>
      <c r="P537" s="6" t="s">
        <v>7301</v>
      </c>
      <c r="Q537" s="6" t="s">
        <v>3217</v>
      </c>
      <c r="R537" s="6" t="s">
        <v>7302</v>
      </c>
      <c r="S537" s="6" t="s">
        <v>23</v>
      </c>
      <c r="T537" s="6" t="s">
        <v>7303</v>
      </c>
      <c r="U537" s="6" t="s">
        <v>3192</v>
      </c>
      <c r="V537" s="6" t="s">
        <v>6636</v>
      </c>
      <c r="W537" s="6" t="s">
        <v>3873</v>
      </c>
      <c r="X537" s="6" t="s">
        <v>77</v>
      </c>
      <c r="Y537" s="6" t="s">
        <v>3140</v>
      </c>
      <c r="Z537" s="6" t="s">
        <v>78</v>
      </c>
      <c r="AA537" s="6" t="s">
        <v>3603</v>
      </c>
      <c r="AB537" s="6"/>
      <c r="AC537" s="6" t="s">
        <v>3159</v>
      </c>
      <c r="AD537" s="6" t="s">
        <v>3141</v>
      </c>
      <c r="AE537" s="6" t="s">
        <v>3331</v>
      </c>
      <c r="AF537" s="6" t="s">
        <v>7304</v>
      </c>
      <c r="AG537" s="6" t="s">
        <v>7305</v>
      </c>
      <c r="AH537" s="6" t="s">
        <v>79</v>
      </c>
    </row>
    <row r="538" spans="1:34" x14ac:dyDescent="0.25">
      <c r="A538" s="6" t="s">
        <v>1788</v>
      </c>
      <c r="B538" s="6" t="s">
        <v>1789</v>
      </c>
      <c r="C538" s="6" t="s">
        <v>7306</v>
      </c>
      <c r="D538" s="6" t="s">
        <v>1790</v>
      </c>
      <c r="E538" s="6" t="s">
        <v>3647</v>
      </c>
      <c r="F538" s="6" t="s">
        <v>3214</v>
      </c>
      <c r="G538" s="6" t="s">
        <v>215</v>
      </c>
      <c r="H538" s="6" t="s">
        <v>144</v>
      </c>
      <c r="I538" s="6" t="s">
        <v>92</v>
      </c>
      <c r="J538" s="6" t="s">
        <v>7307</v>
      </c>
      <c r="K538" s="6" t="s">
        <v>3141</v>
      </c>
      <c r="L538" s="6" t="s">
        <v>3160</v>
      </c>
      <c r="M538" s="6" t="s">
        <v>3143</v>
      </c>
      <c r="N538" s="6" t="s">
        <v>3152</v>
      </c>
      <c r="O538" s="6" t="s">
        <v>3243</v>
      </c>
      <c r="P538" s="6" t="s">
        <v>5915</v>
      </c>
      <c r="Q538" s="6" t="s">
        <v>7308</v>
      </c>
      <c r="R538" s="6" t="s">
        <v>7309</v>
      </c>
      <c r="S538" s="6" t="s">
        <v>22</v>
      </c>
      <c r="T538" s="6" t="s">
        <v>7310</v>
      </c>
      <c r="U538" s="6" t="s">
        <v>3394</v>
      </c>
      <c r="V538" s="6" t="s">
        <v>7311</v>
      </c>
      <c r="W538" s="6" t="s">
        <v>3330</v>
      </c>
      <c r="X538" s="6" t="s">
        <v>85</v>
      </c>
      <c r="Y538" s="6" t="s">
        <v>3141</v>
      </c>
      <c r="Z538" s="6" t="s">
        <v>93</v>
      </c>
      <c r="AA538" s="6" t="s">
        <v>4943</v>
      </c>
      <c r="AB538" s="6" t="s">
        <v>7312</v>
      </c>
      <c r="AC538" s="6" t="s">
        <v>3141</v>
      </c>
      <c r="AD538" s="6" t="s">
        <v>3160</v>
      </c>
      <c r="AE538" s="6" t="s">
        <v>3622</v>
      </c>
      <c r="AF538" s="6" t="s">
        <v>7313</v>
      </c>
      <c r="AG538" s="6" t="s">
        <v>7314</v>
      </c>
      <c r="AH538" s="6" t="s">
        <v>94</v>
      </c>
    </row>
    <row r="539" spans="1:34" x14ac:dyDescent="0.25">
      <c r="A539" s="6" t="s">
        <v>1791</v>
      </c>
      <c r="B539" s="6" t="s">
        <v>1792</v>
      </c>
      <c r="C539" s="6" t="s">
        <v>7315</v>
      </c>
      <c r="D539" s="6"/>
      <c r="E539" s="6" t="s">
        <v>3570</v>
      </c>
      <c r="F539" s="6" t="s">
        <v>3283</v>
      </c>
      <c r="G539" s="6" t="s">
        <v>3506</v>
      </c>
      <c r="H539" s="6" t="s">
        <v>91</v>
      </c>
      <c r="I539" s="6" t="s">
        <v>92</v>
      </c>
      <c r="J539" s="6" t="s">
        <v>3217</v>
      </c>
      <c r="K539" s="6" t="s">
        <v>3159</v>
      </c>
      <c r="L539" s="6" t="s">
        <v>3188</v>
      </c>
      <c r="M539" s="6" t="s">
        <v>3141</v>
      </c>
      <c r="N539" s="6" t="s">
        <v>3152</v>
      </c>
      <c r="O539" s="6" t="s">
        <v>3143</v>
      </c>
      <c r="P539" s="6" t="s">
        <v>7316</v>
      </c>
      <c r="Q539" s="6"/>
      <c r="R539" s="6" t="s">
        <v>7317</v>
      </c>
      <c r="S539" s="6" t="s">
        <v>20</v>
      </c>
      <c r="T539" s="6" t="s">
        <v>7318</v>
      </c>
      <c r="U539" s="6" t="s">
        <v>3141</v>
      </c>
      <c r="V539" s="6" t="s">
        <v>7319</v>
      </c>
      <c r="W539" s="6" t="s">
        <v>3943</v>
      </c>
      <c r="X539" s="6" t="s">
        <v>85</v>
      </c>
      <c r="Y539" s="6" t="s">
        <v>3140</v>
      </c>
      <c r="Z539" s="6" t="s">
        <v>3756</v>
      </c>
      <c r="AA539" s="6" t="s">
        <v>5002</v>
      </c>
      <c r="AB539" s="6"/>
      <c r="AC539" s="6" t="s">
        <v>3140</v>
      </c>
      <c r="AD539" s="6" t="s">
        <v>3173</v>
      </c>
      <c r="AE539" s="6" t="s">
        <v>3169</v>
      </c>
      <c r="AF539" s="6"/>
      <c r="AG539" s="6" t="s">
        <v>7320</v>
      </c>
      <c r="AH539" s="6" t="s">
        <v>79</v>
      </c>
    </row>
    <row r="540" spans="1:34" x14ac:dyDescent="0.25">
      <c r="A540" s="6" t="s">
        <v>1793</v>
      </c>
      <c r="B540" s="6" t="s">
        <v>7321</v>
      </c>
      <c r="C540" s="6" t="s">
        <v>7322</v>
      </c>
      <c r="D540" s="6" t="s">
        <v>1795</v>
      </c>
      <c r="E540" s="6" t="s">
        <v>3309</v>
      </c>
      <c r="F540" s="6" t="s">
        <v>3214</v>
      </c>
      <c r="G540" s="6" t="s">
        <v>72</v>
      </c>
      <c r="H540" s="6" t="s">
        <v>166</v>
      </c>
      <c r="I540" s="6" t="s">
        <v>74</v>
      </c>
      <c r="J540" s="6" t="s">
        <v>7323</v>
      </c>
      <c r="K540" s="6" t="s">
        <v>3140</v>
      </c>
      <c r="L540" s="6" t="s">
        <v>3159</v>
      </c>
      <c r="M540" s="6" t="s">
        <v>3243</v>
      </c>
      <c r="N540" s="6" t="s">
        <v>75</v>
      </c>
      <c r="O540" s="6" t="s">
        <v>3173</v>
      </c>
      <c r="P540" s="6" t="s">
        <v>5481</v>
      </c>
      <c r="Q540" s="6"/>
      <c r="R540" s="6" t="s">
        <v>7324</v>
      </c>
      <c r="S540" s="6" t="s">
        <v>21</v>
      </c>
      <c r="T540" s="6" t="s">
        <v>3217</v>
      </c>
      <c r="U540" s="6" t="s">
        <v>3292</v>
      </c>
      <c r="V540" s="6" t="s">
        <v>7325</v>
      </c>
      <c r="W540" s="6" t="s">
        <v>4781</v>
      </c>
      <c r="X540" s="6" t="s">
        <v>85</v>
      </c>
      <c r="Y540" s="6" t="s">
        <v>3141</v>
      </c>
      <c r="Z540" s="6" t="s">
        <v>93</v>
      </c>
      <c r="AA540" s="6" t="s">
        <v>3954</v>
      </c>
      <c r="AB540" s="6"/>
      <c r="AC540" s="6" t="s">
        <v>3140</v>
      </c>
      <c r="AD540" s="6" t="s">
        <v>3160</v>
      </c>
      <c r="AE540" s="6" t="s">
        <v>3136</v>
      </c>
      <c r="AF540" s="6"/>
      <c r="AG540" s="6" t="s">
        <v>7326</v>
      </c>
      <c r="AH540" s="6" t="s">
        <v>79</v>
      </c>
    </row>
    <row r="541" spans="1:34" x14ac:dyDescent="0.25">
      <c r="A541" s="6" t="s">
        <v>1796</v>
      </c>
      <c r="B541" s="6" t="s">
        <v>1797</v>
      </c>
      <c r="C541" s="6" t="s">
        <v>1798</v>
      </c>
      <c r="D541" s="6" t="s">
        <v>1799</v>
      </c>
      <c r="E541" s="6" t="s">
        <v>3786</v>
      </c>
      <c r="F541" s="6" t="s">
        <v>71</v>
      </c>
      <c r="G541" s="6" t="s">
        <v>174</v>
      </c>
      <c r="H541" s="6" t="s">
        <v>84</v>
      </c>
      <c r="I541" s="6" t="s">
        <v>74</v>
      </c>
      <c r="J541" s="6" t="s">
        <v>7327</v>
      </c>
      <c r="K541" s="6" t="s">
        <v>3140</v>
      </c>
      <c r="L541" s="6" t="s">
        <v>3142</v>
      </c>
      <c r="M541" s="6" t="s">
        <v>3160</v>
      </c>
      <c r="N541" s="6" t="s">
        <v>75</v>
      </c>
      <c r="O541" s="6" t="s">
        <v>3173</v>
      </c>
      <c r="P541" s="6" t="s">
        <v>3649</v>
      </c>
      <c r="Q541" s="6" t="s">
        <v>7328</v>
      </c>
      <c r="R541" s="6" t="s">
        <v>7329</v>
      </c>
      <c r="S541" s="6" t="s">
        <v>20</v>
      </c>
      <c r="T541" s="6" t="s">
        <v>7330</v>
      </c>
      <c r="U541" s="6" t="s">
        <v>3159</v>
      </c>
      <c r="V541" s="6" t="s">
        <v>7331</v>
      </c>
      <c r="W541" s="6" t="s">
        <v>3598</v>
      </c>
      <c r="X541" s="6" t="s">
        <v>85</v>
      </c>
      <c r="Y541" s="6" t="s">
        <v>3159</v>
      </c>
      <c r="Z541" s="6" t="s">
        <v>93</v>
      </c>
      <c r="AA541" s="6" t="s">
        <v>3447</v>
      </c>
      <c r="AB541" s="6"/>
      <c r="AC541" s="6" t="s">
        <v>3141</v>
      </c>
      <c r="AD541" s="6" t="s">
        <v>3143</v>
      </c>
      <c r="AE541" s="6" t="s">
        <v>3293</v>
      </c>
      <c r="AF541" s="6"/>
      <c r="AG541" s="6" t="s">
        <v>7332</v>
      </c>
      <c r="AH541" s="6" t="s">
        <v>79</v>
      </c>
    </row>
    <row r="542" spans="1:34" x14ac:dyDescent="0.25">
      <c r="A542" s="6" t="s">
        <v>1800</v>
      </c>
      <c r="B542" s="6" t="s">
        <v>1801</v>
      </c>
      <c r="C542" s="6" t="s">
        <v>7333</v>
      </c>
      <c r="D542" s="6" t="s">
        <v>7334</v>
      </c>
      <c r="E542" s="6" t="s">
        <v>3157</v>
      </c>
      <c r="F542" s="6" t="s">
        <v>3201</v>
      </c>
      <c r="G542" s="6" t="s">
        <v>7335</v>
      </c>
      <c r="H542" s="6" t="s">
        <v>99</v>
      </c>
      <c r="I542" s="6" t="s">
        <v>74</v>
      </c>
      <c r="J542" s="6" t="s">
        <v>7336</v>
      </c>
      <c r="K542" s="6" t="s">
        <v>3292</v>
      </c>
      <c r="L542" s="6" t="s">
        <v>3142</v>
      </c>
      <c r="M542" s="6" t="s">
        <v>76</v>
      </c>
      <c r="N542" s="6" t="s">
        <v>3160</v>
      </c>
      <c r="O542" s="6" t="s">
        <v>3142</v>
      </c>
      <c r="P542" s="6" t="s">
        <v>7337</v>
      </c>
      <c r="Q542" s="6"/>
      <c r="R542" s="6" t="s">
        <v>7338</v>
      </c>
      <c r="S542" s="6" t="s">
        <v>21</v>
      </c>
      <c r="T542" s="6" t="s">
        <v>7339</v>
      </c>
      <c r="U542" s="6" t="s">
        <v>3141</v>
      </c>
      <c r="V542" s="6" t="s">
        <v>7340</v>
      </c>
      <c r="W542" s="6" t="s">
        <v>4563</v>
      </c>
      <c r="X542" s="6" t="s">
        <v>85</v>
      </c>
      <c r="Y542" s="6" t="s">
        <v>3140</v>
      </c>
      <c r="Z542" s="6" t="s">
        <v>78</v>
      </c>
      <c r="AA542" s="6" t="s">
        <v>3663</v>
      </c>
      <c r="AB542" s="6" t="s">
        <v>7341</v>
      </c>
      <c r="AC542" s="6" t="s">
        <v>3141</v>
      </c>
      <c r="AD542" s="6" t="s">
        <v>3142</v>
      </c>
      <c r="AE542" s="6" t="s">
        <v>3323</v>
      </c>
      <c r="AF542" s="6"/>
      <c r="AG542" s="6" t="s">
        <v>7342</v>
      </c>
      <c r="AH542" s="6" t="s">
        <v>79</v>
      </c>
    </row>
    <row r="543" spans="1:34" x14ac:dyDescent="0.25">
      <c r="A543" s="6" t="s">
        <v>1803</v>
      </c>
      <c r="B543" s="6" t="s">
        <v>1804</v>
      </c>
      <c r="C543" s="6" t="s">
        <v>1805</v>
      </c>
      <c r="D543" s="6" t="s">
        <v>1806</v>
      </c>
      <c r="E543" s="6" t="s">
        <v>3570</v>
      </c>
      <c r="F543" s="6" t="s">
        <v>3137</v>
      </c>
      <c r="G543" s="6" t="s">
        <v>143</v>
      </c>
      <c r="H543" s="6" t="s">
        <v>7343</v>
      </c>
      <c r="I543" s="6" t="s">
        <v>92</v>
      </c>
      <c r="J543" s="6"/>
      <c r="K543" s="6" t="s">
        <v>3140</v>
      </c>
      <c r="L543" s="6" t="s">
        <v>3188</v>
      </c>
      <c r="M543" s="6" t="s">
        <v>3142</v>
      </c>
      <c r="N543" s="6" t="s">
        <v>3152</v>
      </c>
      <c r="O543" s="6" t="s">
        <v>3143</v>
      </c>
      <c r="P543" s="6" t="s">
        <v>5390</v>
      </c>
      <c r="Q543" s="6" t="s">
        <v>7344</v>
      </c>
      <c r="R543" s="6" t="s">
        <v>7345</v>
      </c>
      <c r="S543" s="6" t="s">
        <v>21</v>
      </c>
      <c r="T543" s="6" t="s">
        <v>7346</v>
      </c>
      <c r="U543" s="6" t="s">
        <v>3159</v>
      </c>
      <c r="V543" s="6" t="s">
        <v>7347</v>
      </c>
      <c r="W543" s="6" t="s">
        <v>3783</v>
      </c>
      <c r="X543" s="6" t="s">
        <v>85</v>
      </c>
      <c r="Y543" s="6" t="s">
        <v>3140</v>
      </c>
      <c r="Z543" s="6" t="s">
        <v>93</v>
      </c>
      <c r="AA543" s="6" t="s">
        <v>3565</v>
      </c>
      <c r="AB543" s="6" t="s">
        <v>7348</v>
      </c>
      <c r="AC543" s="6" t="s">
        <v>3141</v>
      </c>
      <c r="AD543" s="6" t="s">
        <v>3188</v>
      </c>
      <c r="AE543" s="6" t="s">
        <v>3323</v>
      </c>
      <c r="AF543" s="6"/>
      <c r="AG543" s="6" t="s">
        <v>7349</v>
      </c>
      <c r="AH543" s="6" t="s">
        <v>79</v>
      </c>
    </row>
    <row r="544" spans="1:34" x14ac:dyDescent="0.25">
      <c r="A544" s="6" t="s">
        <v>1807</v>
      </c>
      <c r="B544" s="6" t="s">
        <v>1808</v>
      </c>
      <c r="C544" s="6" t="s">
        <v>7350</v>
      </c>
      <c r="D544" s="6" t="s">
        <v>1809</v>
      </c>
      <c r="E544" s="6"/>
      <c r="F544" s="6" t="s">
        <v>3358</v>
      </c>
      <c r="G544" s="6" t="s">
        <v>98</v>
      </c>
      <c r="H544" s="6" t="s">
        <v>3241</v>
      </c>
      <c r="I544" s="6" t="s">
        <v>92</v>
      </c>
      <c r="J544" s="6" t="s">
        <v>7351</v>
      </c>
      <c r="K544" s="6" t="s">
        <v>3140</v>
      </c>
      <c r="L544" s="6" t="s">
        <v>3196</v>
      </c>
      <c r="M544" s="6" t="s">
        <v>3160</v>
      </c>
      <c r="N544" s="6" t="s">
        <v>3143</v>
      </c>
      <c r="O544" s="6" t="s">
        <v>76</v>
      </c>
      <c r="P544" s="6" t="s">
        <v>5732</v>
      </c>
      <c r="Q544" s="6"/>
      <c r="R544" s="6" t="s">
        <v>7352</v>
      </c>
      <c r="S544" s="6" t="s">
        <v>23</v>
      </c>
      <c r="T544" s="6" t="s">
        <v>3217</v>
      </c>
      <c r="U544" s="6" t="s">
        <v>3159</v>
      </c>
      <c r="V544" s="6" t="s">
        <v>7353</v>
      </c>
      <c r="W544" s="6" t="s">
        <v>3277</v>
      </c>
      <c r="X544" s="6" t="s">
        <v>85</v>
      </c>
      <c r="Y544" s="6" t="s">
        <v>3292</v>
      </c>
      <c r="Z544" s="6" t="s">
        <v>78</v>
      </c>
      <c r="AA544" s="6" t="s">
        <v>4669</v>
      </c>
      <c r="AB544" s="6"/>
      <c r="AC544" s="6" t="s">
        <v>3140</v>
      </c>
      <c r="AD544" s="6" t="s">
        <v>3143</v>
      </c>
      <c r="AE544" s="6" t="s">
        <v>3428</v>
      </c>
      <c r="AF544" s="6" t="s">
        <v>7354</v>
      </c>
      <c r="AG544" s="6" t="s">
        <v>4094</v>
      </c>
      <c r="AH544" s="6" t="s">
        <v>79</v>
      </c>
    </row>
    <row r="545" spans="1:34" x14ac:dyDescent="0.25">
      <c r="A545" s="6" t="s">
        <v>1810</v>
      </c>
      <c r="B545" s="6" t="s">
        <v>1336</v>
      </c>
      <c r="C545" s="6" t="s">
        <v>7355</v>
      </c>
      <c r="D545" s="6" t="s">
        <v>7356</v>
      </c>
      <c r="E545" s="6" t="s">
        <v>3235</v>
      </c>
      <c r="F545" s="6" t="s">
        <v>3269</v>
      </c>
      <c r="G545" s="6" t="s">
        <v>98</v>
      </c>
      <c r="H545" s="6" t="s">
        <v>4359</v>
      </c>
      <c r="I545" s="6" t="s">
        <v>74</v>
      </c>
      <c r="J545" s="6" t="s">
        <v>7357</v>
      </c>
      <c r="K545" s="6" t="s">
        <v>3159</v>
      </c>
      <c r="L545" s="6" t="s">
        <v>3188</v>
      </c>
      <c r="M545" s="6" t="s">
        <v>3143</v>
      </c>
      <c r="N545" s="6" t="s">
        <v>3141</v>
      </c>
      <c r="O545" s="6" t="s">
        <v>3160</v>
      </c>
      <c r="P545" s="6" t="s">
        <v>7358</v>
      </c>
      <c r="Q545" s="6" t="s">
        <v>7359</v>
      </c>
      <c r="R545" s="6" t="s">
        <v>7360</v>
      </c>
      <c r="S545" s="6" t="s">
        <v>23</v>
      </c>
      <c r="T545" s="6" t="s">
        <v>7361</v>
      </c>
      <c r="U545" s="6" t="s">
        <v>3140</v>
      </c>
      <c r="V545" s="6" t="s">
        <v>7362</v>
      </c>
      <c r="W545" s="6" t="s">
        <v>3415</v>
      </c>
      <c r="X545" s="6" t="s">
        <v>77</v>
      </c>
      <c r="Y545" s="6" t="s">
        <v>3140</v>
      </c>
      <c r="Z545" s="6" t="s">
        <v>78</v>
      </c>
      <c r="AA545" s="6" t="s">
        <v>3550</v>
      </c>
      <c r="AB545" s="6"/>
      <c r="AC545" s="6" t="s">
        <v>3140</v>
      </c>
      <c r="AD545" s="6" t="s">
        <v>3160</v>
      </c>
      <c r="AE545" s="6" t="s">
        <v>3513</v>
      </c>
      <c r="AF545" s="6" t="s">
        <v>7363</v>
      </c>
      <c r="AG545" s="6" t="s">
        <v>7364</v>
      </c>
      <c r="AH545" s="6" t="s">
        <v>94</v>
      </c>
    </row>
    <row r="546" spans="1:34" x14ac:dyDescent="0.25">
      <c r="A546" s="6" t="s">
        <v>1812</v>
      </c>
      <c r="B546" s="6" t="s">
        <v>714</v>
      </c>
      <c r="C546" s="6"/>
      <c r="D546" s="6" t="s">
        <v>1813</v>
      </c>
      <c r="E546" s="6" t="s">
        <v>3432</v>
      </c>
      <c r="F546" s="6" t="s">
        <v>3227</v>
      </c>
      <c r="G546" s="6" t="s">
        <v>139</v>
      </c>
      <c r="H546" s="6" t="s">
        <v>107</v>
      </c>
      <c r="I546" s="6" t="s">
        <v>92</v>
      </c>
      <c r="J546" s="6" t="s">
        <v>3217</v>
      </c>
      <c r="K546" s="6" t="s">
        <v>3159</v>
      </c>
      <c r="L546" s="6" t="s">
        <v>3142</v>
      </c>
      <c r="M546" s="6" t="s">
        <v>3143</v>
      </c>
      <c r="N546" s="6" t="s">
        <v>3243</v>
      </c>
      <c r="O546" s="6" t="s">
        <v>3152</v>
      </c>
      <c r="P546" s="6" t="s">
        <v>7365</v>
      </c>
      <c r="Q546" s="6" t="s">
        <v>7366</v>
      </c>
      <c r="R546" s="6" t="s">
        <v>7367</v>
      </c>
      <c r="S546" s="6" t="s">
        <v>20</v>
      </c>
      <c r="T546" s="6" t="s">
        <v>7368</v>
      </c>
      <c r="U546" s="6" t="s">
        <v>3141</v>
      </c>
      <c r="V546" s="6" t="s">
        <v>7369</v>
      </c>
      <c r="W546" s="6" t="s">
        <v>3344</v>
      </c>
      <c r="X546" s="6" t="s">
        <v>77</v>
      </c>
      <c r="Y546" s="6" t="s">
        <v>3140</v>
      </c>
      <c r="Z546" s="6" t="s">
        <v>78</v>
      </c>
      <c r="AA546" s="6" t="s">
        <v>3291</v>
      </c>
      <c r="AB546" s="6" t="s">
        <v>7370</v>
      </c>
      <c r="AC546" s="6" t="s">
        <v>3159</v>
      </c>
      <c r="AD546" s="6" t="s">
        <v>75</v>
      </c>
      <c r="AE546" s="6" t="s">
        <v>3169</v>
      </c>
      <c r="AF546" s="6"/>
      <c r="AG546" s="6" t="s">
        <v>7371</v>
      </c>
      <c r="AH546" s="6" t="s">
        <v>79</v>
      </c>
    </row>
    <row r="547" spans="1:34" x14ac:dyDescent="0.25">
      <c r="A547" s="6" t="s">
        <v>1814</v>
      </c>
      <c r="B547" s="6" t="s">
        <v>1815</v>
      </c>
      <c r="C547" s="6" t="s">
        <v>7372</v>
      </c>
      <c r="D547" s="6" t="s">
        <v>1816</v>
      </c>
      <c r="E547" s="6" t="s">
        <v>3626</v>
      </c>
      <c r="F547" s="6" t="s">
        <v>71</v>
      </c>
      <c r="G547" s="6" t="s">
        <v>388</v>
      </c>
      <c r="H547" s="6" t="s">
        <v>107</v>
      </c>
      <c r="I547" s="6" t="s">
        <v>92</v>
      </c>
      <c r="J547" s="6"/>
      <c r="K547" s="6" t="s">
        <v>3159</v>
      </c>
      <c r="L547" s="6" t="s">
        <v>3160</v>
      </c>
      <c r="M547" s="6" t="s">
        <v>76</v>
      </c>
      <c r="N547" s="6" t="s">
        <v>3160</v>
      </c>
      <c r="O547" s="6" t="s">
        <v>3243</v>
      </c>
      <c r="P547" s="6" t="s">
        <v>7373</v>
      </c>
      <c r="Q547" s="6"/>
      <c r="R547" s="6" t="s">
        <v>7374</v>
      </c>
      <c r="S547" s="6" t="s">
        <v>20</v>
      </c>
      <c r="T547" s="6"/>
      <c r="U547" s="6" t="s">
        <v>3140</v>
      </c>
      <c r="V547" s="6" t="s">
        <v>3782</v>
      </c>
      <c r="W547" s="6" t="s">
        <v>3853</v>
      </c>
      <c r="X547" s="6" t="s">
        <v>85</v>
      </c>
      <c r="Y547" s="6" t="s">
        <v>3140</v>
      </c>
      <c r="Z547" s="6" t="s">
        <v>78</v>
      </c>
      <c r="AA547" s="6" t="s">
        <v>5319</v>
      </c>
      <c r="AB547" s="6"/>
      <c r="AC547" s="6" t="s">
        <v>3141</v>
      </c>
      <c r="AD547" s="6" t="s">
        <v>3160</v>
      </c>
      <c r="AE547" s="6" t="s">
        <v>3136</v>
      </c>
      <c r="AF547" s="6"/>
      <c r="AG547" s="6" t="s">
        <v>4391</v>
      </c>
      <c r="AH547" s="6" t="s">
        <v>79</v>
      </c>
    </row>
    <row r="548" spans="1:34" x14ac:dyDescent="0.25">
      <c r="A548" s="6" t="s">
        <v>1817</v>
      </c>
      <c r="B548" s="6" t="s">
        <v>1818</v>
      </c>
      <c r="C548" s="6" t="s">
        <v>7375</v>
      </c>
      <c r="D548" s="6" t="s">
        <v>1819</v>
      </c>
      <c r="E548" s="6"/>
      <c r="F548" s="6" t="s">
        <v>3269</v>
      </c>
      <c r="G548" s="6" t="s">
        <v>226</v>
      </c>
      <c r="H548" s="6" t="s">
        <v>144</v>
      </c>
      <c r="I548" s="6" t="s">
        <v>92</v>
      </c>
      <c r="J548" s="6"/>
      <c r="K548" s="6" t="s">
        <v>3159</v>
      </c>
      <c r="L548" s="6" t="s">
        <v>3143</v>
      </c>
      <c r="M548" s="6" t="s">
        <v>3196</v>
      </c>
      <c r="N548" s="6" t="s">
        <v>3143</v>
      </c>
      <c r="O548" s="6" t="s">
        <v>3243</v>
      </c>
      <c r="P548" s="6" t="s">
        <v>7376</v>
      </c>
      <c r="Q548" s="6" t="s">
        <v>7377</v>
      </c>
      <c r="R548" s="6" t="s">
        <v>7378</v>
      </c>
      <c r="S548" s="6" t="s">
        <v>23</v>
      </c>
      <c r="T548" s="6"/>
      <c r="U548" s="6" t="s">
        <v>3141</v>
      </c>
      <c r="V548" s="6" t="s">
        <v>7379</v>
      </c>
      <c r="W548" s="6" t="s">
        <v>5002</v>
      </c>
      <c r="X548" s="6" t="s">
        <v>85</v>
      </c>
      <c r="Y548" s="6" t="s">
        <v>3292</v>
      </c>
      <c r="Z548" s="6" t="s">
        <v>93</v>
      </c>
      <c r="AA548" s="6" t="s">
        <v>4683</v>
      </c>
      <c r="AB548" s="6" t="s">
        <v>7380</v>
      </c>
      <c r="AC548" s="6" t="s">
        <v>3141</v>
      </c>
      <c r="AD548" s="6" t="s">
        <v>3143</v>
      </c>
      <c r="AE548" s="6" t="s">
        <v>3153</v>
      </c>
      <c r="AF548" s="6" t="s">
        <v>7381</v>
      </c>
      <c r="AG548" s="6" t="s">
        <v>5225</v>
      </c>
      <c r="AH548" s="6" t="s">
        <v>79</v>
      </c>
    </row>
    <row r="549" spans="1:34" x14ac:dyDescent="0.25">
      <c r="A549" s="6" t="s">
        <v>1820</v>
      </c>
      <c r="B549" s="6" t="s">
        <v>1821</v>
      </c>
      <c r="C549" s="6" t="s">
        <v>7382</v>
      </c>
      <c r="D549" s="6" t="s">
        <v>1822</v>
      </c>
      <c r="E549" s="6" t="s">
        <v>3843</v>
      </c>
      <c r="F549" s="6" t="s">
        <v>3227</v>
      </c>
      <c r="G549" s="6" t="s">
        <v>72</v>
      </c>
      <c r="H549" s="6" t="s">
        <v>132</v>
      </c>
      <c r="I549" s="6" t="s">
        <v>92</v>
      </c>
      <c r="J549" s="6"/>
      <c r="K549" s="6" t="s">
        <v>3140</v>
      </c>
      <c r="L549" s="6" t="s">
        <v>3196</v>
      </c>
      <c r="M549" s="6" t="s">
        <v>76</v>
      </c>
      <c r="N549" s="6" t="s">
        <v>75</v>
      </c>
      <c r="O549" s="6" t="s">
        <v>3160</v>
      </c>
      <c r="P549" s="6" t="s">
        <v>7383</v>
      </c>
      <c r="Q549" s="6" t="s">
        <v>3217</v>
      </c>
      <c r="R549" s="6" t="s">
        <v>7384</v>
      </c>
      <c r="S549" s="6" t="s">
        <v>3881</v>
      </c>
      <c r="T549" s="6" t="s">
        <v>7385</v>
      </c>
      <c r="U549" s="6" t="s">
        <v>3292</v>
      </c>
      <c r="V549" s="6" t="s">
        <v>7386</v>
      </c>
      <c r="W549" s="6" t="s">
        <v>7387</v>
      </c>
      <c r="X549" s="6" t="s">
        <v>77</v>
      </c>
      <c r="Y549" s="6" t="s">
        <v>3140</v>
      </c>
      <c r="Z549" s="6" t="s">
        <v>93</v>
      </c>
      <c r="AA549" s="6" t="s">
        <v>3195</v>
      </c>
      <c r="AB549" s="6" t="s">
        <v>7388</v>
      </c>
      <c r="AC549" s="6" t="s">
        <v>3159</v>
      </c>
      <c r="AD549" s="6" t="s">
        <v>3243</v>
      </c>
      <c r="AE549" s="6" t="s">
        <v>3513</v>
      </c>
      <c r="AF549" s="6" t="s">
        <v>7389</v>
      </c>
      <c r="AG549" s="6" t="s">
        <v>4710</v>
      </c>
      <c r="AH549" s="6" t="s">
        <v>79</v>
      </c>
    </row>
    <row r="550" spans="1:34" x14ac:dyDescent="0.25">
      <c r="A550" s="6" t="s">
        <v>1823</v>
      </c>
      <c r="B550" s="6" t="s">
        <v>1824</v>
      </c>
      <c r="C550" s="6" t="s">
        <v>7390</v>
      </c>
      <c r="D550" s="6" t="s">
        <v>1825</v>
      </c>
      <c r="E550" s="6" t="s">
        <v>3346</v>
      </c>
      <c r="F550" s="6" t="s">
        <v>3214</v>
      </c>
      <c r="G550" s="6" t="s">
        <v>7391</v>
      </c>
      <c r="H550" s="6" t="s">
        <v>103</v>
      </c>
      <c r="I550" s="6" t="s">
        <v>74</v>
      </c>
      <c r="J550" s="6" t="s">
        <v>7392</v>
      </c>
      <c r="K550" s="6" t="s">
        <v>3292</v>
      </c>
      <c r="L550" s="6" t="s">
        <v>3173</v>
      </c>
      <c r="M550" s="6" t="s">
        <v>3152</v>
      </c>
      <c r="N550" s="6" t="s">
        <v>3196</v>
      </c>
      <c r="O550" s="6" t="s">
        <v>76</v>
      </c>
      <c r="P550" s="6" t="s">
        <v>7393</v>
      </c>
      <c r="Q550" s="6" t="s">
        <v>7394</v>
      </c>
      <c r="R550" s="6" t="s">
        <v>7395</v>
      </c>
      <c r="S550" s="6" t="s">
        <v>20</v>
      </c>
      <c r="T550" s="6" t="s">
        <v>7396</v>
      </c>
      <c r="U550" s="6" t="s">
        <v>3985</v>
      </c>
      <c r="V550" s="6" t="s">
        <v>5136</v>
      </c>
      <c r="W550" s="6" t="s">
        <v>3330</v>
      </c>
      <c r="X550" s="6" t="s">
        <v>85</v>
      </c>
      <c r="Y550" s="6" t="s">
        <v>3141</v>
      </c>
      <c r="Z550" s="6" t="s">
        <v>78</v>
      </c>
      <c r="AA550" s="6" t="s">
        <v>4610</v>
      </c>
      <c r="AB550" s="6" t="s">
        <v>7397</v>
      </c>
      <c r="AC550" s="6" t="s">
        <v>3141</v>
      </c>
      <c r="AD550" s="6" t="s">
        <v>3143</v>
      </c>
      <c r="AE550" s="6" t="s">
        <v>3293</v>
      </c>
      <c r="AF550" s="6"/>
      <c r="AG550" s="6" t="s">
        <v>7398</v>
      </c>
      <c r="AH550" s="6" t="s">
        <v>79</v>
      </c>
    </row>
    <row r="551" spans="1:34" x14ac:dyDescent="0.25">
      <c r="A551" s="6" t="s">
        <v>1826</v>
      </c>
      <c r="B551" s="6" t="s">
        <v>1827</v>
      </c>
      <c r="C551" s="6" t="s">
        <v>7399</v>
      </c>
      <c r="D551" s="6" t="s">
        <v>1828</v>
      </c>
      <c r="E551" s="6" t="s">
        <v>3970</v>
      </c>
      <c r="F551" s="6" t="s">
        <v>89</v>
      </c>
      <c r="G551" s="6" t="s">
        <v>314</v>
      </c>
      <c r="H551" s="6" t="s">
        <v>73</v>
      </c>
      <c r="I551" s="6" t="s">
        <v>74</v>
      </c>
      <c r="J551" s="6" t="s">
        <v>7400</v>
      </c>
      <c r="K551" s="6" t="s">
        <v>3140</v>
      </c>
      <c r="L551" s="6" t="s">
        <v>3188</v>
      </c>
      <c r="M551" s="6" t="s">
        <v>75</v>
      </c>
      <c r="N551" s="6" t="s">
        <v>3142</v>
      </c>
      <c r="O551" s="6" t="s">
        <v>75</v>
      </c>
      <c r="P551" s="6" t="s">
        <v>7401</v>
      </c>
      <c r="Q551" s="6" t="s">
        <v>3217</v>
      </c>
      <c r="R551" s="6" t="s">
        <v>7402</v>
      </c>
      <c r="S551" s="6" t="s">
        <v>22</v>
      </c>
      <c r="T551" s="6" t="s">
        <v>7403</v>
      </c>
      <c r="U551" s="6" t="s">
        <v>3141</v>
      </c>
      <c r="V551" s="6" t="s">
        <v>7404</v>
      </c>
      <c r="W551" s="6" t="s">
        <v>3802</v>
      </c>
      <c r="X551" s="6" t="s">
        <v>77</v>
      </c>
      <c r="Y551" s="6" t="s">
        <v>3159</v>
      </c>
      <c r="Z551" s="6" t="s">
        <v>93</v>
      </c>
      <c r="AA551" s="6" t="s">
        <v>3364</v>
      </c>
      <c r="AB551" s="6"/>
      <c r="AC551" s="6" t="s">
        <v>3141</v>
      </c>
      <c r="AD551" s="6" t="s">
        <v>76</v>
      </c>
      <c r="AE551" s="6" t="s">
        <v>3279</v>
      </c>
      <c r="AF551" s="6" t="s">
        <v>7405</v>
      </c>
      <c r="AG551" s="6" t="s">
        <v>6516</v>
      </c>
      <c r="AH551" s="6" t="s">
        <v>79</v>
      </c>
    </row>
    <row r="552" spans="1:34" x14ac:dyDescent="0.25">
      <c r="A552" s="6" t="s">
        <v>1829</v>
      </c>
      <c r="B552" s="6" t="s">
        <v>1830</v>
      </c>
      <c r="C552" s="6" t="s">
        <v>7406</v>
      </c>
      <c r="D552" s="6" t="s">
        <v>7407</v>
      </c>
      <c r="E552" s="6" t="s">
        <v>3279</v>
      </c>
      <c r="F552" s="6" t="s">
        <v>3358</v>
      </c>
      <c r="G552" s="6" t="s">
        <v>3297</v>
      </c>
      <c r="H552" s="6" t="s">
        <v>84</v>
      </c>
      <c r="I552" s="6" t="s">
        <v>74</v>
      </c>
      <c r="J552" s="6" t="s">
        <v>7408</v>
      </c>
      <c r="K552" s="6" t="s">
        <v>3159</v>
      </c>
      <c r="L552" s="6" t="s">
        <v>3141</v>
      </c>
      <c r="M552" s="6" t="s">
        <v>3188</v>
      </c>
      <c r="N552" s="6" t="s">
        <v>3141</v>
      </c>
      <c r="O552" s="6" t="s">
        <v>3243</v>
      </c>
      <c r="P552" s="6" t="s">
        <v>7409</v>
      </c>
      <c r="Q552" s="6" t="s">
        <v>7410</v>
      </c>
      <c r="R552" s="6" t="s">
        <v>7411</v>
      </c>
      <c r="S552" s="6" t="s">
        <v>20</v>
      </c>
      <c r="T552" s="6" t="s">
        <v>7412</v>
      </c>
      <c r="U552" s="6" t="s">
        <v>3141</v>
      </c>
      <c r="V552" s="6" t="s">
        <v>5603</v>
      </c>
      <c r="W552" s="6" t="s">
        <v>4470</v>
      </c>
      <c r="X552" s="6" t="s">
        <v>85</v>
      </c>
      <c r="Y552" s="6" t="s">
        <v>3292</v>
      </c>
      <c r="Z552" s="6" t="s">
        <v>4344</v>
      </c>
      <c r="AA552" s="6" t="s">
        <v>4117</v>
      </c>
      <c r="AB552" s="6" t="s">
        <v>7413</v>
      </c>
      <c r="AC552" s="6" t="s">
        <v>3141</v>
      </c>
      <c r="AD552" s="6" t="s">
        <v>3196</v>
      </c>
      <c r="AE552" s="6" t="s">
        <v>3136</v>
      </c>
      <c r="AF552" s="6"/>
      <c r="AG552" s="6" t="s">
        <v>7414</v>
      </c>
      <c r="AH552" s="6" t="s">
        <v>79</v>
      </c>
    </row>
    <row r="553" spans="1:34" x14ac:dyDescent="0.25">
      <c r="A553" s="6" t="s">
        <v>1832</v>
      </c>
      <c r="B553" s="6" t="s">
        <v>477</v>
      </c>
      <c r="C553" s="6" t="s">
        <v>7415</v>
      </c>
      <c r="D553" s="6"/>
      <c r="E553" s="6" t="s">
        <v>3226</v>
      </c>
      <c r="F553" s="6" t="s">
        <v>3283</v>
      </c>
      <c r="G553" s="6" t="s">
        <v>417</v>
      </c>
      <c r="H553" s="6" t="s">
        <v>73</v>
      </c>
      <c r="I553" s="6" t="s">
        <v>74</v>
      </c>
      <c r="J553" s="6" t="s">
        <v>7416</v>
      </c>
      <c r="K553" s="6" t="s">
        <v>3159</v>
      </c>
      <c r="L553" s="6" t="s">
        <v>3152</v>
      </c>
      <c r="M553" s="6" t="s">
        <v>3141</v>
      </c>
      <c r="N553" s="6" t="s">
        <v>3142</v>
      </c>
      <c r="O553" s="6" t="s">
        <v>3160</v>
      </c>
      <c r="P553" s="6" t="s">
        <v>4597</v>
      </c>
      <c r="Q553" s="6" t="s">
        <v>7417</v>
      </c>
      <c r="R553" s="6" t="s">
        <v>7418</v>
      </c>
      <c r="S553" s="6" t="s">
        <v>20</v>
      </c>
      <c r="T553" s="6"/>
      <c r="U553" s="6" t="s">
        <v>3159</v>
      </c>
      <c r="V553" s="6" t="s">
        <v>5155</v>
      </c>
      <c r="W553" s="6" t="s">
        <v>3853</v>
      </c>
      <c r="X553" s="6" t="s">
        <v>85</v>
      </c>
      <c r="Y553" s="6" t="s">
        <v>3141</v>
      </c>
      <c r="Z553" s="6" t="s">
        <v>78</v>
      </c>
      <c r="AA553" s="6" t="s">
        <v>7419</v>
      </c>
      <c r="AB553" s="6"/>
      <c r="AC553" s="6" t="s">
        <v>3141</v>
      </c>
      <c r="AD553" s="6" t="s">
        <v>3243</v>
      </c>
      <c r="AE553" s="6" t="s">
        <v>3235</v>
      </c>
      <c r="AF553" s="6"/>
      <c r="AG553" s="6" t="s">
        <v>5005</v>
      </c>
      <c r="AH553" s="6" t="s">
        <v>79</v>
      </c>
    </row>
    <row r="554" spans="1:34" x14ac:dyDescent="0.25">
      <c r="A554" s="6" t="s">
        <v>1833</v>
      </c>
      <c r="B554" s="6" t="s">
        <v>1439</v>
      </c>
      <c r="C554" s="6" t="s">
        <v>1834</v>
      </c>
      <c r="D554" s="6" t="s">
        <v>7420</v>
      </c>
      <c r="E554" s="6" t="s">
        <v>3677</v>
      </c>
      <c r="F554" s="6" t="s">
        <v>3214</v>
      </c>
      <c r="G554" s="6" t="s">
        <v>98</v>
      </c>
      <c r="H554" s="6" t="s">
        <v>103</v>
      </c>
      <c r="I554" s="6" t="s">
        <v>74</v>
      </c>
      <c r="J554" s="6" t="s">
        <v>7421</v>
      </c>
      <c r="K554" s="6" t="s">
        <v>3159</v>
      </c>
      <c r="L554" s="6" t="s">
        <v>76</v>
      </c>
      <c r="M554" s="6" t="s">
        <v>3160</v>
      </c>
      <c r="N554" s="6" t="s">
        <v>3243</v>
      </c>
      <c r="O554" s="6" t="s">
        <v>3141</v>
      </c>
      <c r="P554" s="6" t="s">
        <v>7422</v>
      </c>
      <c r="Q554" s="6" t="s">
        <v>7423</v>
      </c>
      <c r="R554" s="6" t="s">
        <v>7424</v>
      </c>
      <c r="S554" s="6" t="s">
        <v>22</v>
      </c>
      <c r="T554" s="6" t="s">
        <v>7425</v>
      </c>
      <c r="U554" s="6" t="s">
        <v>3985</v>
      </c>
      <c r="V554" s="6" t="s">
        <v>7426</v>
      </c>
      <c r="W554" s="6" t="s">
        <v>3344</v>
      </c>
      <c r="X554" s="6" t="s">
        <v>77</v>
      </c>
      <c r="Y554" s="6" t="s">
        <v>3141</v>
      </c>
      <c r="Z554" s="6" t="s">
        <v>93</v>
      </c>
      <c r="AA554" s="6" t="s">
        <v>3291</v>
      </c>
      <c r="AB554" s="6"/>
      <c r="AC554" s="6" t="s">
        <v>3140</v>
      </c>
      <c r="AD554" s="6" t="s">
        <v>3196</v>
      </c>
      <c r="AE554" s="6" t="s">
        <v>3323</v>
      </c>
      <c r="AF554" s="6" t="s">
        <v>7427</v>
      </c>
      <c r="AG554" s="6" t="s">
        <v>7428</v>
      </c>
      <c r="AH554" s="6" t="s">
        <v>79</v>
      </c>
    </row>
    <row r="555" spans="1:34" x14ac:dyDescent="0.25">
      <c r="A555" s="6" t="s">
        <v>1836</v>
      </c>
      <c r="B555" s="6" t="s">
        <v>1837</v>
      </c>
      <c r="C555" s="6" t="s">
        <v>7429</v>
      </c>
      <c r="D555" s="6" t="s">
        <v>1838</v>
      </c>
      <c r="E555" s="6" t="s">
        <v>3388</v>
      </c>
      <c r="F555" s="6" t="s">
        <v>3214</v>
      </c>
      <c r="G555" s="6" t="s">
        <v>127</v>
      </c>
      <c r="H555" s="6" t="s">
        <v>166</v>
      </c>
      <c r="I555" s="6" t="s">
        <v>74</v>
      </c>
      <c r="J555" s="6" t="s">
        <v>7430</v>
      </c>
      <c r="K555" s="6" t="s">
        <v>3141</v>
      </c>
      <c r="L555" s="6" t="s">
        <v>3143</v>
      </c>
      <c r="M555" s="6" t="s">
        <v>3152</v>
      </c>
      <c r="N555" s="6" t="s">
        <v>3243</v>
      </c>
      <c r="O555" s="6" t="s">
        <v>3152</v>
      </c>
      <c r="P555" s="6" t="s">
        <v>7431</v>
      </c>
      <c r="Q555" s="6" t="s">
        <v>7432</v>
      </c>
      <c r="R555" s="6" t="s">
        <v>7433</v>
      </c>
      <c r="S555" s="6" t="s">
        <v>20</v>
      </c>
      <c r="T555" s="6" t="s">
        <v>7434</v>
      </c>
      <c r="U555" s="6" t="s">
        <v>3141</v>
      </c>
      <c r="V555" s="6" t="s">
        <v>7298</v>
      </c>
      <c r="W555" s="6" t="s">
        <v>4194</v>
      </c>
      <c r="X555" s="6" t="s">
        <v>85</v>
      </c>
      <c r="Y555" s="6" t="s">
        <v>3292</v>
      </c>
      <c r="Z555" s="6" t="s">
        <v>78</v>
      </c>
      <c r="AA555" s="6" t="s">
        <v>3168</v>
      </c>
      <c r="AB555" s="6" t="s">
        <v>7435</v>
      </c>
      <c r="AC555" s="6" t="s">
        <v>3159</v>
      </c>
      <c r="AD555" s="6" t="s">
        <v>3160</v>
      </c>
      <c r="AE555" s="6" t="s">
        <v>3235</v>
      </c>
      <c r="AF555" s="6"/>
      <c r="AG555" s="6" t="s">
        <v>7436</v>
      </c>
      <c r="AH555" s="6" t="s">
        <v>79</v>
      </c>
    </row>
    <row r="556" spans="1:34" x14ac:dyDescent="0.25">
      <c r="A556" s="6" t="s">
        <v>1839</v>
      </c>
      <c r="B556" s="6" t="s">
        <v>129</v>
      </c>
      <c r="C556" s="6" t="s">
        <v>7437</v>
      </c>
      <c r="D556" s="6" t="s">
        <v>1840</v>
      </c>
      <c r="E556" s="6" t="s">
        <v>4155</v>
      </c>
      <c r="F556" s="6" t="s">
        <v>71</v>
      </c>
      <c r="G556" s="6" t="s">
        <v>215</v>
      </c>
      <c r="H556" s="6" t="s">
        <v>144</v>
      </c>
      <c r="I556" s="6" t="s">
        <v>92</v>
      </c>
      <c r="J556" s="6" t="s">
        <v>7438</v>
      </c>
      <c r="K556" s="6" t="s">
        <v>3159</v>
      </c>
      <c r="L556" s="6" t="s">
        <v>3243</v>
      </c>
      <c r="M556" s="6" t="s">
        <v>3188</v>
      </c>
      <c r="N556" s="6" t="s">
        <v>75</v>
      </c>
      <c r="O556" s="6" t="s">
        <v>75</v>
      </c>
      <c r="P556" s="6" t="s">
        <v>7036</v>
      </c>
      <c r="Q556" s="6" t="s">
        <v>3217</v>
      </c>
      <c r="R556" s="6" t="s">
        <v>7439</v>
      </c>
      <c r="S556" s="6" t="s">
        <v>23</v>
      </c>
      <c r="T556" s="6" t="s">
        <v>7440</v>
      </c>
      <c r="U556" s="6" t="s">
        <v>3141</v>
      </c>
      <c r="V556" s="6" t="s">
        <v>3728</v>
      </c>
      <c r="W556" s="6" t="s">
        <v>4420</v>
      </c>
      <c r="X556" s="6" t="s">
        <v>3167</v>
      </c>
      <c r="Y556" s="6" t="s">
        <v>3141</v>
      </c>
      <c r="Z556" s="6" t="s">
        <v>78</v>
      </c>
      <c r="AA556" s="6" t="s">
        <v>3233</v>
      </c>
      <c r="AB556" s="6"/>
      <c r="AC556" s="6" t="s">
        <v>3141</v>
      </c>
      <c r="AD556" s="6" t="s">
        <v>3188</v>
      </c>
      <c r="AE556" s="6" t="s">
        <v>3513</v>
      </c>
      <c r="AF556" s="6" t="s">
        <v>7441</v>
      </c>
      <c r="AG556" s="6" t="s">
        <v>3644</v>
      </c>
      <c r="AH556" s="6" t="s">
        <v>3334</v>
      </c>
    </row>
    <row r="557" spans="1:34" x14ac:dyDescent="0.25">
      <c r="A557" s="6" t="s">
        <v>1841</v>
      </c>
      <c r="B557" s="6" t="s">
        <v>1842</v>
      </c>
      <c r="C557" s="6" t="s">
        <v>7442</v>
      </c>
      <c r="D557" s="6" t="s">
        <v>1843</v>
      </c>
      <c r="E557" s="6" t="s">
        <v>3136</v>
      </c>
      <c r="F557" s="6" t="s">
        <v>3358</v>
      </c>
      <c r="G557" s="6" t="s">
        <v>98</v>
      </c>
      <c r="H557" s="6" t="s">
        <v>103</v>
      </c>
      <c r="I557" s="6" t="s">
        <v>74</v>
      </c>
      <c r="J557" s="6" t="s">
        <v>7443</v>
      </c>
      <c r="K557" s="6" t="s">
        <v>3159</v>
      </c>
      <c r="L557" s="6" t="s">
        <v>3188</v>
      </c>
      <c r="M557" s="6" t="s">
        <v>75</v>
      </c>
      <c r="N557" s="6" t="s">
        <v>75</v>
      </c>
      <c r="O557" s="6" t="s">
        <v>3243</v>
      </c>
      <c r="P557" s="6" t="s">
        <v>3161</v>
      </c>
      <c r="Q557" s="6"/>
      <c r="R557" s="6" t="s">
        <v>7444</v>
      </c>
      <c r="S557" s="6" t="s">
        <v>23</v>
      </c>
      <c r="T557" s="6" t="s">
        <v>3217</v>
      </c>
      <c r="U557" s="6" t="s">
        <v>3141</v>
      </c>
      <c r="V557" s="6" t="s">
        <v>5417</v>
      </c>
      <c r="W557" s="6" t="s">
        <v>3954</v>
      </c>
      <c r="X557" s="6" t="s">
        <v>77</v>
      </c>
      <c r="Y557" s="6" t="s">
        <v>3292</v>
      </c>
      <c r="Z557" s="6" t="s">
        <v>194</v>
      </c>
      <c r="AA557" s="6" t="s">
        <v>3250</v>
      </c>
      <c r="AB557" s="6" t="s">
        <v>7445</v>
      </c>
      <c r="AC557" s="6" t="s">
        <v>3141</v>
      </c>
      <c r="AD557" s="6" t="s">
        <v>3173</v>
      </c>
      <c r="AE557" s="6" t="s">
        <v>3428</v>
      </c>
      <c r="AF557" s="6" t="s">
        <v>7446</v>
      </c>
      <c r="AG557" s="6" t="s">
        <v>7447</v>
      </c>
      <c r="AH557" s="6" t="s">
        <v>79</v>
      </c>
    </row>
    <row r="558" spans="1:34" x14ac:dyDescent="0.25">
      <c r="A558" s="6" t="s">
        <v>1844</v>
      </c>
      <c r="B558" s="6" t="s">
        <v>1845</v>
      </c>
      <c r="C558" s="6" t="s">
        <v>7448</v>
      </c>
      <c r="D558" s="6" t="s">
        <v>1846</v>
      </c>
      <c r="E558" s="6" t="s">
        <v>3420</v>
      </c>
      <c r="F558" s="6" t="s">
        <v>3227</v>
      </c>
      <c r="G558" s="6" t="s">
        <v>139</v>
      </c>
      <c r="H558" s="6" t="s">
        <v>144</v>
      </c>
      <c r="I558" s="6" t="s">
        <v>92</v>
      </c>
      <c r="J558" s="6" t="s">
        <v>7449</v>
      </c>
      <c r="K558" s="6" t="s">
        <v>3159</v>
      </c>
      <c r="L558" s="6" t="s">
        <v>3159</v>
      </c>
      <c r="M558" s="6" t="s">
        <v>3243</v>
      </c>
      <c r="N558" s="6" t="s">
        <v>3160</v>
      </c>
      <c r="O558" s="6" t="s">
        <v>3141</v>
      </c>
      <c r="P558" s="6" t="s">
        <v>7450</v>
      </c>
      <c r="Q558" s="6"/>
      <c r="R558" s="6" t="s">
        <v>7451</v>
      </c>
      <c r="S558" s="6" t="s">
        <v>23</v>
      </c>
      <c r="T558" s="6" t="s">
        <v>7452</v>
      </c>
      <c r="U558" s="6" t="s">
        <v>3192</v>
      </c>
      <c r="V558" s="6" t="s">
        <v>4910</v>
      </c>
      <c r="W558" s="6" t="s">
        <v>3233</v>
      </c>
      <c r="X558" s="6" t="s">
        <v>85</v>
      </c>
      <c r="Y558" s="6" t="s">
        <v>3292</v>
      </c>
      <c r="Z558" s="6" t="s">
        <v>93</v>
      </c>
      <c r="AA558" s="6" t="s">
        <v>3276</v>
      </c>
      <c r="AB558" s="6" t="s">
        <v>7453</v>
      </c>
      <c r="AC558" s="6" t="s">
        <v>3141</v>
      </c>
      <c r="AD558" s="6" t="s">
        <v>3152</v>
      </c>
      <c r="AE558" s="6" t="s">
        <v>3513</v>
      </c>
      <c r="AF558" s="6" t="s">
        <v>7454</v>
      </c>
      <c r="AG558" s="6" t="s">
        <v>3306</v>
      </c>
      <c r="AH558" s="6" t="s">
        <v>79</v>
      </c>
    </row>
    <row r="559" spans="1:34" x14ac:dyDescent="0.25">
      <c r="A559" s="6" t="s">
        <v>1847</v>
      </c>
      <c r="B559" s="6" t="s">
        <v>1848</v>
      </c>
      <c r="C559" s="6"/>
      <c r="D559" s="6" t="s">
        <v>1849</v>
      </c>
      <c r="E559" s="6" t="s">
        <v>4025</v>
      </c>
      <c r="F559" s="6" t="s">
        <v>3369</v>
      </c>
      <c r="G559" s="6" t="s">
        <v>314</v>
      </c>
      <c r="H559" s="6" t="s">
        <v>144</v>
      </c>
      <c r="I559" s="6" t="s">
        <v>92</v>
      </c>
      <c r="J559" s="6"/>
      <c r="K559" s="6" t="s">
        <v>3141</v>
      </c>
      <c r="L559" s="6" t="s">
        <v>3160</v>
      </c>
      <c r="M559" s="6" t="s">
        <v>3160</v>
      </c>
      <c r="N559" s="6" t="s">
        <v>3141</v>
      </c>
      <c r="O559" s="6" t="s">
        <v>3243</v>
      </c>
      <c r="P559" s="6" t="s">
        <v>5462</v>
      </c>
      <c r="Q559" s="6" t="s">
        <v>7455</v>
      </c>
      <c r="R559" s="6" t="s">
        <v>7456</v>
      </c>
      <c r="S559" s="6" t="s">
        <v>20</v>
      </c>
      <c r="T559" s="6" t="s">
        <v>7457</v>
      </c>
      <c r="U559" s="6" t="s">
        <v>3159</v>
      </c>
      <c r="V559" s="6" t="s">
        <v>7458</v>
      </c>
      <c r="W559" s="6" t="s">
        <v>3455</v>
      </c>
      <c r="X559" s="6" t="s">
        <v>77</v>
      </c>
      <c r="Y559" s="6" t="s">
        <v>3292</v>
      </c>
      <c r="Z559" s="6" t="s">
        <v>78</v>
      </c>
      <c r="AA559" s="6" t="s">
        <v>3223</v>
      </c>
      <c r="AB559" s="6"/>
      <c r="AC559" s="6" t="s">
        <v>3141</v>
      </c>
      <c r="AD559" s="6" t="s">
        <v>75</v>
      </c>
      <c r="AE559" s="6" t="s">
        <v>3293</v>
      </c>
      <c r="AF559" s="6"/>
      <c r="AG559" s="6" t="s">
        <v>7459</v>
      </c>
      <c r="AH559" s="6" t="s">
        <v>79</v>
      </c>
    </row>
    <row r="560" spans="1:34" x14ac:dyDescent="0.25">
      <c r="A560" s="6" t="s">
        <v>1850</v>
      </c>
      <c r="B560" s="6" t="s">
        <v>1302</v>
      </c>
      <c r="C560" s="6" t="s">
        <v>7460</v>
      </c>
      <c r="D560" s="6" t="s">
        <v>1851</v>
      </c>
      <c r="E560" s="6" t="s">
        <v>3240</v>
      </c>
      <c r="F560" s="6" t="s">
        <v>3201</v>
      </c>
      <c r="G560" s="6" t="s">
        <v>4543</v>
      </c>
      <c r="H560" s="6" t="s">
        <v>144</v>
      </c>
      <c r="I560" s="6" t="s">
        <v>92</v>
      </c>
      <c r="J560" s="6" t="s">
        <v>7461</v>
      </c>
      <c r="K560" s="6" t="s">
        <v>3159</v>
      </c>
      <c r="L560" s="6" t="s">
        <v>3173</v>
      </c>
      <c r="M560" s="6" t="s">
        <v>3243</v>
      </c>
      <c r="N560" s="6" t="s">
        <v>3141</v>
      </c>
      <c r="O560" s="6" t="s">
        <v>3141</v>
      </c>
      <c r="P560" s="6" t="s">
        <v>7024</v>
      </c>
      <c r="Q560" s="6" t="s">
        <v>7462</v>
      </c>
      <c r="R560" s="6" t="s">
        <v>7463</v>
      </c>
      <c r="S560" s="6" t="s">
        <v>7464</v>
      </c>
      <c r="T560" s="6" t="s">
        <v>7465</v>
      </c>
      <c r="U560" s="6" t="s">
        <v>3159</v>
      </c>
      <c r="V560" s="6" t="s">
        <v>3852</v>
      </c>
      <c r="W560" s="6" t="s">
        <v>3277</v>
      </c>
      <c r="X560" s="6" t="s">
        <v>77</v>
      </c>
      <c r="Y560" s="6" t="s">
        <v>3141</v>
      </c>
      <c r="Z560" s="6" t="s">
        <v>3343</v>
      </c>
      <c r="AA560" s="6" t="s">
        <v>4227</v>
      </c>
      <c r="AB560" s="6"/>
      <c r="AC560" s="6" t="s">
        <v>3141</v>
      </c>
      <c r="AD560" s="6" t="s">
        <v>3243</v>
      </c>
      <c r="AE560" s="6" t="s">
        <v>3136</v>
      </c>
      <c r="AF560" s="6" t="s">
        <v>7466</v>
      </c>
      <c r="AG560" s="6" t="s">
        <v>6291</v>
      </c>
      <c r="AH560" s="6" t="s">
        <v>79</v>
      </c>
    </row>
    <row r="561" spans="1:34" x14ac:dyDescent="0.25">
      <c r="A561" s="6" t="s">
        <v>1852</v>
      </c>
      <c r="B561" s="6" t="s">
        <v>146</v>
      </c>
      <c r="C561" s="6" t="s">
        <v>7467</v>
      </c>
      <c r="D561" s="6" t="s">
        <v>1853</v>
      </c>
      <c r="E561" s="6" t="s">
        <v>3636</v>
      </c>
      <c r="F561" s="6" t="s">
        <v>3201</v>
      </c>
      <c r="G561" s="6" t="s">
        <v>106</v>
      </c>
      <c r="H561" s="6" t="s">
        <v>73</v>
      </c>
      <c r="I561" s="6" t="s">
        <v>74</v>
      </c>
      <c r="J561" s="6" t="s">
        <v>7468</v>
      </c>
      <c r="K561" s="6" t="s">
        <v>3141</v>
      </c>
      <c r="L561" s="6" t="s">
        <v>3152</v>
      </c>
      <c r="M561" s="6" t="s">
        <v>3160</v>
      </c>
      <c r="N561" s="6" t="s">
        <v>75</v>
      </c>
      <c r="O561" s="6" t="s">
        <v>3143</v>
      </c>
      <c r="P561" s="6" t="s">
        <v>7469</v>
      </c>
      <c r="Q561" s="6" t="s">
        <v>7470</v>
      </c>
      <c r="R561" s="6" t="s">
        <v>7471</v>
      </c>
      <c r="S561" s="6" t="s">
        <v>23</v>
      </c>
      <c r="T561" s="6" t="s">
        <v>7472</v>
      </c>
      <c r="U561" s="6" t="s">
        <v>3159</v>
      </c>
      <c r="V561" s="6" t="s">
        <v>7473</v>
      </c>
      <c r="W561" s="6" t="s">
        <v>3375</v>
      </c>
      <c r="X561" s="6" t="s">
        <v>85</v>
      </c>
      <c r="Y561" s="6" t="s">
        <v>3140</v>
      </c>
      <c r="Z561" s="6" t="s">
        <v>194</v>
      </c>
      <c r="AA561" s="6" t="s">
        <v>3316</v>
      </c>
      <c r="AB561" s="6" t="s">
        <v>7474</v>
      </c>
      <c r="AC561" s="6" t="s">
        <v>3141</v>
      </c>
      <c r="AD561" s="6" t="s">
        <v>3152</v>
      </c>
      <c r="AE561" s="6" t="s">
        <v>3428</v>
      </c>
      <c r="AF561" s="6" t="s">
        <v>7475</v>
      </c>
      <c r="AG561" s="6" t="s">
        <v>7476</v>
      </c>
      <c r="AH561" s="6" t="s">
        <v>79</v>
      </c>
    </row>
    <row r="562" spans="1:34" x14ac:dyDescent="0.25">
      <c r="A562" s="6" t="s">
        <v>1854</v>
      </c>
      <c r="B562" s="6" t="s">
        <v>1855</v>
      </c>
      <c r="C562" s="6" t="s">
        <v>7477</v>
      </c>
      <c r="D562" s="6" t="s">
        <v>1856</v>
      </c>
      <c r="E562" s="6" t="s">
        <v>3420</v>
      </c>
      <c r="F562" s="6" t="s">
        <v>3227</v>
      </c>
      <c r="G562" s="6" t="s">
        <v>215</v>
      </c>
      <c r="H562" s="6" t="s">
        <v>144</v>
      </c>
      <c r="I562" s="6" t="s">
        <v>92</v>
      </c>
      <c r="J562" s="6" t="s">
        <v>7478</v>
      </c>
      <c r="K562" s="6" t="s">
        <v>3159</v>
      </c>
      <c r="L562" s="6" t="s">
        <v>3196</v>
      </c>
      <c r="M562" s="6" t="s">
        <v>3152</v>
      </c>
      <c r="N562" s="6" t="s">
        <v>3152</v>
      </c>
      <c r="O562" s="6" t="s">
        <v>3160</v>
      </c>
      <c r="P562" s="6" t="s">
        <v>7479</v>
      </c>
      <c r="Q562" s="6" t="s">
        <v>7480</v>
      </c>
      <c r="R562" s="6" t="s">
        <v>7481</v>
      </c>
      <c r="S562" s="6" t="s">
        <v>21</v>
      </c>
      <c r="T562" s="6"/>
      <c r="U562" s="6" t="s">
        <v>3141</v>
      </c>
      <c r="V562" s="6" t="s">
        <v>7482</v>
      </c>
      <c r="W562" s="6" t="s">
        <v>3862</v>
      </c>
      <c r="X562" s="6" t="s">
        <v>85</v>
      </c>
      <c r="Y562" s="6" t="s">
        <v>3141</v>
      </c>
      <c r="Z562" s="6" t="s">
        <v>3614</v>
      </c>
      <c r="AA562" s="6" t="s">
        <v>7483</v>
      </c>
      <c r="AB562" s="6"/>
      <c r="AC562" s="6" t="s">
        <v>3141</v>
      </c>
      <c r="AD562" s="6" t="s">
        <v>3143</v>
      </c>
      <c r="AE562" s="6" t="s">
        <v>3293</v>
      </c>
      <c r="AF562" s="6"/>
      <c r="AG562" s="6" t="s">
        <v>7484</v>
      </c>
      <c r="AH562" s="6" t="s">
        <v>79</v>
      </c>
    </row>
    <row r="563" spans="1:34" x14ac:dyDescent="0.25">
      <c r="A563" s="6" t="s">
        <v>1857</v>
      </c>
      <c r="B563" s="6" t="s">
        <v>1858</v>
      </c>
      <c r="C563" s="6" t="s">
        <v>7485</v>
      </c>
      <c r="D563" s="6" t="s">
        <v>1859</v>
      </c>
      <c r="E563" s="6" t="s">
        <v>3760</v>
      </c>
      <c r="F563" s="6" t="s">
        <v>3201</v>
      </c>
      <c r="G563" s="6" t="s">
        <v>388</v>
      </c>
      <c r="H563" s="6" t="s">
        <v>99</v>
      </c>
      <c r="I563" s="6" t="s">
        <v>74</v>
      </c>
      <c r="J563" s="6" t="s">
        <v>7486</v>
      </c>
      <c r="K563" s="6" t="s">
        <v>3140</v>
      </c>
      <c r="L563" s="6" t="s">
        <v>3196</v>
      </c>
      <c r="M563" s="6" t="s">
        <v>3243</v>
      </c>
      <c r="N563" s="6" t="s">
        <v>3160</v>
      </c>
      <c r="O563" s="6" t="s">
        <v>3188</v>
      </c>
      <c r="P563" s="6" t="s">
        <v>6966</v>
      </c>
      <c r="Q563" s="6" t="s">
        <v>3217</v>
      </c>
      <c r="R563" s="6" t="s">
        <v>7487</v>
      </c>
      <c r="S563" s="6" t="s">
        <v>22</v>
      </c>
      <c r="T563" s="6" t="s">
        <v>7488</v>
      </c>
      <c r="U563" s="6" t="s">
        <v>3159</v>
      </c>
      <c r="V563" s="6" t="s">
        <v>3456</v>
      </c>
      <c r="W563" s="6" t="s">
        <v>3477</v>
      </c>
      <c r="X563" s="6" t="s">
        <v>77</v>
      </c>
      <c r="Y563" s="6" t="s">
        <v>3141</v>
      </c>
      <c r="Z563" s="6" t="s">
        <v>78</v>
      </c>
      <c r="AA563" s="6" t="s">
        <v>5094</v>
      </c>
      <c r="AB563" s="6" t="s">
        <v>7489</v>
      </c>
      <c r="AC563" s="6" t="s">
        <v>3141</v>
      </c>
      <c r="AD563" s="6" t="s">
        <v>3160</v>
      </c>
      <c r="AE563" s="6" t="s">
        <v>3235</v>
      </c>
      <c r="AF563" s="6" t="s">
        <v>7490</v>
      </c>
      <c r="AG563" s="6" t="s">
        <v>7491</v>
      </c>
      <c r="AH563" s="6" t="s">
        <v>79</v>
      </c>
    </row>
    <row r="564" spans="1:34" x14ac:dyDescent="0.25">
      <c r="A564" s="6" t="s">
        <v>1860</v>
      </c>
      <c r="B564" s="6" t="s">
        <v>1861</v>
      </c>
      <c r="C564" s="6" t="s">
        <v>7492</v>
      </c>
      <c r="D564" s="6" t="s">
        <v>1862</v>
      </c>
      <c r="E564" s="6" t="s">
        <v>3432</v>
      </c>
      <c r="F564" s="6" t="s">
        <v>89</v>
      </c>
      <c r="G564" s="6" t="s">
        <v>153</v>
      </c>
      <c r="H564" s="6" t="s">
        <v>73</v>
      </c>
      <c r="I564" s="6" t="s">
        <v>74</v>
      </c>
      <c r="J564" s="6" t="s">
        <v>7493</v>
      </c>
      <c r="K564" s="6" t="s">
        <v>3141</v>
      </c>
      <c r="L564" s="6" t="s">
        <v>3160</v>
      </c>
      <c r="M564" s="6" t="s">
        <v>3160</v>
      </c>
      <c r="N564" s="6" t="s">
        <v>3152</v>
      </c>
      <c r="O564" s="6" t="s">
        <v>3143</v>
      </c>
      <c r="P564" s="6" t="s">
        <v>7494</v>
      </c>
      <c r="Q564" s="6" t="s">
        <v>7495</v>
      </c>
      <c r="R564" s="6" t="s">
        <v>7496</v>
      </c>
      <c r="S564" s="6" t="s">
        <v>3287</v>
      </c>
      <c r="T564" s="6"/>
      <c r="U564" s="6" t="s">
        <v>3159</v>
      </c>
      <c r="V564" s="6" t="s">
        <v>4701</v>
      </c>
      <c r="W564" s="6" t="s">
        <v>7387</v>
      </c>
      <c r="X564" s="6" t="s">
        <v>85</v>
      </c>
      <c r="Y564" s="6" t="s">
        <v>3292</v>
      </c>
      <c r="Z564" s="6" t="s">
        <v>3263</v>
      </c>
      <c r="AA564" s="6" t="s">
        <v>3873</v>
      </c>
      <c r="AB564" s="6"/>
      <c r="AC564" s="6" t="s">
        <v>3141</v>
      </c>
      <c r="AD564" s="6" t="s">
        <v>3152</v>
      </c>
      <c r="AE564" s="6" t="s">
        <v>3293</v>
      </c>
      <c r="AF564" s="6"/>
      <c r="AG564" s="6"/>
      <c r="AH564" s="6" t="s">
        <v>79</v>
      </c>
    </row>
    <row r="565" spans="1:34" x14ac:dyDescent="0.25">
      <c r="A565" s="6" t="s">
        <v>1863</v>
      </c>
      <c r="B565" s="6" t="s">
        <v>7497</v>
      </c>
      <c r="C565" s="6" t="s">
        <v>7498</v>
      </c>
      <c r="D565" s="6" t="s">
        <v>1865</v>
      </c>
      <c r="E565" s="6" t="s">
        <v>4190</v>
      </c>
      <c r="F565" s="6" t="s">
        <v>89</v>
      </c>
      <c r="G565" s="6" t="s">
        <v>83</v>
      </c>
      <c r="H565" s="6" t="s">
        <v>91</v>
      </c>
      <c r="I565" s="6" t="s">
        <v>92</v>
      </c>
      <c r="J565" s="6"/>
      <c r="K565" s="6" t="s">
        <v>3141</v>
      </c>
      <c r="L565" s="6" t="s">
        <v>75</v>
      </c>
      <c r="M565" s="6" t="s">
        <v>3141</v>
      </c>
      <c r="N565" s="6" t="s">
        <v>3152</v>
      </c>
      <c r="O565" s="6" t="s">
        <v>3243</v>
      </c>
      <c r="P565" s="6" t="s">
        <v>3174</v>
      </c>
      <c r="Q565" s="6" t="s">
        <v>7499</v>
      </c>
      <c r="R565" s="6" t="s">
        <v>7500</v>
      </c>
      <c r="S565" s="6" t="s">
        <v>22</v>
      </c>
      <c r="T565" s="6" t="s">
        <v>7501</v>
      </c>
      <c r="U565" s="6" t="s">
        <v>3159</v>
      </c>
      <c r="V565" s="6" t="s">
        <v>7502</v>
      </c>
      <c r="W565" s="6" t="s">
        <v>3489</v>
      </c>
      <c r="X565" s="6" t="s">
        <v>85</v>
      </c>
      <c r="Y565" s="6" t="s">
        <v>3141</v>
      </c>
      <c r="Z565" s="6" t="s">
        <v>3329</v>
      </c>
      <c r="AA565" s="6" t="s">
        <v>3180</v>
      </c>
      <c r="AB565" s="6" t="s">
        <v>7503</v>
      </c>
      <c r="AC565" s="6" t="s">
        <v>3159</v>
      </c>
      <c r="AD565" s="6" t="s">
        <v>3159</v>
      </c>
      <c r="AE565" s="6" t="s">
        <v>3136</v>
      </c>
      <c r="AF565" s="6" t="s">
        <v>7504</v>
      </c>
      <c r="AG565" s="6" t="s">
        <v>7505</v>
      </c>
      <c r="AH565" s="6" t="s">
        <v>79</v>
      </c>
    </row>
    <row r="566" spans="1:34" x14ac:dyDescent="0.25">
      <c r="A566" s="6" t="s">
        <v>1866</v>
      </c>
      <c r="B566" s="6" t="s">
        <v>1867</v>
      </c>
      <c r="C566" s="6" t="s">
        <v>7506</v>
      </c>
      <c r="D566" s="6" t="s">
        <v>1868</v>
      </c>
      <c r="E566" s="6" t="s">
        <v>3254</v>
      </c>
      <c r="F566" s="6" t="s">
        <v>3201</v>
      </c>
      <c r="G566" s="6" t="s">
        <v>4329</v>
      </c>
      <c r="H566" s="6" t="s">
        <v>91</v>
      </c>
      <c r="I566" s="6" t="s">
        <v>92</v>
      </c>
      <c r="J566" s="6"/>
      <c r="K566" s="6" t="s">
        <v>3159</v>
      </c>
      <c r="L566" s="6" t="s">
        <v>3173</v>
      </c>
      <c r="M566" s="6" t="s">
        <v>75</v>
      </c>
      <c r="N566" s="6" t="s">
        <v>75</v>
      </c>
      <c r="O566" s="6" t="s">
        <v>3141</v>
      </c>
      <c r="P566" s="6"/>
      <c r="Q566" s="6" t="s">
        <v>7507</v>
      </c>
      <c r="R566" s="6" t="s">
        <v>7508</v>
      </c>
      <c r="S566" s="6" t="s">
        <v>22</v>
      </c>
      <c r="T566" s="6" t="s">
        <v>7509</v>
      </c>
      <c r="U566" s="6" t="s">
        <v>3141</v>
      </c>
      <c r="V566" s="6" t="s">
        <v>3501</v>
      </c>
      <c r="W566" s="6" t="s">
        <v>4194</v>
      </c>
      <c r="X566" s="6" t="s">
        <v>85</v>
      </c>
      <c r="Y566" s="6" t="s">
        <v>3140</v>
      </c>
      <c r="Z566" s="6" t="s">
        <v>93</v>
      </c>
      <c r="AA566" s="6" t="s">
        <v>4873</v>
      </c>
      <c r="AB566" s="6" t="s">
        <v>7510</v>
      </c>
      <c r="AC566" s="6" t="s">
        <v>3159</v>
      </c>
      <c r="AD566" s="6" t="s">
        <v>3152</v>
      </c>
      <c r="AE566" s="6" t="s">
        <v>3279</v>
      </c>
      <c r="AF566" s="6" t="s">
        <v>7511</v>
      </c>
      <c r="AG566" s="6" t="s">
        <v>3848</v>
      </c>
      <c r="AH566" s="6" t="s">
        <v>79</v>
      </c>
    </row>
    <row r="567" spans="1:34" x14ac:dyDescent="0.25">
      <c r="A567" s="6" t="s">
        <v>1869</v>
      </c>
      <c r="B567" s="6" t="s">
        <v>696</v>
      </c>
      <c r="C567" s="6" t="s">
        <v>7512</v>
      </c>
      <c r="D567" s="6" t="s">
        <v>7513</v>
      </c>
      <c r="E567" s="6" t="s">
        <v>3323</v>
      </c>
      <c r="F567" s="6" t="s">
        <v>3369</v>
      </c>
      <c r="G567" s="6" t="s">
        <v>174</v>
      </c>
      <c r="H567" s="6" t="s">
        <v>107</v>
      </c>
      <c r="I567" s="6" t="s">
        <v>92</v>
      </c>
      <c r="J567" s="6" t="s">
        <v>7514</v>
      </c>
      <c r="K567" s="6" t="s">
        <v>3140</v>
      </c>
      <c r="L567" s="6" t="s">
        <v>3173</v>
      </c>
      <c r="M567" s="6" t="s">
        <v>75</v>
      </c>
      <c r="N567" s="6" t="s">
        <v>3243</v>
      </c>
      <c r="O567" s="6" t="s">
        <v>3173</v>
      </c>
      <c r="P567" s="6" t="s">
        <v>6474</v>
      </c>
      <c r="Q567" s="6" t="s">
        <v>7515</v>
      </c>
      <c r="R567" s="6" t="s">
        <v>7516</v>
      </c>
      <c r="S567" s="6" t="s">
        <v>23</v>
      </c>
      <c r="T567" s="6" t="s">
        <v>7517</v>
      </c>
      <c r="U567" s="6" t="s">
        <v>3141</v>
      </c>
      <c r="V567" s="6" t="s">
        <v>7518</v>
      </c>
      <c r="W567" s="6" t="s">
        <v>3683</v>
      </c>
      <c r="X567" s="6" t="s">
        <v>85</v>
      </c>
      <c r="Y567" s="6" t="s">
        <v>3192</v>
      </c>
      <c r="Z567" s="6" t="s">
        <v>93</v>
      </c>
      <c r="AA567" s="6" t="s">
        <v>3396</v>
      </c>
      <c r="AB567" s="6" t="s">
        <v>7519</v>
      </c>
      <c r="AC567" s="6" t="s">
        <v>3159</v>
      </c>
      <c r="AD567" s="6" t="s">
        <v>75</v>
      </c>
      <c r="AE567" s="6" t="s">
        <v>3428</v>
      </c>
      <c r="AF567" s="6" t="s">
        <v>7520</v>
      </c>
      <c r="AG567" s="6" t="s">
        <v>7521</v>
      </c>
      <c r="AH567" s="6" t="s">
        <v>79</v>
      </c>
    </row>
    <row r="568" spans="1:34" x14ac:dyDescent="0.25">
      <c r="A568" s="6" t="s">
        <v>1871</v>
      </c>
      <c r="B568" s="6" t="s">
        <v>1872</v>
      </c>
      <c r="C568" s="6" t="s">
        <v>7522</v>
      </c>
      <c r="D568" s="6" t="s">
        <v>7523</v>
      </c>
      <c r="E568" s="6" t="s">
        <v>3420</v>
      </c>
      <c r="F568" s="6" t="s">
        <v>3283</v>
      </c>
      <c r="G568" s="6" t="s">
        <v>174</v>
      </c>
      <c r="H568" s="6" t="s">
        <v>103</v>
      </c>
      <c r="I568" s="6" t="s">
        <v>74</v>
      </c>
      <c r="J568" s="6"/>
      <c r="K568" s="6" t="s">
        <v>3159</v>
      </c>
      <c r="L568" s="6" t="s">
        <v>3159</v>
      </c>
      <c r="M568" s="6" t="s">
        <v>3243</v>
      </c>
      <c r="N568" s="6" t="s">
        <v>3141</v>
      </c>
      <c r="O568" s="6" t="s">
        <v>3141</v>
      </c>
      <c r="P568" s="6" t="s">
        <v>5497</v>
      </c>
      <c r="Q568" s="6" t="s">
        <v>7524</v>
      </c>
      <c r="R568" s="6" t="s">
        <v>7525</v>
      </c>
      <c r="S568" s="6" t="s">
        <v>23</v>
      </c>
      <c r="T568" s="6" t="s">
        <v>7526</v>
      </c>
      <c r="U568" s="6" t="s">
        <v>3192</v>
      </c>
      <c r="V568" s="6" t="s">
        <v>3653</v>
      </c>
      <c r="W568" s="6" t="s">
        <v>3278</v>
      </c>
      <c r="X568" s="6" t="s">
        <v>3167</v>
      </c>
      <c r="Y568" s="6" t="s">
        <v>3140</v>
      </c>
      <c r="Z568" s="6" t="s">
        <v>93</v>
      </c>
      <c r="AA568" s="6" t="s">
        <v>7527</v>
      </c>
      <c r="AB568" s="6"/>
      <c r="AC568" s="6" t="s">
        <v>3159</v>
      </c>
      <c r="AD568" s="6" t="s">
        <v>3141</v>
      </c>
      <c r="AE568" s="6" t="s">
        <v>3428</v>
      </c>
      <c r="AF568" s="6" t="s">
        <v>7528</v>
      </c>
      <c r="AG568" s="6" t="s">
        <v>7529</v>
      </c>
      <c r="AH568" s="6" t="s">
        <v>79</v>
      </c>
    </row>
    <row r="569" spans="1:34" x14ac:dyDescent="0.25">
      <c r="A569" s="6" t="s">
        <v>1874</v>
      </c>
      <c r="B569" s="6" t="s">
        <v>1875</v>
      </c>
      <c r="C569" s="6" t="s">
        <v>7530</v>
      </c>
      <c r="D569" s="6" t="s">
        <v>1876</v>
      </c>
      <c r="E569" s="6" t="s">
        <v>3921</v>
      </c>
      <c r="F569" s="6" t="s">
        <v>3201</v>
      </c>
      <c r="G569" s="6" t="s">
        <v>106</v>
      </c>
      <c r="H569" s="6" t="s">
        <v>144</v>
      </c>
      <c r="I569" s="6" t="s">
        <v>92</v>
      </c>
      <c r="J569" s="6"/>
      <c r="K569" s="6" t="s">
        <v>3140</v>
      </c>
      <c r="L569" s="6" t="s">
        <v>3196</v>
      </c>
      <c r="M569" s="6" t="s">
        <v>3152</v>
      </c>
      <c r="N569" s="6" t="s">
        <v>3143</v>
      </c>
      <c r="O569" s="6" t="s">
        <v>76</v>
      </c>
      <c r="P569" s="6" t="s">
        <v>4736</v>
      </c>
      <c r="Q569" s="6" t="s">
        <v>7531</v>
      </c>
      <c r="R569" s="6" t="s">
        <v>7532</v>
      </c>
      <c r="S569" s="6" t="s">
        <v>23</v>
      </c>
      <c r="T569" s="6" t="s">
        <v>7533</v>
      </c>
      <c r="U569" s="6" t="s">
        <v>3140</v>
      </c>
      <c r="V569" s="6" t="s">
        <v>7534</v>
      </c>
      <c r="W569" s="6" t="s">
        <v>4126</v>
      </c>
      <c r="X569" s="6" t="s">
        <v>77</v>
      </c>
      <c r="Y569" s="6" t="s">
        <v>3141</v>
      </c>
      <c r="Z569" s="6" t="s">
        <v>93</v>
      </c>
      <c r="AA569" s="6" t="s">
        <v>4463</v>
      </c>
      <c r="AB569" s="6"/>
      <c r="AC569" s="6" t="s">
        <v>3159</v>
      </c>
      <c r="AD569" s="6" t="s">
        <v>3143</v>
      </c>
      <c r="AE569" s="6" t="s">
        <v>3153</v>
      </c>
      <c r="AF569" s="6" t="s">
        <v>7535</v>
      </c>
      <c r="AG569" s="6" t="s">
        <v>7536</v>
      </c>
      <c r="AH569" s="6" t="s">
        <v>79</v>
      </c>
    </row>
    <row r="570" spans="1:34" x14ac:dyDescent="0.25">
      <c r="A570" s="6" t="s">
        <v>1877</v>
      </c>
      <c r="B570" s="6" t="s">
        <v>275</v>
      </c>
      <c r="C570" s="6" t="s">
        <v>1878</v>
      </c>
      <c r="D570" s="6" t="s">
        <v>7537</v>
      </c>
      <c r="E570" s="6" t="s">
        <v>3268</v>
      </c>
      <c r="F570" s="6" t="s">
        <v>3358</v>
      </c>
      <c r="G570" s="6" t="s">
        <v>139</v>
      </c>
      <c r="H570" s="6" t="s">
        <v>132</v>
      </c>
      <c r="I570" s="6" t="s">
        <v>92</v>
      </c>
      <c r="J570" s="6" t="s">
        <v>7538</v>
      </c>
      <c r="K570" s="6" t="s">
        <v>3140</v>
      </c>
      <c r="L570" s="6" t="s">
        <v>76</v>
      </c>
      <c r="M570" s="6" t="s">
        <v>3142</v>
      </c>
      <c r="N570" s="6" t="s">
        <v>3152</v>
      </c>
      <c r="O570" s="6" t="s">
        <v>3243</v>
      </c>
      <c r="P570" s="6" t="s">
        <v>6337</v>
      </c>
      <c r="Q570" s="6" t="s">
        <v>7539</v>
      </c>
      <c r="R570" s="6" t="s">
        <v>7540</v>
      </c>
      <c r="S570" s="6" t="s">
        <v>23</v>
      </c>
      <c r="T570" s="6"/>
      <c r="U570" s="6" t="s">
        <v>3159</v>
      </c>
      <c r="V570" s="6" t="s">
        <v>7541</v>
      </c>
      <c r="W570" s="6" t="s">
        <v>3854</v>
      </c>
      <c r="X570" s="6" t="s">
        <v>77</v>
      </c>
      <c r="Y570" s="6" t="s">
        <v>3141</v>
      </c>
      <c r="Z570" s="6" t="s">
        <v>194</v>
      </c>
      <c r="AA570" s="6" t="s">
        <v>5046</v>
      </c>
      <c r="AB570" s="6" t="s">
        <v>7542</v>
      </c>
      <c r="AC570" s="6" t="s">
        <v>3159</v>
      </c>
      <c r="AD570" s="6" t="s">
        <v>3143</v>
      </c>
      <c r="AE570" s="6" t="s">
        <v>3428</v>
      </c>
      <c r="AF570" s="6" t="s">
        <v>7543</v>
      </c>
      <c r="AG570" s="6" t="s">
        <v>7544</v>
      </c>
      <c r="AH570" s="6" t="s">
        <v>79</v>
      </c>
    </row>
    <row r="571" spans="1:34" x14ac:dyDescent="0.25">
      <c r="A571" s="6" t="s">
        <v>1880</v>
      </c>
      <c r="B571" s="6" t="s">
        <v>1881</v>
      </c>
      <c r="C571" s="6"/>
      <c r="D571" s="6"/>
      <c r="E571" s="6" t="s">
        <v>4190</v>
      </c>
      <c r="F571" s="6" t="s">
        <v>3201</v>
      </c>
      <c r="G571" s="6" t="s">
        <v>106</v>
      </c>
      <c r="H571" s="6" t="s">
        <v>84</v>
      </c>
      <c r="I571" s="6" t="s">
        <v>74</v>
      </c>
      <c r="J571" s="6" t="s">
        <v>7545</v>
      </c>
      <c r="K571" s="6" t="s">
        <v>3292</v>
      </c>
      <c r="L571" s="6" t="s">
        <v>3188</v>
      </c>
      <c r="M571" s="6" t="s">
        <v>3188</v>
      </c>
      <c r="N571" s="6" t="s">
        <v>3196</v>
      </c>
      <c r="O571" s="6" t="s">
        <v>3143</v>
      </c>
      <c r="P571" s="6" t="s">
        <v>4998</v>
      </c>
      <c r="Q571" s="6"/>
      <c r="R571" s="6" t="s">
        <v>7546</v>
      </c>
      <c r="S571" s="6" t="s">
        <v>21</v>
      </c>
      <c r="T571" s="6" t="s">
        <v>7547</v>
      </c>
      <c r="U571" s="6" t="s">
        <v>4264</v>
      </c>
      <c r="V571" s="6" t="s">
        <v>5836</v>
      </c>
      <c r="W571" s="6" t="s">
        <v>3439</v>
      </c>
      <c r="X571" s="6" t="s">
        <v>77</v>
      </c>
      <c r="Y571" s="6" t="s">
        <v>3140</v>
      </c>
      <c r="Z571" s="6" t="s">
        <v>93</v>
      </c>
      <c r="AA571" s="6" t="s">
        <v>4674</v>
      </c>
      <c r="AB571" s="6"/>
      <c r="AC571" s="6" t="s">
        <v>3292</v>
      </c>
      <c r="AD571" s="6" t="s">
        <v>3152</v>
      </c>
      <c r="AE571" s="6" t="s">
        <v>3279</v>
      </c>
      <c r="AF571" s="6"/>
      <c r="AG571" s="6" t="s">
        <v>7548</v>
      </c>
      <c r="AH571" s="6" t="s">
        <v>3334</v>
      </c>
    </row>
    <row r="572" spans="1:34" x14ac:dyDescent="0.25">
      <c r="A572" s="6" t="s">
        <v>1882</v>
      </c>
      <c r="B572" s="6" t="s">
        <v>1883</v>
      </c>
      <c r="C572" s="6" t="s">
        <v>7549</v>
      </c>
      <c r="D572" s="6" t="s">
        <v>1884</v>
      </c>
      <c r="E572" s="6" t="s">
        <v>3483</v>
      </c>
      <c r="F572" s="6" t="s">
        <v>3269</v>
      </c>
      <c r="G572" s="6" t="s">
        <v>127</v>
      </c>
      <c r="H572" s="6" t="s">
        <v>91</v>
      </c>
      <c r="I572" s="6" t="s">
        <v>92</v>
      </c>
      <c r="J572" s="6"/>
      <c r="K572" s="6" t="s">
        <v>3141</v>
      </c>
      <c r="L572" s="6" t="s">
        <v>3160</v>
      </c>
      <c r="M572" s="6" t="s">
        <v>3243</v>
      </c>
      <c r="N572" s="6" t="s">
        <v>3141</v>
      </c>
      <c r="O572" s="6" t="s">
        <v>3141</v>
      </c>
      <c r="P572" s="6" t="s">
        <v>3391</v>
      </c>
      <c r="Q572" s="6" t="s">
        <v>7550</v>
      </c>
      <c r="R572" s="6" t="s">
        <v>7551</v>
      </c>
      <c r="S572" s="6" t="s">
        <v>3584</v>
      </c>
      <c r="T572" s="6" t="s">
        <v>7552</v>
      </c>
      <c r="U572" s="6" t="s">
        <v>3292</v>
      </c>
      <c r="V572" s="6" t="s">
        <v>7553</v>
      </c>
      <c r="W572" s="6" t="s">
        <v>3541</v>
      </c>
      <c r="X572" s="6" t="s">
        <v>85</v>
      </c>
      <c r="Y572" s="6" t="s">
        <v>3140</v>
      </c>
      <c r="Z572" s="6" t="s">
        <v>78</v>
      </c>
      <c r="AA572" s="6" t="s">
        <v>3249</v>
      </c>
      <c r="AB572" s="6"/>
      <c r="AC572" s="6" t="s">
        <v>3292</v>
      </c>
      <c r="AD572" s="6" t="s">
        <v>3141</v>
      </c>
      <c r="AE572" s="6" t="s">
        <v>3169</v>
      </c>
      <c r="AF572" s="6"/>
      <c r="AG572" s="6" t="s">
        <v>7554</v>
      </c>
      <c r="AH572" s="6" t="s">
        <v>79</v>
      </c>
    </row>
    <row r="573" spans="1:34" x14ac:dyDescent="0.25">
      <c r="A573" s="6" t="s">
        <v>1885</v>
      </c>
      <c r="B573" s="6" t="s">
        <v>595</v>
      </c>
      <c r="C573" s="6" t="s">
        <v>7555</v>
      </c>
      <c r="D573" s="6"/>
      <c r="E573" s="6" t="s">
        <v>3843</v>
      </c>
      <c r="F573" s="6" t="s">
        <v>3137</v>
      </c>
      <c r="G573" s="6" t="s">
        <v>139</v>
      </c>
      <c r="H573" s="6" t="s">
        <v>144</v>
      </c>
      <c r="I573" s="6" t="s">
        <v>92</v>
      </c>
      <c r="J573" s="6" t="s">
        <v>3217</v>
      </c>
      <c r="K573" s="6" t="s">
        <v>3141</v>
      </c>
      <c r="L573" s="6" t="s">
        <v>3143</v>
      </c>
      <c r="M573" s="6" t="s">
        <v>3152</v>
      </c>
      <c r="N573" s="6" t="s">
        <v>75</v>
      </c>
      <c r="O573" s="6" t="s">
        <v>3243</v>
      </c>
      <c r="P573" s="6" t="s">
        <v>5745</v>
      </c>
      <c r="Q573" s="6" t="s">
        <v>7556</v>
      </c>
      <c r="R573" s="6" t="s">
        <v>7557</v>
      </c>
      <c r="S573" s="6" t="s">
        <v>21</v>
      </c>
      <c r="T573" s="6"/>
      <c r="U573" s="6" t="s">
        <v>3141</v>
      </c>
      <c r="V573" s="6" t="s">
        <v>7558</v>
      </c>
      <c r="W573" s="6" t="s">
        <v>4684</v>
      </c>
      <c r="X573" s="6" t="s">
        <v>85</v>
      </c>
      <c r="Y573" s="6" t="s">
        <v>3159</v>
      </c>
      <c r="Z573" s="6" t="s">
        <v>93</v>
      </c>
      <c r="AA573" s="6" t="s">
        <v>3195</v>
      </c>
      <c r="AB573" s="6" t="s">
        <v>7559</v>
      </c>
      <c r="AC573" s="6" t="s">
        <v>3141</v>
      </c>
      <c r="AD573" s="6" t="s">
        <v>3141</v>
      </c>
      <c r="AE573" s="6" t="s">
        <v>3323</v>
      </c>
      <c r="AF573" s="6"/>
      <c r="AG573" s="6" t="s">
        <v>7560</v>
      </c>
      <c r="AH573" s="6" t="s">
        <v>79</v>
      </c>
    </row>
    <row r="574" spans="1:34" x14ac:dyDescent="0.25">
      <c r="A574" s="6" t="s">
        <v>1886</v>
      </c>
      <c r="B574" s="6" t="s">
        <v>1887</v>
      </c>
      <c r="C574" s="6" t="s">
        <v>7561</v>
      </c>
      <c r="D574" s="6" t="s">
        <v>7562</v>
      </c>
      <c r="E574" s="6" t="s">
        <v>3309</v>
      </c>
      <c r="F574" s="6" t="s">
        <v>89</v>
      </c>
      <c r="G574" s="6" t="s">
        <v>6816</v>
      </c>
      <c r="H574" s="6" t="s">
        <v>73</v>
      </c>
      <c r="I574" s="6" t="s">
        <v>74</v>
      </c>
      <c r="J574" s="6" t="s">
        <v>7563</v>
      </c>
      <c r="K574" s="6" t="s">
        <v>3159</v>
      </c>
      <c r="L574" s="6" t="s">
        <v>3196</v>
      </c>
      <c r="M574" s="6" t="s">
        <v>3152</v>
      </c>
      <c r="N574" s="6" t="s">
        <v>3143</v>
      </c>
      <c r="O574" s="6" t="s">
        <v>75</v>
      </c>
      <c r="P574" s="6" t="s">
        <v>7564</v>
      </c>
      <c r="Q574" s="6" t="s">
        <v>7565</v>
      </c>
      <c r="R574" s="6" t="s">
        <v>7566</v>
      </c>
      <c r="S574" s="6" t="s">
        <v>23</v>
      </c>
      <c r="T574" s="6" t="s">
        <v>7567</v>
      </c>
      <c r="U574" s="6" t="s">
        <v>3159</v>
      </c>
      <c r="V574" s="6" t="s">
        <v>7568</v>
      </c>
      <c r="W574" s="6" t="s">
        <v>4049</v>
      </c>
      <c r="X574" s="6" t="s">
        <v>77</v>
      </c>
      <c r="Y574" s="6" t="s">
        <v>3140</v>
      </c>
      <c r="Z574" s="6" t="s">
        <v>3329</v>
      </c>
      <c r="AA574" s="6" t="s">
        <v>5258</v>
      </c>
      <c r="AB574" s="6"/>
      <c r="AC574" s="6" t="s">
        <v>3159</v>
      </c>
      <c r="AD574" s="6" t="s">
        <v>3143</v>
      </c>
      <c r="AE574" s="6" t="s">
        <v>3513</v>
      </c>
      <c r="AF574" s="6" t="s">
        <v>7569</v>
      </c>
      <c r="AG574" s="6" t="s">
        <v>4531</v>
      </c>
      <c r="AH574" s="6" t="s">
        <v>79</v>
      </c>
    </row>
    <row r="575" spans="1:34" x14ac:dyDescent="0.25">
      <c r="A575" s="6" t="s">
        <v>1889</v>
      </c>
      <c r="B575" s="6" t="s">
        <v>1890</v>
      </c>
      <c r="C575" s="6" t="s">
        <v>7570</v>
      </c>
      <c r="D575" s="6" t="s">
        <v>1891</v>
      </c>
      <c r="E575" s="6" t="s">
        <v>3200</v>
      </c>
      <c r="F575" s="6" t="s">
        <v>3201</v>
      </c>
      <c r="G575" s="6" t="s">
        <v>215</v>
      </c>
      <c r="H575" s="6" t="s">
        <v>7571</v>
      </c>
      <c r="I575" s="6" t="s">
        <v>92</v>
      </c>
      <c r="J575" s="6" t="s">
        <v>7572</v>
      </c>
      <c r="K575" s="6" t="s">
        <v>3140</v>
      </c>
      <c r="L575" s="6" t="s">
        <v>3188</v>
      </c>
      <c r="M575" s="6" t="s">
        <v>3142</v>
      </c>
      <c r="N575" s="6" t="s">
        <v>3243</v>
      </c>
      <c r="O575" s="6" t="s">
        <v>3143</v>
      </c>
      <c r="P575" s="6" t="s">
        <v>7074</v>
      </c>
      <c r="Q575" s="6" t="s">
        <v>7573</v>
      </c>
      <c r="R575" s="6" t="s">
        <v>7574</v>
      </c>
      <c r="S575" s="6" t="s">
        <v>21</v>
      </c>
      <c r="T575" s="6" t="s">
        <v>7575</v>
      </c>
      <c r="U575" s="6" t="s">
        <v>3292</v>
      </c>
      <c r="V575" s="6" t="s">
        <v>6558</v>
      </c>
      <c r="W575" s="6" t="s">
        <v>3277</v>
      </c>
      <c r="X575" s="6" t="s">
        <v>77</v>
      </c>
      <c r="Y575" s="6" t="s">
        <v>3140</v>
      </c>
      <c r="Z575" s="6" t="s">
        <v>78</v>
      </c>
      <c r="AA575" s="6" t="s">
        <v>3652</v>
      </c>
      <c r="AB575" s="6" t="s">
        <v>7576</v>
      </c>
      <c r="AC575" s="6" t="s">
        <v>3141</v>
      </c>
      <c r="AD575" s="6" t="s">
        <v>3243</v>
      </c>
      <c r="AE575" s="6" t="s">
        <v>3323</v>
      </c>
      <c r="AF575" s="6"/>
      <c r="AG575" s="6" t="s">
        <v>7577</v>
      </c>
      <c r="AH575" s="6" t="s">
        <v>79</v>
      </c>
    </row>
    <row r="576" spans="1:34" x14ac:dyDescent="0.25">
      <c r="A576" s="6" t="s">
        <v>1892</v>
      </c>
      <c r="B576" s="6" t="s">
        <v>1080</v>
      </c>
      <c r="C576" s="6" t="s">
        <v>7578</v>
      </c>
      <c r="D576" s="6" t="s">
        <v>7579</v>
      </c>
      <c r="E576" s="6" t="s">
        <v>3185</v>
      </c>
      <c r="F576" s="6" t="s">
        <v>3201</v>
      </c>
      <c r="G576" s="6" t="s">
        <v>139</v>
      </c>
      <c r="H576" s="6" t="s">
        <v>166</v>
      </c>
      <c r="I576" s="6" t="s">
        <v>74</v>
      </c>
      <c r="J576" s="6" t="s">
        <v>7580</v>
      </c>
      <c r="K576" s="6" t="s">
        <v>3140</v>
      </c>
      <c r="L576" s="6" t="s">
        <v>3159</v>
      </c>
      <c r="M576" s="6" t="s">
        <v>3160</v>
      </c>
      <c r="N576" s="6" t="s">
        <v>76</v>
      </c>
      <c r="O576" s="6" t="s">
        <v>3160</v>
      </c>
      <c r="P576" s="6" t="s">
        <v>6860</v>
      </c>
      <c r="Q576" s="6" t="s">
        <v>7581</v>
      </c>
      <c r="R576" s="6" t="s">
        <v>7582</v>
      </c>
      <c r="S576" s="6" t="s">
        <v>20</v>
      </c>
      <c r="T576" s="6" t="s">
        <v>7583</v>
      </c>
      <c r="U576" s="6" t="s">
        <v>3275</v>
      </c>
      <c r="V576" s="6" t="s">
        <v>7584</v>
      </c>
      <c r="W576" s="6" t="s">
        <v>4981</v>
      </c>
      <c r="X576" s="6" t="s">
        <v>77</v>
      </c>
      <c r="Y576" s="6" t="s">
        <v>3140</v>
      </c>
      <c r="Z576" s="6" t="s">
        <v>93</v>
      </c>
      <c r="AA576" s="6" t="s">
        <v>4135</v>
      </c>
      <c r="AB576" s="6"/>
      <c r="AC576" s="6" t="s">
        <v>3141</v>
      </c>
      <c r="AD576" s="6" t="s">
        <v>3143</v>
      </c>
      <c r="AE576" s="6" t="s">
        <v>3235</v>
      </c>
      <c r="AF576" s="6"/>
      <c r="AG576" s="6" t="s">
        <v>7585</v>
      </c>
      <c r="AH576" s="6" t="s">
        <v>79</v>
      </c>
    </row>
    <row r="577" spans="1:34" x14ac:dyDescent="0.25">
      <c r="A577" s="6" t="s">
        <v>1894</v>
      </c>
      <c r="B577" s="6" t="s">
        <v>1895</v>
      </c>
      <c r="C577" s="6" t="s">
        <v>1896</v>
      </c>
      <c r="D577" s="6" t="s">
        <v>1897</v>
      </c>
      <c r="E577" s="6" t="s">
        <v>3346</v>
      </c>
      <c r="F577" s="6" t="s">
        <v>3214</v>
      </c>
      <c r="G577" s="6" t="s">
        <v>226</v>
      </c>
      <c r="H577" s="6" t="s">
        <v>91</v>
      </c>
      <c r="I577" s="6" t="s">
        <v>92</v>
      </c>
      <c r="J577" s="6" t="s">
        <v>7586</v>
      </c>
      <c r="K577" s="6" t="s">
        <v>3141</v>
      </c>
      <c r="L577" s="6" t="s">
        <v>3152</v>
      </c>
      <c r="M577" s="6" t="s">
        <v>3143</v>
      </c>
      <c r="N577" s="6" t="s">
        <v>3243</v>
      </c>
      <c r="O577" s="6" t="s">
        <v>3160</v>
      </c>
      <c r="P577" s="6" t="s">
        <v>6897</v>
      </c>
      <c r="Q577" s="6" t="s">
        <v>7587</v>
      </c>
      <c r="R577" s="6" t="s">
        <v>7588</v>
      </c>
      <c r="S577" s="6" t="s">
        <v>22</v>
      </c>
      <c r="T577" s="6" t="s">
        <v>7589</v>
      </c>
      <c r="U577" s="6" t="s">
        <v>3141</v>
      </c>
      <c r="V577" s="6" t="s">
        <v>7590</v>
      </c>
      <c r="W577" s="6" t="s">
        <v>3455</v>
      </c>
      <c r="X577" s="6" t="s">
        <v>77</v>
      </c>
      <c r="Y577" s="6" t="s">
        <v>3141</v>
      </c>
      <c r="Z577" s="6" t="s">
        <v>78</v>
      </c>
      <c r="AA577" s="6" t="s">
        <v>5216</v>
      </c>
      <c r="AB577" s="6"/>
      <c r="AC577" s="6" t="s">
        <v>3141</v>
      </c>
      <c r="AD577" s="6" t="s">
        <v>3152</v>
      </c>
      <c r="AE577" s="6" t="s">
        <v>3136</v>
      </c>
      <c r="AF577" s="6" t="s">
        <v>7591</v>
      </c>
      <c r="AG577" s="6" t="s">
        <v>7592</v>
      </c>
      <c r="AH577" s="6" t="s">
        <v>94</v>
      </c>
    </row>
    <row r="578" spans="1:34" x14ac:dyDescent="0.25">
      <c r="A578" s="6" t="s">
        <v>1898</v>
      </c>
      <c r="B578" s="6" t="s">
        <v>1899</v>
      </c>
      <c r="C578" s="6" t="s">
        <v>7593</v>
      </c>
      <c r="D578" s="6" t="s">
        <v>1900</v>
      </c>
      <c r="E578" s="6" t="s">
        <v>3636</v>
      </c>
      <c r="F578" s="6" t="s">
        <v>71</v>
      </c>
      <c r="G578" s="6" t="s">
        <v>3761</v>
      </c>
      <c r="H578" s="6" t="s">
        <v>99</v>
      </c>
      <c r="I578" s="6" t="s">
        <v>74</v>
      </c>
      <c r="J578" s="6" t="s">
        <v>7594</v>
      </c>
      <c r="K578" s="6" t="s">
        <v>3159</v>
      </c>
      <c r="L578" s="6" t="s">
        <v>3141</v>
      </c>
      <c r="M578" s="6" t="s">
        <v>3141</v>
      </c>
      <c r="N578" s="6" t="s">
        <v>3160</v>
      </c>
      <c r="O578" s="6" t="s">
        <v>3142</v>
      </c>
      <c r="P578" s="6" t="s">
        <v>7595</v>
      </c>
      <c r="Q578" s="6" t="s">
        <v>7596</v>
      </c>
      <c r="R578" s="6" t="s">
        <v>7597</v>
      </c>
      <c r="S578" s="6" t="s">
        <v>22</v>
      </c>
      <c r="T578" s="6" t="s">
        <v>7598</v>
      </c>
      <c r="U578" s="6" t="s">
        <v>3192</v>
      </c>
      <c r="V578" s="6" t="s">
        <v>7599</v>
      </c>
      <c r="W578" s="6" t="s">
        <v>3221</v>
      </c>
      <c r="X578" s="6" t="s">
        <v>77</v>
      </c>
      <c r="Y578" s="6" t="s">
        <v>3292</v>
      </c>
      <c r="Z578" s="6" t="s">
        <v>194</v>
      </c>
      <c r="AA578" s="6" t="s">
        <v>3195</v>
      </c>
      <c r="AB578" s="6"/>
      <c r="AC578" s="6" t="s">
        <v>3141</v>
      </c>
      <c r="AD578" s="6" t="s">
        <v>3141</v>
      </c>
      <c r="AE578" s="6" t="s">
        <v>3210</v>
      </c>
      <c r="AF578" s="6" t="s">
        <v>7600</v>
      </c>
      <c r="AG578" s="6" t="s">
        <v>7601</v>
      </c>
      <c r="AH578" s="6" t="s">
        <v>79</v>
      </c>
    </row>
    <row r="579" spans="1:34" x14ac:dyDescent="0.25">
      <c r="A579" s="6" t="s">
        <v>1901</v>
      </c>
      <c r="B579" s="6" t="s">
        <v>471</v>
      </c>
      <c r="C579" s="6" t="s">
        <v>1902</v>
      </c>
      <c r="D579" s="6"/>
      <c r="E579" s="6" t="s">
        <v>3471</v>
      </c>
      <c r="F579" s="6" t="s">
        <v>3227</v>
      </c>
      <c r="G579" s="6" t="s">
        <v>174</v>
      </c>
      <c r="H579" s="6" t="s">
        <v>144</v>
      </c>
      <c r="I579" s="6" t="s">
        <v>92</v>
      </c>
      <c r="J579" s="6" t="s">
        <v>7602</v>
      </c>
      <c r="K579" s="6" t="s">
        <v>3140</v>
      </c>
      <c r="L579" s="6" t="s">
        <v>76</v>
      </c>
      <c r="M579" s="6" t="s">
        <v>3173</v>
      </c>
      <c r="N579" s="6" t="s">
        <v>3243</v>
      </c>
      <c r="O579" s="6" t="s">
        <v>75</v>
      </c>
      <c r="P579" s="6" t="s">
        <v>7251</v>
      </c>
      <c r="Q579" s="6" t="s">
        <v>7603</v>
      </c>
      <c r="R579" s="6" t="s">
        <v>7604</v>
      </c>
      <c r="S579" s="6" t="s">
        <v>23</v>
      </c>
      <c r="T579" s="6" t="s">
        <v>7605</v>
      </c>
      <c r="U579" s="6" t="s">
        <v>3159</v>
      </c>
      <c r="V579" s="6" t="s">
        <v>7606</v>
      </c>
      <c r="W579" s="6" t="s">
        <v>3354</v>
      </c>
      <c r="X579" s="6" t="s">
        <v>3167</v>
      </c>
      <c r="Y579" s="6" t="s">
        <v>3140</v>
      </c>
      <c r="Z579" s="6" t="s">
        <v>78</v>
      </c>
      <c r="AA579" s="6" t="s">
        <v>3330</v>
      </c>
      <c r="AB579" s="6"/>
      <c r="AC579" s="6" t="s">
        <v>3159</v>
      </c>
      <c r="AD579" s="6" t="s">
        <v>75</v>
      </c>
      <c r="AE579" s="6" t="s">
        <v>3513</v>
      </c>
      <c r="AF579" s="6" t="s">
        <v>7607</v>
      </c>
      <c r="AG579" s="6" t="s">
        <v>7521</v>
      </c>
      <c r="AH579" s="6" t="s">
        <v>79</v>
      </c>
    </row>
    <row r="580" spans="1:34" x14ac:dyDescent="0.25">
      <c r="A580" s="6" t="s">
        <v>1903</v>
      </c>
      <c r="B580" s="6" t="s">
        <v>1904</v>
      </c>
      <c r="C580" s="6" t="s">
        <v>1905</v>
      </c>
      <c r="D580" s="6" t="s">
        <v>7608</v>
      </c>
      <c r="E580" s="6" t="s">
        <v>3432</v>
      </c>
      <c r="F580" s="6" t="s">
        <v>3227</v>
      </c>
      <c r="G580" s="6" t="s">
        <v>153</v>
      </c>
      <c r="H580" s="6" t="s">
        <v>166</v>
      </c>
      <c r="I580" s="6" t="s">
        <v>74</v>
      </c>
      <c r="J580" s="6"/>
      <c r="K580" s="6" t="s">
        <v>3140</v>
      </c>
      <c r="L580" s="6" t="s">
        <v>3173</v>
      </c>
      <c r="M580" s="6" t="s">
        <v>3160</v>
      </c>
      <c r="N580" s="6" t="s">
        <v>3188</v>
      </c>
      <c r="O580" s="6" t="s">
        <v>3243</v>
      </c>
      <c r="P580" s="6" t="s">
        <v>7205</v>
      </c>
      <c r="Q580" s="6" t="s">
        <v>7609</v>
      </c>
      <c r="R580" s="6" t="s">
        <v>7610</v>
      </c>
      <c r="S580" s="6" t="s">
        <v>21</v>
      </c>
      <c r="T580" s="6" t="s">
        <v>7611</v>
      </c>
      <c r="U580" s="6" t="s">
        <v>3141</v>
      </c>
      <c r="V580" s="6" t="s">
        <v>7612</v>
      </c>
      <c r="W580" s="6" t="s">
        <v>3873</v>
      </c>
      <c r="X580" s="6" t="s">
        <v>85</v>
      </c>
      <c r="Y580" s="6" t="s">
        <v>3292</v>
      </c>
      <c r="Z580" s="6" t="s">
        <v>93</v>
      </c>
      <c r="AA580" s="6" t="s">
        <v>3728</v>
      </c>
      <c r="AB580" s="6" t="s">
        <v>7613</v>
      </c>
      <c r="AC580" s="6" t="s">
        <v>3141</v>
      </c>
      <c r="AD580" s="6" t="s">
        <v>3243</v>
      </c>
      <c r="AE580" s="6" t="s">
        <v>3136</v>
      </c>
      <c r="AF580" s="6"/>
      <c r="AG580" s="6" t="s">
        <v>7614</v>
      </c>
      <c r="AH580" s="6" t="s">
        <v>3494</v>
      </c>
    </row>
    <row r="581" spans="1:34" x14ac:dyDescent="0.25">
      <c r="A581" s="6" t="s">
        <v>1907</v>
      </c>
      <c r="B581" s="6" t="s">
        <v>7615</v>
      </c>
      <c r="C581" s="6" t="s">
        <v>1909</v>
      </c>
      <c r="D581" s="6"/>
      <c r="E581" s="6" t="s">
        <v>3483</v>
      </c>
      <c r="F581" s="6" t="s">
        <v>89</v>
      </c>
      <c r="G581" s="6" t="s">
        <v>153</v>
      </c>
      <c r="H581" s="6" t="s">
        <v>132</v>
      </c>
      <c r="I581" s="6" t="s">
        <v>92</v>
      </c>
      <c r="J581" s="6"/>
      <c r="K581" s="6" t="s">
        <v>3159</v>
      </c>
      <c r="L581" s="6" t="s">
        <v>3142</v>
      </c>
      <c r="M581" s="6" t="s">
        <v>3160</v>
      </c>
      <c r="N581" s="6" t="s">
        <v>3141</v>
      </c>
      <c r="O581" s="6" t="s">
        <v>3141</v>
      </c>
      <c r="P581" s="6" t="s">
        <v>7616</v>
      </c>
      <c r="Q581" s="6" t="s">
        <v>7617</v>
      </c>
      <c r="R581" s="6" t="s">
        <v>7618</v>
      </c>
      <c r="S581" s="6" t="s">
        <v>23</v>
      </c>
      <c r="T581" s="6" t="s">
        <v>7619</v>
      </c>
      <c r="U581" s="6" t="s">
        <v>3141</v>
      </c>
      <c r="V581" s="6" t="s">
        <v>4683</v>
      </c>
      <c r="W581" s="6" t="s">
        <v>3468</v>
      </c>
      <c r="X581" s="6" t="s">
        <v>3918</v>
      </c>
      <c r="Y581" s="6" t="s">
        <v>3159</v>
      </c>
      <c r="Z581" s="6" t="s">
        <v>3343</v>
      </c>
      <c r="AA581" s="6" t="s">
        <v>6628</v>
      </c>
      <c r="AB581" s="6"/>
      <c r="AC581" s="6" t="s">
        <v>3140</v>
      </c>
      <c r="AD581" s="6" t="s">
        <v>76</v>
      </c>
      <c r="AE581" s="6" t="s">
        <v>3153</v>
      </c>
      <c r="AF581" s="6" t="s">
        <v>7620</v>
      </c>
      <c r="AG581" s="6" t="s">
        <v>7621</v>
      </c>
      <c r="AH581" s="6" t="s">
        <v>79</v>
      </c>
    </row>
    <row r="582" spans="1:34" x14ac:dyDescent="0.25">
      <c r="A582" s="6" t="s">
        <v>1910</v>
      </c>
      <c r="B582" s="6" t="s">
        <v>291</v>
      </c>
      <c r="C582" s="6" t="s">
        <v>7622</v>
      </c>
      <c r="D582" s="6" t="s">
        <v>7623</v>
      </c>
      <c r="E582" s="6" t="s">
        <v>3505</v>
      </c>
      <c r="F582" s="6" t="s">
        <v>3283</v>
      </c>
      <c r="G582" s="6" t="s">
        <v>106</v>
      </c>
      <c r="H582" s="6" t="s">
        <v>107</v>
      </c>
      <c r="I582" s="6" t="s">
        <v>92</v>
      </c>
      <c r="J582" s="6" t="s">
        <v>7624</v>
      </c>
      <c r="K582" s="6" t="s">
        <v>3140</v>
      </c>
      <c r="L582" s="6" t="s">
        <v>3173</v>
      </c>
      <c r="M582" s="6" t="s">
        <v>3160</v>
      </c>
      <c r="N582" s="6" t="s">
        <v>3142</v>
      </c>
      <c r="O582" s="6" t="s">
        <v>75</v>
      </c>
      <c r="P582" s="6" t="s">
        <v>7625</v>
      </c>
      <c r="Q582" s="6" t="s">
        <v>7626</v>
      </c>
      <c r="R582" s="6" t="s">
        <v>7627</v>
      </c>
      <c r="S582" s="6" t="s">
        <v>23</v>
      </c>
      <c r="T582" s="6"/>
      <c r="U582" s="6" t="s">
        <v>3140</v>
      </c>
      <c r="V582" s="6" t="s">
        <v>3603</v>
      </c>
      <c r="W582" s="6" t="s">
        <v>3447</v>
      </c>
      <c r="X582" s="6" t="s">
        <v>85</v>
      </c>
      <c r="Y582" s="6" t="s">
        <v>3159</v>
      </c>
      <c r="Z582" s="6" t="s">
        <v>194</v>
      </c>
      <c r="AA582" s="6" t="s">
        <v>7628</v>
      </c>
      <c r="AB582" s="6"/>
      <c r="AC582" s="6" t="s">
        <v>3292</v>
      </c>
      <c r="AD582" s="6" t="s">
        <v>3141</v>
      </c>
      <c r="AE582" s="6" t="s">
        <v>3428</v>
      </c>
      <c r="AF582" s="6" t="s">
        <v>7629</v>
      </c>
      <c r="AG582" s="6" t="s">
        <v>7364</v>
      </c>
      <c r="AH582" s="6" t="s">
        <v>79</v>
      </c>
    </row>
    <row r="583" spans="1:34" x14ac:dyDescent="0.25">
      <c r="A583" s="6" t="s">
        <v>1912</v>
      </c>
      <c r="B583" s="6" t="s">
        <v>7630</v>
      </c>
      <c r="C583" s="6" t="s">
        <v>7631</v>
      </c>
      <c r="D583" s="6" t="s">
        <v>1914</v>
      </c>
      <c r="E583" s="6" t="s">
        <v>3323</v>
      </c>
      <c r="F583" s="6" t="s">
        <v>3283</v>
      </c>
      <c r="G583" s="6" t="s">
        <v>215</v>
      </c>
      <c r="H583" s="6" t="s">
        <v>166</v>
      </c>
      <c r="I583" s="6" t="s">
        <v>74</v>
      </c>
      <c r="J583" s="6"/>
      <c r="K583" s="6" t="s">
        <v>3159</v>
      </c>
      <c r="L583" s="6" t="s">
        <v>3196</v>
      </c>
      <c r="M583" s="6" t="s">
        <v>3143</v>
      </c>
      <c r="N583" s="6" t="s">
        <v>3143</v>
      </c>
      <c r="O583" s="6" t="s">
        <v>3160</v>
      </c>
      <c r="P583" s="6" t="s">
        <v>4985</v>
      </c>
      <c r="Q583" s="6" t="s">
        <v>7632</v>
      </c>
      <c r="R583" s="6" t="s">
        <v>7633</v>
      </c>
      <c r="S583" s="6" t="s">
        <v>23</v>
      </c>
      <c r="T583" s="6" t="s">
        <v>7634</v>
      </c>
      <c r="U583" s="6" t="s">
        <v>3141</v>
      </c>
      <c r="V583" s="6" t="s">
        <v>7635</v>
      </c>
      <c r="W583" s="6" t="s">
        <v>4764</v>
      </c>
      <c r="X583" s="6" t="s">
        <v>77</v>
      </c>
      <c r="Y583" s="6" t="s">
        <v>3140</v>
      </c>
      <c r="Z583" s="6" t="s">
        <v>194</v>
      </c>
      <c r="AA583" s="6" t="s">
        <v>6042</v>
      </c>
      <c r="AB583" s="6" t="s">
        <v>7636</v>
      </c>
      <c r="AC583" s="6" t="s">
        <v>3159</v>
      </c>
      <c r="AD583" s="6" t="s">
        <v>3188</v>
      </c>
      <c r="AE583" s="6" t="s">
        <v>3513</v>
      </c>
      <c r="AF583" s="6" t="s">
        <v>7637</v>
      </c>
      <c r="AG583" s="6" t="s">
        <v>6404</v>
      </c>
      <c r="AH583" s="6" t="s">
        <v>79</v>
      </c>
    </row>
    <row r="584" spans="1:34" x14ac:dyDescent="0.25">
      <c r="A584" s="6" t="s">
        <v>1915</v>
      </c>
      <c r="B584" s="6" t="s">
        <v>390</v>
      </c>
      <c r="C584" s="6" t="s">
        <v>1916</v>
      </c>
      <c r="D584" s="6" t="s">
        <v>1917</v>
      </c>
      <c r="E584" s="6" t="s">
        <v>3921</v>
      </c>
      <c r="F584" s="6" t="s">
        <v>71</v>
      </c>
      <c r="G584" s="6" t="s">
        <v>226</v>
      </c>
      <c r="H584" s="6" t="s">
        <v>132</v>
      </c>
      <c r="I584" s="6" t="s">
        <v>92</v>
      </c>
      <c r="J584" s="6" t="s">
        <v>7638</v>
      </c>
      <c r="K584" s="6" t="s">
        <v>3159</v>
      </c>
      <c r="L584" s="6" t="s">
        <v>3159</v>
      </c>
      <c r="M584" s="6" t="s">
        <v>3152</v>
      </c>
      <c r="N584" s="6" t="s">
        <v>75</v>
      </c>
      <c r="O584" s="6" t="s">
        <v>3160</v>
      </c>
      <c r="P584" s="6" t="s">
        <v>7639</v>
      </c>
      <c r="Q584" s="6" t="s">
        <v>7640</v>
      </c>
      <c r="R584" s="6" t="s">
        <v>7641</v>
      </c>
      <c r="S584" s="6" t="s">
        <v>21</v>
      </c>
      <c r="T584" s="6"/>
      <c r="U584" s="6" t="s">
        <v>3141</v>
      </c>
      <c r="V584" s="6" t="s">
        <v>7642</v>
      </c>
      <c r="W584" s="6" t="s">
        <v>4781</v>
      </c>
      <c r="X584" s="6" t="s">
        <v>85</v>
      </c>
      <c r="Y584" s="6" t="s">
        <v>3140</v>
      </c>
      <c r="Z584" s="6" t="s">
        <v>78</v>
      </c>
      <c r="AA584" s="6" t="s">
        <v>3613</v>
      </c>
      <c r="AB584" s="6"/>
      <c r="AC584" s="6" t="s">
        <v>3140</v>
      </c>
      <c r="AD584" s="6" t="s">
        <v>3141</v>
      </c>
      <c r="AE584" s="6" t="s">
        <v>3323</v>
      </c>
      <c r="AF584" s="6"/>
      <c r="AG584" s="6" t="s">
        <v>7643</v>
      </c>
      <c r="AH584" s="6" t="s">
        <v>79</v>
      </c>
    </row>
    <row r="585" spans="1:34" x14ac:dyDescent="0.25">
      <c r="A585" s="6" t="s">
        <v>1918</v>
      </c>
      <c r="B585" s="6" t="s">
        <v>1919</v>
      </c>
      <c r="C585" s="6" t="s">
        <v>7644</v>
      </c>
      <c r="D585" s="6" t="s">
        <v>1920</v>
      </c>
      <c r="E585" s="6" t="s">
        <v>3170</v>
      </c>
      <c r="F585" s="6" t="s">
        <v>71</v>
      </c>
      <c r="G585" s="6" t="s">
        <v>314</v>
      </c>
      <c r="H585" s="6" t="s">
        <v>107</v>
      </c>
      <c r="I585" s="6" t="s">
        <v>92</v>
      </c>
      <c r="J585" s="6" t="s">
        <v>7645</v>
      </c>
      <c r="K585" s="6" t="s">
        <v>3141</v>
      </c>
      <c r="L585" s="6" t="s">
        <v>3243</v>
      </c>
      <c r="M585" s="6" t="s">
        <v>3143</v>
      </c>
      <c r="N585" s="6" t="s">
        <v>3160</v>
      </c>
      <c r="O585" s="6" t="s">
        <v>3160</v>
      </c>
      <c r="P585" s="6"/>
      <c r="Q585" s="6" t="s">
        <v>3217</v>
      </c>
      <c r="R585" s="6" t="s">
        <v>7646</v>
      </c>
      <c r="S585" s="6" t="s">
        <v>3881</v>
      </c>
      <c r="T585" s="6" t="s">
        <v>7647</v>
      </c>
      <c r="U585" s="6" t="s">
        <v>3141</v>
      </c>
      <c r="V585" s="6" t="s">
        <v>7648</v>
      </c>
      <c r="W585" s="6" t="s">
        <v>4161</v>
      </c>
      <c r="X585" s="6" t="s">
        <v>77</v>
      </c>
      <c r="Y585" s="6" t="s">
        <v>3140</v>
      </c>
      <c r="Z585" s="6" t="s">
        <v>194</v>
      </c>
      <c r="AA585" s="6" t="s">
        <v>5231</v>
      </c>
      <c r="AB585" s="6" t="s">
        <v>7649</v>
      </c>
      <c r="AC585" s="6" t="s">
        <v>3141</v>
      </c>
      <c r="AD585" s="6" t="s">
        <v>3152</v>
      </c>
      <c r="AE585" s="6" t="s">
        <v>3513</v>
      </c>
      <c r="AF585" s="6" t="s">
        <v>7650</v>
      </c>
      <c r="AG585" s="6" t="s">
        <v>5129</v>
      </c>
      <c r="AH585" s="6" t="s">
        <v>79</v>
      </c>
    </row>
    <row r="586" spans="1:34" x14ac:dyDescent="0.25">
      <c r="A586" s="6" t="s">
        <v>1921</v>
      </c>
      <c r="B586" s="6" t="s">
        <v>1922</v>
      </c>
      <c r="C586" s="6" t="s">
        <v>1923</v>
      </c>
      <c r="D586" s="6" t="s">
        <v>1924</v>
      </c>
      <c r="E586" s="6" t="s">
        <v>4828</v>
      </c>
      <c r="F586" s="6" t="s">
        <v>3358</v>
      </c>
      <c r="G586" s="6" t="s">
        <v>3186</v>
      </c>
      <c r="H586" s="6" t="s">
        <v>73</v>
      </c>
      <c r="I586" s="6" t="s">
        <v>74</v>
      </c>
      <c r="J586" s="6" t="s">
        <v>7651</v>
      </c>
      <c r="K586" s="6" t="s">
        <v>3159</v>
      </c>
      <c r="L586" s="6" t="s">
        <v>3152</v>
      </c>
      <c r="M586" s="6" t="s">
        <v>3173</v>
      </c>
      <c r="N586" s="6" t="s">
        <v>3143</v>
      </c>
      <c r="O586" s="6" t="s">
        <v>3141</v>
      </c>
      <c r="P586" s="6" t="s">
        <v>7652</v>
      </c>
      <c r="Q586" s="6" t="s">
        <v>3217</v>
      </c>
      <c r="R586" s="6" t="s">
        <v>7653</v>
      </c>
      <c r="S586" s="6" t="s">
        <v>21</v>
      </c>
      <c r="T586" s="6" t="s">
        <v>7654</v>
      </c>
      <c r="U586" s="6" t="s">
        <v>3192</v>
      </c>
      <c r="V586" s="6" t="s">
        <v>4464</v>
      </c>
      <c r="W586" s="6" t="s">
        <v>3943</v>
      </c>
      <c r="X586" s="6" t="s">
        <v>85</v>
      </c>
      <c r="Y586" s="6" t="s">
        <v>3159</v>
      </c>
      <c r="Z586" s="6" t="s">
        <v>93</v>
      </c>
      <c r="AA586" s="6" t="s">
        <v>4764</v>
      </c>
      <c r="AB586" s="6"/>
      <c r="AC586" s="6" t="s">
        <v>3141</v>
      </c>
      <c r="AD586" s="6" t="s">
        <v>3141</v>
      </c>
      <c r="AE586" s="6" t="s">
        <v>3136</v>
      </c>
      <c r="AF586" s="6"/>
      <c r="AG586" s="6" t="s">
        <v>7655</v>
      </c>
      <c r="AH586" s="6" t="s">
        <v>94</v>
      </c>
    </row>
    <row r="587" spans="1:34" x14ac:dyDescent="0.25">
      <c r="A587" s="6" t="s">
        <v>1925</v>
      </c>
      <c r="B587" s="6" t="s">
        <v>228</v>
      </c>
      <c r="C587" s="6" t="s">
        <v>7656</v>
      </c>
      <c r="D587" s="6"/>
      <c r="E587" s="6" t="s">
        <v>3570</v>
      </c>
      <c r="F587" s="6" t="s">
        <v>3283</v>
      </c>
      <c r="G587" s="6" t="s">
        <v>153</v>
      </c>
      <c r="H587" s="6" t="s">
        <v>84</v>
      </c>
      <c r="I587" s="6" t="s">
        <v>74</v>
      </c>
      <c r="J587" s="6"/>
      <c r="K587" s="6" t="s">
        <v>3159</v>
      </c>
      <c r="L587" s="6" t="s">
        <v>3141</v>
      </c>
      <c r="M587" s="6" t="s">
        <v>3152</v>
      </c>
      <c r="N587" s="6" t="s">
        <v>75</v>
      </c>
      <c r="O587" s="6" t="s">
        <v>3188</v>
      </c>
      <c r="P587" s="6" t="s">
        <v>7657</v>
      </c>
      <c r="Q587" s="6"/>
      <c r="R587" s="6" t="s">
        <v>7658</v>
      </c>
      <c r="S587" s="6" t="s">
        <v>20</v>
      </c>
      <c r="T587" s="6" t="s">
        <v>7659</v>
      </c>
      <c r="U587" s="6" t="s">
        <v>3141</v>
      </c>
      <c r="V587" s="6" t="s">
        <v>7660</v>
      </c>
      <c r="W587" s="6" t="s">
        <v>3854</v>
      </c>
      <c r="X587" s="6" t="s">
        <v>85</v>
      </c>
      <c r="Y587" s="6" t="s">
        <v>3159</v>
      </c>
      <c r="Z587" s="6" t="s">
        <v>78</v>
      </c>
      <c r="AA587" s="6" t="s">
        <v>4067</v>
      </c>
      <c r="AB587" s="6"/>
      <c r="AC587" s="6" t="s">
        <v>3159</v>
      </c>
      <c r="AD587" s="6" t="s">
        <v>3243</v>
      </c>
      <c r="AE587" s="6" t="s">
        <v>3235</v>
      </c>
      <c r="AF587" s="6"/>
      <c r="AG587" s="6" t="s">
        <v>3605</v>
      </c>
      <c r="AH587" s="6" t="s">
        <v>79</v>
      </c>
    </row>
    <row r="588" spans="1:34" x14ac:dyDescent="0.25">
      <c r="A588" s="6" t="s">
        <v>1926</v>
      </c>
      <c r="B588" s="6" t="s">
        <v>1927</v>
      </c>
      <c r="C588" s="6"/>
      <c r="D588" s="6" t="s">
        <v>7661</v>
      </c>
      <c r="E588" s="6" t="s">
        <v>3226</v>
      </c>
      <c r="F588" s="6" t="s">
        <v>3201</v>
      </c>
      <c r="G588" s="6" t="s">
        <v>131</v>
      </c>
      <c r="H588" s="6" t="s">
        <v>73</v>
      </c>
      <c r="I588" s="6" t="s">
        <v>74</v>
      </c>
      <c r="J588" s="6"/>
      <c r="K588" s="6" t="s">
        <v>3141</v>
      </c>
      <c r="L588" s="6" t="s">
        <v>3160</v>
      </c>
      <c r="M588" s="6" t="s">
        <v>3152</v>
      </c>
      <c r="N588" s="6" t="s">
        <v>3160</v>
      </c>
      <c r="O588" s="6" t="s">
        <v>3141</v>
      </c>
      <c r="P588" s="6" t="s">
        <v>4276</v>
      </c>
      <c r="Q588" s="6" t="s">
        <v>3217</v>
      </c>
      <c r="R588" s="6" t="s">
        <v>7662</v>
      </c>
      <c r="S588" s="6" t="s">
        <v>23</v>
      </c>
      <c r="T588" s="6" t="s">
        <v>3217</v>
      </c>
      <c r="U588" s="6" t="s">
        <v>3141</v>
      </c>
      <c r="V588" s="6" t="s">
        <v>7663</v>
      </c>
      <c r="W588" s="6" t="s">
        <v>3448</v>
      </c>
      <c r="X588" s="6" t="s">
        <v>77</v>
      </c>
      <c r="Y588" s="6" t="s">
        <v>3159</v>
      </c>
      <c r="Z588" s="6" t="s">
        <v>93</v>
      </c>
      <c r="AA588" s="6" t="s">
        <v>3652</v>
      </c>
      <c r="AB588" s="6" t="s">
        <v>7664</v>
      </c>
      <c r="AC588" s="6" t="s">
        <v>3141</v>
      </c>
      <c r="AD588" s="6" t="s">
        <v>3142</v>
      </c>
      <c r="AE588" s="6" t="s">
        <v>3428</v>
      </c>
      <c r="AF588" s="6" t="s">
        <v>7665</v>
      </c>
      <c r="AG588" s="6" t="s">
        <v>3919</v>
      </c>
      <c r="AH588" s="6" t="s">
        <v>79</v>
      </c>
    </row>
    <row r="589" spans="1:34" x14ac:dyDescent="0.25">
      <c r="A589" s="6" t="s">
        <v>1929</v>
      </c>
      <c r="B589" s="6" t="s">
        <v>1785</v>
      </c>
      <c r="C589" s="6" t="s">
        <v>7666</v>
      </c>
      <c r="D589" s="6" t="s">
        <v>7667</v>
      </c>
      <c r="E589" s="6" t="s">
        <v>3760</v>
      </c>
      <c r="F589" s="6" t="s">
        <v>3358</v>
      </c>
      <c r="G589" s="6" t="s">
        <v>5716</v>
      </c>
      <c r="H589" s="6" t="s">
        <v>132</v>
      </c>
      <c r="I589" s="6" t="s">
        <v>92</v>
      </c>
      <c r="J589" s="6" t="s">
        <v>7668</v>
      </c>
      <c r="K589" s="6" t="s">
        <v>3159</v>
      </c>
      <c r="L589" s="6" t="s">
        <v>3152</v>
      </c>
      <c r="M589" s="6" t="s">
        <v>3141</v>
      </c>
      <c r="N589" s="6" t="s">
        <v>76</v>
      </c>
      <c r="O589" s="6" t="s">
        <v>3152</v>
      </c>
      <c r="P589" s="6" t="s">
        <v>4606</v>
      </c>
      <c r="Q589" s="6" t="s">
        <v>7669</v>
      </c>
      <c r="R589" s="6" t="s">
        <v>7670</v>
      </c>
      <c r="S589" s="6" t="s">
        <v>21</v>
      </c>
      <c r="T589" s="6" t="s">
        <v>7671</v>
      </c>
      <c r="U589" s="6" t="s">
        <v>3141</v>
      </c>
      <c r="V589" s="6" t="s">
        <v>7672</v>
      </c>
      <c r="W589" s="6" t="s">
        <v>3621</v>
      </c>
      <c r="X589" s="6" t="s">
        <v>85</v>
      </c>
      <c r="Y589" s="6" t="s">
        <v>3159</v>
      </c>
      <c r="Z589" s="6" t="s">
        <v>93</v>
      </c>
      <c r="AA589" s="6" t="s">
        <v>3181</v>
      </c>
      <c r="AB589" s="6"/>
      <c r="AC589" s="6" t="s">
        <v>3141</v>
      </c>
      <c r="AD589" s="6" t="s">
        <v>3143</v>
      </c>
      <c r="AE589" s="6" t="s">
        <v>3293</v>
      </c>
      <c r="AF589" s="6"/>
      <c r="AG589" s="6" t="s">
        <v>7673</v>
      </c>
      <c r="AH589" s="6" t="s">
        <v>79</v>
      </c>
    </row>
    <row r="590" spans="1:34" x14ac:dyDescent="0.25">
      <c r="A590" s="6" t="s">
        <v>1931</v>
      </c>
      <c r="B590" s="6" t="s">
        <v>1932</v>
      </c>
      <c r="C590" s="6" t="s">
        <v>7674</v>
      </c>
      <c r="D590" s="6" t="s">
        <v>7675</v>
      </c>
      <c r="E590" s="6" t="s">
        <v>3235</v>
      </c>
      <c r="F590" s="6" t="s">
        <v>89</v>
      </c>
      <c r="G590" s="6" t="s">
        <v>106</v>
      </c>
      <c r="H590" s="6" t="s">
        <v>166</v>
      </c>
      <c r="I590" s="6" t="s">
        <v>74</v>
      </c>
      <c r="J590" s="6" t="s">
        <v>7676</v>
      </c>
      <c r="K590" s="6" t="s">
        <v>3159</v>
      </c>
      <c r="L590" s="6" t="s">
        <v>3160</v>
      </c>
      <c r="M590" s="6" t="s">
        <v>3243</v>
      </c>
      <c r="N590" s="6" t="s">
        <v>3173</v>
      </c>
      <c r="O590" s="6" t="s">
        <v>3160</v>
      </c>
      <c r="P590" s="6" t="s">
        <v>5915</v>
      </c>
      <c r="Q590" s="6" t="s">
        <v>7677</v>
      </c>
      <c r="R590" s="6" t="s">
        <v>7678</v>
      </c>
      <c r="S590" s="6" t="s">
        <v>21</v>
      </c>
      <c r="T590" s="6" t="s">
        <v>7679</v>
      </c>
      <c r="U590" s="6" t="s">
        <v>3292</v>
      </c>
      <c r="V590" s="6" t="s">
        <v>3767</v>
      </c>
      <c r="W590" s="6" t="s">
        <v>3621</v>
      </c>
      <c r="X590" s="6" t="s">
        <v>85</v>
      </c>
      <c r="Y590" s="6" t="s">
        <v>3141</v>
      </c>
      <c r="Z590" s="6" t="s">
        <v>78</v>
      </c>
      <c r="AA590" s="6" t="s">
        <v>3448</v>
      </c>
      <c r="AB590" s="6"/>
      <c r="AC590" s="6" t="s">
        <v>3141</v>
      </c>
      <c r="AD590" s="6" t="s">
        <v>3141</v>
      </c>
      <c r="AE590" s="6" t="s">
        <v>3136</v>
      </c>
      <c r="AF590" s="6"/>
      <c r="AG590" s="6" t="s">
        <v>7680</v>
      </c>
      <c r="AH590" s="6" t="s">
        <v>79</v>
      </c>
    </row>
    <row r="591" spans="1:34" x14ac:dyDescent="0.25">
      <c r="A591" s="6" t="s">
        <v>1934</v>
      </c>
      <c r="B591" s="6" t="s">
        <v>970</v>
      </c>
      <c r="C591" s="6"/>
      <c r="D591" s="6" t="s">
        <v>1935</v>
      </c>
      <c r="E591" s="6" t="s">
        <v>3170</v>
      </c>
      <c r="F591" s="6" t="s">
        <v>89</v>
      </c>
      <c r="G591" s="6" t="s">
        <v>3186</v>
      </c>
      <c r="H591" s="6" t="s">
        <v>144</v>
      </c>
      <c r="I591" s="6" t="s">
        <v>92</v>
      </c>
      <c r="J591" s="6" t="s">
        <v>7681</v>
      </c>
      <c r="K591" s="6" t="s">
        <v>3159</v>
      </c>
      <c r="L591" s="6" t="s">
        <v>3173</v>
      </c>
      <c r="M591" s="6" t="s">
        <v>75</v>
      </c>
      <c r="N591" s="6" t="s">
        <v>3243</v>
      </c>
      <c r="O591" s="6" t="s">
        <v>3143</v>
      </c>
      <c r="P591" s="6" t="s">
        <v>4851</v>
      </c>
      <c r="Q591" s="6" t="s">
        <v>7682</v>
      </c>
      <c r="R591" s="6" t="s">
        <v>7683</v>
      </c>
      <c r="S591" s="6" t="s">
        <v>23</v>
      </c>
      <c r="T591" s="6" t="s">
        <v>7684</v>
      </c>
      <c r="U591" s="6" t="s">
        <v>3141</v>
      </c>
      <c r="V591" s="6" t="s">
        <v>7685</v>
      </c>
      <c r="W591" s="6" t="s">
        <v>4194</v>
      </c>
      <c r="X591" s="6" t="s">
        <v>77</v>
      </c>
      <c r="Y591" s="6" t="s">
        <v>3141</v>
      </c>
      <c r="Z591" s="6" t="s">
        <v>78</v>
      </c>
      <c r="AA591" s="6" t="s">
        <v>3365</v>
      </c>
      <c r="AB591" s="6"/>
      <c r="AC591" s="6" t="s">
        <v>3140</v>
      </c>
      <c r="AD591" s="6" t="s">
        <v>75</v>
      </c>
      <c r="AE591" s="6" t="s">
        <v>3513</v>
      </c>
      <c r="AF591" s="6" t="s">
        <v>7686</v>
      </c>
      <c r="AG591" s="6" t="s">
        <v>7687</v>
      </c>
      <c r="AH591" s="6" t="s">
        <v>79</v>
      </c>
    </row>
    <row r="592" spans="1:34" x14ac:dyDescent="0.25">
      <c r="A592" s="6" t="s">
        <v>1936</v>
      </c>
      <c r="B592" s="6" t="s">
        <v>1937</v>
      </c>
      <c r="C592" s="6" t="s">
        <v>1938</v>
      </c>
      <c r="D592" s="6" t="s">
        <v>1939</v>
      </c>
      <c r="E592" s="6" t="s">
        <v>3626</v>
      </c>
      <c r="F592" s="6" t="s">
        <v>3369</v>
      </c>
      <c r="G592" s="6" t="s">
        <v>72</v>
      </c>
      <c r="H592" s="6" t="s">
        <v>91</v>
      </c>
      <c r="I592" s="6" t="s">
        <v>92</v>
      </c>
      <c r="J592" s="6" t="s">
        <v>7688</v>
      </c>
      <c r="K592" s="6" t="s">
        <v>3159</v>
      </c>
      <c r="L592" s="6" t="s">
        <v>3160</v>
      </c>
      <c r="M592" s="6" t="s">
        <v>3173</v>
      </c>
      <c r="N592" s="6" t="s">
        <v>3141</v>
      </c>
      <c r="O592" s="6" t="s">
        <v>3152</v>
      </c>
      <c r="P592" s="6" t="s">
        <v>3981</v>
      </c>
      <c r="Q592" s="6" t="s">
        <v>7689</v>
      </c>
      <c r="R592" s="6" t="s">
        <v>7690</v>
      </c>
      <c r="S592" s="6" t="s">
        <v>20</v>
      </c>
      <c r="T592" s="6" t="s">
        <v>7691</v>
      </c>
      <c r="U592" s="6" t="s">
        <v>3159</v>
      </c>
      <c r="V592" s="6" t="s">
        <v>7692</v>
      </c>
      <c r="W592" s="6" t="s">
        <v>5017</v>
      </c>
      <c r="X592" s="6" t="s">
        <v>85</v>
      </c>
      <c r="Y592" s="6" t="s">
        <v>3159</v>
      </c>
      <c r="Z592" s="6" t="s">
        <v>78</v>
      </c>
      <c r="AA592" s="6" t="s">
        <v>7693</v>
      </c>
      <c r="AB592" s="6"/>
      <c r="AC592" s="6" t="s">
        <v>3141</v>
      </c>
      <c r="AD592" s="6" t="s">
        <v>3160</v>
      </c>
      <c r="AE592" s="6" t="s">
        <v>3136</v>
      </c>
      <c r="AF592" s="6"/>
      <c r="AG592" s="6" t="s">
        <v>7694</v>
      </c>
      <c r="AH592" s="6" t="s">
        <v>79</v>
      </c>
    </row>
    <row r="593" spans="1:34" x14ac:dyDescent="0.25">
      <c r="A593" s="6" t="s">
        <v>1940</v>
      </c>
      <c r="B593" s="6" t="s">
        <v>1941</v>
      </c>
      <c r="C593" s="6" t="s">
        <v>1942</v>
      </c>
      <c r="D593" s="6" t="s">
        <v>1943</v>
      </c>
      <c r="E593" s="6" t="s">
        <v>4542</v>
      </c>
      <c r="F593" s="6" t="s">
        <v>89</v>
      </c>
      <c r="G593" s="6" t="s">
        <v>98</v>
      </c>
      <c r="H593" s="6" t="s">
        <v>166</v>
      </c>
      <c r="I593" s="6" t="s">
        <v>74</v>
      </c>
      <c r="J593" s="6"/>
      <c r="K593" s="6" t="s">
        <v>3141</v>
      </c>
      <c r="L593" s="6" t="s">
        <v>3152</v>
      </c>
      <c r="M593" s="6" t="s">
        <v>3160</v>
      </c>
      <c r="N593" s="6" t="s">
        <v>3243</v>
      </c>
      <c r="O593" s="6" t="s">
        <v>3143</v>
      </c>
      <c r="P593" s="6" t="s">
        <v>7695</v>
      </c>
      <c r="Q593" s="6" t="s">
        <v>7696</v>
      </c>
      <c r="R593" s="6" t="s">
        <v>7697</v>
      </c>
      <c r="S593" s="6" t="s">
        <v>3584</v>
      </c>
      <c r="T593" s="6" t="s">
        <v>7698</v>
      </c>
      <c r="U593" s="6" t="s">
        <v>3140</v>
      </c>
      <c r="V593" s="6" t="s">
        <v>3943</v>
      </c>
      <c r="W593" s="6" t="s">
        <v>3718</v>
      </c>
      <c r="X593" s="6" t="s">
        <v>77</v>
      </c>
      <c r="Y593" s="6" t="s">
        <v>3159</v>
      </c>
      <c r="Z593" s="6" t="s">
        <v>93</v>
      </c>
      <c r="AA593" s="6" t="s">
        <v>3478</v>
      </c>
      <c r="AB593" s="6" t="s">
        <v>7699</v>
      </c>
      <c r="AC593" s="6" t="s">
        <v>3141</v>
      </c>
      <c r="AD593" s="6" t="s">
        <v>3142</v>
      </c>
      <c r="AE593" s="6" t="s">
        <v>3235</v>
      </c>
      <c r="AF593" s="6"/>
      <c r="AG593" s="6" t="s">
        <v>3224</v>
      </c>
      <c r="AH593" s="6" t="s">
        <v>3334</v>
      </c>
    </row>
    <row r="594" spans="1:34" x14ac:dyDescent="0.25">
      <c r="A594" s="6" t="s">
        <v>1944</v>
      </c>
      <c r="B594" s="6" t="s">
        <v>1945</v>
      </c>
      <c r="C594" s="6" t="s">
        <v>1946</v>
      </c>
      <c r="D594" s="6" t="s">
        <v>7700</v>
      </c>
      <c r="E594" s="6" t="s">
        <v>4828</v>
      </c>
      <c r="F594" s="6" t="s">
        <v>3214</v>
      </c>
      <c r="G594" s="6" t="s">
        <v>131</v>
      </c>
      <c r="H594" s="6" t="s">
        <v>132</v>
      </c>
      <c r="I594" s="6" t="s">
        <v>92</v>
      </c>
      <c r="J594" s="6" t="s">
        <v>7701</v>
      </c>
      <c r="K594" s="6" t="s">
        <v>3159</v>
      </c>
      <c r="L594" s="6" t="s">
        <v>3159</v>
      </c>
      <c r="M594" s="6" t="s">
        <v>3152</v>
      </c>
      <c r="N594" s="6" t="s">
        <v>3141</v>
      </c>
      <c r="O594" s="6" t="s">
        <v>3160</v>
      </c>
      <c r="P594" s="6" t="s">
        <v>3485</v>
      </c>
      <c r="Q594" s="6" t="s">
        <v>7702</v>
      </c>
      <c r="R594" s="6" t="s">
        <v>7703</v>
      </c>
      <c r="S594" s="6" t="s">
        <v>23</v>
      </c>
      <c r="T594" s="6" t="s">
        <v>7704</v>
      </c>
      <c r="U594" s="6" t="s">
        <v>3192</v>
      </c>
      <c r="V594" s="6" t="s">
        <v>7705</v>
      </c>
      <c r="W594" s="6" t="s">
        <v>4161</v>
      </c>
      <c r="X594" s="6" t="s">
        <v>85</v>
      </c>
      <c r="Y594" s="6" t="s">
        <v>3140</v>
      </c>
      <c r="Z594" s="6" t="s">
        <v>78</v>
      </c>
      <c r="AA594" s="6" t="s">
        <v>3150</v>
      </c>
      <c r="AB594" s="6" t="s">
        <v>7706</v>
      </c>
      <c r="AC594" s="6" t="s">
        <v>3141</v>
      </c>
      <c r="AD594" s="6" t="s">
        <v>75</v>
      </c>
      <c r="AE594" s="6" t="s">
        <v>3428</v>
      </c>
      <c r="AF594" s="6" t="s">
        <v>7707</v>
      </c>
      <c r="AG594" s="6" t="s">
        <v>7708</v>
      </c>
      <c r="AH594" s="6" t="s">
        <v>79</v>
      </c>
    </row>
    <row r="595" spans="1:34" x14ac:dyDescent="0.25">
      <c r="A595" s="6" t="s">
        <v>1948</v>
      </c>
      <c r="B595" s="6" t="s">
        <v>1949</v>
      </c>
      <c r="C595" s="6" t="s">
        <v>1950</v>
      </c>
      <c r="D595" s="6" t="s">
        <v>7709</v>
      </c>
      <c r="E595" s="6" t="s">
        <v>4190</v>
      </c>
      <c r="F595" s="6" t="s">
        <v>89</v>
      </c>
      <c r="G595" s="6" t="s">
        <v>4139</v>
      </c>
      <c r="H595" s="6" t="s">
        <v>166</v>
      </c>
      <c r="I595" s="6" t="s">
        <v>74</v>
      </c>
      <c r="J595" s="6" t="s">
        <v>7710</v>
      </c>
      <c r="K595" s="6" t="s">
        <v>3140</v>
      </c>
      <c r="L595" s="6" t="s">
        <v>3196</v>
      </c>
      <c r="M595" s="6" t="s">
        <v>3152</v>
      </c>
      <c r="N595" s="6" t="s">
        <v>3142</v>
      </c>
      <c r="O595" s="6" t="s">
        <v>75</v>
      </c>
      <c r="P595" s="6" t="s">
        <v>7711</v>
      </c>
      <c r="Q595" s="6" t="s">
        <v>7712</v>
      </c>
      <c r="R595" s="6" t="s">
        <v>7713</v>
      </c>
      <c r="S595" s="6" t="s">
        <v>20</v>
      </c>
      <c r="T595" s="6" t="s">
        <v>7714</v>
      </c>
      <c r="U595" s="6" t="s">
        <v>3141</v>
      </c>
      <c r="V595" s="6" t="s">
        <v>3782</v>
      </c>
      <c r="W595" s="6" t="s">
        <v>3490</v>
      </c>
      <c r="X595" s="6" t="s">
        <v>77</v>
      </c>
      <c r="Y595" s="6" t="s">
        <v>3140</v>
      </c>
      <c r="Z595" s="6" t="s">
        <v>93</v>
      </c>
      <c r="AA595" s="6" t="s">
        <v>4227</v>
      </c>
      <c r="AB595" s="6"/>
      <c r="AC595" s="6" t="s">
        <v>3141</v>
      </c>
      <c r="AD595" s="6" t="s">
        <v>3152</v>
      </c>
      <c r="AE595" s="6" t="s">
        <v>3136</v>
      </c>
      <c r="AF595" s="6"/>
      <c r="AG595" s="6" t="s">
        <v>3996</v>
      </c>
      <c r="AH595" s="6" t="s">
        <v>79</v>
      </c>
    </row>
    <row r="596" spans="1:34" x14ac:dyDescent="0.25">
      <c r="A596" s="6" t="s">
        <v>1952</v>
      </c>
      <c r="B596" s="6" t="s">
        <v>1953</v>
      </c>
      <c r="C596" s="6" t="s">
        <v>7715</v>
      </c>
      <c r="D596" s="6" t="s">
        <v>7716</v>
      </c>
      <c r="E596" s="6" t="s">
        <v>3647</v>
      </c>
      <c r="F596" s="6" t="s">
        <v>3201</v>
      </c>
      <c r="G596" s="6" t="s">
        <v>388</v>
      </c>
      <c r="H596" s="6" t="s">
        <v>144</v>
      </c>
      <c r="I596" s="6" t="s">
        <v>92</v>
      </c>
      <c r="J596" s="6" t="s">
        <v>7717</v>
      </c>
      <c r="K596" s="6" t="s">
        <v>3159</v>
      </c>
      <c r="L596" s="6" t="s">
        <v>3142</v>
      </c>
      <c r="M596" s="6" t="s">
        <v>3152</v>
      </c>
      <c r="N596" s="6" t="s">
        <v>75</v>
      </c>
      <c r="O596" s="6" t="s">
        <v>3141</v>
      </c>
      <c r="P596" s="6" t="s">
        <v>5161</v>
      </c>
      <c r="Q596" s="6"/>
      <c r="R596" s="6" t="s">
        <v>7718</v>
      </c>
      <c r="S596" s="6" t="s">
        <v>23</v>
      </c>
      <c r="T596" s="6" t="s">
        <v>7719</v>
      </c>
      <c r="U596" s="6" t="s">
        <v>3140</v>
      </c>
      <c r="V596" s="6" t="s">
        <v>4568</v>
      </c>
      <c r="W596" s="6" t="s">
        <v>3873</v>
      </c>
      <c r="X596" s="6" t="s">
        <v>85</v>
      </c>
      <c r="Y596" s="6" t="s">
        <v>3141</v>
      </c>
      <c r="Z596" s="6" t="s">
        <v>194</v>
      </c>
      <c r="AA596" s="6" t="s">
        <v>3621</v>
      </c>
      <c r="AB596" s="6" t="s">
        <v>7720</v>
      </c>
      <c r="AC596" s="6" t="s">
        <v>3140</v>
      </c>
      <c r="AD596" s="6" t="s">
        <v>3152</v>
      </c>
      <c r="AE596" s="6" t="s">
        <v>3428</v>
      </c>
      <c r="AF596" s="6" t="s">
        <v>7721</v>
      </c>
      <c r="AG596" s="6" t="s">
        <v>7722</v>
      </c>
      <c r="AH596" s="6" t="s">
        <v>79</v>
      </c>
    </row>
    <row r="597" spans="1:34" x14ac:dyDescent="0.25">
      <c r="A597" s="6" t="s">
        <v>1955</v>
      </c>
      <c r="B597" s="6" t="s">
        <v>7723</v>
      </c>
      <c r="C597" s="6"/>
      <c r="D597" s="6" t="s">
        <v>7724</v>
      </c>
      <c r="E597" s="6" t="s">
        <v>3647</v>
      </c>
      <c r="F597" s="6" t="s">
        <v>3283</v>
      </c>
      <c r="G597" s="6" t="s">
        <v>226</v>
      </c>
      <c r="H597" s="6" t="s">
        <v>84</v>
      </c>
      <c r="I597" s="6" t="s">
        <v>74</v>
      </c>
      <c r="J597" s="6" t="s">
        <v>7725</v>
      </c>
      <c r="K597" s="6" t="s">
        <v>3159</v>
      </c>
      <c r="L597" s="6" t="s">
        <v>75</v>
      </c>
      <c r="M597" s="6" t="s">
        <v>3243</v>
      </c>
      <c r="N597" s="6" t="s">
        <v>3196</v>
      </c>
      <c r="O597" s="6" t="s">
        <v>3160</v>
      </c>
      <c r="P597" s="6" t="s">
        <v>7024</v>
      </c>
      <c r="Q597" s="6" t="s">
        <v>7726</v>
      </c>
      <c r="R597" s="6" t="s">
        <v>7727</v>
      </c>
      <c r="S597" s="6" t="s">
        <v>21</v>
      </c>
      <c r="T597" s="6" t="s">
        <v>7728</v>
      </c>
      <c r="U597" s="6" t="s">
        <v>3141</v>
      </c>
      <c r="V597" s="6" t="s">
        <v>7729</v>
      </c>
      <c r="W597" s="6" t="s">
        <v>4126</v>
      </c>
      <c r="X597" s="6" t="s">
        <v>77</v>
      </c>
      <c r="Y597" s="6" t="s">
        <v>3192</v>
      </c>
      <c r="Z597" s="6" t="s">
        <v>78</v>
      </c>
      <c r="AA597" s="6" t="s">
        <v>5155</v>
      </c>
      <c r="AB597" s="6" t="s">
        <v>7730</v>
      </c>
      <c r="AC597" s="6" t="s">
        <v>3141</v>
      </c>
      <c r="AD597" s="6" t="s">
        <v>3196</v>
      </c>
      <c r="AE597" s="6" t="s">
        <v>3235</v>
      </c>
      <c r="AF597" s="6"/>
      <c r="AG597" s="6" t="s">
        <v>7731</v>
      </c>
      <c r="AH597" s="6" t="s">
        <v>94</v>
      </c>
    </row>
    <row r="598" spans="1:34" x14ac:dyDescent="0.25">
      <c r="A598" s="6" t="s">
        <v>1958</v>
      </c>
      <c r="B598" s="6" t="s">
        <v>7732</v>
      </c>
      <c r="C598" s="6" t="s">
        <v>7733</v>
      </c>
      <c r="D598" s="6" t="s">
        <v>7734</v>
      </c>
      <c r="E598" s="6" t="s">
        <v>3296</v>
      </c>
      <c r="F598" s="6" t="s">
        <v>89</v>
      </c>
      <c r="G598" s="6" t="s">
        <v>388</v>
      </c>
      <c r="H598" s="6" t="s">
        <v>166</v>
      </c>
      <c r="I598" s="6" t="s">
        <v>74</v>
      </c>
      <c r="J598" s="6" t="s">
        <v>3217</v>
      </c>
      <c r="K598" s="6" t="s">
        <v>3159</v>
      </c>
      <c r="L598" s="6" t="s">
        <v>75</v>
      </c>
      <c r="M598" s="6" t="s">
        <v>3243</v>
      </c>
      <c r="N598" s="6" t="s">
        <v>3142</v>
      </c>
      <c r="O598" s="6" t="s">
        <v>3243</v>
      </c>
      <c r="P598" s="6" t="s">
        <v>7735</v>
      </c>
      <c r="Q598" s="6" t="s">
        <v>7736</v>
      </c>
      <c r="R598" s="6" t="s">
        <v>7737</v>
      </c>
      <c r="S598" s="6" t="s">
        <v>21</v>
      </c>
      <c r="T598" s="6" t="s">
        <v>7738</v>
      </c>
      <c r="U598" s="6" t="s">
        <v>3192</v>
      </c>
      <c r="V598" s="6" t="s">
        <v>6950</v>
      </c>
      <c r="W598" s="6" t="s">
        <v>3603</v>
      </c>
      <c r="X598" s="6" t="s">
        <v>85</v>
      </c>
      <c r="Y598" s="6" t="s">
        <v>3292</v>
      </c>
      <c r="Z598" s="6" t="s">
        <v>93</v>
      </c>
      <c r="AA598" s="6" t="s">
        <v>3404</v>
      </c>
      <c r="AB598" s="6"/>
      <c r="AC598" s="6" t="s">
        <v>3141</v>
      </c>
      <c r="AD598" s="6" t="s">
        <v>3142</v>
      </c>
      <c r="AE598" s="6" t="s">
        <v>3235</v>
      </c>
      <c r="AF598" s="6"/>
      <c r="AG598" s="6" t="s">
        <v>5679</v>
      </c>
      <c r="AH598" s="6" t="s">
        <v>79</v>
      </c>
    </row>
    <row r="599" spans="1:34" x14ac:dyDescent="0.25">
      <c r="A599" s="6" t="s">
        <v>1960</v>
      </c>
      <c r="B599" s="6" t="s">
        <v>1961</v>
      </c>
      <c r="C599" s="6" t="s">
        <v>7739</v>
      </c>
      <c r="D599" s="6" t="s">
        <v>7740</v>
      </c>
      <c r="E599" s="6" t="s">
        <v>4828</v>
      </c>
      <c r="F599" s="6" t="s">
        <v>3137</v>
      </c>
      <c r="G599" s="6" t="s">
        <v>127</v>
      </c>
      <c r="H599" s="6" t="s">
        <v>166</v>
      </c>
      <c r="I599" s="6" t="s">
        <v>74</v>
      </c>
      <c r="J599" s="6" t="s">
        <v>7741</v>
      </c>
      <c r="K599" s="6" t="s">
        <v>3141</v>
      </c>
      <c r="L599" s="6" t="s">
        <v>3160</v>
      </c>
      <c r="M599" s="6" t="s">
        <v>3143</v>
      </c>
      <c r="N599" s="6" t="s">
        <v>3141</v>
      </c>
      <c r="O599" s="6" t="s">
        <v>3141</v>
      </c>
      <c r="P599" s="6" t="s">
        <v>6600</v>
      </c>
      <c r="Q599" s="6" t="s">
        <v>7742</v>
      </c>
      <c r="R599" s="6" t="s">
        <v>7743</v>
      </c>
      <c r="S599" s="6" t="s">
        <v>20</v>
      </c>
      <c r="T599" s="6" t="s">
        <v>7744</v>
      </c>
      <c r="U599" s="6" t="s">
        <v>3159</v>
      </c>
      <c r="V599" s="6" t="s">
        <v>4669</v>
      </c>
      <c r="W599" s="6" t="s">
        <v>4764</v>
      </c>
      <c r="X599" s="6" t="s">
        <v>85</v>
      </c>
      <c r="Y599" s="6" t="s">
        <v>3141</v>
      </c>
      <c r="Z599" s="6" t="s">
        <v>93</v>
      </c>
      <c r="AA599" s="6" t="s">
        <v>3221</v>
      </c>
      <c r="AB599" s="6"/>
      <c r="AC599" s="6" t="s">
        <v>3159</v>
      </c>
      <c r="AD599" s="6" t="s">
        <v>75</v>
      </c>
      <c r="AE599" s="6" t="s">
        <v>3136</v>
      </c>
      <c r="AF599" s="6"/>
      <c r="AG599" s="6" t="s">
        <v>6269</v>
      </c>
      <c r="AH599" s="6" t="s">
        <v>79</v>
      </c>
    </row>
    <row r="600" spans="1:34" x14ac:dyDescent="0.25">
      <c r="A600" s="6" t="s">
        <v>1963</v>
      </c>
      <c r="B600" s="6" t="s">
        <v>233</v>
      </c>
      <c r="C600" s="6" t="s">
        <v>1964</v>
      </c>
      <c r="D600" s="6" t="s">
        <v>1965</v>
      </c>
      <c r="E600" s="6" t="s">
        <v>3460</v>
      </c>
      <c r="F600" s="6" t="s">
        <v>3137</v>
      </c>
      <c r="G600" s="6" t="s">
        <v>5533</v>
      </c>
      <c r="H600" s="6" t="s">
        <v>84</v>
      </c>
      <c r="I600" s="6" t="s">
        <v>74</v>
      </c>
      <c r="J600" s="6" t="s">
        <v>7745</v>
      </c>
      <c r="K600" s="6" t="s">
        <v>3159</v>
      </c>
      <c r="L600" s="6" t="s">
        <v>3243</v>
      </c>
      <c r="M600" s="6" t="s">
        <v>75</v>
      </c>
      <c r="N600" s="6" t="s">
        <v>75</v>
      </c>
      <c r="O600" s="6" t="s">
        <v>3196</v>
      </c>
      <c r="P600" s="6" t="s">
        <v>5787</v>
      </c>
      <c r="Q600" s="6" t="s">
        <v>3217</v>
      </c>
      <c r="R600" s="6" t="s">
        <v>7746</v>
      </c>
      <c r="S600" s="6" t="s">
        <v>20</v>
      </c>
      <c r="T600" s="6"/>
      <c r="U600" s="6" t="s">
        <v>3192</v>
      </c>
      <c r="V600" s="6" t="s">
        <v>7747</v>
      </c>
      <c r="W600" s="6" t="s">
        <v>3783</v>
      </c>
      <c r="X600" s="6" t="s">
        <v>3290</v>
      </c>
      <c r="Y600" s="6" t="s">
        <v>3141</v>
      </c>
      <c r="Z600" s="6" t="s">
        <v>78</v>
      </c>
      <c r="AA600" s="6" t="s">
        <v>3847</v>
      </c>
      <c r="AB600" s="6"/>
      <c r="AC600" s="6" t="s">
        <v>3141</v>
      </c>
      <c r="AD600" s="6" t="s">
        <v>3159</v>
      </c>
      <c r="AE600" s="6" t="s">
        <v>3136</v>
      </c>
      <c r="AF600" s="6"/>
      <c r="AG600" s="6" t="s">
        <v>5722</v>
      </c>
      <c r="AH600" s="6" t="s">
        <v>4220</v>
      </c>
    </row>
    <row r="601" spans="1:34" x14ac:dyDescent="0.25">
      <c r="A601" s="6" t="s">
        <v>1966</v>
      </c>
      <c r="B601" s="6" t="s">
        <v>1945</v>
      </c>
      <c r="C601" s="6" t="s">
        <v>7748</v>
      </c>
      <c r="D601" s="6" t="s">
        <v>1967</v>
      </c>
      <c r="E601" s="6" t="s">
        <v>3388</v>
      </c>
      <c r="F601" s="6" t="s">
        <v>3214</v>
      </c>
      <c r="G601" s="6" t="s">
        <v>72</v>
      </c>
      <c r="H601" s="6" t="s">
        <v>73</v>
      </c>
      <c r="I601" s="6" t="s">
        <v>74</v>
      </c>
      <c r="J601" s="6" t="s">
        <v>7749</v>
      </c>
      <c r="K601" s="6" t="s">
        <v>3159</v>
      </c>
      <c r="L601" s="6" t="s">
        <v>75</v>
      </c>
      <c r="M601" s="6" t="s">
        <v>3141</v>
      </c>
      <c r="N601" s="6" t="s">
        <v>3196</v>
      </c>
      <c r="O601" s="6" t="s">
        <v>3152</v>
      </c>
      <c r="P601" s="6" t="s">
        <v>7750</v>
      </c>
      <c r="Q601" s="6" t="s">
        <v>7751</v>
      </c>
      <c r="R601" s="6" t="s">
        <v>7752</v>
      </c>
      <c r="S601" s="6" t="s">
        <v>23</v>
      </c>
      <c r="T601" s="6" t="s">
        <v>7753</v>
      </c>
      <c r="U601" s="6" t="s">
        <v>3141</v>
      </c>
      <c r="V601" s="6" t="s">
        <v>6091</v>
      </c>
      <c r="W601" s="6" t="s">
        <v>4485</v>
      </c>
      <c r="X601" s="6" t="s">
        <v>77</v>
      </c>
      <c r="Y601" s="6" t="s">
        <v>3140</v>
      </c>
      <c r="Z601" s="6" t="s">
        <v>93</v>
      </c>
      <c r="AA601" s="6" t="s">
        <v>3478</v>
      </c>
      <c r="AB601" s="6" t="s">
        <v>7754</v>
      </c>
      <c r="AC601" s="6" t="s">
        <v>3141</v>
      </c>
      <c r="AD601" s="6" t="s">
        <v>3141</v>
      </c>
      <c r="AE601" s="6" t="s">
        <v>3428</v>
      </c>
      <c r="AF601" s="6" t="s">
        <v>7755</v>
      </c>
      <c r="AG601" s="6" t="s">
        <v>7756</v>
      </c>
      <c r="AH601" s="6" t="s">
        <v>79</v>
      </c>
    </row>
    <row r="602" spans="1:34" x14ac:dyDescent="0.25">
      <c r="A602" s="6" t="s">
        <v>1968</v>
      </c>
      <c r="B602" s="6" t="s">
        <v>1530</v>
      </c>
      <c r="C602" s="6" t="s">
        <v>7757</v>
      </c>
      <c r="D602" s="6" t="s">
        <v>1969</v>
      </c>
      <c r="E602" s="6" t="s">
        <v>4190</v>
      </c>
      <c r="F602" s="6" t="s">
        <v>3201</v>
      </c>
      <c r="G602" s="6" t="s">
        <v>5624</v>
      </c>
      <c r="H602" s="6" t="s">
        <v>132</v>
      </c>
      <c r="I602" s="6" t="s">
        <v>92</v>
      </c>
      <c r="J602" s="6"/>
      <c r="K602" s="6" t="s">
        <v>3141</v>
      </c>
      <c r="L602" s="6" t="s">
        <v>3243</v>
      </c>
      <c r="M602" s="6" t="s">
        <v>3243</v>
      </c>
      <c r="N602" s="6" t="s">
        <v>3160</v>
      </c>
      <c r="O602" s="6" t="s">
        <v>3152</v>
      </c>
      <c r="P602" s="6" t="s">
        <v>5542</v>
      </c>
      <c r="Q602" s="6" t="s">
        <v>7758</v>
      </c>
      <c r="R602" s="6" t="s">
        <v>7759</v>
      </c>
      <c r="S602" s="6" t="s">
        <v>20</v>
      </c>
      <c r="T602" s="6" t="s">
        <v>7760</v>
      </c>
      <c r="U602" s="6" t="s">
        <v>3140</v>
      </c>
      <c r="V602" s="6" t="s">
        <v>6087</v>
      </c>
      <c r="W602" s="6" t="s">
        <v>3965</v>
      </c>
      <c r="X602" s="6" t="s">
        <v>77</v>
      </c>
      <c r="Y602" s="6" t="s">
        <v>3141</v>
      </c>
      <c r="Z602" s="6" t="s">
        <v>3343</v>
      </c>
      <c r="AA602" s="6" t="s">
        <v>3603</v>
      </c>
      <c r="AB602" s="6"/>
      <c r="AC602" s="6" t="s">
        <v>3159</v>
      </c>
      <c r="AD602" s="6" t="s">
        <v>3173</v>
      </c>
      <c r="AE602" s="6" t="s">
        <v>3293</v>
      </c>
      <c r="AF602" s="6"/>
      <c r="AG602" s="6" t="s">
        <v>7761</v>
      </c>
      <c r="AH602" s="6" t="s">
        <v>79</v>
      </c>
    </row>
    <row r="603" spans="1:34" x14ac:dyDescent="0.25">
      <c r="A603" s="6" t="s">
        <v>1970</v>
      </c>
      <c r="B603" s="6" t="s">
        <v>5188</v>
      </c>
      <c r="C603" s="6" t="s">
        <v>1971</v>
      </c>
      <c r="D603" s="6"/>
      <c r="E603" s="6" t="s">
        <v>3346</v>
      </c>
      <c r="F603" s="6" t="s">
        <v>3283</v>
      </c>
      <c r="G603" s="6" t="s">
        <v>131</v>
      </c>
      <c r="H603" s="6" t="s">
        <v>132</v>
      </c>
      <c r="I603" s="6" t="s">
        <v>92</v>
      </c>
      <c r="J603" s="6" t="s">
        <v>7762</v>
      </c>
      <c r="K603" s="6" t="s">
        <v>3159</v>
      </c>
      <c r="L603" s="6" t="s">
        <v>3152</v>
      </c>
      <c r="M603" s="6" t="s">
        <v>3243</v>
      </c>
      <c r="N603" s="6" t="s">
        <v>3196</v>
      </c>
      <c r="O603" s="6" t="s">
        <v>3141</v>
      </c>
      <c r="P603" s="6" t="s">
        <v>7763</v>
      </c>
      <c r="Q603" s="6"/>
      <c r="R603" s="6" t="s">
        <v>7764</v>
      </c>
      <c r="S603" s="6" t="s">
        <v>21</v>
      </c>
      <c r="T603" s="6" t="s">
        <v>7765</v>
      </c>
      <c r="U603" s="6" t="s">
        <v>3141</v>
      </c>
      <c r="V603" s="6" t="s">
        <v>7766</v>
      </c>
      <c r="W603" s="6" t="s">
        <v>4643</v>
      </c>
      <c r="X603" s="6" t="s">
        <v>7767</v>
      </c>
      <c r="Y603" s="6" t="s">
        <v>3141</v>
      </c>
      <c r="Z603" s="6" t="s">
        <v>78</v>
      </c>
      <c r="AA603" s="6" t="s">
        <v>3896</v>
      </c>
      <c r="AB603" s="6"/>
      <c r="AC603" s="6" t="s">
        <v>3141</v>
      </c>
      <c r="AD603" s="6" t="s">
        <v>3143</v>
      </c>
      <c r="AE603" s="6" t="s">
        <v>3136</v>
      </c>
      <c r="AF603" s="6"/>
      <c r="AG603" s="6" t="s">
        <v>7768</v>
      </c>
      <c r="AH603" s="6" t="s">
        <v>79</v>
      </c>
    </row>
    <row r="604" spans="1:34" x14ac:dyDescent="0.25">
      <c r="A604" s="6" t="s">
        <v>1972</v>
      </c>
      <c r="B604" s="6" t="s">
        <v>7769</v>
      </c>
      <c r="C604" s="6" t="s">
        <v>7770</v>
      </c>
      <c r="D604" s="6"/>
      <c r="E604" s="6" t="s">
        <v>3505</v>
      </c>
      <c r="F604" s="6" t="s">
        <v>89</v>
      </c>
      <c r="G604" s="6" t="s">
        <v>115</v>
      </c>
      <c r="H604" s="6" t="s">
        <v>103</v>
      </c>
      <c r="I604" s="6" t="s">
        <v>74</v>
      </c>
      <c r="J604" s="6"/>
      <c r="K604" s="6" t="s">
        <v>3159</v>
      </c>
      <c r="L604" s="6" t="s">
        <v>3188</v>
      </c>
      <c r="M604" s="6" t="s">
        <v>75</v>
      </c>
      <c r="N604" s="6" t="s">
        <v>3243</v>
      </c>
      <c r="O604" s="6" t="s">
        <v>3143</v>
      </c>
      <c r="P604" s="6" t="s">
        <v>7771</v>
      </c>
      <c r="Q604" s="6" t="s">
        <v>7772</v>
      </c>
      <c r="R604" s="6" t="s">
        <v>7773</v>
      </c>
      <c r="S604" s="6" t="s">
        <v>5691</v>
      </c>
      <c r="T604" s="6" t="s">
        <v>7774</v>
      </c>
      <c r="U604" s="6" t="s">
        <v>3141</v>
      </c>
      <c r="V604" s="6" t="s">
        <v>7775</v>
      </c>
      <c r="W604" s="6" t="s">
        <v>4910</v>
      </c>
      <c r="X604" s="6" t="s">
        <v>85</v>
      </c>
      <c r="Y604" s="6" t="s">
        <v>3292</v>
      </c>
      <c r="Z604" s="6" t="s">
        <v>93</v>
      </c>
      <c r="AA604" s="6" t="s">
        <v>5419</v>
      </c>
      <c r="AB604" s="6"/>
      <c r="AC604" s="6" t="s">
        <v>3141</v>
      </c>
      <c r="AD604" s="6" t="s">
        <v>3141</v>
      </c>
      <c r="AE604" s="6" t="s">
        <v>3136</v>
      </c>
      <c r="AF604" s="6"/>
      <c r="AG604" s="6" t="s">
        <v>7776</v>
      </c>
      <c r="AH604" s="6" t="s">
        <v>79</v>
      </c>
    </row>
    <row r="605" spans="1:34" x14ac:dyDescent="0.25">
      <c r="A605" s="6" t="s">
        <v>1973</v>
      </c>
      <c r="B605" s="6" t="s">
        <v>1974</v>
      </c>
      <c r="C605" s="6" t="s">
        <v>1975</v>
      </c>
      <c r="D605" s="6" t="s">
        <v>7777</v>
      </c>
      <c r="E605" s="6" t="s">
        <v>3388</v>
      </c>
      <c r="F605" s="6" t="s">
        <v>3201</v>
      </c>
      <c r="G605" s="6" t="s">
        <v>226</v>
      </c>
      <c r="H605" s="6" t="s">
        <v>84</v>
      </c>
      <c r="I605" s="6" t="s">
        <v>74</v>
      </c>
      <c r="J605" s="6"/>
      <c r="K605" s="6" t="s">
        <v>3159</v>
      </c>
      <c r="L605" s="6" t="s">
        <v>3188</v>
      </c>
      <c r="M605" s="6" t="s">
        <v>3160</v>
      </c>
      <c r="N605" s="6" t="s">
        <v>3143</v>
      </c>
      <c r="O605" s="6" t="s">
        <v>3152</v>
      </c>
      <c r="P605" s="6" t="s">
        <v>4349</v>
      </c>
      <c r="Q605" s="6" t="s">
        <v>7778</v>
      </c>
      <c r="R605" s="6" t="s">
        <v>7779</v>
      </c>
      <c r="S605" s="6" t="s">
        <v>23</v>
      </c>
      <c r="T605" s="6" t="s">
        <v>7780</v>
      </c>
      <c r="U605" s="6" t="s">
        <v>3141</v>
      </c>
      <c r="V605" s="6" t="s">
        <v>7781</v>
      </c>
      <c r="W605" s="6" t="s">
        <v>3277</v>
      </c>
      <c r="X605" s="6" t="s">
        <v>77</v>
      </c>
      <c r="Y605" s="6" t="s">
        <v>3141</v>
      </c>
      <c r="Z605" s="6" t="s">
        <v>93</v>
      </c>
      <c r="AA605" s="6" t="s">
        <v>3354</v>
      </c>
      <c r="AB605" s="6" t="s">
        <v>7782</v>
      </c>
      <c r="AC605" s="6" t="s">
        <v>3159</v>
      </c>
      <c r="AD605" s="6" t="s">
        <v>3141</v>
      </c>
      <c r="AE605" s="6" t="s">
        <v>3428</v>
      </c>
      <c r="AF605" s="6" t="s">
        <v>7783</v>
      </c>
      <c r="AG605" s="6" t="s">
        <v>3356</v>
      </c>
      <c r="AH605" s="6" t="s">
        <v>79</v>
      </c>
    </row>
    <row r="606" spans="1:34" x14ac:dyDescent="0.25">
      <c r="A606" s="6" t="s">
        <v>1977</v>
      </c>
      <c r="B606" s="6" t="s">
        <v>1978</v>
      </c>
      <c r="C606" s="6" t="s">
        <v>1979</v>
      </c>
      <c r="D606" s="6" t="s">
        <v>7784</v>
      </c>
      <c r="E606" s="6" t="s">
        <v>3471</v>
      </c>
      <c r="F606" s="6" t="s">
        <v>3201</v>
      </c>
      <c r="G606" s="6" t="s">
        <v>3370</v>
      </c>
      <c r="H606" s="6" t="s">
        <v>99</v>
      </c>
      <c r="I606" s="6" t="s">
        <v>74</v>
      </c>
      <c r="J606" s="6" t="s">
        <v>7785</v>
      </c>
      <c r="K606" s="6" t="s">
        <v>3159</v>
      </c>
      <c r="L606" s="6" t="s">
        <v>3173</v>
      </c>
      <c r="M606" s="6" t="s">
        <v>3243</v>
      </c>
      <c r="N606" s="6" t="s">
        <v>3143</v>
      </c>
      <c r="O606" s="6" t="s">
        <v>3141</v>
      </c>
      <c r="P606" s="6" t="s">
        <v>3497</v>
      </c>
      <c r="Q606" s="6" t="s">
        <v>7786</v>
      </c>
      <c r="R606" s="6" t="s">
        <v>7787</v>
      </c>
      <c r="S606" s="6" t="s">
        <v>21</v>
      </c>
      <c r="T606" s="6" t="s">
        <v>7788</v>
      </c>
      <c r="U606" s="6" t="s">
        <v>3292</v>
      </c>
      <c r="V606" s="6" t="s">
        <v>4943</v>
      </c>
      <c r="W606" s="6" t="s">
        <v>3755</v>
      </c>
      <c r="X606" s="6" t="s">
        <v>77</v>
      </c>
      <c r="Y606" s="6" t="s">
        <v>3141</v>
      </c>
      <c r="Z606" s="6" t="s">
        <v>93</v>
      </c>
      <c r="AA606" s="6" t="s">
        <v>4108</v>
      </c>
      <c r="AB606" s="6" t="s">
        <v>7789</v>
      </c>
      <c r="AC606" s="6" t="s">
        <v>3140</v>
      </c>
      <c r="AD606" s="6" t="s">
        <v>76</v>
      </c>
      <c r="AE606" s="6" t="s">
        <v>3235</v>
      </c>
      <c r="AF606" s="6"/>
      <c r="AG606" s="6" t="s">
        <v>7790</v>
      </c>
      <c r="AH606" s="6" t="s">
        <v>79</v>
      </c>
    </row>
    <row r="607" spans="1:34" x14ac:dyDescent="0.25">
      <c r="A607" s="6" t="s">
        <v>1981</v>
      </c>
      <c r="B607" s="6" t="s">
        <v>1982</v>
      </c>
      <c r="C607" s="6" t="s">
        <v>7791</v>
      </c>
      <c r="D607" s="6" t="s">
        <v>1983</v>
      </c>
      <c r="E607" s="6" t="s">
        <v>3282</v>
      </c>
      <c r="F607" s="6" t="s">
        <v>89</v>
      </c>
      <c r="G607" s="6" t="s">
        <v>98</v>
      </c>
      <c r="H607" s="6" t="s">
        <v>91</v>
      </c>
      <c r="I607" s="6" t="s">
        <v>92</v>
      </c>
      <c r="J607" s="6" t="s">
        <v>7792</v>
      </c>
      <c r="K607" s="6" t="s">
        <v>3159</v>
      </c>
      <c r="L607" s="6" t="s">
        <v>3141</v>
      </c>
      <c r="M607" s="6" t="s">
        <v>3152</v>
      </c>
      <c r="N607" s="6" t="s">
        <v>3141</v>
      </c>
      <c r="O607" s="6" t="s">
        <v>3196</v>
      </c>
      <c r="P607" s="6" t="s">
        <v>7158</v>
      </c>
      <c r="Q607" s="6" t="s">
        <v>7793</v>
      </c>
      <c r="R607" s="6" t="s">
        <v>7794</v>
      </c>
      <c r="S607" s="6" t="s">
        <v>22</v>
      </c>
      <c r="T607" s="6" t="s">
        <v>7795</v>
      </c>
      <c r="U607" s="6" t="s">
        <v>3141</v>
      </c>
      <c r="V607" s="6" t="s">
        <v>7796</v>
      </c>
      <c r="W607" s="6" t="s">
        <v>3180</v>
      </c>
      <c r="X607" s="6" t="s">
        <v>85</v>
      </c>
      <c r="Y607" s="6" t="s">
        <v>3140</v>
      </c>
      <c r="Z607" s="6" t="s">
        <v>93</v>
      </c>
      <c r="AA607" s="6" t="s">
        <v>3289</v>
      </c>
      <c r="AB607" s="6"/>
      <c r="AC607" s="6" t="s">
        <v>3159</v>
      </c>
      <c r="AD607" s="6" t="s">
        <v>3243</v>
      </c>
      <c r="AE607" s="6" t="s">
        <v>3136</v>
      </c>
      <c r="AF607" s="6" t="s">
        <v>7797</v>
      </c>
      <c r="AG607" s="6" t="s">
        <v>7798</v>
      </c>
      <c r="AH607" s="6" t="s">
        <v>79</v>
      </c>
    </row>
    <row r="608" spans="1:34" x14ac:dyDescent="0.25">
      <c r="A608" s="6" t="s">
        <v>1984</v>
      </c>
      <c r="B608" s="6" t="s">
        <v>537</v>
      </c>
      <c r="C608" s="6" t="s">
        <v>1985</v>
      </c>
      <c r="D608" s="6" t="s">
        <v>7799</v>
      </c>
      <c r="E608" s="6" t="s">
        <v>3296</v>
      </c>
      <c r="F608" s="6" t="s">
        <v>71</v>
      </c>
      <c r="G608" s="6" t="s">
        <v>6167</v>
      </c>
      <c r="H608" s="6" t="s">
        <v>107</v>
      </c>
      <c r="I608" s="6" t="s">
        <v>92</v>
      </c>
      <c r="J608" s="6" t="s">
        <v>7800</v>
      </c>
      <c r="K608" s="6" t="s">
        <v>3140</v>
      </c>
      <c r="L608" s="6" t="s">
        <v>3142</v>
      </c>
      <c r="M608" s="6" t="s">
        <v>75</v>
      </c>
      <c r="N608" s="6" t="s">
        <v>3243</v>
      </c>
      <c r="O608" s="6" t="s">
        <v>3188</v>
      </c>
      <c r="P608" s="6" t="s">
        <v>5930</v>
      </c>
      <c r="Q608" s="6" t="s">
        <v>7801</v>
      </c>
      <c r="R608" s="6" t="s">
        <v>7802</v>
      </c>
      <c r="S608" s="6" t="s">
        <v>20</v>
      </c>
      <c r="T608" s="6" t="s">
        <v>7803</v>
      </c>
      <c r="U608" s="6" t="s">
        <v>3275</v>
      </c>
      <c r="V608" s="6" t="s">
        <v>7804</v>
      </c>
      <c r="W608" s="6" t="s">
        <v>3374</v>
      </c>
      <c r="X608" s="6" t="s">
        <v>77</v>
      </c>
      <c r="Y608" s="6" t="s">
        <v>3141</v>
      </c>
      <c r="Z608" s="6" t="s">
        <v>78</v>
      </c>
      <c r="AA608" s="6" t="s">
        <v>3587</v>
      </c>
      <c r="AB608" s="6"/>
      <c r="AC608" s="6" t="s">
        <v>3141</v>
      </c>
      <c r="AD608" s="6" t="s">
        <v>3160</v>
      </c>
      <c r="AE608" s="6" t="s">
        <v>3235</v>
      </c>
      <c r="AF608" s="6"/>
      <c r="AG608" s="6" t="s">
        <v>7805</v>
      </c>
      <c r="AH608" s="6" t="s">
        <v>79</v>
      </c>
    </row>
    <row r="609" spans="1:34" x14ac:dyDescent="0.25">
      <c r="A609" s="6" t="s">
        <v>1987</v>
      </c>
      <c r="B609" s="6" t="s">
        <v>319</v>
      </c>
      <c r="C609" s="6" t="s">
        <v>1988</v>
      </c>
      <c r="D609" s="6" t="s">
        <v>7806</v>
      </c>
      <c r="E609" s="6" t="s">
        <v>3677</v>
      </c>
      <c r="F609" s="6" t="s">
        <v>89</v>
      </c>
      <c r="G609" s="6" t="s">
        <v>131</v>
      </c>
      <c r="H609" s="6" t="s">
        <v>73</v>
      </c>
      <c r="I609" s="6" t="s">
        <v>74</v>
      </c>
      <c r="J609" s="6"/>
      <c r="K609" s="6" t="s">
        <v>3159</v>
      </c>
      <c r="L609" s="6" t="s">
        <v>3143</v>
      </c>
      <c r="M609" s="6" t="s">
        <v>3141</v>
      </c>
      <c r="N609" s="6" t="s">
        <v>3141</v>
      </c>
      <c r="O609" s="6" t="s">
        <v>3188</v>
      </c>
      <c r="P609" s="6" t="s">
        <v>3735</v>
      </c>
      <c r="Q609" s="6"/>
      <c r="R609" s="6" t="s">
        <v>7807</v>
      </c>
      <c r="S609" s="6" t="s">
        <v>20</v>
      </c>
      <c r="T609" s="6"/>
      <c r="U609" s="6" t="s">
        <v>3141</v>
      </c>
      <c r="V609" s="6" t="s">
        <v>7808</v>
      </c>
      <c r="W609" s="6" t="s">
        <v>5215</v>
      </c>
      <c r="X609" s="6" t="s">
        <v>85</v>
      </c>
      <c r="Y609" s="6" t="s">
        <v>3159</v>
      </c>
      <c r="Z609" s="6" t="s">
        <v>194</v>
      </c>
      <c r="AA609" s="6" t="s">
        <v>3195</v>
      </c>
      <c r="AB609" s="6"/>
      <c r="AC609" s="6" t="s">
        <v>3159</v>
      </c>
      <c r="AD609" s="6" t="s">
        <v>75</v>
      </c>
      <c r="AE609" s="6" t="s">
        <v>3136</v>
      </c>
      <c r="AF609" s="6"/>
      <c r="AG609" s="6" t="s">
        <v>7809</v>
      </c>
      <c r="AH609" s="6" t="s">
        <v>79</v>
      </c>
    </row>
    <row r="610" spans="1:34" x14ac:dyDescent="0.25">
      <c r="A610" s="6" t="s">
        <v>1990</v>
      </c>
      <c r="B610" s="6" t="s">
        <v>1501</v>
      </c>
      <c r="C610" s="6" t="s">
        <v>7810</v>
      </c>
      <c r="D610" s="6" t="s">
        <v>1991</v>
      </c>
      <c r="E610" s="6" t="s">
        <v>3136</v>
      </c>
      <c r="F610" s="6" t="s">
        <v>3283</v>
      </c>
      <c r="G610" s="6" t="s">
        <v>3370</v>
      </c>
      <c r="H610" s="6" t="s">
        <v>132</v>
      </c>
      <c r="I610" s="6" t="s">
        <v>92</v>
      </c>
      <c r="J610" s="6" t="s">
        <v>7811</v>
      </c>
      <c r="K610" s="6" t="s">
        <v>3159</v>
      </c>
      <c r="L610" s="6" t="s">
        <v>3142</v>
      </c>
      <c r="M610" s="6" t="s">
        <v>75</v>
      </c>
      <c r="N610" s="6" t="s">
        <v>3143</v>
      </c>
      <c r="O610" s="6" t="s">
        <v>3243</v>
      </c>
      <c r="P610" s="6" t="s">
        <v>7812</v>
      </c>
      <c r="Q610" s="6" t="s">
        <v>7813</v>
      </c>
      <c r="R610" s="6" t="s">
        <v>7814</v>
      </c>
      <c r="S610" s="6" t="s">
        <v>3671</v>
      </c>
      <c r="T610" s="6" t="s">
        <v>7815</v>
      </c>
      <c r="U610" s="6" t="s">
        <v>3140</v>
      </c>
      <c r="V610" s="6" t="s">
        <v>7816</v>
      </c>
      <c r="W610" s="6" t="s">
        <v>3395</v>
      </c>
      <c r="X610" s="6" t="s">
        <v>77</v>
      </c>
      <c r="Y610" s="6" t="s">
        <v>3141</v>
      </c>
      <c r="Z610" s="6" t="s">
        <v>78</v>
      </c>
      <c r="AA610" s="6" t="s">
        <v>3532</v>
      </c>
      <c r="AB610" s="6"/>
      <c r="AC610" s="6" t="s">
        <v>3292</v>
      </c>
      <c r="AD610" s="6" t="s">
        <v>3243</v>
      </c>
      <c r="AE610" s="6" t="s">
        <v>3513</v>
      </c>
      <c r="AF610" s="6" t="s">
        <v>7817</v>
      </c>
      <c r="AG610" s="6"/>
      <c r="AH610" s="6" t="s">
        <v>94</v>
      </c>
    </row>
    <row r="611" spans="1:34" x14ac:dyDescent="0.25">
      <c r="A611" s="6" t="s">
        <v>1992</v>
      </c>
      <c r="B611" s="6" t="s">
        <v>1993</v>
      </c>
      <c r="C611" s="6" t="s">
        <v>7818</v>
      </c>
      <c r="D611" s="6" t="s">
        <v>7819</v>
      </c>
      <c r="E611" s="6" t="s">
        <v>3483</v>
      </c>
      <c r="F611" s="6" t="s">
        <v>3358</v>
      </c>
      <c r="G611" s="6" t="s">
        <v>314</v>
      </c>
      <c r="H611" s="6" t="s">
        <v>132</v>
      </c>
      <c r="I611" s="6" t="s">
        <v>92</v>
      </c>
      <c r="J611" s="6" t="s">
        <v>7820</v>
      </c>
      <c r="K611" s="6" t="s">
        <v>3292</v>
      </c>
      <c r="L611" s="6" t="s">
        <v>3159</v>
      </c>
      <c r="M611" s="6" t="s">
        <v>76</v>
      </c>
      <c r="N611" s="6" t="s">
        <v>3152</v>
      </c>
      <c r="O611" s="6" t="s">
        <v>3142</v>
      </c>
      <c r="P611" s="6" t="s">
        <v>5051</v>
      </c>
      <c r="Q611" s="6" t="s">
        <v>7821</v>
      </c>
      <c r="R611" s="6" t="s">
        <v>7822</v>
      </c>
      <c r="S611" s="6" t="s">
        <v>21</v>
      </c>
      <c r="T611" s="6" t="s">
        <v>7823</v>
      </c>
      <c r="U611" s="6" t="s">
        <v>3394</v>
      </c>
      <c r="V611" s="6" t="s">
        <v>7824</v>
      </c>
      <c r="W611" s="6" t="s">
        <v>3730</v>
      </c>
      <c r="X611" s="6" t="s">
        <v>3167</v>
      </c>
      <c r="Y611" s="6" t="s">
        <v>3141</v>
      </c>
      <c r="Z611" s="6" t="s">
        <v>93</v>
      </c>
      <c r="AA611" s="6" t="s">
        <v>3351</v>
      </c>
      <c r="AB611" s="6"/>
      <c r="AC611" s="6" t="s">
        <v>3141</v>
      </c>
      <c r="AD611" s="6" t="s">
        <v>75</v>
      </c>
      <c r="AE611" s="6" t="s">
        <v>3136</v>
      </c>
      <c r="AF611" s="6"/>
      <c r="AG611" s="6" t="s">
        <v>6247</v>
      </c>
      <c r="AH611" s="6" t="s">
        <v>79</v>
      </c>
    </row>
    <row r="612" spans="1:34" x14ac:dyDescent="0.25">
      <c r="A612" s="6" t="s">
        <v>1995</v>
      </c>
      <c r="B612" s="6" t="s">
        <v>1996</v>
      </c>
      <c r="C612" s="6" t="s">
        <v>7825</v>
      </c>
      <c r="D612" s="6" t="s">
        <v>7826</v>
      </c>
      <c r="E612" s="6" t="s">
        <v>4025</v>
      </c>
      <c r="F612" s="6" t="s">
        <v>3214</v>
      </c>
      <c r="G612" s="6" t="s">
        <v>72</v>
      </c>
      <c r="H612" s="6" t="s">
        <v>132</v>
      </c>
      <c r="I612" s="6" t="s">
        <v>92</v>
      </c>
      <c r="J612" s="6" t="s">
        <v>7827</v>
      </c>
      <c r="K612" s="6" t="s">
        <v>3141</v>
      </c>
      <c r="L612" s="6" t="s">
        <v>75</v>
      </c>
      <c r="M612" s="6" t="s">
        <v>3152</v>
      </c>
      <c r="N612" s="6" t="s">
        <v>3243</v>
      </c>
      <c r="O612" s="6" t="s">
        <v>75</v>
      </c>
      <c r="P612" s="6" t="s">
        <v>7828</v>
      </c>
      <c r="Q612" s="6" t="s">
        <v>7829</v>
      </c>
      <c r="R612" s="6" t="s">
        <v>7830</v>
      </c>
      <c r="S612" s="6" t="s">
        <v>20</v>
      </c>
      <c r="T612" s="6"/>
      <c r="U612" s="6" t="s">
        <v>3141</v>
      </c>
      <c r="V612" s="6" t="s">
        <v>5295</v>
      </c>
      <c r="W612" s="6" t="s">
        <v>3672</v>
      </c>
      <c r="X612" s="6" t="s">
        <v>85</v>
      </c>
      <c r="Y612" s="6" t="s">
        <v>3140</v>
      </c>
      <c r="Z612" s="6" t="s">
        <v>93</v>
      </c>
      <c r="AA612" s="6" t="s">
        <v>4718</v>
      </c>
      <c r="AB612" s="6" t="s">
        <v>7831</v>
      </c>
      <c r="AC612" s="6" t="s">
        <v>3292</v>
      </c>
      <c r="AD612" s="6" t="s">
        <v>3243</v>
      </c>
      <c r="AE612" s="6" t="s">
        <v>3169</v>
      </c>
      <c r="AF612" s="6"/>
      <c r="AG612" s="6"/>
      <c r="AH612" s="6" t="s">
        <v>79</v>
      </c>
    </row>
    <row r="613" spans="1:34" x14ac:dyDescent="0.25">
      <c r="A613" s="6" t="s">
        <v>1998</v>
      </c>
      <c r="B613" s="6" t="s">
        <v>1999</v>
      </c>
      <c r="C613" s="6" t="s">
        <v>2000</v>
      </c>
      <c r="D613" s="6" t="s">
        <v>2001</v>
      </c>
      <c r="E613" s="6" t="s">
        <v>3323</v>
      </c>
      <c r="F613" s="6" t="s">
        <v>3201</v>
      </c>
      <c r="G613" s="6" t="s">
        <v>388</v>
      </c>
      <c r="H613" s="6" t="s">
        <v>103</v>
      </c>
      <c r="I613" s="6" t="s">
        <v>74</v>
      </c>
      <c r="J613" s="6"/>
      <c r="K613" s="6" t="s">
        <v>3159</v>
      </c>
      <c r="L613" s="6" t="s">
        <v>3160</v>
      </c>
      <c r="M613" s="6" t="s">
        <v>3188</v>
      </c>
      <c r="N613" s="6" t="s">
        <v>3152</v>
      </c>
      <c r="O613" s="6" t="s">
        <v>3243</v>
      </c>
      <c r="P613" s="6" t="s">
        <v>3688</v>
      </c>
      <c r="Q613" s="6"/>
      <c r="R613" s="6" t="s">
        <v>7832</v>
      </c>
      <c r="S613" s="6" t="s">
        <v>3219</v>
      </c>
      <c r="T613" s="6"/>
      <c r="U613" s="6" t="s">
        <v>3159</v>
      </c>
      <c r="V613" s="6" t="s">
        <v>7833</v>
      </c>
      <c r="W613" s="6" t="s">
        <v>3587</v>
      </c>
      <c r="X613" s="6" t="s">
        <v>3918</v>
      </c>
      <c r="Y613" s="6" t="s">
        <v>3159</v>
      </c>
      <c r="Z613" s="6" t="s">
        <v>78</v>
      </c>
      <c r="AA613" s="6" t="s">
        <v>3364</v>
      </c>
      <c r="AB613" s="6"/>
      <c r="AC613" s="6" t="s">
        <v>3141</v>
      </c>
      <c r="AD613" s="6" t="s">
        <v>3143</v>
      </c>
      <c r="AE613" s="6" t="s">
        <v>3235</v>
      </c>
      <c r="AF613" s="6"/>
      <c r="AG613" s="6" t="s">
        <v>7834</v>
      </c>
      <c r="AH613" s="6" t="s">
        <v>79</v>
      </c>
    </row>
    <row r="614" spans="1:34" x14ac:dyDescent="0.25">
      <c r="A614" s="6" t="s">
        <v>2002</v>
      </c>
      <c r="B614" s="6" t="s">
        <v>659</v>
      </c>
      <c r="C614" s="6" t="s">
        <v>7835</v>
      </c>
      <c r="D614" s="6" t="s">
        <v>2003</v>
      </c>
      <c r="E614" s="6" t="s">
        <v>3170</v>
      </c>
      <c r="F614" s="6" t="s">
        <v>3201</v>
      </c>
      <c r="G614" s="6" t="s">
        <v>98</v>
      </c>
      <c r="H614" s="6" t="s">
        <v>99</v>
      </c>
      <c r="I614" s="6" t="s">
        <v>74</v>
      </c>
      <c r="J614" s="6" t="s">
        <v>3217</v>
      </c>
      <c r="K614" s="6" t="s">
        <v>3140</v>
      </c>
      <c r="L614" s="6" t="s">
        <v>3196</v>
      </c>
      <c r="M614" s="6" t="s">
        <v>3159</v>
      </c>
      <c r="N614" s="6" t="s">
        <v>75</v>
      </c>
      <c r="O614" s="6" t="s">
        <v>3141</v>
      </c>
      <c r="P614" s="6" t="s">
        <v>7836</v>
      </c>
      <c r="Q614" s="6" t="s">
        <v>7837</v>
      </c>
      <c r="R614" s="6" t="s">
        <v>7838</v>
      </c>
      <c r="S614" s="6" t="s">
        <v>20</v>
      </c>
      <c r="T614" s="6" t="s">
        <v>7839</v>
      </c>
      <c r="U614" s="6" t="s">
        <v>3140</v>
      </c>
      <c r="V614" s="6" t="s">
        <v>7840</v>
      </c>
      <c r="W614" s="6" t="s">
        <v>3550</v>
      </c>
      <c r="X614" s="6" t="s">
        <v>3167</v>
      </c>
      <c r="Y614" s="6" t="s">
        <v>3140</v>
      </c>
      <c r="Z614" s="6" t="s">
        <v>93</v>
      </c>
      <c r="AA614" s="6" t="s">
        <v>3149</v>
      </c>
      <c r="AB614" s="6"/>
      <c r="AC614" s="6" t="s">
        <v>3141</v>
      </c>
      <c r="AD614" s="6" t="s">
        <v>3160</v>
      </c>
      <c r="AE614" s="6" t="s">
        <v>3235</v>
      </c>
      <c r="AF614" s="6"/>
      <c r="AG614" s="6" t="s">
        <v>5622</v>
      </c>
      <c r="AH614" s="6" t="s">
        <v>79</v>
      </c>
    </row>
    <row r="615" spans="1:34" x14ac:dyDescent="0.25">
      <c r="A615" s="6" t="s">
        <v>2004</v>
      </c>
      <c r="B615" s="6" t="s">
        <v>2005</v>
      </c>
      <c r="C615" s="6" t="s">
        <v>7841</v>
      </c>
      <c r="D615" s="6" t="s">
        <v>7842</v>
      </c>
      <c r="E615" s="6" t="s">
        <v>3279</v>
      </c>
      <c r="F615" s="6" t="s">
        <v>3283</v>
      </c>
      <c r="G615" s="6" t="s">
        <v>5533</v>
      </c>
      <c r="H615" s="6" t="s">
        <v>73</v>
      </c>
      <c r="I615" s="6" t="s">
        <v>74</v>
      </c>
      <c r="J615" s="6"/>
      <c r="K615" s="6" t="s">
        <v>3159</v>
      </c>
      <c r="L615" s="6" t="s">
        <v>3160</v>
      </c>
      <c r="M615" s="6" t="s">
        <v>3142</v>
      </c>
      <c r="N615" s="6" t="s">
        <v>3141</v>
      </c>
      <c r="O615" s="6" t="s">
        <v>3243</v>
      </c>
      <c r="P615" s="6" t="s">
        <v>7843</v>
      </c>
      <c r="Q615" s="6" t="s">
        <v>7844</v>
      </c>
      <c r="R615" s="6" t="s">
        <v>7845</v>
      </c>
      <c r="S615" s="6" t="s">
        <v>23</v>
      </c>
      <c r="T615" s="6" t="s">
        <v>7846</v>
      </c>
      <c r="U615" s="6" t="s">
        <v>3292</v>
      </c>
      <c r="V615" s="6" t="s">
        <v>3603</v>
      </c>
      <c r="W615" s="6" t="s">
        <v>3490</v>
      </c>
      <c r="X615" s="6" t="s">
        <v>161</v>
      </c>
      <c r="Y615" s="6" t="s">
        <v>3140</v>
      </c>
      <c r="Z615" s="6" t="s">
        <v>78</v>
      </c>
      <c r="AA615" s="6" t="s">
        <v>4501</v>
      </c>
      <c r="AB615" s="6"/>
      <c r="AC615" s="6" t="s">
        <v>3141</v>
      </c>
      <c r="AD615" s="6" t="s">
        <v>3152</v>
      </c>
      <c r="AE615" s="6" t="s">
        <v>3428</v>
      </c>
      <c r="AF615" s="6" t="s">
        <v>7847</v>
      </c>
      <c r="AG615" s="6" t="s">
        <v>7848</v>
      </c>
      <c r="AH615" s="6" t="s">
        <v>79</v>
      </c>
    </row>
    <row r="616" spans="1:34" x14ac:dyDescent="0.25">
      <c r="A616" s="6" t="s">
        <v>2007</v>
      </c>
      <c r="B616" s="6" t="s">
        <v>2008</v>
      </c>
      <c r="C616" s="6" t="s">
        <v>2009</v>
      </c>
      <c r="D616" s="6" t="s">
        <v>2010</v>
      </c>
      <c r="E616" s="6" t="s">
        <v>4828</v>
      </c>
      <c r="F616" s="6" t="s">
        <v>3214</v>
      </c>
      <c r="G616" s="6" t="s">
        <v>83</v>
      </c>
      <c r="H616" s="6" t="s">
        <v>107</v>
      </c>
      <c r="I616" s="6" t="s">
        <v>92</v>
      </c>
      <c r="J616" s="6" t="s">
        <v>7849</v>
      </c>
      <c r="K616" s="6" t="s">
        <v>3140</v>
      </c>
      <c r="L616" s="6" t="s">
        <v>3159</v>
      </c>
      <c r="M616" s="6" t="s">
        <v>3141</v>
      </c>
      <c r="N616" s="6" t="s">
        <v>3141</v>
      </c>
      <c r="O616" s="6" t="s">
        <v>3142</v>
      </c>
      <c r="P616" s="6" t="s">
        <v>4868</v>
      </c>
      <c r="Q616" s="6" t="s">
        <v>7850</v>
      </c>
      <c r="R616" s="6" t="s">
        <v>7851</v>
      </c>
      <c r="S616" s="6" t="s">
        <v>21</v>
      </c>
      <c r="T616" s="6" t="s">
        <v>7852</v>
      </c>
      <c r="U616" s="6" t="s">
        <v>3292</v>
      </c>
      <c r="V616" s="6" t="s">
        <v>7853</v>
      </c>
      <c r="W616" s="6" t="s">
        <v>4675</v>
      </c>
      <c r="X616" s="6" t="s">
        <v>85</v>
      </c>
      <c r="Y616" s="6" t="s">
        <v>3159</v>
      </c>
      <c r="Z616" s="6" t="s">
        <v>4344</v>
      </c>
      <c r="AA616" s="6" t="s">
        <v>3344</v>
      </c>
      <c r="AB616" s="6" t="s">
        <v>7854</v>
      </c>
      <c r="AC616" s="6" t="s">
        <v>3141</v>
      </c>
      <c r="AD616" s="6" t="s">
        <v>3141</v>
      </c>
      <c r="AE616" s="6" t="s">
        <v>3323</v>
      </c>
      <c r="AF616" s="6"/>
      <c r="AG616" s="6" t="s">
        <v>7855</v>
      </c>
      <c r="AH616" s="6" t="s">
        <v>79</v>
      </c>
    </row>
    <row r="617" spans="1:34" x14ac:dyDescent="0.25">
      <c r="A617" s="6" t="s">
        <v>2011</v>
      </c>
      <c r="B617" s="6" t="s">
        <v>1188</v>
      </c>
      <c r="C617" s="6"/>
      <c r="D617" s="6" t="s">
        <v>2012</v>
      </c>
      <c r="E617" s="6" t="s">
        <v>3388</v>
      </c>
      <c r="F617" s="6" t="s">
        <v>89</v>
      </c>
      <c r="G617" s="6" t="s">
        <v>388</v>
      </c>
      <c r="H617" s="6" t="s">
        <v>73</v>
      </c>
      <c r="I617" s="6" t="s">
        <v>74</v>
      </c>
      <c r="J617" s="6" t="s">
        <v>7856</v>
      </c>
      <c r="K617" s="6" t="s">
        <v>3159</v>
      </c>
      <c r="L617" s="6" t="s">
        <v>3141</v>
      </c>
      <c r="M617" s="6" t="s">
        <v>3152</v>
      </c>
      <c r="N617" s="6" t="s">
        <v>3160</v>
      </c>
      <c r="O617" s="6" t="s">
        <v>76</v>
      </c>
      <c r="P617" s="6" t="s">
        <v>7857</v>
      </c>
      <c r="Q617" s="6" t="s">
        <v>7858</v>
      </c>
      <c r="R617" s="6" t="s">
        <v>7859</v>
      </c>
      <c r="S617" s="6" t="s">
        <v>22</v>
      </c>
      <c r="T617" s="6"/>
      <c r="U617" s="6" t="s">
        <v>3141</v>
      </c>
      <c r="V617" s="6" t="s">
        <v>6706</v>
      </c>
      <c r="W617" s="6" t="s">
        <v>3278</v>
      </c>
      <c r="X617" s="6" t="s">
        <v>85</v>
      </c>
      <c r="Y617" s="6" t="s">
        <v>3159</v>
      </c>
      <c r="Z617" s="6" t="s">
        <v>78</v>
      </c>
      <c r="AA617" s="6" t="s">
        <v>5215</v>
      </c>
      <c r="AB617" s="6"/>
      <c r="AC617" s="6" t="s">
        <v>3141</v>
      </c>
      <c r="AD617" s="6" t="s">
        <v>3160</v>
      </c>
      <c r="AE617" s="6" t="s">
        <v>3622</v>
      </c>
      <c r="AF617" s="6" t="s">
        <v>7860</v>
      </c>
      <c r="AG617" s="6" t="s">
        <v>7861</v>
      </c>
      <c r="AH617" s="6" t="s">
        <v>79</v>
      </c>
    </row>
    <row r="618" spans="1:34" x14ac:dyDescent="0.25">
      <c r="A618" s="6" t="s">
        <v>2013</v>
      </c>
      <c r="B618" s="6" t="s">
        <v>2014</v>
      </c>
      <c r="C618" s="6" t="s">
        <v>2015</v>
      </c>
      <c r="D618" s="6" t="s">
        <v>2016</v>
      </c>
      <c r="E618" s="6" t="s">
        <v>3346</v>
      </c>
      <c r="F618" s="6" t="s">
        <v>3201</v>
      </c>
      <c r="G618" s="6" t="s">
        <v>153</v>
      </c>
      <c r="H618" s="6" t="s">
        <v>84</v>
      </c>
      <c r="I618" s="6" t="s">
        <v>74</v>
      </c>
      <c r="J618" s="6"/>
      <c r="K618" s="6" t="s">
        <v>3159</v>
      </c>
      <c r="L618" s="6" t="s">
        <v>3173</v>
      </c>
      <c r="M618" s="6" t="s">
        <v>3143</v>
      </c>
      <c r="N618" s="6" t="s">
        <v>3143</v>
      </c>
      <c r="O618" s="6" t="s">
        <v>3243</v>
      </c>
      <c r="P618" s="6" t="s">
        <v>7862</v>
      </c>
      <c r="Q618" s="6" t="s">
        <v>7863</v>
      </c>
      <c r="R618" s="6" t="s">
        <v>7864</v>
      </c>
      <c r="S618" s="6" t="s">
        <v>20</v>
      </c>
      <c r="T618" s="6" t="s">
        <v>7865</v>
      </c>
      <c r="U618" s="6" t="s">
        <v>3292</v>
      </c>
      <c r="V618" s="6" t="s">
        <v>6505</v>
      </c>
      <c r="W618" s="6" t="s">
        <v>4014</v>
      </c>
      <c r="X618" s="6" t="s">
        <v>77</v>
      </c>
      <c r="Y618" s="6" t="s">
        <v>3141</v>
      </c>
      <c r="Z618" s="6" t="s">
        <v>93</v>
      </c>
      <c r="AA618" s="6" t="s">
        <v>4764</v>
      </c>
      <c r="AB618" s="6"/>
      <c r="AC618" s="6" t="s">
        <v>3141</v>
      </c>
      <c r="AD618" s="6" t="s">
        <v>3141</v>
      </c>
      <c r="AE618" s="6" t="s">
        <v>3136</v>
      </c>
      <c r="AF618" s="6"/>
      <c r="AG618" s="6" t="s">
        <v>7866</v>
      </c>
      <c r="AH618" s="6" t="s">
        <v>3494</v>
      </c>
    </row>
    <row r="619" spans="1:34" x14ac:dyDescent="0.25">
      <c r="A619" s="6" t="s">
        <v>2017</v>
      </c>
      <c r="B619" s="6" t="s">
        <v>2018</v>
      </c>
      <c r="C619" s="6" t="s">
        <v>2019</v>
      </c>
      <c r="D619" s="6" t="s">
        <v>7867</v>
      </c>
      <c r="E619" s="6" t="s">
        <v>3323</v>
      </c>
      <c r="F619" s="6" t="s">
        <v>71</v>
      </c>
      <c r="G619" s="6" t="s">
        <v>417</v>
      </c>
      <c r="H619" s="6" t="s">
        <v>107</v>
      </c>
      <c r="I619" s="6" t="s">
        <v>92</v>
      </c>
      <c r="J619" s="6"/>
      <c r="K619" s="6" t="s">
        <v>3140</v>
      </c>
      <c r="L619" s="6" t="s">
        <v>3173</v>
      </c>
      <c r="M619" s="6" t="s">
        <v>3152</v>
      </c>
      <c r="N619" s="6" t="s">
        <v>3143</v>
      </c>
      <c r="O619" s="6" t="s">
        <v>3173</v>
      </c>
      <c r="P619" s="6" t="s">
        <v>3779</v>
      </c>
      <c r="Q619" s="6" t="s">
        <v>7868</v>
      </c>
      <c r="R619" s="6" t="s">
        <v>7869</v>
      </c>
      <c r="S619" s="6" t="s">
        <v>20</v>
      </c>
      <c r="T619" s="6" t="s">
        <v>7870</v>
      </c>
      <c r="U619" s="6" t="s">
        <v>3141</v>
      </c>
      <c r="V619" s="6" t="s">
        <v>7871</v>
      </c>
      <c r="W619" s="6" t="s">
        <v>3195</v>
      </c>
      <c r="X619" s="6" t="s">
        <v>85</v>
      </c>
      <c r="Y619" s="6" t="s">
        <v>3141</v>
      </c>
      <c r="Z619" s="6" t="s">
        <v>93</v>
      </c>
      <c r="AA619" s="6" t="s">
        <v>3456</v>
      </c>
      <c r="AB619" s="6"/>
      <c r="AC619" s="6" t="s">
        <v>3141</v>
      </c>
      <c r="AD619" s="6" t="s">
        <v>3143</v>
      </c>
      <c r="AE619" s="6" t="s">
        <v>3293</v>
      </c>
      <c r="AF619" s="6"/>
      <c r="AG619" s="6"/>
      <c r="AH619" s="6" t="s">
        <v>79</v>
      </c>
    </row>
    <row r="620" spans="1:34" x14ac:dyDescent="0.25">
      <c r="A620" s="6" t="s">
        <v>2021</v>
      </c>
      <c r="B620" s="6" t="s">
        <v>7872</v>
      </c>
      <c r="C620" s="6" t="s">
        <v>2023</v>
      </c>
      <c r="D620" s="6" t="s">
        <v>2024</v>
      </c>
      <c r="E620" s="6" t="s">
        <v>3432</v>
      </c>
      <c r="F620" s="6" t="s">
        <v>89</v>
      </c>
      <c r="G620" s="6" t="s">
        <v>153</v>
      </c>
      <c r="H620" s="6" t="s">
        <v>103</v>
      </c>
      <c r="I620" s="6" t="s">
        <v>74</v>
      </c>
      <c r="J620" s="6" t="s">
        <v>7873</v>
      </c>
      <c r="K620" s="6" t="s">
        <v>3159</v>
      </c>
      <c r="L620" s="6" t="s">
        <v>76</v>
      </c>
      <c r="M620" s="6" t="s">
        <v>3243</v>
      </c>
      <c r="N620" s="6" t="s">
        <v>3160</v>
      </c>
      <c r="O620" s="6" t="s">
        <v>3143</v>
      </c>
      <c r="P620" s="6" t="s">
        <v>7874</v>
      </c>
      <c r="Q620" s="6" t="s">
        <v>7875</v>
      </c>
      <c r="R620" s="6" t="s">
        <v>7876</v>
      </c>
      <c r="S620" s="6" t="s">
        <v>21</v>
      </c>
      <c r="T620" s="6"/>
      <c r="U620" s="6" t="s">
        <v>3140</v>
      </c>
      <c r="V620" s="6" t="s">
        <v>7877</v>
      </c>
      <c r="W620" s="6" t="s">
        <v>4654</v>
      </c>
      <c r="X620" s="6" t="s">
        <v>85</v>
      </c>
      <c r="Y620" s="6" t="s">
        <v>3141</v>
      </c>
      <c r="Z620" s="6" t="s">
        <v>93</v>
      </c>
      <c r="AA620" s="6" t="s">
        <v>4787</v>
      </c>
      <c r="AB620" s="6" t="s">
        <v>7878</v>
      </c>
      <c r="AC620" s="6" t="s">
        <v>3140</v>
      </c>
      <c r="AD620" s="6" t="s">
        <v>3142</v>
      </c>
      <c r="AE620" s="6" t="s">
        <v>3136</v>
      </c>
      <c r="AF620" s="6"/>
      <c r="AG620" s="6" t="s">
        <v>4032</v>
      </c>
      <c r="AH620" s="6" t="s">
        <v>79</v>
      </c>
    </row>
    <row r="621" spans="1:34" x14ac:dyDescent="0.25">
      <c r="A621" s="6" t="s">
        <v>2025</v>
      </c>
      <c r="B621" s="6" t="s">
        <v>1614</v>
      </c>
      <c r="C621" s="6" t="s">
        <v>2026</v>
      </c>
      <c r="D621" s="6" t="s">
        <v>2027</v>
      </c>
      <c r="E621" s="6" t="s">
        <v>3296</v>
      </c>
      <c r="F621" s="6" t="s">
        <v>3214</v>
      </c>
      <c r="G621" s="6" t="s">
        <v>127</v>
      </c>
      <c r="H621" s="6" t="s">
        <v>144</v>
      </c>
      <c r="I621" s="6" t="s">
        <v>92</v>
      </c>
      <c r="J621" s="6" t="s">
        <v>7879</v>
      </c>
      <c r="K621" s="6" t="s">
        <v>3140</v>
      </c>
      <c r="L621" s="6" t="s">
        <v>3173</v>
      </c>
      <c r="M621" s="6" t="s">
        <v>3173</v>
      </c>
      <c r="N621" s="6" t="s">
        <v>3141</v>
      </c>
      <c r="O621" s="6" t="s">
        <v>3143</v>
      </c>
      <c r="P621" s="6" t="s">
        <v>7024</v>
      </c>
      <c r="Q621" s="6"/>
      <c r="R621" s="6" t="s">
        <v>7880</v>
      </c>
      <c r="S621" s="6" t="s">
        <v>22</v>
      </c>
      <c r="T621" s="6" t="s">
        <v>7881</v>
      </c>
      <c r="U621" s="6" t="s">
        <v>3141</v>
      </c>
      <c r="V621" s="6" t="s">
        <v>3862</v>
      </c>
      <c r="W621" s="6" t="s">
        <v>3195</v>
      </c>
      <c r="X621" s="6" t="s">
        <v>77</v>
      </c>
      <c r="Y621" s="6" t="s">
        <v>3140</v>
      </c>
      <c r="Z621" s="6" t="s">
        <v>78</v>
      </c>
      <c r="AA621" s="6" t="s">
        <v>7289</v>
      </c>
      <c r="AB621" s="6" t="s">
        <v>7882</v>
      </c>
      <c r="AC621" s="6" t="s">
        <v>3141</v>
      </c>
      <c r="AD621" s="6" t="s">
        <v>3160</v>
      </c>
      <c r="AE621" s="6" t="s">
        <v>3210</v>
      </c>
      <c r="AF621" s="6" t="s">
        <v>7883</v>
      </c>
      <c r="AG621" s="6" t="s">
        <v>3356</v>
      </c>
      <c r="AH621" s="6" t="s">
        <v>79</v>
      </c>
    </row>
    <row r="622" spans="1:34" x14ac:dyDescent="0.25">
      <c r="A622" s="6" t="s">
        <v>2028</v>
      </c>
      <c r="B622" s="6" t="s">
        <v>7884</v>
      </c>
      <c r="C622" s="6" t="s">
        <v>2030</v>
      </c>
      <c r="D622" s="6" t="s">
        <v>2031</v>
      </c>
      <c r="E622" s="6" t="s">
        <v>3617</v>
      </c>
      <c r="F622" s="6" t="s">
        <v>71</v>
      </c>
      <c r="G622" s="6" t="s">
        <v>72</v>
      </c>
      <c r="H622" s="6" t="s">
        <v>166</v>
      </c>
      <c r="I622" s="6" t="s">
        <v>74</v>
      </c>
      <c r="J622" s="6" t="s">
        <v>7885</v>
      </c>
      <c r="K622" s="6" t="s">
        <v>3159</v>
      </c>
      <c r="L622" s="6" t="s">
        <v>3159</v>
      </c>
      <c r="M622" s="6" t="s">
        <v>3152</v>
      </c>
      <c r="N622" s="6" t="s">
        <v>3152</v>
      </c>
      <c r="O622" s="6" t="s">
        <v>3143</v>
      </c>
      <c r="P622" s="6" t="s">
        <v>7886</v>
      </c>
      <c r="Q622" s="6" t="s">
        <v>7887</v>
      </c>
      <c r="R622" s="6" t="s">
        <v>7888</v>
      </c>
      <c r="S622" s="6" t="s">
        <v>21</v>
      </c>
      <c r="T622" s="6" t="s">
        <v>7889</v>
      </c>
      <c r="U622" s="6" t="s">
        <v>3141</v>
      </c>
      <c r="V622" s="6" t="s">
        <v>5156</v>
      </c>
      <c r="W622" s="6" t="s">
        <v>3598</v>
      </c>
      <c r="X622" s="6" t="s">
        <v>77</v>
      </c>
      <c r="Y622" s="6" t="s">
        <v>3141</v>
      </c>
      <c r="Z622" s="6" t="s">
        <v>93</v>
      </c>
      <c r="AA622" s="6" t="s">
        <v>3783</v>
      </c>
      <c r="AB622" s="6"/>
      <c r="AC622" s="6" t="s">
        <v>3141</v>
      </c>
      <c r="AD622" s="6" t="s">
        <v>3141</v>
      </c>
      <c r="AE622" s="6" t="s">
        <v>3136</v>
      </c>
      <c r="AF622" s="6"/>
      <c r="AG622" s="6" t="s">
        <v>6070</v>
      </c>
      <c r="AH622" s="6" t="s">
        <v>79</v>
      </c>
    </row>
    <row r="623" spans="1:34" x14ac:dyDescent="0.25">
      <c r="A623" s="6" t="s">
        <v>2032</v>
      </c>
      <c r="B623" s="6" t="s">
        <v>2033</v>
      </c>
      <c r="C623" s="6" t="s">
        <v>2034</v>
      </c>
      <c r="D623" s="6" t="s">
        <v>2035</v>
      </c>
      <c r="E623" s="6" t="s">
        <v>3420</v>
      </c>
      <c r="F623" s="6" t="s">
        <v>3283</v>
      </c>
      <c r="G623" s="6" t="s">
        <v>127</v>
      </c>
      <c r="H623" s="6" t="s">
        <v>144</v>
      </c>
      <c r="I623" s="6" t="s">
        <v>92</v>
      </c>
      <c r="J623" s="6"/>
      <c r="K623" s="6" t="s">
        <v>3159</v>
      </c>
      <c r="L623" s="6" t="s">
        <v>3141</v>
      </c>
      <c r="M623" s="6" t="s">
        <v>3173</v>
      </c>
      <c r="N623" s="6" t="s">
        <v>3160</v>
      </c>
      <c r="O623" s="6" t="s">
        <v>3141</v>
      </c>
      <c r="P623" s="6" t="s">
        <v>3844</v>
      </c>
      <c r="Q623" s="6" t="s">
        <v>7890</v>
      </c>
      <c r="R623" s="6" t="s">
        <v>7891</v>
      </c>
      <c r="S623" s="6" t="s">
        <v>22</v>
      </c>
      <c r="T623" s="6" t="s">
        <v>3217</v>
      </c>
      <c r="U623" s="6" t="s">
        <v>3141</v>
      </c>
      <c r="V623" s="6" t="s">
        <v>7892</v>
      </c>
      <c r="W623" s="6" t="s">
        <v>3303</v>
      </c>
      <c r="X623" s="6" t="s">
        <v>85</v>
      </c>
      <c r="Y623" s="6" t="s">
        <v>3141</v>
      </c>
      <c r="Z623" s="6" t="s">
        <v>93</v>
      </c>
      <c r="AA623" s="6" t="s">
        <v>4117</v>
      </c>
      <c r="AB623" s="6"/>
      <c r="AC623" s="6" t="s">
        <v>3141</v>
      </c>
      <c r="AD623" s="6" t="s">
        <v>3143</v>
      </c>
      <c r="AE623" s="6" t="s">
        <v>3323</v>
      </c>
      <c r="AF623" s="6" t="s">
        <v>7893</v>
      </c>
      <c r="AG623" s="6" t="s">
        <v>6281</v>
      </c>
      <c r="AH623" s="6" t="s">
        <v>79</v>
      </c>
    </row>
    <row r="624" spans="1:34" x14ac:dyDescent="0.25">
      <c r="A624" s="6" t="s">
        <v>2036</v>
      </c>
      <c r="B624" s="6" t="s">
        <v>2037</v>
      </c>
      <c r="C624" s="6" t="s">
        <v>2038</v>
      </c>
      <c r="D624" s="6" t="s">
        <v>2039</v>
      </c>
      <c r="E624" s="6" t="s">
        <v>4542</v>
      </c>
      <c r="F624" s="6" t="s">
        <v>89</v>
      </c>
      <c r="G624" s="6" t="s">
        <v>3186</v>
      </c>
      <c r="H624" s="6" t="s">
        <v>84</v>
      </c>
      <c r="I624" s="6" t="s">
        <v>74</v>
      </c>
      <c r="J624" s="6"/>
      <c r="K624" s="6" t="s">
        <v>3140</v>
      </c>
      <c r="L624" s="6" t="s">
        <v>3196</v>
      </c>
      <c r="M624" s="6" t="s">
        <v>3159</v>
      </c>
      <c r="N624" s="6" t="s">
        <v>3152</v>
      </c>
      <c r="O624" s="6" t="s">
        <v>3243</v>
      </c>
      <c r="P624" s="6" t="s">
        <v>7894</v>
      </c>
      <c r="Q624" s="6"/>
      <c r="R624" s="6" t="s">
        <v>7895</v>
      </c>
      <c r="S624" s="6" t="s">
        <v>23</v>
      </c>
      <c r="T624" s="6" t="s">
        <v>7896</v>
      </c>
      <c r="U624" s="6" t="s">
        <v>3292</v>
      </c>
      <c r="V624" s="6" t="s">
        <v>3365</v>
      </c>
      <c r="W624" s="6" t="s">
        <v>4654</v>
      </c>
      <c r="X624" s="6" t="s">
        <v>161</v>
      </c>
      <c r="Y624" s="6" t="s">
        <v>3140</v>
      </c>
      <c r="Z624" s="6" t="s">
        <v>93</v>
      </c>
      <c r="AA624" s="6" t="s">
        <v>4896</v>
      </c>
      <c r="AB624" s="6"/>
      <c r="AC624" s="6" t="s">
        <v>3141</v>
      </c>
      <c r="AD624" s="6" t="s">
        <v>3152</v>
      </c>
      <c r="AE624" s="6" t="s">
        <v>3513</v>
      </c>
      <c r="AF624" s="6" t="s">
        <v>7897</v>
      </c>
      <c r="AG624" s="6" t="s">
        <v>7898</v>
      </c>
      <c r="AH624" s="6" t="s">
        <v>79</v>
      </c>
    </row>
    <row r="625" spans="1:34" x14ac:dyDescent="0.25">
      <c r="A625" s="6" t="s">
        <v>2040</v>
      </c>
      <c r="B625" s="6" t="s">
        <v>849</v>
      </c>
      <c r="C625" s="6" t="s">
        <v>2041</v>
      </c>
      <c r="D625" s="6" t="s">
        <v>2042</v>
      </c>
      <c r="E625" s="6" t="s">
        <v>3268</v>
      </c>
      <c r="F625" s="6" t="s">
        <v>89</v>
      </c>
      <c r="G625" s="6" t="s">
        <v>215</v>
      </c>
      <c r="H625" s="6" t="s">
        <v>91</v>
      </c>
      <c r="I625" s="6" t="s">
        <v>92</v>
      </c>
      <c r="J625" s="6" t="s">
        <v>7899</v>
      </c>
      <c r="K625" s="6" t="s">
        <v>3140</v>
      </c>
      <c r="L625" s="6" t="s">
        <v>3196</v>
      </c>
      <c r="M625" s="6" t="s">
        <v>3160</v>
      </c>
      <c r="N625" s="6" t="s">
        <v>3173</v>
      </c>
      <c r="O625" s="6" t="s">
        <v>3143</v>
      </c>
      <c r="P625" s="6" t="s">
        <v>7383</v>
      </c>
      <c r="Q625" s="6"/>
      <c r="R625" s="6" t="s">
        <v>7900</v>
      </c>
      <c r="S625" s="6" t="s">
        <v>21</v>
      </c>
      <c r="T625" s="6" t="s">
        <v>7901</v>
      </c>
      <c r="U625" s="6" t="s">
        <v>3159</v>
      </c>
      <c r="V625" s="6" t="s">
        <v>7902</v>
      </c>
      <c r="W625" s="6" t="s">
        <v>3783</v>
      </c>
      <c r="X625" s="6" t="s">
        <v>85</v>
      </c>
      <c r="Y625" s="6" t="s">
        <v>3159</v>
      </c>
      <c r="Z625" s="6" t="s">
        <v>78</v>
      </c>
      <c r="AA625" s="6" t="s">
        <v>4135</v>
      </c>
      <c r="AB625" s="6"/>
      <c r="AC625" s="6" t="s">
        <v>3141</v>
      </c>
      <c r="AD625" s="6" t="s">
        <v>3243</v>
      </c>
      <c r="AE625" s="6" t="s">
        <v>3323</v>
      </c>
      <c r="AF625" s="6"/>
      <c r="AG625" s="6" t="s">
        <v>4627</v>
      </c>
      <c r="AH625" s="6" t="s">
        <v>79</v>
      </c>
    </row>
    <row r="626" spans="1:34" x14ac:dyDescent="0.25">
      <c r="A626" s="6" t="s">
        <v>2043</v>
      </c>
      <c r="B626" s="6" t="s">
        <v>2044</v>
      </c>
      <c r="C626" s="6" t="s">
        <v>2045</v>
      </c>
      <c r="D626" s="6" t="s">
        <v>2046</v>
      </c>
      <c r="E626" s="6" t="s">
        <v>3636</v>
      </c>
      <c r="F626" s="6" t="s">
        <v>3214</v>
      </c>
      <c r="G626" s="6" t="s">
        <v>139</v>
      </c>
      <c r="H626" s="6" t="s">
        <v>91</v>
      </c>
      <c r="I626" s="6" t="s">
        <v>92</v>
      </c>
      <c r="J626" s="6" t="s">
        <v>7903</v>
      </c>
      <c r="K626" s="6" t="s">
        <v>3140</v>
      </c>
      <c r="L626" s="6" t="s">
        <v>3141</v>
      </c>
      <c r="M626" s="6" t="s">
        <v>3188</v>
      </c>
      <c r="N626" s="6" t="s">
        <v>76</v>
      </c>
      <c r="O626" s="6" t="s">
        <v>3152</v>
      </c>
      <c r="P626" s="6" t="s">
        <v>7904</v>
      </c>
      <c r="Q626" s="6" t="s">
        <v>7905</v>
      </c>
      <c r="R626" s="6" t="s">
        <v>7906</v>
      </c>
      <c r="S626" s="6" t="s">
        <v>20</v>
      </c>
      <c r="T626" s="6" t="s">
        <v>7907</v>
      </c>
      <c r="U626" s="6" t="s">
        <v>3192</v>
      </c>
      <c r="V626" s="6" t="s">
        <v>5603</v>
      </c>
      <c r="W626" s="6" t="s">
        <v>3166</v>
      </c>
      <c r="X626" s="6" t="s">
        <v>77</v>
      </c>
      <c r="Y626" s="6" t="s">
        <v>3159</v>
      </c>
      <c r="Z626" s="6" t="s">
        <v>78</v>
      </c>
      <c r="AA626" s="6" t="s">
        <v>4708</v>
      </c>
      <c r="AB626" s="6"/>
      <c r="AC626" s="6" t="s">
        <v>3141</v>
      </c>
      <c r="AD626" s="6" t="s">
        <v>3152</v>
      </c>
      <c r="AE626" s="6" t="s">
        <v>3169</v>
      </c>
      <c r="AF626" s="6"/>
      <c r="AG626" s="6" t="s">
        <v>7371</v>
      </c>
      <c r="AH626" s="6" t="s">
        <v>79</v>
      </c>
    </row>
    <row r="627" spans="1:34" x14ac:dyDescent="0.25">
      <c r="A627" s="6" t="s">
        <v>2047</v>
      </c>
      <c r="B627" s="6" t="s">
        <v>1277</v>
      </c>
      <c r="C627" s="6"/>
      <c r="D627" s="6" t="s">
        <v>2048</v>
      </c>
      <c r="E627" s="6" t="s">
        <v>4155</v>
      </c>
      <c r="F627" s="6" t="s">
        <v>3137</v>
      </c>
      <c r="G627" s="6" t="s">
        <v>83</v>
      </c>
      <c r="H627" s="6" t="s">
        <v>84</v>
      </c>
      <c r="I627" s="6" t="s">
        <v>74</v>
      </c>
      <c r="J627" s="6" t="s">
        <v>7908</v>
      </c>
      <c r="K627" s="6" t="s">
        <v>3140</v>
      </c>
      <c r="L627" s="6" t="s">
        <v>3142</v>
      </c>
      <c r="M627" s="6" t="s">
        <v>3188</v>
      </c>
      <c r="N627" s="6" t="s">
        <v>3143</v>
      </c>
      <c r="O627" s="6" t="s">
        <v>3143</v>
      </c>
      <c r="P627" s="6" t="s">
        <v>7909</v>
      </c>
      <c r="Q627" s="6"/>
      <c r="R627" s="6" t="s">
        <v>7910</v>
      </c>
      <c r="S627" s="6" t="s">
        <v>3859</v>
      </c>
      <c r="T627" s="6" t="s">
        <v>7911</v>
      </c>
      <c r="U627" s="6" t="s">
        <v>3141</v>
      </c>
      <c r="V627" s="6" t="s">
        <v>6757</v>
      </c>
      <c r="W627" s="6" t="s">
        <v>3830</v>
      </c>
      <c r="X627" s="6" t="s">
        <v>77</v>
      </c>
      <c r="Y627" s="6" t="s">
        <v>3192</v>
      </c>
      <c r="Z627" s="6" t="s">
        <v>93</v>
      </c>
      <c r="AA627" s="6" t="s">
        <v>4764</v>
      </c>
      <c r="AB627" s="6"/>
      <c r="AC627" s="6" t="s">
        <v>3292</v>
      </c>
      <c r="AD627" s="6" t="s">
        <v>3160</v>
      </c>
      <c r="AE627" s="6" t="s">
        <v>3136</v>
      </c>
      <c r="AF627" s="6" t="s">
        <v>7912</v>
      </c>
      <c r="AG627" s="6" t="s">
        <v>7913</v>
      </c>
      <c r="AH627" s="6" t="s">
        <v>79</v>
      </c>
    </row>
    <row r="628" spans="1:34" x14ac:dyDescent="0.25">
      <c r="A628" s="6" t="s">
        <v>2049</v>
      </c>
      <c r="B628" s="6" t="s">
        <v>7914</v>
      </c>
      <c r="C628" s="6" t="s">
        <v>7915</v>
      </c>
      <c r="D628" s="6" t="s">
        <v>2050</v>
      </c>
      <c r="E628" s="6" t="s">
        <v>3226</v>
      </c>
      <c r="F628" s="6" t="s">
        <v>89</v>
      </c>
      <c r="G628" s="6" t="s">
        <v>139</v>
      </c>
      <c r="H628" s="6" t="s">
        <v>107</v>
      </c>
      <c r="I628" s="6" t="s">
        <v>92</v>
      </c>
      <c r="J628" s="6"/>
      <c r="K628" s="6" t="s">
        <v>3292</v>
      </c>
      <c r="L628" s="6" t="s">
        <v>76</v>
      </c>
      <c r="M628" s="6" t="s">
        <v>76</v>
      </c>
      <c r="N628" s="6" t="s">
        <v>3159</v>
      </c>
      <c r="O628" s="6" t="s">
        <v>3143</v>
      </c>
      <c r="P628" s="6" t="s">
        <v>4985</v>
      </c>
      <c r="Q628" s="6" t="s">
        <v>7916</v>
      </c>
      <c r="R628" s="6" t="s">
        <v>7917</v>
      </c>
      <c r="S628" s="6" t="s">
        <v>23</v>
      </c>
      <c r="T628" s="6" t="s">
        <v>7918</v>
      </c>
      <c r="U628" s="6" t="s">
        <v>3159</v>
      </c>
      <c r="V628" s="6" t="s">
        <v>4547</v>
      </c>
      <c r="W628" s="6" t="s">
        <v>3149</v>
      </c>
      <c r="X628" s="6" t="s">
        <v>85</v>
      </c>
      <c r="Y628" s="6" t="s">
        <v>3140</v>
      </c>
      <c r="Z628" s="6" t="s">
        <v>93</v>
      </c>
      <c r="AA628" s="6" t="s">
        <v>4485</v>
      </c>
      <c r="AB628" s="6"/>
      <c r="AC628" s="6" t="s">
        <v>3292</v>
      </c>
      <c r="AD628" s="6" t="s">
        <v>3160</v>
      </c>
      <c r="AE628" s="6" t="s">
        <v>3153</v>
      </c>
      <c r="AF628" s="6" t="s">
        <v>7919</v>
      </c>
      <c r="AG628" s="6" t="s">
        <v>7920</v>
      </c>
      <c r="AH628" s="6" t="s">
        <v>79</v>
      </c>
    </row>
    <row r="629" spans="1:34" x14ac:dyDescent="0.25">
      <c r="A629" s="6" t="s">
        <v>2051</v>
      </c>
      <c r="B629" s="6" t="s">
        <v>1168</v>
      </c>
      <c r="C629" s="6" t="s">
        <v>7921</v>
      </c>
      <c r="D629" s="6" t="s">
        <v>2052</v>
      </c>
      <c r="E629" s="6" t="s">
        <v>4358</v>
      </c>
      <c r="F629" s="6" t="s">
        <v>3201</v>
      </c>
      <c r="G629" s="6" t="s">
        <v>314</v>
      </c>
      <c r="H629" s="6" t="s">
        <v>132</v>
      </c>
      <c r="I629" s="6" t="s">
        <v>92</v>
      </c>
      <c r="J629" s="6" t="s">
        <v>7922</v>
      </c>
      <c r="K629" s="6" t="s">
        <v>3159</v>
      </c>
      <c r="L629" s="6" t="s">
        <v>3159</v>
      </c>
      <c r="M629" s="6" t="s">
        <v>3152</v>
      </c>
      <c r="N629" s="6" t="s">
        <v>3160</v>
      </c>
      <c r="O629" s="6" t="s">
        <v>3141</v>
      </c>
      <c r="P629" s="6" t="s">
        <v>5060</v>
      </c>
      <c r="Q629" s="6" t="s">
        <v>7923</v>
      </c>
      <c r="R629" s="6" t="s">
        <v>7924</v>
      </c>
      <c r="S629" s="6" t="s">
        <v>21</v>
      </c>
      <c r="T629" s="6" t="s">
        <v>7925</v>
      </c>
      <c r="U629" s="6" t="s">
        <v>3141</v>
      </c>
      <c r="V629" s="6" t="s">
        <v>4981</v>
      </c>
      <c r="W629" s="6" t="s">
        <v>3365</v>
      </c>
      <c r="X629" s="6" t="s">
        <v>161</v>
      </c>
      <c r="Y629" s="6" t="s">
        <v>3141</v>
      </c>
      <c r="Z629" s="6" t="s">
        <v>93</v>
      </c>
      <c r="AA629" s="6" t="s">
        <v>3565</v>
      </c>
      <c r="AB629" s="6"/>
      <c r="AC629" s="6" t="s">
        <v>3140</v>
      </c>
      <c r="AD629" s="6" t="s">
        <v>75</v>
      </c>
      <c r="AE629" s="6" t="s">
        <v>3293</v>
      </c>
      <c r="AF629" s="6"/>
      <c r="AG629" s="6" t="s">
        <v>7926</v>
      </c>
      <c r="AH629" s="6" t="s">
        <v>79</v>
      </c>
    </row>
    <row r="630" spans="1:34" x14ac:dyDescent="0.25">
      <c r="A630" s="6" t="s">
        <v>2053</v>
      </c>
      <c r="B630" s="6" t="s">
        <v>2054</v>
      </c>
      <c r="C630" s="6" t="s">
        <v>7927</v>
      </c>
      <c r="D630" s="6" t="s">
        <v>2055</v>
      </c>
      <c r="E630" s="6" t="s">
        <v>3483</v>
      </c>
      <c r="F630" s="6" t="s">
        <v>3227</v>
      </c>
      <c r="G630" s="6" t="s">
        <v>90</v>
      </c>
      <c r="H630" s="6" t="s">
        <v>91</v>
      </c>
      <c r="I630" s="6" t="s">
        <v>92</v>
      </c>
      <c r="J630" s="6" t="s">
        <v>7928</v>
      </c>
      <c r="K630" s="6" t="s">
        <v>3159</v>
      </c>
      <c r="L630" s="6" t="s">
        <v>3196</v>
      </c>
      <c r="M630" s="6" t="s">
        <v>75</v>
      </c>
      <c r="N630" s="6" t="s">
        <v>3143</v>
      </c>
      <c r="O630" s="6" t="s">
        <v>3143</v>
      </c>
      <c r="P630" s="6" t="s">
        <v>3400</v>
      </c>
      <c r="Q630" s="6"/>
      <c r="R630" s="6" t="s">
        <v>7929</v>
      </c>
      <c r="S630" s="6" t="s">
        <v>20</v>
      </c>
      <c r="T630" s="6"/>
      <c r="U630" s="6" t="s">
        <v>3141</v>
      </c>
      <c r="V630" s="6" t="s">
        <v>3810</v>
      </c>
      <c r="W630" s="6" t="s">
        <v>6628</v>
      </c>
      <c r="X630" s="6" t="s">
        <v>77</v>
      </c>
      <c r="Y630" s="6" t="s">
        <v>3140</v>
      </c>
      <c r="Z630" s="6" t="s">
        <v>78</v>
      </c>
      <c r="AA630" s="6" t="s">
        <v>7930</v>
      </c>
      <c r="AB630" s="6" t="s">
        <v>7931</v>
      </c>
      <c r="AC630" s="6" t="s">
        <v>3140</v>
      </c>
      <c r="AD630" s="6" t="s">
        <v>3152</v>
      </c>
      <c r="AE630" s="6" t="s">
        <v>3293</v>
      </c>
      <c r="AF630" s="6"/>
      <c r="AG630" s="6" t="s">
        <v>3848</v>
      </c>
      <c r="AH630" s="6" t="s">
        <v>79</v>
      </c>
    </row>
    <row r="631" spans="1:34" x14ac:dyDescent="0.25">
      <c r="A631" s="6" t="s">
        <v>2056</v>
      </c>
      <c r="B631" s="6" t="s">
        <v>2057</v>
      </c>
      <c r="C631" s="6"/>
      <c r="D631" s="6" t="s">
        <v>2058</v>
      </c>
      <c r="E631" s="6" t="s">
        <v>3617</v>
      </c>
      <c r="F631" s="6" t="s">
        <v>89</v>
      </c>
      <c r="G631" s="6" t="s">
        <v>388</v>
      </c>
      <c r="H631" s="6" t="s">
        <v>7343</v>
      </c>
      <c r="I631" s="6" t="s">
        <v>92</v>
      </c>
      <c r="J631" s="6" t="s">
        <v>7932</v>
      </c>
      <c r="K631" s="6" t="s">
        <v>3159</v>
      </c>
      <c r="L631" s="6" t="s">
        <v>75</v>
      </c>
      <c r="M631" s="6" t="s">
        <v>3243</v>
      </c>
      <c r="N631" s="6" t="s">
        <v>3159</v>
      </c>
      <c r="O631" s="6" t="s">
        <v>3143</v>
      </c>
      <c r="P631" s="6" t="s">
        <v>7933</v>
      </c>
      <c r="Q631" s="6" t="s">
        <v>7934</v>
      </c>
      <c r="R631" s="6" t="s">
        <v>7935</v>
      </c>
      <c r="S631" s="6" t="s">
        <v>22</v>
      </c>
      <c r="T631" s="6" t="s">
        <v>7936</v>
      </c>
      <c r="U631" s="6" t="s">
        <v>3292</v>
      </c>
      <c r="V631" s="6" t="s">
        <v>3893</v>
      </c>
      <c r="W631" s="6" t="s">
        <v>3642</v>
      </c>
      <c r="X631" s="6" t="s">
        <v>77</v>
      </c>
      <c r="Y631" s="6" t="s">
        <v>3141</v>
      </c>
      <c r="Z631" s="6" t="s">
        <v>93</v>
      </c>
      <c r="AA631" s="6" t="s">
        <v>7766</v>
      </c>
      <c r="AB631" s="6" t="s">
        <v>7937</v>
      </c>
      <c r="AC631" s="6" t="s">
        <v>3159</v>
      </c>
      <c r="AD631" s="6" t="s">
        <v>3243</v>
      </c>
      <c r="AE631" s="6" t="s">
        <v>3622</v>
      </c>
      <c r="AF631" s="6" t="s">
        <v>7938</v>
      </c>
      <c r="AG631" s="6" t="s">
        <v>7939</v>
      </c>
      <c r="AH631" s="6" t="s">
        <v>79</v>
      </c>
    </row>
    <row r="632" spans="1:34" x14ac:dyDescent="0.25">
      <c r="A632" s="6" t="s">
        <v>2059</v>
      </c>
      <c r="B632" s="6" t="s">
        <v>2060</v>
      </c>
      <c r="C632" s="6" t="s">
        <v>2061</v>
      </c>
      <c r="D632" s="6" t="s">
        <v>2062</v>
      </c>
      <c r="E632" s="6" t="s">
        <v>3483</v>
      </c>
      <c r="F632" s="6" t="s">
        <v>3201</v>
      </c>
      <c r="G632" s="6" t="s">
        <v>98</v>
      </c>
      <c r="H632" s="6" t="s">
        <v>99</v>
      </c>
      <c r="I632" s="6" t="s">
        <v>74</v>
      </c>
      <c r="J632" s="6" t="s">
        <v>7940</v>
      </c>
      <c r="K632" s="6" t="s">
        <v>3159</v>
      </c>
      <c r="L632" s="6" t="s">
        <v>3143</v>
      </c>
      <c r="M632" s="6" t="s">
        <v>3159</v>
      </c>
      <c r="N632" s="6" t="s">
        <v>3152</v>
      </c>
      <c r="O632" s="6" t="s">
        <v>3243</v>
      </c>
      <c r="P632" s="6" t="s">
        <v>5406</v>
      </c>
      <c r="Q632" s="6" t="s">
        <v>7941</v>
      </c>
      <c r="R632" s="6" t="s">
        <v>7942</v>
      </c>
      <c r="S632" s="6" t="s">
        <v>21</v>
      </c>
      <c r="T632" s="6" t="s">
        <v>7943</v>
      </c>
      <c r="U632" s="6" t="s">
        <v>3275</v>
      </c>
      <c r="V632" s="6" t="s">
        <v>7944</v>
      </c>
      <c r="W632" s="6" t="s">
        <v>4529</v>
      </c>
      <c r="X632" s="6" t="s">
        <v>85</v>
      </c>
      <c r="Y632" s="6" t="s">
        <v>3159</v>
      </c>
      <c r="Z632" s="6" t="s">
        <v>78</v>
      </c>
      <c r="AA632" s="6" t="s">
        <v>3467</v>
      </c>
      <c r="AB632" s="6"/>
      <c r="AC632" s="6" t="s">
        <v>3141</v>
      </c>
      <c r="AD632" s="6" t="s">
        <v>3152</v>
      </c>
      <c r="AE632" s="6" t="s">
        <v>3323</v>
      </c>
      <c r="AF632" s="6"/>
      <c r="AG632" s="6" t="s">
        <v>4337</v>
      </c>
      <c r="AH632" s="6" t="s">
        <v>79</v>
      </c>
    </row>
    <row r="633" spans="1:34" x14ac:dyDescent="0.25">
      <c r="A633" s="6" t="s">
        <v>2063</v>
      </c>
      <c r="B633" s="6" t="s">
        <v>1339</v>
      </c>
      <c r="C633" s="6" t="s">
        <v>2064</v>
      </c>
      <c r="D633" s="6" t="s">
        <v>7945</v>
      </c>
      <c r="E633" s="6" t="s">
        <v>3357</v>
      </c>
      <c r="F633" s="6" t="s">
        <v>3369</v>
      </c>
      <c r="G633" s="6" t="s">
        <v>139</v>
      </c>
      <c r="H633" s="6" t="s">
        <v>73</v>
      </c>
      <c r="I633" s="6" t="s">
        <v>74</v>
      </c>
      <c r="J633" s="6" t="s">
        <v>7946</v>
      </c>
      <c r="K633" s="6" t="s">
        <v>3141</v>
      </c>
      <c r="L633" s="6" t="s">
        <v>3160</v>
      </c>
      <c r="M633" s="6" t="s">
        <v>3243</v>
      </c>
      <c r="N633" s="6" t="s">
        <v>3243</v>
      </c>
      <c r="O633" s="6" t="s">
        <v>3243</v>
      </c>
      <c r="P633" s="6" t="s">
        <v>7373</v>
      </c>
      <c r="Q633" s="6" t="s">
        <v>7947</v>
      </c>
      <c r="R633" s="6" t="s">
        <v>7948</v>
      </c>
      <c r="S633" s="6" t="s">
        <v>6304</v>
      </c>
      <c r="T633" s="6"/>
      <c r="U633" s="6" t="s">
        <v>3141</v>
      </c>
      <c r="V633" s="6" t="s">
        <v>7047</v>
      </c>
      <c r="W633" s="6" t="s">
        <v>3415</v>
      </c>
      <c r="X633" s="6" t="s">
        <v>85</v>
      </c>
      <c r="Y633" s="6" t="s">
        <v>3159</v>
      </c>
      <c r="Z633" s="6" t="s">
        <v>93</v>
      </c>
      <c r="AA633" s="6" t="s">
        <v>3532</v>
      </c>
      <c r="AB633" s="6"/>
      <c r="AC633" s="6" t="s">
        <v>3292</v>
      </c>
      <c r="AD633" s="6" t="s">
        <v>3160</v>
      </c>
      <c r="AE633" s="6" t="s">
        <v>3331</v>
      </c>
      <c r="AF633" s="6" t="s">
        <v>7949</v>
      </c>
      <c r="AG633" s="6" t="s">
        <v>7950</v>
      </c>
      <c r="AH633" s="6" t="s">
        <v>79</v>
      </c>
    </row>
    <row r="634" spans="1:34" x14ac:dyDescent="0.25">
      <c r="A634" s="6" t="s">
        <v>2066</v>
      </c>
      <c r="B634" s="6" t="s">
        <v>2067</v>
      </c>
      <c r="C634" s="6" t="s">
        <v>7951</v>
      </c>
      <c r="D634" s="6" t="s">
        <v>2068</v>
      </c>
      <c r="E634" s="6" t="s">
        <v>3636</v>
      </c>
      <c r="F634" s="6" t="s">
        <v>71</v>
      </c>
      <c r="G634" s="6" t="s">
        <v>388</v>
      </c>
      <c r="H634" s="6" t="s">
        <v>91</v>
      </c>
      <c r="I634" s="6" t="s">
        <v>92</v>
      </c>
      <c r="J634" s="6" t="s">
        <v>7952</v>
      </c>
      <c r="K634" s="6" t="s">
        <v>3140</v>
      </c>
      <c r="L634" s="6" t="s">
        <v>3142</v>
      </c>
      <c r="M634" s="6" t="s">
        <v>75</v>
      </c>
      <c r="N634" s="6" t="s">
        <v>3160</v>
      </c>
      <c r="O634" s="6" t="s">
        <v>3173</v>
      </c>
      <c r="P634" s="6" t="s">
        <v>7953</v>
      </c>
      <c r="Q634" s="6" t="s">
        <v>7954</v>
      </c>
      <c r="R634" s="6" t="s">
        <v>7955</v>
      </c>
      <c r="S634" s="6" t="s">
        <v>21</v>
      </c>
      <c r="T634" s="6" t="s">
        <v>7956</v>
      </c>
      <c r="U634" s="6" t="s">
        <v>3292</v>
      </c>
      <c r="V634" s="6" t="s">
        <v>3352</v>
      </c>
      <c r="W634" s="6" t="s">
        <v>5017</v>
      </c>
      <c r="X634" s="6" t="s">
        <v>85</v>
      </c>
      <c r="Y634" s="6" t="s">
        <v>3292</v>
      </c>
      <c r="Z634" s="6" t="s">
        <v>93</v>
      </c>
      <c r="AA634" s="6" t="s">
        <v>3943</v>
      </c>
      <c r="AB634" s="6" t="s">
        <v>7957</v>
      </c>
      <c r="AC634" s="6" t="s">
        <v>3140</v>
      </c>
      <c r="AD634" s="6" t="s">
        <v>75</v>
      </c>
      <c r="AE634" s="6" t="s">
        <v>3323</v>
      </c>
      <c r="AF634" s="6"/>
      <c r="AG634" s="6" t="s">
        <v>4627</v>
      </c>
      <c r="AH634" s="6" t="s">
        <v>79</v>
      </c>
    </row>
    <row r="635" spans="1:34" x14ac:dyDescent="0.25">
      <c r="A635" s="6" t="s">
        <v>2069</v>
      </c>
      <c r="B635" s="6" t="s">
        <v>2070</v>
      </c>
      <c r="C635" s="6" t="s">
        <v>2071</v>
      </c>
      <c r="D635" s="6" t="s">
        <v>7958</v>
      </c>
      <c r="E635" s="6" t="s">
        <v>3213</v>
      </c>
      <c r="F635" s="6" t="s">
        <v>3137</v>
      </c>
      <c r="G635" s="6" t="s">
        <v>5020</v>
      </c>
      <c r="H635" s="6" t="s">
        <v>73</v>
      </c>
      <c r="I635" s="6" t="s">
        <v>74</v>
      </c>
      <c r="J635" s="6" t="s">
        <v>7959</v>
      </c>
      <c r="K635" s="6" t="s">
        <v>3159</v>
      </c>
      <c r="L635" s="6" t="s">
        <v>3159</v>
      </c>
      <c r="M635" s="6" t="s">
        <v>3152</v>
      </c>
      <c r="N635" s="6" t="s">
        <v>3160</v>
      </c>
      <c r="O635" s="6" t="s">
        <v>3141</v>
      </c>
      <c r="P635" s="6" t="s">
        <v>7960</v>
      </c>
      <c r="Q635" s="6" t="s">
        <v>7961</v>
      </c>
      <c r="R635" s="6" t="s">
        <v>7962</v>
      </c>
      <c r="S635" s="6" t="s">
        <v>20</v>
      </c>
      <c r="T635" s="6"/>
      <c r="U635" s="6" t="s">
        <v>3292</v>
      </c>
      <c r="V635" s="6" t="s">
        <v>6342</v>
      </c>
      <c r="W635" s="6" t="s">
        <v>4568</v>
      </c>
      <c r="X635" s="6" t="s">
        <v>77</v>
      </c>
      <c r="Y635" s="6" t="s">
        <v>3159</v>
      </c>
      <c r="Z635" s="6" t="s">
        <v>93</v>
      </c>
      <c r="AA635" s="6" t="s">
        <v>3802</v>
      </c>
      <c r="AB635" s="6"/>
      <c r="AC635" s="6" t="s">
        <v>3141</v>
      </c>
      <c r="AD635" s="6" t="s">
        <v>3160</v>
      </c>
      <c r="AE635" s="6" t="s">
        <v>3136</v>
      </c>
      <c r="AF635" s="6"/>
      <c r="AG635" s="6" t="s">
        <v>7963</v>
      </c>
      <c r="AH635" s="6" t="s">
        <v>79</v>
      </c>
    </row>
    <row r="636" spans="1:34" x14ac:dyDescent="0.25">
      <c r="A636" s="6" t="s">
        <v>2073</v>
      </c>
      <c r="B636" s="6" t="s">
        <v>2074</v>
      </c>
      <c r="C636" s="6" t="s">
        <v>7964</v>
      </c>
      <c r="D636" s="6" t="s">
        <v>7965</v>
      </c>
      <c r="E636" s="6" t="s">
        <v>3200</v>
      </c>
      <c r="F636" s="6" t="s">
        <v>3214</v>
      </c>
      <c r="G636" s="6" t="s">
        <v>72</v>
      </c>
      <c r="H636" s="6" t="s">
        <v>91</v>
      </c>
      <c r="I636" s="6" t="s">
        <v>92</v>
      </c>
      <c r="J636" s="6" t="s">
        <v>7966</v>
      </c>
      <c r="K636" s="6" t="s">
        <v>3140</v>
      </c>
      <c r="L636" s="6" t="s">
        <v>3243</v>
      </c>
      <c r="M636" s="6" t="s">
        <v>3188</v>
      </c>
      <c r="N636" s="6" t="s">
        <v>3188</v>
      </c>
      <c r="O636" s="6" t="s">
        <v>3160</v>
      </c>
      <c r="P636" s="6" t="s">
        <v>7967</v>
      </c>
      <c r="Q636" s="6" t="s">
        <v>7968</v>
      </c>
      <c r="R636" s="6" t="s">
        <v>7969</v>
      </c>
      <c r="S636" s="6" t="s">
        <v>21</v>
      </c>
      <c r="T636" s="6" t="s">
        <v>3217</v>
      </c>
      <c r="U636" s="6" t="s">
        <v>3141</v>
      </c>
      <c r="V636" s="6" t="s">
        <v>3447</v>
      </c>
      <c r="W636" s="6" t="s">
        <v>3150</v>
      </c>
      <c r="X636" s="6" t="s">
        <v>77</v>
      </c>
      <c r="Y636" s="6" t="s">
        <v>3140</v>
      </c>
      <c r="Z636" s="6" t="s">
        <v>93</v>
      </c>
      <c r="AA636" s="6" t="s">
        <v>3994</v>
      </c>
      <c r="AB636" s="6"/>
      <c r="AC636" s="6" t="s">
        <v>3292</v>
      </c>
      <c r="AD636" s="6" t="s">
        <v>76</v>
      </c>
      <c r="AE636" s="6" t="s">
        <v>3323</v>
      </c>
      <c r="AF636" s="6"/>
      <c r="AG636" s="6" t="s">
        <v>7970</v>
      </c>
      <c r="AH636" s="6" t="s">
        <v>3334</v>
      </c>
    </row>
    <row r="637" spans="1:34" x14ac:dyDescent="0.25">
      <c r="A637" s="6" t="s">
        <v>2076</v>
      </c>
      <c r="B637" s="6" t="s">
        <v>2077</v>
      </c>
      <c r="C637" s="6" t="s">
        <v>7971</v>
      </c>
      <c r="D637" s="6" t="s">
        <v>2078</v>
      </c>
      <c r="E637" s="6" t="s">
        <v>3296</v>
      </c>
      <c r="F637" s="6" t="s">
        <v>3283</v>
      </c>
      <c r="G637" s="6" t="s">
        <v>314</v>
      </c>
      <c r="H637" s="6" t="s">
        <v>73</v>
      </c>
      <c r="I637" s="6" t="s">
        <v>74</v>
      </c>
      <c r="J637" s="6"/>
      <c r="K637" s="6" t="s">
        <v>3292</v>
      </c>
      <c r="L637" s="6" t="s">
        <v>3159</v>
      </c>
      <c r="M637" s="6" t="s">
        <v>76</v>
      </c>
      <c r="N637" s="6" t="s">
        <v>3141</v>
      </c>
      <c r="O637" s="6" t="s">
        <v>3173</v>
      </c>
      <c r="P637" s="6" t="s">
        <v>5752</v>
      </c>
      <c r="Q637" s="6" t="s">
        <v>7972</v>
      </c>
      <c r="R637" s="6" t="s">
        <v>7973</v>
      </c>
      <c r="S637" s="6" t="s">
        <v>23</v>
      </c>
      <c r="T637" s="6"/>
      <c r="U637" s="6" t="s">
        <v>3140</v>
      </c>
      <c r="V637" s="6" t="s">
        <v>7974</v>
      </c>
      <c r="W637" s="6" t="s">
        <v>5215</v>
      </c>
      <c r="X637" s="6" t="s">
        <v>85</v>
      </c>
      <c r="Y637" s="6" t="s">
        <v>3159</v>
      </c>
      <c r="Z637" s="6" t="s">
        <v>78</v>
      </c>
      <c r="AA637" s="6" t="s">
        <v>3150</v>
      </c>
      <c r="AB637" s="6" t="s">
        <v>7975</v>
      </c>
      <c r="AC637" s="6" t="s">
        <v>3141</v>
      </c>
      <c r="AD637" s="6" t="s">
        <v>3141</v>
      </c>
      <c r="AE637" s="6" t="s">
        <v>3153</v>
      </c>
      <c r="AF637" s="6" t="s">
        <v>7976</v>
      </c>
      <c r="AG637" s="6"/>
      <c r="AH637" s="6" t="s">
        <v>79</v>
      </c>
    </row>
    <row r="638" spans="1:34" x14ac:dyDescent="0.25">
      <c r="A638" s="6" t="s">
        <v>2079</v>
      </c>
      <c r="B638" s="6" t="s">
        <v>627</v>
      </c>
      <c r="C638" s="6" t="s">
        <v>2080</v>
      </c>
      <c r="D638" s="6" t="s">
        <v>7977</v>
      </c>
      <c r="E638" s="6" t="s">
        <v>3346</v>
      </c>
      <c r="F638" s="6" t="s">
        <v>3201</v>
      </c>
      <c r="G638" s="6" t="s">
        <v>106</v>
      </c>
      <c r="H638" s="6" t="s">
        <v>144</v>
      </c>
      <c r="I638" s="6" t="s">
        <v>92</v>
      </c>
      <c r="J638" s="6" t="s">
        <v>7978</v>
      </c>
      <c r="K638" s="6" t="s">
        <v>3141</v>
      </c>
      <c r="L638" s="6" t="s">
        <v>3141</v>
      </c>
      <c r="M638" s="6" t="s">
        <v>3141</v>
      </c>
      <c r="N638" s="6" t="s">
        <v>3141</v>
      </c>
      <c r="O638" s="6" t="s">
        <v>3141</v>
      </c>
      <c r="P638" s="6" t="s">
        <v>7979</v>
      </c>
      <c r="Q638" s="6" t="s">
        <v>7980</v>
      </c>
      <c r="R638" s="6" t="s">
        <v>7981</v>
      </c>
      <c r="S638" s="6" t="s">
        <v>20</v>
      </c>
      <c r="T638" s="6" t="s">
        <v>7982</v>
      </c>
      <c r="U638" s="6" t="s">
        <v>3141</v>
      </c>
      <c r="V638" s="6" t="s">
        <v>6029</v>
      </c>
      <c r="W638" s="6" t="s">
        <v>4919</v>
      </c>
      <c r="X638" s="6" t="s">
        <v>85</v>
      </c>
      <c r="Y638" s="6" t="s">
        <v>3159</v>
      </c>
      <c r="Z638" s="6" t="s">
        <v>78</v>
      </c>
      <c r="AA638" s="6" t="s">
        <v>3853</v>
      </c>
      <c r="AB638" s="6"/>
      <c r="AC638" s="6" t="s">
        <v>3292</v>
      </c>
      <c r="AD638" s="6" t="s">
        <v>3141</v>
      </c>
      <c r="AE638" s="6" t="s">
        <v>3136</v>
      </c>
      <c r="AF638" s="6"/>
      <c r="AG638" s="6" t="s">
        <v>7983</v>
      </c>
      <c r="AH638" s="6" t="s">
        <v>79</v>
      </c>
    </row>
    <row r="639" spans="1:34" x14ac:dyDescent="0.25">
      <c r="A639" s="6" t="s">
        <v>2082</v>
      </c>
      <c r="B639" s="6" t="s">
        <v>7984</v>
      </c>
      <c r="C639" s="6"/>
      <c r="D639" s="6" t="s">
        <v>2084</v>
      </c>
      <c r="E639" s="6" t="s">
        <v>3254</v>
      </c>
      <c r="F639" s="6" t="s">
        <v>3201</v>
      </c>
      <c r="G639" s="6" t="s">
        <v>139</v>
      </c>
      <c r="H639" s="6" t="s">
        <v>144</v>
      </c>
      <c r="I639" s="6" t="s">
        <v>92</v>
      </c>
      <c r="J639" s="6" t="s">
        <v>3217</v>
      </c>
      <c r="K639" s="6" t="s">
        <v>3140</v>
      </c>
      <c r="L639" s="6" t="s">
        <v>3188</v>
      </c>
      <c r="M639" s="6" t="s">
        <v>3152</v>
      </c>
      <c r="N639" s="6" t="s">
        <v>76</v>
      </c>
      <c r="O639" s="6" t="s">
        <v>3160</v>
      </c>
      <c r="P639" s="6" t="s">
        <v>7985</v>
      </c>
      <c r="Q639" s="6" t="s">
        <v>3217</v>
      </c>
      <c r="R639" s="6" t="s">
        <v>7986</v>
      </c>
      <c r="S639" s="6" t="s">
        <v>3412</v>
      </c>
      <c r="T639" s="6" t="s">
        <v>7987</v>
      </c>
      <c r="U639" s="6" t="s">
        <v>3140</v>
      </c>
      <c r="V639" s="6" t="s">
        <v>7170</v>
      </c>
      <c r="W639" s="6" t="s">
        <v>5032</v>
      </c>
      <c r="X639" s="6" t="s">
        <v>3290</v>
      </c>
      <c r="Y639" s="6" t="s">
        <v>3140</v>
      </c>
      <c r="Z639" s="6" t="s">
        <v>78</v>
      </c>
      <c r="AA639" s="6" t="s">
        <v>3448</v>
      </c>
      <c r="AB639" s="6"/>
      <c r="AC639" s="6" t="s">
        <v>3292</v>
      </c>
      <c r="AD639" s="6" t="s">
        <v>75</v>
      </c>
      <c r="AE639" s="6" t="s">
        <v>3235</v>
      </c>
      <c r="AF639" s="6"/>
      <c r="AG639" s="6" t="s">
        <v>7988</v>
      </c>
      <c r="AH639" s="6" t="s">
        <v>79</v>
      </c>
    </row>
    <row r="640" spans="1:34" x14ac:dyDescent="0.25">
      <c r="A640" s="6" t="s">
        <v>2085</v>
      </c>
      <c r="B640" s="6" t="s">
        <v>824</v>
      </c>
      <c r="C640" s="6" t="s">
        <v>7989</v>
      </c>
      <c r="D640" s="6"/>
      <c r="E640" s="6" t="s">
        <v>3570</v>
      </c>
      <c r="F640" s="6" t="s">
        <v>71</v>
      </c>
      <c r="G640" s="6" t="s">
        <v>153</v>
      </c>
      <c r="H640" s="6" t="s">
        <v>107</v>
      </c>
      <c r="I640" s="6" t="s">
        <v>92</v>
      </c>
      <c r="J640" s="6" t="s">
        <v>7990</v>
      </c>
      <c r="K640" s="6" t="s">
        <v>3159</v>
      </c>
      <c r="L640" s="6" t="s">
        <v>3159</v>
      </c>
      <c r="M640" s="6" t="s">
        <v>3243</v>
      </c>
      <c r="N640" s="6" t="s">
        <v>3141</v>
      </c>
      <c r="O640" s="6" t="s">
        <v>3152</v>
      </c>
      <c r="P640" s="6" t="s">
        <v>7991</v>
      </c>
      <c r="Q640" s="6" t="s">
        <v>7992</v>
      </c>
      <c r="R640" s="6" t="s">
        <v>7993</v>
      </c>
      <c r="S640" s="6" t="s">
        <v>20</v>
      </c>
      <c r="T640" s="6" t="s">
        <v>3217</v>
      </c>
      <c r="U640" s="6" t="s">
        <v>3192</v>
      </c>
      <c r="V640" s="6" t="s">
        <v>7518</v>
      </c>
      <c r="W640" s="6" t="s">
        <v>4873</v>
      </c>
      <c r="X640" s="6" t="s">
        <v>77</v>
      </c>
      <c r="Y640" s="6" t="s">
        <v>3159</v>
      </c>
      <c r="Z640" s="6" t="s">
        <v>93</v>
      </c>
      <c r="AA640" s="6" t="s">
        <v>3395</v>
      </c>
      <c r="AB640" s="6"/>
      <c r="AC640" s="6" t="s">
        <v>3141</v>
      </c>
      <c r="AD640" s="6" t="s">
        <v>3160</v>
      </c>
      <c r="AE640" s="6" t="s">
        <v>3136</v>
      </c>
      <c r="AF640" s="6"/>
      <c r="AG640" s="6" t="s">
        <v>5679</v>
      </c>
      <c r="AH640" s="6" t="s">
        <v>79</v>
      </c>
    </row>
    <row r="641" spans="1:34" x14ac:dyDescent="0.25">
      <c r="A641" s="6" t="s">
        <v>2086</v>
      </c>
      <c r="B641" s="6" t="s">
        <v>2087</v>
      </c>
      <c r="C641" s="6" t="s">
        <v>2088</v>
      </c>
      <c r="D641" s="6" t="s">
        <v>7994</v>
      </c>
      <c r="E641" s="6" t="s">
        <v>3309</v>
      </c>
      <c r="F641" s="6" t="s">
        <v>3137</v>
      </c>
      <c r="G641" s="6" t="s">
        <v>83</v>
      </c>
      <c r="H641" s="6" t="s">
        <v>84</v>
      </c>
      <c r="I641" s="6" t="s">
        <v>74</v>
      </c>
      <c r="J641" s="6" t="s">
        <v>7995</v>
      </c>
      <c r="K641" s="6" t="s">
        <v>3159</v>
      </c>
      <c r="L641" s="6" t="s">
        <v>3143</v>
      </c>
      <c r="M641" s="6" t="s">
        <v>3188</v>
      </c>
      <c r="N641" s="6" t="s">
        <v>3243</v>
      </c>
      <c r="O641" s="6" t="s">
        <v>75</v>
      </c>
      <c r="P641" s="6" t="s">
        <v>4261</v>
      </c>
      <c r="Q641" s="6" t="s">
        <v>7996</v>
      </c>
      <c r="R641" s="6" t="s">
        <v>7997</v>
      </c>
      <c r="S641" s="6" t="s">
        <v>7464</v>
      </c>
      <c r="T641" s="6" t="s">
        <v>7998</v>
      </c>
      <c r="U641" s="6" t="s">
        <v>3159</v>
      </c>
      <c r="V641" s="6" t="s">
        <v>7999</v>
      </c>
      <c r="W641" s="6" t="s">
        <v>3802</v>
      </c>
      <c r="X641" s="6" t="s">
        <v>85</v>
      </c>
      <c r="Y641" s="6" t="s">
        <v>3292</v>
      </c>
      <c r="Z641" s="6" t="s">
        <v>78</v>
      </c>
      <c r="AA641" s="6" t="s">
        <v>6628</v>
      </c>
      <c r="AB641" s="6" t="s">
        <v>8000</v>
      </c>
      <c r="AC641" s="6" t="s">
        <v>3159</v>
      </c>
      <c r="AD641" s="6" t="s">
        <v>3188</v>
      </c>
      <c r="AE641" s="6" t="s">
        <v>3279</v>
      </c>
      <c r="AF641" s="6" t="s">
        <v>8001</v>
      </c>
      <c r="AG641" s="6" t="s">
        <v>6884</v>
      </c>
      <c r="AH641" s="6" t="s">
        <v>79</v>
      </c>
    </row>
    <row r="642" spans="1:34" x14ac:dyDescent="0.25">
      <c r="A642" s="6" t="s">
        <v>2090</v>
      </c>
      <c r="B642" s="6" t="s">
        <v>340</v>
      </c>
      <c r="C642" s="6" t="s">
        <v>2091</v>
      </c>
      <c r="D642" s="6" t="s">
        <v>8002</v>
      </c>
      <c r="E642" s="6" t="s">
        <v>3213</v>
      </c>
      <c r="F642" s="6" t="s">
        <v>3283</v>
      </c>
      <c r="G642" s="6" t="s">
        <v>127</v>
      </c>
      <c r="H642" s="6" t="s">
        <v>107</v>
      </c>
      <c r="I642" s="6" t="s">
        <v>92</v>
      </c>
      <c r="J642" s="6" t="s">
        <v>8003</v>
      </c>
      <c r="K642" s="6" t="s">
        <v>3159</v>
      </c>
      <c r="L642" s="6" t="s">
        <v>3143</v>
      </c>
      <c r="M642" s="6" t="s">
        <v>3159</v>
      </c>
      <c r="N642" s="6" t="s">
        <v>3152</v>
      </c>
      <c r="O642" s="6" t="s">
        <v>75</v>
      </c>
      <c r="P642" s="6" t="s">
        <v>5246</v>
      </c>
      <c r="Q642" s="6"/>
      <c r="R642" s="6" t="s">
        <v>8004</v>
      </c>
      <c r="S642" s="6" t="s">
        <v>23</v>
      </c>
      <c r="T642" s="6" t="s">
        <v>8005</v>
      </c>
      <c r="U642" s="6" t="s">
        <v>3141</v>
      </c>
      <c r="V642" s="6" t="s">
        <v>3854</v>
      </c>
      <c r="W642" s="6" t="s">
        <v>3249</v>
      </c>
      <c r="X642" s="6" t="s">
        <v>85</v>
      </c>
      <c r="Y642" s="6" t="s">
        <v>3140</v>
      </c>
      <c r="Z642" s="6" t="s">
        <v>93</v>
      </c>
      <c r="AA642" s="6" t="s">
        <v>5038</v>
      </c>
      <c r="AB642" s="6"/>
      <c r="AC642" s="6" t="s">
        <v>3140</v>
      </c>
      <c r="AD642" s="6" t="s">
        <v>3152</v>
      </c>
      <c r="AE642" s="6" t="s">
        <v>3153</v>
      </c>
      <c r="AF642" s="6" t="s">
        <v>8006</v>
      </c>
      <c r="AG642" s="6"/>
      <c r="AH642" s="6" t="s">
        <v>79</v>
      </c>
    </row>
    <row r="643" spans="1:34" x14ac:dyDescent="0.25">
      <c r="A643" s="6" t="s">
        <v>2093</v>
      </c>
      <c r="B643" s="6" t="s">
        <v>2094</v>
      </c>
      <c r="C643" s="6"/>
      <c r="D643" s="6" t="s">
        <v>2095</v>
      </c>
      <c r="E643" s="6" t="s">
        <v>3185</v>
      </c>
      <c r="F643" s="6" t="s">
        <v>3369</v>
      </c>
      <c r="G643" s="6" t="s">
        <v>417</v>
      </c>
      <c r="H643" s="6" t="s">
        <v>91</v>
      </c>
      <c r="I643" s="6" t="s">
        <v>92</v>
      </c>
      <c r="J643" s="6" t="s">
        <v>8007</v>
      </c>
      <c r="K643" s="6" t="s">
        <v>3141</v>
      </c>
      <c r="L643" s="6" t="s">
        <v>3160</v>
      </c>
      <c r="M643" s="6" t="s">
        <v>3243</v>
      </c>
      <c r="N643" s="6" t="s">
        <v>3152</v>
      </c>
      <c r="O643" s="6" t="s">
        <v>3143</v>
      </c>
      <c r="P643" s="6" t="s">
        <v>8008</v>
      </c>
      <c r="Q643" s="6" t="s">
        <v>8009</v>
      </c>
      <c r="R643" s="6" t="s">
        <v>8010</v>
      </c>
      <c r="S643" s="6" t="s">
        <v>20</v>
      </c>
      <c r="T643" s="6" t="s">
        <v>8011</v>
      </c>
      <c r="U643" s="6" t="s">
        <v>3141</v>
      </c>
      <c r="V643" s="6" t="s">
        <v>5401</v>
      </c>
      <c r="W643" s="6" t="s">
        <v>3683</v>
      </c>
      <c r="X643" s="6" t="s">
        <v>85</v>
      </c>
      <c r="Y643" s="6" t="s">
        <v>3141</v>
      </c>
      <c r="Z643" s="6" t="s">
        <v>93</v>
      </c>
      <c r="AA643" s="6" t="s">
        <v>4485</v>
      </c>
      <c r="AB643" s="6"/>
      <c r="AC643" s="6" t="s">
        <v>3141</v>
      </c>
      <c r="AD643" s="6" t="s">
        <v>3243</v>
      </c>
      <c r="AE643" s="6" t="s">
        <v>3169</v>
      </c>
      <c r="AF643" s="6"/>
      <c r="AG643" s="6"/>
      <c r="AH643" s="6" t="s">
        <v>79</v>
      </c>
    </row>
    <row r="644" spans="1:34" x14ac:dyDescent="0.25">
      <c r="A644" s="6" t="s">
        <v>2096</v>
      </c>
      <c r="B644" s="6" t="s">
        <v>2097</v>
      </c>
      <c r="C644" s="6" t="s">
        <v>8012</v>
      </c>
      <c r="D644" s="6" t="s">
        <v>2098</v>
      </c>
      <c r="E644" s="6"/>
      <c r="F644" s="6" t="s">
        <v>89</v>
      </c>
      <c r="G644" s="6" t="s">
        <v>153</v>
      </c>
      <c r="H644" s="6" t="s">
        <v>84</v>
      </c>
      <c r="I644" s="6" t="s">
        <v>74</v>
      </c>
      <c r="J644" s="6"/>
      <c r="K644" s="6" t="s">
        <v>3159</v>
      </c>
      <c r="L644" s="6" t="s">
        <v>3142</v>
      </c>
      <c r="M644" s="6" t="s">
        <v>3152</v>
      </c>
      <c r="N644" s="6" t="s">
        <v>3152</v>
      </c>
      <c r="O644" s="6" t="s">
        <v>3243</v>
      </c>
      <c r="P644" s="6" t="s">
        <v>7205</v>
      </c>
      <c r="Q644" s="6" t="s">
        <v>8013</v>
      </c>
      <c r="R644" s="6" t="s">
        <v>8014</v>
      </c>
      <c r="S644" s="6" t="s">
        <v>20</v>
      </c>
      <c r="T644" s="6" t="s">
        <v>8015</v>
      </c>
      <c r="U644" s="6" t="s">
        <v>3192</v>
      </c>
      <c r="V644" s="6" t="s">
        <v>8016</v>
      </c>
      <c r="W644" s="6" t="s">
        <v>3404</v>
      </c>
      <c r="X644" s="6" t="s">
        <v>77</v>
      </c>
      <c r="Y644" s="6" t="s">
        <v>3141</v>
      </c>
      <c r="Z644" s="6" t="s">
        <v>93</v>
      </c>
      <c r="AA644" s="6" t="s">
        <v>4227</v>
      </c>
      <c r="AB644" s="6"/>
      <c r="AC644" s="6" t="s">
        <v>3141</v>
      </c>
      <c r="AD644" s="6" t="s">
        <v>3243</v>
      </c>
      <c r="AE644" s="6" t="s">
        <v>3136</v>
      </c>
      <c r="AF644" s="6"/>
      <c r="AG644" s="6" t="s">
        <v>8017</v>
      </c>
      <c r="AH644" s="6" t="s">
        <v>79</v>
      </c>
    </row>
    <row r="645" spans="1:34" x14ac:dyDescent="0.25">
      <c r="A645" s="6" t="s">
        <v>2099</v>
      </c>
      <c r="B645" s="6" t="s">
        <v>480</v>
      </c>
      <c r="C645" s="6" t="s">
        <v>2100</v>
      </c>
      <c r="D645" s="6" t="s">
        <v>8018</v>
      </c>
      <c r="E645" s="6" t="s">
        <v>3136</v>
      </c>
      <c r="F645" s="6" t="s">
        <v>71</v>
      </c>
      <c r="G645" s="6" t="s">
        <v>72</v>
      </c>
      <c r="H645" s="6" t="s">
        <v>3241</v>
      </c>
      <c r="I645" s="6" t="s">
        <v>92</v>
      </c>
      <c r="J645" s="6" t="s">
        <v>8019</v>
      </c>
      <c r="K645" s="6" t="s">
        <v>3140</v>
      </c>
      <c r="L645" s="6" t="s">
        <v>3152</v>
      </c>
      <c r="M645" s="6" t="s">
        <v>76</v>
      </c>
      <c r="N645" s="6" t="s">
        <v>3142</v>
      </c>
      <c r="O645" s="6" t="s">
        <v>75</v>
      </c>
      <c r="P645" s="6" t="s">
        <v>3244</v>
      </c>
      <c r="Q645" s="6" t="s">
        <v>8020</v>
      </c>
      <c r="R645" s="6" t="s">
        <v>8021</v>
      </c>
      <c r="S645" s="6" t="s">
        <v>20</v>
      </c>
      <c r="T645" s="6" t="s">
        <v>8022</v>
      </c>
      <c r="U645" s="6" t="s">
        <v>3192</v>
      </c>
      <c r="V645" s="6" t="s">
        <v>8023</v>
      </c>
      <c r="W645" s="6" t="s">
        <v>3223</v>
      </c>
      <c r="X645" s="6" t="s">
        <v>85</v>
      </c>
      <c r="Y645" s="6" t="s">
        <v>3292</v>
      </c>
      <c r="Z645" s="6" t="s">
        <v>194</v>
      </c>
      <c r="AA645" s="6" t="s">
        <v>3776</v>
      </c>
      <c r="AB645" s="6" t="s">
        <v>8024</v>
      </c>
      <c r="AC645" s="6" t="s">
        <v>3159</v>
      </c>
      <c r="AD645" s="6" t="s">
        <v>3243</v>
      </c>
      <c r="AE645" s="6" t="s">
        <v>3235</v>
      </c>
      <c r="AF645" s="6"/>
      <c r="AG645" s="6" t="s">
        <v>8025</v>
      </c>
      <c r="AH645" s="6" t="s">
        <v>79</v>
      </c>
    </row>
    <row r="646" spans="1:34" x14ac:dyDescent="0.25">
      <c r="A646" s="6" t="s">
        <v>2102</v>
      </c>
      <c r="B646" s="6" t="s">
        <v>2103</v>
      </c>
      <c r="C646" s="6"/>
      <c r="D646" s="6" t="s">
        <v>2104</v>
      </c>
      <c r="E646" s="6" t="s">
        <v>3309</v>
      </c>
      <c r="F646" s="6" t="s">
        <v>71</v>
      </c>
      <c r="G646" s="6" t="s">
        <v>314</v>
      </c>
      <c r="H646" s="6" t="s">
        <v>107</v>
      </c>
      <c r="I646" s="6" t="s">
        <v>92</v>
      </c>
      <c r="J646" s="6" t="s">
        <v>8026</v>
      </c>
      <c r="K646" s="6" t="s">
        <v>3292</v>
      </c>
      <c r="L646" s="6" t="s">
        <v>3173</v>
      </c>
      <c r="M646" s="6" t="s">
        <v>3141</v>
      </c>
      <c r="N646" s="6" t="s">
        <v>3188</v>
      </c>
      <c r="O646" s="6" t="s">
        <v>76</v>
      </c>
      <c r="P646" s="6" t="s">
        <v>6995</v>
      </c>
      <c r="Q646" s="6" t="s">
        <v>8027</v>
      </c>
      <c r="R646" s="6" t="s">
        <v>8028</v>
      </c>
      <c r="S646" s="6" t="s">
        <v>20</v>
      </c>
      <c r="T646" s="6" t="s">
        <v>8029</v>
      </c>
      <c r="U646" s="6" t="s">
        <v>3141</v>
      </c>
      <c r="V646" s="6" t="s">
        <v>5357</v>
      </c>
      <c r="W646" s="6" t="s">
        <v>4485</v>
      </c>
      <c r="X646" s="6" t="s">
        <v>161</v>
      </c>
      <c r="Y646" s="6" t="s">
        <v>3141</v>
      </c>
      <c r="Z646" s="6" t="s">
        <v>93</v>
      </c>
      <c r="AA646" s="6" t="s">
        <v>4592</v>
      </c>
      <c r="AB646" s="6"/>
      <c r="AC646" s="6" t="s">
        <v>3159</v>
      </c>
      <c r="AD646" s="6" t="s">
        <v>3196</v>
      </c>
      <c r="AE646" s="6" t="s">
        <v>3136</v>
      </c>
      <c r="AF646" s="6"/>
      <c r="AG646" s="6" t="s">
        <v>8030</v>
      </c>
      <c r="AH646" s="6" t="s">
        <v>4004</v>
      </c>
    </row>
    <row r="647" spans="1:34" x14ac:dyDescent="0.25">
      <c r="A647" s="6" t="s">
        <v>2105</v>
      </c>
      <c r="B647" s="6" t="s">
        <v>2106</v>
      </c>
      <c r="C647" s="6" t="s">
        <v>2107</v>
      </c>
      <c r="D647" s="6" t="s">
        <v>2108</v>
      </c>
      <c r="E647" s="6" t="s">
        <v>3185</v>
      </c>
      <c r="F647" s="6" t="s">
        <v>3227</v>
      </c>
      <c r="G647" s="6" t="s">
        <v>106</v>
      </c>
      <c r="H647" s="6" t="s">
        <v>99</v>
      </c>
      <c r="I647" s="6" t="s">
        <v>74</v>
      </c>
      <c r="J647" s="6" t="s">
        <v>8031</v>
      </c>
      <c r="K647" s="6" t="s">
        <v>3159</v>
      </c>
      <c r="L647" s="6" t="s">
        <v>3173</v>
      </c>
      <c r="M647" s="6" t="s">
        <v>3160</v>
      </c>
      <c r="N647" s="6" t="s">
        <v>3143</v>
      </c>
      <c r="O647" s="6" t="s">
        <v>3141</v>
      </c>
      <c r="P647" s="6" t="s">
        <v>8032</v>
      </c>
      <c r="Q647" s="6" t="s">
        <v>3217</v>
      </c>
      <c r="R647" s="6" t="s">
        <v>8033</v>
      </c>
      <c r="S647" s="6" t="s">
        <v>22</v>
      </c>
      <c r="T647" s="6" t="s">
        <v>8034</v>
      </c>
      <c r="U647" s="6" t="s">
        <v>3141</v>
      </c>
      <c r="V647" s="6" t="s">
        <v>6395</v>
      </c>
      <c r="W647" s="6" t="s">
        <v>5002</v>
      </c>
      <c r="X647" s="6" t="s">
        <v>85</v>
      </c>
      <c r="Y647" s="6" t="s">
        <v>3141</v>
      </c>
      <c r="Z647" s="6" t="s">
        <v>93</v>
      </c>
      <c r="AA647" s="6" t="s">
        <v>4135</v>
      </c>
      <c r="AB647" s="6"/>
      <c r="AC647" s="6" t="s">
        <v>3141</v>
      </c>
      <c r="AD647" s="6" t="s">
        <v>3141</v>
      </c>
      <c r="AE647" s="6" t="s">
        <v>3279</v>
      </c>
      <c r="AF647" s="6" t="s">
        <v>8035</v>
      </c>
      <c r="AG647" s="6" t="s">
        <v>8036</v>
      </c>
      <c r="AH647" s="6" t="s">
        <v>3494</v>
      </c>
    </row>
    <row r="648" spans="1:34" x14ac:dyDescent="0.25">
      <c r="A648" s="6" t="s">
        <v>2109</v>
      </c>
      <c r="B648" s="6" t="s">
        <v>2110</v>
      </c>
      <c r="C648" s="6" t="s">
        <v>8037</v>
      </c>
      <c r="D648" s="6" t="s">
        <v>8038</v>
      </c>
      <c r="E648" s="6" t="s">
        <v>4687</v>
      </c>
      <c r="F648" s="6" t="s">
        <v>3283</v>
      </c>
      <c r="G648" s="6" t="s">
        <v>5235</v>
      </c>
      <c r="H648" s="6" t="s">
        <v>166</v>
      </c>
      <c r="I648" s="6" t="s">
        <v>74</v>
      </c>
      <c r="J648" s="6" t="s">
        <v>8039</v>
      </c>
      <c r="K648" s="6" t="s">
        <v>3141</v>
      </c>
      <c r="L648" s="6" t="s">
        <v>75</v>
      </c>
      <c r="M648" s="6" t="s">
        <v>75</v>
      </c>
      <c r="N648" s="6" t="s">
        <v>3160</v>
      </c>
      <c r="O648" s="6" t="s">
        <v>75</v>
      </c>
      <c r="P648" s="6" t="s">
        <v>8040</v>
      </c>
      <c r="Q648" s="6"/>
      <c r="R648" s="6" t="s">
        <v>8041</v>
      </c>
      <c r="S648" s="6" t="s">
        <v>20</v>
      </c>
      <c r="T648" s="6"/>
      <c r="U648" s="6" t="s">
        <v>3140</v>
      </c>
      <c r="V648" s="6" t="s">
        <v>5185</v>
      </c>
      <c r="W648" s="6" t="s">
        <v>3894</v>
      </c>
      <c r="X648" s="6" t="s">
        <v>77</v>
      </c>
      <c r="Y648" s="6" t="s">
        <v>3292</v>
      </c>
      <c r="Z648" s="6" t="s">
        <v>78</v>
      </c>
      <c r="AA648" s="6" t="s">
        <v>7208</v>
      </c>
      <c r="AB648" s="6"/>
      <c r="AC648" s="6" t="s">
        <v>3140</v>
      </c>
      <c r="AD648" s="6" t="s">
        <v>3141</v>
      </c>
      <c r="AE648" s="6" t="s">
        <v>3136</v>
      </c>
      <c r="AF648" s="6"/>
      <c r="AG648" s="6" t="s">
        <v>8042</v>
      </c>
      <c r="AH648" s="6" t="s">
        <v>79</v>
      </c>
    </row>
    <row r="649" spans="1:34" x14ac:dyDescent="0.25">
      <c r="A649" s="6" t="s">
        <v>2112</v>
      </c>
      <c r="B649" s="6" t="s">
        <v>2113</v>
      </c>
      <c r="C649" s="6" t="s">
        <v>8043</v>
      </c>
      <c r="D649" s="6" t="s">
        <v>8044</v>
      </c>
      <c r="E649" s="6" t="s">
        <v>3136</v>
      </c>
      <c r="F649" s="6" t="s">
        <v>3201</v>
      </c>
      <c r="G649" s="6" t="s">
        <v>83</v>
      </c>
      <c r="H649" s="6" t="s">
        <v>3834</v>
      </c>
      <c r="I649" s="6" t="s">
        <v>74</v>
      </c>
      <c r="J649" s="6" t="s">
        <v>8045</v>
      </c>
      <c r="K649" s="6" t="s">
        <v>3159</v>
      </c>
      <c r="L649" s="6" t="s">
        <v>3143</v>
      </c>
      <c r="M649" s="6" t="s">
        <v>3159</v>
      </c>
      <c r="N649" s="6" t="s">
        <v>3243</v>
      </c>
      <c r="O649" s="6" t="s">
        <v>3243</v>
      </c>
      <c r="P649" s="6" t="s">
        <v>5886</v>
      </c>
      <c r="Q649" s="6"/>
      <c r="R649" s="6" t="s">
        <v>8046</v>
      </c>
      <c r="S649" s="6" t="s">
        <v>20</v>
      </c>
      <c r="T649" s="6" t="s">
        <v>3217</v>
      </c>
      <c r="U649" s="6" t="s">
        <v>3141</v>
      </c>
      <c r="V649" s="6" t="s">
        <v>5578</v>
      </c>
      <c r="W649" s="6" t="s">
        <v>4194</v>
      </c>
      <c r="X649" s="6" t="s">
        <v>77</v>
      </c>
      <c r="Y649" s="6" t="s">
        <v>3159</v>
      </c>
      <c r="Z649" s="6" t="s">
        <v>78</v>
      </c>
      <c r="AA649" s="6" t="s">
        <v>3811</v>
      </c>
      <c r="AB649" s="6"/>
      <c r="AC649" s="6" t="s">
        <v>3159</v>
      </c>
      <c r="AD649" s="6" t="s">
        <v>3143</v>
      </c>
      <c r="AE649" s="6" t="s">
        <v>3293</v>
      </c>
      <c r="AF649" s="6"/>
      <c r="AG649" s="6" t="s">
        <v>6218</v>
      </c>
      <c r="AH649" s="6" t="s">
        <v>79</v>
      </c>
    </row>
    <row r="650" spans="1:34" x14ac:dyDescent="0.25">
      <c r="A650" s="6" t="s">
        <v>2115</v>
      </c>
      <c r="B650" s="6" t="s">
        <v>2116</v>
      </c>
      <c r="C650" s="6"/>
      <c r="D650" s="6" t="s">
        <v>2117</v>
      </c>
      <c r="E650" s="6" t="s">
        <v>3420</v>
      </c>
      <c r="F650" s="6" t="s">
        <v>71</v>
      </c>
      <c r="G650" s="6" t="s">
        <v>106</v>
      </c>
      <c r="H650" s="6" t="s">
        <v>132</v>
      </c>
      <c r="I650" s="6" t="s">
        <v>92</v>
      </c>
      <c r="J650" s="6" t="s">
        <v>3217</v>
      </c>
      <c r="K650" s="6" t="s">
        <v>3159</v>
      </c>
      <c r="L650" s="6" t="s">
        <v>3159</v>
      </c>
      <c r="M650" s="6" t="s">
        <v>3143</v>
      </c>
      <c r="N650" s="6" t="s">
        <v>3160</v>
      </c>
      <c r="O650" s="6" t="s">
        <v>3160</v>
      </c>
      <c r="P650" s="6" t="s">
        <v>4998</v>
      </c>
      <c r="Q650" s="6" t="s">
        <v>8047</v>
      </c>
      <c r="R650" s="6" t="s">
        <v>8048</v>
      </c>
      <c r="S650" s="6" t="s">
        <v>20</v>
      </c>
      <c r="T650" s="6" t="s">
        <v>8049</v>
      </c>
      <c r="U650" s="6" t="s">
        <v>3159</v>
      </c>
      <c r="V650" s="6" t="s">
        <v>8050</v>
      </c>
      <c r="W650" s="6" t="s">
        <v>4618</v>
      </c>
      <c r="X650" s="6" t="s">
        <v>85</v>
      </c>
      <c r="Y650" s="6" t="s">
        <v>3159</v>
      </c>
      <c r="Z650" s="6" t="s">
        <v>93</v>
      </c>
      <c r="AA650" s="6" t="s">
        <v>4787</v>
      </c>
      <c r="AB650" s="6" t="s">
        <v>8051</v>
      </c>
      <c r="AC650" s="6" t="s">
        <v>3141</v>
      </c>
      <c r="AD650" s="6" t="s">
        <v>3141</v>
      </c>
      <c r="AE650" s="6" t="s">
        <v>3169</v>
      </c>
      <c r="AF650" s="6"/>
      <c r="AG650" s="6"/>
      <c r="AH650" s="6" t="s">
        <v>79</v>
      </c>
    </row>
    <row r="651" spans="1:34" x14ac:dyDescent="0.25">
      <c r="A651" s="6" t="s">
        <v>2118</v>
      </c>
      <c r="B651" s="6" t="s">
        <v>2119</v>
      </c>
      <c r="C651" s="6" t="s">
        <v>8052</v>
      </c>
      <c r="D651" s="6" t="s">
        <v>8053</v>
      </c>
      <c r="E651" s="6" t="s">
        <v>3136</v>
      </c>
      <c r="F651" s="6" t="s">
        <v>3358</v>
      </c>
      <c r="G651" s="6" t="s">
        <v>174</v>
      </c>
      <c r="H651" s="6" t="s">
        <v>166</v>
      </c>
      <c r="I651" s="6" t="s">
        <v>74</v>
      </c>
      <c r="J651" s="6" t="s">
        <v>8054</v>
      </c>
      <c r="K651" s="6" t="s">
        <v>3140</v>
      </c>
      <c r="L651" s="6" t="s">
        <v>76</v>
      </c>
      <c r="M651" s="6" t="s">
        <v>3143</v>
      </c>
      <c r="N651" s="6" t="s">
        <v>3196</v>
      </c>
      <c r="O651" s="6" t="s">
        <v>3160</v>
      </c>
      <c r="P651" s="6" t="s">
        <v>6579</v>
      </c>
      <c r="Q651" s="6"/>
      <c r="R651" s="6" t="s">
        <v>8055</v>
      </c>
      <c r="S651" s="6" t="s">
        <v>23</v>
      </c>
      <c r="T651" s="6" t="s">
        <v>8056</v>
      </c>
      <c r="U651" s="6" t="s">
        <v>3159</v>
      </c>
      <c r="V651" s="6" t="s">
        <v>3303</v>
      </c>
      <c r="W651" s="6" t="s">
        <v>3541</v>
      </c>
      <c r="X651" s="6" t="s">
        <v>3290</v>
      </c>
      <c r="Y651" s="6" t="s">
        <v>3159</v>
      </c>
      <c r="Z651" s="6" t="s">
        <v>78</v>
      </c>
      <c r="AA651" s="6" t="s">
        <v>3404</v>
      </c>
      <c r="AB651" s="6"/>
      <c r="AC651" s="6" t="s">
        <v>3141</v>
      </c>
      <c r="AD651" s="6" t="s">
        <v>3243</v>
      </c>
      <c r="AE651" s="6" t="s">
        <v>3428</v>
      </c>
      <c r="AF651" s="6" t="s">
        <v>8057</v>
      </c>
      <c r="AG651" s="6"/>
      <c r="AH651" s="6" t="s">
        <v>79</v>
      </c>
    </row>
    <row r="652" spans="1:34" x14ac:dyDescent="0.25">
      <c r="A652" s="6" t="s">
        <v>2121</v>
      </c>
      <c r="B652" s="6" t="s">
        <v>2122</v>
      </c>
      <c r="C652" s="6" t="s">
        <v>2123</v>
      </c>
      <c r="D652" s="6" t="s">
        <v>2124</v>
      </c>
      <c r="E652" s="6" t="s">
        <v>3647</v>
      </c>
      <c r="F652" s="6" t="s">
        <v>71</v>
      </c>
      <c r="G652" s="6" t="s">
        <v>4604</v>
      </c>
      <c r="H652" s="6" t="s">
        <v>99</v>
      </c>
      <c r="I652" s="6" t="s">
        <v>74</v>
      </c>
      <c r="J652" s="6" t="s">
        <v>8058</v>
      </c>
      <c r="K652" s="6" t="s">
        <v>3292</v>
      </c>
      <c r="L652" s="6" t="s">
        <v>76</v>
      </c>
      <c r="M652" s="6" t="s">
        <v>3173</v>
      </c>
      <c r="N652" s="6" t="s">
        <v>3160</v>
      </c>
      <c r="O652" s="6" t="s">
        <v>76</v>
      </c>
      <c r="P652" s="6" t="s">
        <v>3688</v>
      </c>
      <c r="Q652" s="6" t="s">
        <v>8059</v>
      </c>
      <c r="R652" s="6" t="s">
        <v>8060</v>
      </c>
      <c r="S652" s="6" t="s">
        <v>21</v>
      </c>
      <c r="T652" s="6" t="s">
        <v>8061</v>
      </c>
      <c r="U652" s="6" t="s">
        <v>3292</v>
      </c>
      <c r="V652" s="6" t="s">
        <v>8062</v>
      </c>
      <c r="W652" s="6" t="s">
        <v>3222</v>
      </c>
      <c r="X652" s="6" t="s">
        <v>85</v>
      </c>
      <c r="Y652" s="6" t="s">
        <v>3141</v>
      </c>
      <c r="Z652" s="6" t="s">
        <v>78</v>
      </c>
      <c r="AA652" s="6" t="s">
        <v>3276</v>
      </c>
      <c r="AB652" s="6"/>
      <c r="AC652" s="6" t="s">
        <v>3140</v>
      </c>
      <c r="AD652" s="6" t="s">
        <v>3143</v>
      </c>
      <c r="AE652" s="6" t="s">
        <v>3279</v>
      </c>
      <c r="AF652" s="6"/>
      <c r="AG652" s="6" t="s">
        <v>8063</v>
      </c>
      <c r="AH652" s="6" t="s">
        <v>94</v>
      </c>
    </row>
    <row r="653" spans="1:34" x14ac:dyDescent="0.25">
      <c r="A653" s="6" t="s">
        <v>2125</v>
      </c>
      <c r="B653" s="6" t="s">
        <v>2126</v>
      </c>
      <c r="C653" s="6" t="s">
        <v>2127</v>
      </c>
      <c r="D653" s="6"/>
      <c r="E653" s="6" t="s">
        <v>3617</v>
      </c>
      <c r="F653" s="6" t="s">
        <v>71</v>
      </c>
      <c r="G653" s="6" t="s">
        <v>90</v>
      </c>
      <c r="H653" s="6" t="s">
        <v>73</v>
      </c>
      <c r="I653" s="6" t="s">
        <v>74</v>
      </c>
      <c r="J653" s="6"/>
      <c r="K653" s="6" t="s">
        <v>3159</v>
      </c>
      <c r="L653" s="6" t="s">
        <v>3142</v>
      </c>
      <c r="M653" s="6" t="s">
        <v>3152</v>
      </c>
      <c r="N653" s="6" t="s">
        <v>3243</v>
      </c>
      <c r="O653" s="6" t="s">
        <v>3243</v>
      </c>
      <c r="P653" s="6" t="s">
        <v>8064</v>
      </c>
      <c r="Q653" s="6" t="s">
        <v>8065</v>
      </c>
      <c r="R653" s="6" t="s">
        <v>8066</v>
      </c>
      <c r="S653" s="6" t="s">
        <v>22</v>
      </c>
      <c r="T653" s="6" t="s">
        <v>8067</v>
      </c>
      <c r="U653" s="6" t="s">
        <v>3141</v>
      </c>
      <c r="V653" s="6" t="s">
        <v>3149</v>
      </c>
      <c r="W653" s="6" t="s">
        <v>3965</v>
      </c>
      <c r="X653" s="6" t="s">
        <v>77</v>
      </c>
      <c r="Y653" s="6" t="s">
        <v>3159</v>
      </c>
      <c r="Z653" s="6" t="s">
        <v>78</v>
      </c>
      <c r="AA653" s="6" t="s">
        <v>3692</v>
      </c>
      <c r="AB653" s="6"/>
      <c r="AC653" s="6" t="s">
        <v>3159</v>
      </c>
      <c r="AD653" s="6" t="s">
        <v>3143</v>
      </c>
      <c r="AE653" s="6" t="s">
        <v>3210</v>
      </c>
      <c r="AF653" s="6" t="s">
        <v>8068</v>
      </c>
      <c r="AG653" s="6"/>
      <c r="AH653" s="6" t="s">
        <v>79</v>
      </c>
    </row>
    <row r="654" spans="1:34" x14ac:dyDescent="0.25">
      <c r="A654" s="6" t="s">
        <v>2128</v>
      </c>
      <c r="B654" s="6" t="s">
        <v>2129</v>
      </c>
      <c r="C654" s="6" t="s">
        <v>2130</v>
      </c>
      <c r="D654" s="6" t="s">
        <v>8069</v>
      </c>
      <c r="E654" s="6" t="s">
        <v>3346</v>
      </c>
      <c r="F654" s="6" t="s">
        <v>3201</v>
      </c>
      <c r="G654" s="6" t="s">
        <v>115</v>
      </c>
      <c r="H654" s="6" t="s">
        <v>103</v>
      </c>
      <c r="I654" s="6" t="s">
        <v>74</v>
      </c>
      <c r="J654" s="6" t="s">
        <v>3217</v>
      </c>
      <c r="K654" s="6" t="s">
        <v>3140</v>
      </c>
      <c r="L654" s="6" t="s">
        <v>3141</v>
      </c>
      <c r="M654" s="6" t="s">
        <v>3188</v>
      </c>
      <c r="N654" s="6" t="s">
        <v>3160</v>
      </c>
      <c r="O654" s="6" t="s">
        <v>3188</v>
      </c>
      <c r="P654" s="6" t="s">
        <v>5709</v>
      </c>
      <c r="Q654" s="6"/>
      <c r="R654" s="6" t="s">
        <v>8070</v>
      </c>
      <c r="S654" s="6" t="s">
        <v>23</v>
      </c>
      <c r="T654" s="6"/>
      <c r="U654" s="6" t="s">
        <v>3159</v>
      </c>
      <c r="V654" s="6" t="s">
        <v>8071</v>
      </c>
      <c r="W654" s="6" t="s">
        <v>3316</v>
      </c>
      <c r="X654" s="6" t="s">
        <v>77</v>
      </c>
      <c r="Y654" s="6" t="s">
        <v>3292</v>
      </c>
      <c r="Z654" s="6" t="s">
        <v>93</v>
      </c>
      <c r="AA654" s="6" t="s">
        <v>3698</v>
      </c>
      <c r="AB654" s="6" t="s">
        <v>8072</v>
      </c>
      <c r="AC654" s="6" t="s">
        <v>3159</v>
      </c>
      <c r="AD654" s="6" t="s">
        <v>3159</v>
      </c>
      <c r="AE654" s="6" t="s">
        <v>3331</v>
      </c>
      <c r="AF654" s="6" t="s">
        <v>8073</v>
      </c>
      <c r="AG654" s="6" t="s">
        <v>8074</v>
      </c>
      <c r="AH654" s="6" t="s">
        <v>79</v>
      </c>
    </row>
    <row r="655" spans="1:34" x14ac:dyDescent="0.25">
      <c r="A655" s="6" t="s">
        <v>2132</v>
      </c>
      <c r="B655" s="6" t="s">
        <v>2133</v>
      </c>
      <c r="C655" s="6" t="s">
        <v>8075</v>
      </c>
      <c r="D655" s="6" t="s">
        <v>2134</v>
      </c>
      <c r="E655" s="6" t="s">
        <v>4190</v>
      </c>
      <c r="F655" s="6" t="s">
        <v>3283</v>
      </c>
      <c r="G655" s="6" t="s">
        <v>5020</v>
      </c>
      <c r="H655" s="6" t="s">
        <v>84</v>
      </c>
      <c r="I655" s="6" t="s">
        <v>74</v>
      </c>
      <c r="J655" s="6" t="s">
        <v>3217</v>
      </c>
      <c r="K655" s="6" t="s">
        <v>3140</v>
      </c>
      <c r="L655" s="6" t="s">
        <v>3159</v>
      </c>
      <c r="M655" s="6" t="s">
        <v>3152</v>
      </c>
      <c r="N655" s="6" t="s">
        <v>3173</v>
      </c>
      <c r="O655" s="6" t="s">
        <v>3160</v>
      </c>
      <c r="P655" s="6" t="s">
        <v>8076</v>
      </c>
      <c r="Q655" s="6" t="s">
        <v>8077</v>
      </c>
      <c r="R655" s="6" t="s">
        <v>8078</v>
      </c>
      <c r="S655" s="6" t="s">
        <v>21</v>
      </c>
      <c r="T655" s="6" t="s">
        <v>8079</v>
      </c>
      <c r="U655" s="6" t="s">
        <v>3141</v>
      </c>
      <c r="V655" s="6" t="s">
        <v>6590</v>
      </c>
      <c r="W655" s="6" t="s">
        <v>4014</v>
      </c>
      <c r="X655" s="6" t="s">
        <v>85</v>
      </c>
      <c r="Y655" s="6" t="s">
        <v>3140</v>
      </c>
      <c r="Z655" s="6" t="s">
        <v>93</v>
      </c>
      <c r="AA655" s="6" t="s">
        <v>4013</v>
      </c>
      <c r="AB655" s="6"/>
      <c r="AC655" s="6" t="s">
        <v>3292</v>
      </c>
      <c r="AD655" s="6" t="s">
        <v>3141</v>
      </c>
      <c r="AE655" s="6" t="s">
        <v>3293</v>
      </c>
      <c r="AF655" s="6"/>
      <c r="AG655" s="6" t="s">
        <v>8080</v>
      </c>
      <c r="AH655" s="6" t="s">
        <v>94</v>
      </c>
    </row>
    <row r="656" spans="1:34" x14ac:dyDescent="0.25">
      <c r="A656" s="6" t="s">
        <v>2135</v>
      </c>
      <c r="B656" s="6" t="s">
        <v>2136</v>
      </c>
      <c r="C656" s="6" t="s">
        <v>2137</v>
      </c>
      <c r="D656" s="6" t="s">
        <v>2138</v>
      </c>
      <c r="E656" s="6" t="s">
        <v>3323</v>
      </c>
      <c r="F656" s="6" t="s">
        <v>3201</v>
      </c>
      <c r="G656" s="6" t="s">
        <v>139</v>
      </c>
      <c r="H656" s="6" t="s">
        <v>107</v>
      </c>
      <c r="I656" s="6" t="s">
        <v>92</v>
      </c>
      <c r="J656" s="6"/>
      <c r="K656" s="6" t="s">
        <v>3159</v>
      </c>
      <c r="L656" s="6" t="s">
        <v>3152</v>
      </c>
      <c r="M656" s="6" t="s">
        <v>3243</v>
      </c>
      <c r="N656" s="6" t="s">
        <v>3142</v>
      </c>
      <c r="O656" s="6" t="s">
        <v>3143</v>
      </c>
      <c r="P656" s="6" t="s">
        <v>4505</v>
      </c>
      <c r="Q656" s="6" t="s">
        <v>8081</v>
      </c>
      <c r="R656" s="6" t="s">
        <v>8082</v>
      </c>
      <c r="S656" s="6" t="s">
        <v>22</v>
      </c>
      <c r="T656" s="6" t="s">
        <v>8083</v>
      </c>
      <c r="U656" s="6" t="s">
        <v>3159</v>
      </c>
      <c r="V656" s="6" t="s">
        <v>8084</v>
      </c>
      <c r="W656" s="6" t="s">
        <v>3728</v>
      </c>
      <c r="X656" s="6" t="s">
        <v>85</v>
      </c>
      <c r="Y656" s="6" t="s">
        <v>3141</v>
      </c>
      <c r="Z656" s="6" t="s">
        <v>93</v>
      </c>
      <c r="AA656" s="6" t="s">
        <v>6870</v>
      </c>
      <c r="AB656" s="6" t="s">
        <v>8085</v>
      </c>
      <c r="AC656" s="6" t="s">
        <v>3141</v>
      </c>
      <c r="AD656" s="6" t="s">
        <v>3141</v>
      </c>
      <c r="AE656" s="6" t="s">
        <v>3323</v>
      </c>
      <c r="AF656" s="6" t="s">
        <v>8086</v>
      </c>
      <c r="AG656" s="6" t="s">
        <v>8087</v>
      </c>
      <c r="AH656" s="6" t="s">
        <v>79</v>
      </c>
    </row>
    <row r="657" spans="1:34" x14ac:dyDescent="0.25">
      <c r="A657" s="6" t="s">
        <v>2139</v>
      </c>
      <c r="B657" s="6" t="s">
        <v>2140</v>
      </c>
      <c r="C657" s="6" t="s">
        <v>8088</v>
      </c>
      <c r="D657" s="6" t="s">
        <v>8089</v>
      </c>
      <c r="E657" s="6" t="s">
        <v>3136</v>
      </c>
      <c r="F657" s="6" t="s">
        <v>3137</v>
      </c>
      <c r="G657" s="6" t="s">
        <v>115</v>
      </c>
      <c r="H657" s="6" t="s">
        <v>84</v>
      </c>
      <c r="I657" s="6" t="s">
        <v>74</v>
      </c>
      <c r="J657" s="6" t="s">
        <v>8090</v>
      </c>
      <c r="K657" s="6" t="s">
        <v>3159</v>
      </c>
      <c r="L657" s="6" t="s">
        <v>3243</v>
      </c>
      <c r="M657" s="6" t="s">
        <v>75</v>
      </c>
      <c r="N657" s="6" t="s">
        <v>3196</v>
      </c>
      <c r="O657" s="6" t="s">
        <v>75</v>
      </c>
      <c r="P657" s="6" t="s">
        <v>4857</v>
      </c>
      <c r="Q657" s="6" t="s">
        <v>8091</v>
      </c>
      <c r="R657" s="6" t="s">
        <v>8092</v>
      </c>
      <c r="S657" s="6" t="s">
        <v>22</v>
      </c>
      <c r="T657" s="6"/>
      <c r="U657" s="6" t="s">
        <v>3292</v>
      </c>
      <c r="V657" s="6" t="s">
        <v>8093</v>
      </c>
      <c r="W657" s="6" t="s">
        <v>5038</v>
      </c>
      <c r="X657" s="6" t="s">
        <v>85</v>
      </c>
      <c r="Y657" s="6" t="s">
        <v>3159</v>
      </c>
      <c r="Z657" s="6" t="s">
        <v>93</v>
      </c>
      <c r="AA657" s="6" t="s">
        <v>4485</v>
      </c>
      <c r="AB657" s="6"/>
      <c r="AC657" s="6" t="s">
        <v>3141</v>
      </c>
      <c r="AD657" s="6" t="s">
        <v>3243</v>
      </c>
      <c r="AE657" s="6" t="s">
        <v>3279</v>
      </c>
      <c r="AF657" s="6" t="s">
        <v>8094</v>
      </c>
      <c r="AG657" s="6" t="s">
        <v>6691</v>
      </c>
      <c r="AH657" s="6" t="s">
        <v>79</v>
      </c>
    </row>
    <row r="658" spans="1:34" x14ac:dyDescent="0.25">
      <c r="A658" s="6" t="s">
        <v>2142</v>
      </c>
      <c r="B658" s="6" t="s">
        <v>1769</v>
      </c>
      <c r="C658" s="6" t="s">
        <v>8095</v>
      </c>
      <c r="D658" s="6" t="s">
        <v>2143</v>
      </c>
      <c r="E658" s="6" t="s">
        <v>3254</v>
      </c>
      <c r="F658" s="6" t="s">
        <v>71</v>
      </c>
      <c r="G658" s="6" t="s">
        <v>106</v>
      </c>
      <c r="H658" s="6" t="s">
        <v>144</v>
      </c>
      <c r="I658" s="6" t="s">
        <v>92</v>
      </c>
      <c r="J658" s="6" t="s">
        <v>8096</v>
      </c>
      <c r="K658" s="6" t="s">
        <v>3140</v>
      </c>
      <c r="L658" s="6" t="s">
        <v>3160</v>
      </c>
      <c r="M658" s="6" t="s">
        <v>3159</v>
      </c>
      <c r="N658" s="6" t="s">
        <v>3196</v>
      </c>
      <c r="O658" s="6" t="s">
        <v>3141</v>
      </c>
      <c r="P658" s="6" t="s">
        <v>7401</v>
      </c>
      <c r="Q658" s="6" t="s">
        <v>8097</v>
      </c>
      <c r="R658" s="6" t="s">
        <v>8098</v>
      </c>
      <c r="S658" s="6" t="s">
        <v>22</v>
      </c>
      <c r="T658" s="6" t="s">
        <v>8099</v>
      </c>
      <c r="U658" s="6" t="s">
        <v>3141</v>
      </c>
      <c r="V658" s="6" t="s">
        <v>8100</v>
      </c>
      <c r="W658" s="6" t="s">
        <v>3691</v>
      </c>
      <c r="X658" s="6" t="s">
        <v>77</v>
      </c>
      <c r="Y658" s="6" t="s">
        <v>3141</v>
      </c>
      <c r="Z658" s="6" t="s">
        <v>78</v>
      </c>
      <c r="AA658" s="6" t="s">
        <v>4126</v>
      </c>
      <c r="AB658" s="6"/>
      <c r="AC658" s="6" t="s">
        <v>3159</v>
      </c>
      <c r="AD658" s="6" t="s">
        <v>3160</v>
      </c>
      <c r="AE658" s="6" t="s">
        <v>3279</v>
      </c>
      <c r="AF658" s="6" t="s">
        <v>8101</v>
      </c>
      <c r="AG658" s="6" t="s">
        <v>8102</v>
      </c>
      <c r="AH658" s="6" t="s">
        <v>79</v>
      </c>
    </row>
    <row r="659" spans="1:34" x14ac:dyDescent="0.25">
      <c r="A659" s="6" t="s">
        <v>2144</v>
      </c>
      <c r="B659" s="6" t="s">
        <v>1614</v>
      </c>
      <c r="C659" s="6" t="s">
        <v>8103</v>
      </c>
      <c r="D659" s="6" t="s">
        <v>2145</v>
      </c>
      <c r="E659" s="6" t="s">
        <v>3703</v>
      </c>
      <c r="F659" s="6" t="s">
        <v>3269</v>
      </c>
      <c r="G659" s="6" t="s">
        <v>4243</v>
      </c>
      <c r="H659" s="6" t="s">
        <v>91</v>
      </c>
      <c r="I659" s="6" t="s">
        <v>92</v>
      </c>
      <c r="J659" s="6"/>
      <c r="K659" s="6" t="s">
        <v>3159</v>
      </c>
      <c r="L659" s="6" t="s">
        <v>3173</v>
      </c>
      <c r="M659" s="6" t="s">
        <v>75</v>
      </c>
      <c r="N659" s="6" t="s">
        <v>3141</v>
      </c>
      <c r="O659" s="6" t="s">
        <v>3143</v>
      </c>
      <c r="P659" s="6" t="s">
        <v>8104</v>
      </c>
      <c r="Q659" s="6" t="s">
        <v>8105</v>
      </c>
      <c r="R659" s="6" t="s">
        <v>8106</v>
      </c>
      <c r="S659" s="6" t="s">
        <v>23</v>
      </c>
      <c r="T659" s="6" t="s">
        <v>8107</v>
      </c>
      <c r="U659" s="6" t="s">
        <v>3141</v>
      </c>
      <c r="V659" s="6" t="s">
        <v>4226</v>
      </c>
      <c r="W659" s="6" t="s">
        <v>3987</v>
      </c>
      <c r="X659" s="6" t="s">
        <v>3167</v>
      </c>
      <c r="Y659" s="6" t="s">
        <v>3159</v>
      </c>
      <c r="Z659" s="6" t="s">
        <v>78</v>
      </c>
      <c r="AA659" s="6" t="s">
        <v>4176</v>
      </c>
      <c r="AB659" s="6"/>
      <c r="AC659" s="6" t="s">
        <v>3141</v>
      </c>
      <c r="AD659" s="6" t="s">
        <v>3143</v>
      </c>
      <c r="AE659" s="6" t="s">
        <v>3513</v>
      </c>
      <c r="AF659" s="6" t="s">
        <v>8108</v>
      </c>
      <c r="AG659" s="6" t="s">
        <v>8109</v>
      </c>
      <c r="AH659" s="6" t="s">
        <v>79</v>
      </c>
    </row>
    <row r="660" spans="1:34" x14ac:dyDescent="0.25">
      <c r="A660" s="6" t="s">
        <v>2146</v>
      </c>
      <c r="B660" s="6" t="s">
        <v>272</v>
      </c>
      <c r="C660" s="6" t="s">
        <v>8110</v>
      </c>
      <c r="D660" s="6" t="s">
        <v>2147</v>
      </c>
      <c r="E660" s="6" t="s">
        <v>3420</v>
      </c>
      <c r="F660" s="6" t="s">
        <v>3201</v>
      </c>
      <c r="G660" s="6" t="s">
        <v>174</v>
      </c>
      <c r="H660" s="6" t="s">
        <v>84</v>
      </c>
      <c r="I660" s="6" t="s">
        <v>74</v>
      </c>
      <c r="J660" s="6" t="s">
        <v>3217</v>
      </c>
      <c r="K660" s="6" t="s">
        <v>3159</v>
      </c>
      <c r="L660" s="6" t="s">
        <v>3160</v>
      </c>
      <c r="M660" s="6" t="s">
        <v>3143</v>
      </c>
      <c r="N660" s="6" t="s">
        <v>3173</v>
      </c>
      <c r="O660" s="6" t="s">
        <v>3141</v>
      </c>
      <c r="P660" s="6" t="s">
        <v>5969</v>
      </c>
      <c r="Q660" s="6" t="s">
        <v>8111</v>
      </c>
      <c r="R660" s="6" t="s">
        <v>8112</v>
      </c>
      <c r="S660" s="6" t="s">
        <v>21</v>
      </c>
      <c r="T660" s="6" t="s">
        <v>8113</v>
      </c>
      <c r="U660" s="6" t="s">
        <v>3141</v>
      </c>
      <c r="V660" s="6" t="s">
        <v>5205</v>
      </c>
      <c r="W660" s="6" t="s">
        <v>3416</v>
      </c>
      <c r="X660" s="6" t="s">
        <v>85</v>
      </c>
      <c r="Y660" s="6" t="s">
        <v>3292</v>
      </c>
      <c r="Z660" s="6" t="s">
        <v>93</v>
      </c>
      <c r="AA660" s="6" t="s">
        <v>3365</v>
      </c>
      <c r="AB660" s="6" t="s">
        <v>8114</v>
      </c>
      <c r="AC660" s="6" t="s">
        <v>3141</v>
      </c>
      <c r="AD660" s="6" t="s">
        <v>75</v>
      </c>
      <c r="AE660" s="6" t="s">
        <v>3235</v>
      </c>
      <c r="AF660" s="6"/>
      <c r="AG660" s="6" t="s">
        <v>8115</v>
      </c>
      <c r="AH660" s="6" t="s">
        <v>79</v>
      </c>
    </row>
    <row r="661" spans="1:34" x14ac:dyDescent="0.25">
      <c r="A661" s="6" t="s">
        <v>2148</v>
      </c>
      <c r="B661" s="6" t="s">
        <v>2149</v>
      </c>
      <c r="C661" s="6" t="s">
        <v>8116</v>
      </c>
      <c r="D661" s="6" t="s">
        <v>8117</v>
      </c>
      <c r="E661" s="6" t="s">
        <v>3432</v>
      </c>
      <c r="F661" s="6" t="s">
        <v>3358</v>
      </c>
      <c r="G661" s="6" t="s">
        <v>174</v>
      </c>
      <c r="H661" s="6" t="s">
        <v>107</v>
      </c>
      <c r="I661" s="6" t="s">
        <v>92</v>
      </c>
      <c r="J661" s="6" t="s">
        <v>8118</v>
      </c>
      <c r="K661" s="6" t="s">
        <v>3159</v>
      </c>
      <c r="L661" s="6" t="s">
        <v>76</v>
      </c>
      <c r="M661" s="6" t="s">
        <v>3141</v>
      </c>
      <c r="N661" s="6" t="s">
        <v>3143</v>
      </c>
      <c r="O661" s="6" t="s">
        <v>3160</v>
      </c>
      <c r="P661" s="6" t="s">
        <v>5377</v>
      </c>
      <c r="Q661" s="6" t="s">
        <v>8119</v>
      </c>
      <c r="R661" s="6" t="s">
        <v>8120</v>
      </c>
      <c r="S661" s="6" t="s">
        <v>22</v>
      </c>
      <c r="T661" s="6" t="s">
        <v>8121</v>
      </c>
      <c r="U661" s="6" t="s">
        <v>3159</v>
      </c>
      <c r="V661" s="6" t="s">
        <v>4917</v>
      </c>
      <c r="W661" s="6" t="s">
        <v>3455</v>
      </c>
      <c r="X661" s="6" t="s">
        <v>161</v>
      </c>
      <c r="Y661" s="6" t="s">
        <v>3141</v>
      </c>
      <c r="Z661" s="6" t="s">
        <v>93</v>
      </c>
      <c r="AA661" s="6" t="s">
        <v>3512</v>
      </c>
      <c r="AB661" s="6"/>
      <c r="AC661" s="6" t="s">
        <v>3141</v>
      </c>
      <c r="AD661" s="6" t="s">
        <v>3173</v>
      </c>
      <c r="AE661" s="6" t="s">
        <v>3136</v>
      </c>
      <c r="AF661" s="6" t="s">
        <v>8122</v>
      </c>
      <c r="AG661" s="6" t="s">
        <v>8123</v>
      </c>
      <c r="AH661" s="6" t="s">
        <v>79</v>
      </c>
    </row>
    <row r="662" spans="1:34" x14ac:dyDescent="0.25">
      <c r="A662" s="6" t="s">
        <v>2151</v>
      </c>
      <c r="B662" s="6" t="s">
        <v>2152</v>
      </c>
      <c r="C662" s="6" t="s">
        <v>2153</v>
      </c>
      <c r="D662" s="6" t="s">
        <v>2154</v>
      </c>
      <c r="E662" s="6" t="s">
        <v>3346</v>
      </c>
      <c r="F662" s="6" t="s">
        <v>71</v>
      </c>
      <c r="G662" s="6" t="s">
        <v>139</v>
      </c>
      <c r="H662" s="6" t="s">
        <v>99</v>
      </c>
      <c r="I662" s="6" t="s">
        <v>74</v>
      </c>
      <c r="J662" s="6" t="s">
        <v>8124</v>
      </c>
      <c r="K662" s="6" t="s">
        <v>3159</v>
      </c>
      <c r="L662" s="6" t="s">
        <v>3243</v>
      </c>
      <c r="M662" s="6" t="s">
        <v>75</v>
      </c>
      <c r="N662" s="6" t="s">
        <v>3188</v>
      </c>
      <c r="O662" s="6" t="s">
        <v>3160</v>
      </c>
      <c r="P662" s="6" t="s">
        <v>8125</v>
      </c>
      <c r="Q662" s="6" t="s">
        <v>8126</v>
      </c>
      <c r="R662" s="6" t="s">
        <v>8127</v>
      </c>
      <c r="S662" s="6" t="s">
        <v>20</v>
      </c>
      <c r="T662" s="6" t="s">
        <v>8128</v>
      </c>
      <c r="U662" s="6" t="s">
        <v>3159</v>
      </c>
      <c r="V662" s="6" t="s">
        <v>8129</v>
      </c>
      <c r="W662" s="6" t="s">
        <v>3233</v>
      </c>
      <c r="X662" s="6" t="s">
        <v>77</v>
      </c>
      <c r="Y662" s="6" t="s">
        <v>3192</v>
      </c>
      <c r="Z662" s="6" t="s">
        <v>78</v>
      </c>
      <c r="AA662" s="6" t="s">
        <v>3364</v>
      </c>
      <c r="AB662" s="6"/>
      <c r="AC662" s="6" t="s">
        <v>3159</v>
      </c>
      <c r="AD662" s="6" t="s">
        <v>75</v>
      </c>
      <c r="AE662" s="6" t="s">
        <v>3235</v>
      </c>
      <c r="AF662" s="6"/>
      <c r="AG662" s="6" t="s">
        <v>8130</v>
      </c>
      <c r="AH662" s="6" t="s">
        <v>79</v>
      </c>
    </row>
    <row r="663" spans="1:34" x14ac:dyDescent="0.25">
      <c r="A663" s="6" t="s">
        <v>2155</v>
      </c>
      <c r="B663" s="6" t="s">
        <v>390</v>
      </c>
      <c r="C663" s="6" t="s">
        <v>8131</v>
      </c>
      <c r="D663" s="6" t="s">
        <v>8132</v>
      </c>
      <c r="E663" s="6" t="s">
        <v>3760</v>
      </c>
      <c r="F663" s="6" t="s">
        <v>3283</v>
      </c>
      <c r="G663" s="6" t="s">
        <v>314</v>
      </c>
      <c r="H663" s="6" t="s">
        <v>99</v>
      </c>
      <c r="I663" s="6" t="s">
        <v>74</v>
      </c>
      <c r="J663" s="6" t="s">
        <v>8133</v>
      </c>
      <c r="K663" s="6" t="s">
        <v>3292</v>
      </c>
      <c r="L663" s="6" t="s">
        <v>3196</v>
      </c>
      <c r="M663" s="6" t="s">
        <v>3159</v>
      </c>
      <c r="N663" s="6" t="s">
        <v>3188</v>
      </c>
      <c r="O663" s="6" t="s">
        <v>3143</v>
      </c>
      <c r="P663" s="6" t="s">
        <v>8134</v>
      </c>
      <c r="Q663" s="6"/>
      <c r="R663" s="6" t="s">
        <v>8135</v>
      </c>
      <c r="S663" s="6" t="s">
        <v>20</v>
      </c>
      <c r="T663" s="6" t="s">
        <v>8136</v>
      </c>
      <c r="U663" s="6" t="s">
        <v>3292</v>
      </c>
      <c r="V663" s="6" t="s">
        <v>6621</v>
      </c>
      <c r="W663" s="6" t="s">
        <v>3994</v>
      </c>
      <c r="X663" s="6" t="s">
        <v>85</v>
      </c>
      <c r="Y663" s="6" t="s">
        <v>3141</v>
      </c>
      <c r="Z663" s="6" t="s">
        <v>93</v>
      </c>
      <c r="AA663" s="6" t="s">
        <v>4354</v>
      </c>
      <c r="AB663" s="6" t="s">
        <v>8137</v>
      </c>
      <c r="AC663" s="6" t="s">
        <v>3141</v>
      </c>
      <c r="AD663" s="6" t="s">
        <v>3141</v>
      </c>
      <c r="AE663" s="6" t="s">
        <v>3136</v>
      </c>
      <c r="AF663" s="6"/>
      <c r="AG663" s="6" t="s">
        <v>6676</v>
      </c>
      <c r="AH663" s="6" t="s">
        <v>79</v>
      </c>
    </row>
    <row r="664" spans="1:34" x14ac:dyDescent="0.25">
      <c r="A664" s="6" t="s">
        <v>2157</v>
      </c>
      <c r="B664" s="6" t="s">
        <v>8138</v>
      </c>
      <c r="C664" s="6" t="s">
        <v>2158</v>
      </c>
      <c r="D664" s="6" t="s">
        <v>8139</v>
      </c>
      <c r="E664" s="6" t="s">
        <v>3240</v>
      </c>
      <c r="F664" s="6" t="s">
        <v>3201</v>
      </c>
      <c r="G664" s="6" t="s">
        <v>106</v>
      </c>
      <c r="H664" s="6" t="s">
        <v>91</v>
      </c>
      <c r="I664" s="6" t="s">
        <v>92</v>
      </c>
      <c r="J664" s="6" t="s">
        <v>8140</v>
      </c>
      <c r="K664" s="6" t="s">
        <v>3140</v>
      </c>
      <c r="L664" s="6" t="s">
        <v>3173</v>
      </c>
      <c r="M664" s="6" t="s">
        <v>75</v>
      </c>
      <c r="N664" s="6" t="s">
        <v>3152</v>
      </c>
      <c r="O664" s="6" t="s">
        <v>3188</v>
      </c>
      <c r="P664" s="6" t="s">
        <v>8141</v>
      </c>
      <c r="Q664" s="6"/>
      <c r="R664" s="6" t="s">
        <v>8142</v>
      </c>
      <c r="S664" s="6" t="s">
        <v>23</v>
      </c>
      <c r="T664" s="6" t="s">
        <v>8143</v>
      </c>
      <c r="U664" s="6" t="s">
        <v>3159</v>
      </c>
      <c r="V664" s="6" t="s">
        <v>7386</v>
      </c>
      <c r="W664" s="6" t="s">
        <v>4217</v>
      </c>
      <c r="X664" s="6" t="s">
        <v>77</v>
      </c>
      <c r="Y664" s="6" t="s">
        <v>3192</v>
      </c>
      <c r="Z664" s="6" t="s">
        <v>93</v>
      </c>
      <c r="AA664" s="6" t="s">
        <v>3303</v>
      </c>
      <c r="AB664" s="6" t="s">
        <v>8144</v>
      </c>
      <c r="AC664" s="6" t="s">
        <v>3141</v>
      </c>
      <c r="AD664" s="6" t="s">
        <v>75</v>
      </c>
      <c r="AE664" s="6" t="s">
        <v>3153</v>
      </c>
      <c r="AF664" s="6" t="s">
        <v>8145</v>
      </c>
      <c r="AG664" s="6" t="s">
        <v>8146</v>
      </c>
      <c r="AH664" s="6" t="s">
        <v>79</v>
      </c>
    </row>
    <row r="665" spans="1:34" x14ac:dyDescent="0.25">
      <c r="A665" s="6" t="s">
        <v>2160</v>
      </c>
      <c r="B665" s="6" t="s">
        <v>2161</v>
      </c>
      <c r="C665" s="6"/>
      <c r="D665" s="6" t="s">
        <v>2162</v>
      </c>
      <c r="E665" s="6" t="s">
        <v>4155</v>
      </c>
      <c r="F665" s="6" t="s">
        <v>3227</v>
      </c>
      <c r="G665" s="6" t="s">
        <v>139</v>
      </c>
      <c r="H665" s="6" t="s">
        <v>73</v>
      </c>
      <c r="I665" s="6" t="s">
        <v>74</v>
      </c>
      <c r="J665" s="6"/>
      <c r="K665" s="6" t="s">
        <v>3140</v>
      </c>
      <c r="L665" s="6" t="s">
        <v>3142</v>
      </c>
      <c r="M665" s="6" t="s">
        <v>3143</v>
      </c>
      <c r="N665" s="6" t="s">
        <v>3243</v>
      </c>
      <c r="O665" s="6" t="s">
        <v>3159</v>
      </c>
      <c r="P665" s="6" t="s">
        <v>7886</v>
      </c>
      <c r="Q665" s="6"/>
      <c r="R665" s="6" t="s">
        <v>8147</v>
      </c>
      <c r="S665" s="6" t="s">
        <v>20</v>
      </c>
      <c r="T665" s="6" t="s">
        <v>8148</v>
      </c>
      <c r="U665" s="6" t="s">
        <v>3159</v>
      </c>
      <c r="V665" s="6" t="s">
        <v>3555</v>
      </c>
      <c r="W665" s="6" t="s">
        <v>3894</v>
      </c>
      <c r="X665" s="6" t="s">
        <v>85</v>
      </c>
      <c r="Y665" s="6" t="s">
        <v>3292</v>
      </c>
      <c r="Z665" s="6" t="s">
        <v>93</v>
      </c>
      <c r="AA665" s="6" t="s">
        <v>3683</v>
      </c>
      <c r="AB665" s="6" t="s">
        <v>8149</v>
      </c>
      <c r="AC665" s="6" t="s">
        <v>3141</v>
      </c>
      <c r="AD665" s="6" t="s">
        <v>3243</v>
      </c>
      <c r="AE665" s="6" t="s">
        <v>3169</v>
      </c>
      <c r="AF665" s="6"/>
      <c r="AG665" s="6"/>
      <c r="AH665" s="6" t="s">
        <v>79</v>
      </c>
    </row>
    <row r="666" spans="1:34" x14ac:dyDescent="0.25">
      <c r="A666" s="6" t="s">
        <v>2163</v>
      </c>
      <c r="B666" s="6" t="s">
        <v>436</v>
      </c>
      <c r="C666" s="6"/>
      <c r="D666" s="6" t="s">
        <v>2164</v>
      </c>
      <c r="E666" s="6" t="s">
        <v>3843</v>
      </c>
      <c r="F666" s="6" t="s">
        <v>3214</v>
      </c>
      <c r="G666" s="6" t="s">
        <v>417</v>
      </c>
      <c r="H666" s="6" t="s">
        <v>107</v>
      </c>
      <c r="I666" s="6" t="s">
        <v>92</v>
      </c>
      <c r="J666" s="6" t="s">
        <v>3217</v>
      </c>
      <c r="K666" s="6" t="s">
        <v>3292</v>
      </c>
      <c r="L666" s="6" t="s">
        <v>3142</v>
      </c>
      <c r="M666" s="6" t="s">
        <v>3142</v>
      </c>
      <c r="N666" s="6" t="s">
        <v>3142</v>
      </c>
      <c r="O666" s="6" t="s">
        <v>3143</v>
      </c>
      <c r="P666" s="6" t="s">
        <v>5315</v>
      </c>
      <c r="Q666" s="6" t="s">
        <v>8150</v>
      </c>
      <c r="R666" s="6" t="s">
        <v>8151</v>
      </c>
      <c r="S666" s="6" t="s">
        <v>23</v>
      </c>
      <c r="T666" s="6" t="s">
        <v>8152</v>
      </c>
      <c r="U666" s="6" t="s">
        <v>3159</v>
      </c>
      <c r="V666" s="6" t="s">
        <v>3598</v>
      </c>
      <c r="W666" s="6" t="s">
        <v>4117</v>
      </c>
      <c r="X666" s="6" t="s">
        <v>85</v>
      </c>
      <c r="Y666" s="6" t="s">
        <v>3159</v>
      </c>
      <c r="Z666" s="6" t="s">
        <v>78</v>
      </c>
      <c r="AA666" s="6" t="s">
        <v>3195</v>
      </c>
      <c r="AB666" s="6" t="s">
        <v>8153</v>
      </c>
      <c r="AC666" s="6" t="s">
        <v>3141</v>
      </c>
      <c r="AD666" s="6" t="s">
        <v>3243</v>
      </c>
      <c r="AE666" s="6" t="s">
        <v>3318</v>
      </c>
      <c r="AF666" s="6" t="s">
        <v>8154</v>
      </c>
      <c r="AG666" s="6" t="s">
        <v>8155</v>
      </c>
      <c r="AH666" s="6" t="s">
        <v>79</v>
      </c>
    </row>
    <row r="667" spans="1:34" x14ac:dyDescent="0.25">
      <c r="A667" s="6" t="s">
        <v>2165</v>
      </c>
      <c r="B667" s="6" t="s">
        <v>1543</v>
      </c>
      <c r="C667" s="6" t="s">
        <v>2166</v>
      </c>
      <c r="D667" s="6" t="s">
        <v>2167</v>
      </c>
      <c r="E667" s="6" t="s">
        <v>4190</v>
      </c>
      <c r="F667" s="6" t="s">
        <v>3214</v>
      </c>
      <c r="G667" s="6" t="s">
        <v>215</v>
      </c>
      <c r="H667" s="6" t="s">
        <v>99</v>
      </c>
      <c r="I667" s="6" t="s">
        <v>74</v>
      </c>
      <c r="J667" s="6"/>
      <c r="K667" s="6" t="s">
        <v>3140</v>
      </c>
      <c r="L667" s="6" t="s">
        <v>3243</v>
      </c>
      <c r="M667" s="6" t="s">
        <v>3188</v>
      </c>
      <c r="N667" s="6" t="s">
        <v>3142</v>
      </c>
      <c r="O667" s="6" t="s">
        <v>3143</v>
      </c>
      <c r="P667" s="6" t="s">
        <v>3844</v>
      </c>
      <c r="Q667" s="6"/>
      <c r="R667" s="6" t="s">
        <v>8156</v>
      </c>
      <c r="S667" s="6" t="s">
        <v>23</v>
      </c>
      <c r="T667" s="6" t="s">
        <v>8157</v>
      </c>
      <c r="U667" s="6" t="s">
        <v>3141</v>
      </c>
      <c r="V667" s="6" t="s">
        <v>7685</v>
      </c>
      <c r="W667" s="6" t="s">
        <v>3862</v>
      </c>
      <c r="X667" s="6" t="s">
        <v>85</v>
      </c>
      <c r="Y667" s="6" t="s">
        <v>3141</v>
      </c>
      <c r="Z667" s="6" t="s">
        <v>78</v>
      </c>
      <c r="AA667" s="6" t="s">
        <v>3811</v>
      </c>
      <c r="AB667" s="6"/>
      <c r="AC667" s="6" t="s">
        <v>3141</v>
      </c>
      <c r="AD667" s="6" t="s">
        <v>3141</v>
      </c>
      <c r="AE667" s="6" t="s">
        <v>3513</v>
      </c>
      <c r="AF667" s="6" t="s">
        <v>8158</v>
      </c>
      <c r="AG667" s="6" t="s">
        <v>8159</v>
      </c>
      <c r="AH667" s="6" t="s">
        <v>79</v>
      </c>
    </row>
    <row r="668" spans="1:34" x14ac:dyDescent="0.25">
      <c r="A668" s="6" t="s">
        <v>2168</v>
      </c>
      <c r="B668" s="6" t="s">
        <v>2169</v>
      </c>
      <c r="C668" s="6" t="s">
        <v>2170</v>
      </c>
      <c r="D668" s="6" t="s">
        <v>8160</v>
      </c>
      <c r="E668" s="6" t="s">
        <v>3357</v>
      </c>
      <c r="F668" s="6" t="s">
        <v>3269</v>
      </c>
      <c r="G668" s="6" t="s">
        <v>215</v>
      </c>
      <c r="H668" s="6" t="s">
        <v>84</v>
      </c>
      <c r="I668" s="6" t="s">
        <v>74</v>
      </c>
      <c r="J668" s="6" t="s">
        <v>8161</v>
      </c>
      <c r="K668" s="6" t="s">
        <v>3159</v>
      </c>
      <c r="L668" s="6" t="s">
        <v>3141</v>
      </c>
      <c r="M668" s="6" t="s">
        <v>3152</v>
      </c>
      <c r="N668" s="6" t="s">
        <v>76</v>
      </c>
      <c r="O668" s="6" t="s">
        <v>3141</v>
      </c>
      <c r="P668" s="6" t="s">
        <v>8125</v>
      </c>
      <c r="Q668" s="6"/>
      <c r="R668" s="6" t="s">
        <v>8162</v>
      </c>
      <c r="S668" s="6" t="s">
        <v>22</v>
      </c>
      <c r="T668" s="6"/>
      <c r="U668" s="6" t="s">
        <v>3141</v>
      </c>
      <c r="V668" s="6" t="s">
        <v>6984</v>
      </c>
      <c r="W668" s="6" t="s">
        <v>4217</v>
      </c>
      <c r="X668" s="6" t="s">
        <v>85</v>
      </c>
      <c r="Y668" s="6" t="s">
        <v>3159</v>
      </c>
      <c r="Z668" s="6" t="s">
        <v>93</v>
      </c>
      <c r="AA668" s="6" t="s">
        <v>3532</v>
      </c>
      <c r="AB668" s="6" t="s">
        <v>8163</v>
      </c>
      <c r="AC668" s="6" t="s">
        <v>3141</v>
      </c>
      <c r="AD668" s="6" t="s">
        <v>3188</v>
      </c>
      <c r="AE668" s="6" t="s">
        <v>3622</v>
      </c>
      <c r="AF668" s="6" t="s">
        <v>8164</v>
      </c>
      <c r="AG668" s="6" t="s">
        <v>8165</v>
      </c>
      <c r="AH668" s="6" t="s">
        <v>79</v>
      </c>
    </row>
    <row r="669" spans="1:34" x14ac:dyDescent="0.25">
      <c r="A669" s="6" t="s">
        <v>2172</v>
      </c>
      <c r="B669" s="6" t="s">
        <v>644</v>
      </c>
      <c r="C669" s="6" t="s">
        <v>8166</v>
      </c>
      <c r="D669" s="6"/>
      <c r="E669" s="6" t="s">
        <v>3432</v>
      </c>
      <c r="F669" s="6" t="s">
        <v>71</v>
      </c>
      <c r="G669" s="6" t="s">
        <v>226</v>
      </c>
      <c r="H669" s="6" t="s">
        <v>144</v>
      </c>
      <c r="I669" s="6" t="s">
        <v>92</v>
      </c>
      <c r="J669" s="6" t="s">
        <v>8167</v>
      </c>
      <c r="K669" s="6" t="s">
        <v>3159</v>
      </c>
      <c r="L669" s="6" t="s">
        <v>3173</v>
      </c>
      <c r="M669" s="6" t="s">
        <v>3141</v>
      </c>
      <c r="N669" s="6" t="s">
        <v>3143</v>
      </c>
      <c r="O669" s="6" t="s">
        <v>3143</v>
      </c>
      <c r="P669" s="6" t="s">
        <v>8168</v>
      </c>
      <c r="Q669" s="6" t="s">
        <v>8169</v>
      </c>
      <c r="R669" s="6" t="s">
        <v>8170</v>
      </c>
      <c r="S669" s="6" t="s">
        <v>23</v>
      </c>
      <c r="T669" s="6" t="s">
        <v>8171</v>
      </c>
      <c r="U669" s="6" t="s">
        <v>3159</v>
      </c>
      <c r="V669" s="6" t="s">
        <v>5241</v>
      </c>
      <c r="W669" s="6" t="s">
        <v>5137</v>
      </c>
      <c r="X669" s="6" t="s">
        <v>161</v>
      </c>
      <c r="Y669" s="6" t="s">
        <v>3140</v>
      </c>
      <c r="Z669" s="6" t="s">
        <v>78</v>
      </c>
      <c r="AA669" s="6" t="s">
        <v>3884</v>
      </c>
      <c r="AB669" s="6"/>
      <c r="AC669" s="6" t="s">
        <v>3140</v>
      </c>
      <c r="AD669" s="6" t="s">
        <v>3152</v>
      </c>
      <c r="AE669" s="6" t="s">
        <v>3153</v>
      </c>
      <c r="AF669" s="6" t="s">
        <v>8172</v>
      </c>
      <c r="AG669" s="6" t="s">
        <v>4727</v>
      </c>
      <c r="AH669" s="6" t="s">
        <v>79</v>
      </c>
    </row>
    <row r="670" spans="1:34" x14ac:dyDescent="0.25">
      <c r="A670" s="6" t="s">
        <v>2173</v>
      </c>
      <c r="B670" s="6" t="s">
        <v>2174</v>
      </c>
      <c r="C670" s="6" t="s">
        <v>8173</v>
      </c>
      <c r="D670" s="6" t="s">
        <v>2175</v>
      </c>
      <c r="E670" s="6" t="s">
        <v>3254</v>
      </c>
      <c r="F670" s="6" t="s">
        <v>3358</v>
      </c>
      <c r="G670" s="6" t="s">
        <v>3761</v>
      </c>
      <c r="H670" s="6" t="s">
        <v>107</v>
      </c>
      <c r="I670" s="6" t="s">
        <v>92</v>
      </c>
      <c r="J670" s="6" t="s">
        <v>8174</v>
      </c>
      <c r="K670" s="6" t="s">
        <v>3159</v>
      </c>
      <c r="L670" s="6" t="s">
        <v>3243</v>
      </c>
      <c r="M670" s="6" t="s">
        <v>3160</v>
      </c>
      <c r="N670" s="6" t="s">
        <v>3196</v>
      </c>
      <c r="O670" s="6" t="s">
        <v>75</v>
      </c>
      <c r="P670" s="6" t="s">
        <v>7735</v>
      </c>
      <c r="Q670" s="6" t="s">
        <v>8175</v>
      </c>
      <c r="R670" s="6" t="s">
        <v>8176</v>
      </c>
      <c r="S670" s="6" t="s">
        <v>21</v>
      </c>
      <c r="T670" s="6" t="s">
        <v>8177</v>
      </c>
      <c r="U670" s="6" t="s">
        <v>3159</v>
      </c>
      <c r="V670" s="6" t="s">
        <v>3248</v>
      </c>
      <c r="W670" s="6" t="s">
        <v>4126</v>
      </c>
      <c r="X670" s="6" t="s">
        <v>85</v>
      </c>
      <c r="Y670" s="6" t="s">
        <v>3159</v>
      </c>
      <c r="Z670" s="6" t="s">
        <v>78</v>
      </c>
      <c r="AA670" s="6" t="s">
        <v>3448</v>
      </c>
      <c r="AB670" s="6"/>
      <c r="AC670" s="6" t="s">
        <v>3141</v>
      </c>
      <c r="AD670" s="6" t="s">
        <v>3159</v>
      </c>
      <c r="AE670" s="6" t="s">
        <v>3293</v>
      </c>
      <c r="AF670" s="6"/>
      <c r="AG670" s="6" t="s">
        <v>8178</v>
      </c>
      <c r="AH670" s="6" t="s">
        <v>3494</v>
      </c>
    </row>
    <row r="671" spans="1:34" x14ac:dyDescent="0.25">
      <c r="A671" s="6" t="s">
        <v>2176</v>
      </c>
      <c r="B671" s="6" t="s">
        <v>423</v>
      </c>
      <c r="C671" s="6" t="s">
        <v>2177</v>
      </c>
      <c r="D671" s="6" t="s">
        <v>2178</v>
      </c>
      <c r="E671" s="6" t="s">
        <v>3282</v>
      </c>
      <c r="F671" s="6" t="s">
        <v>3227</v>
      </c>
      <c r="G671" s="6" t="s">
        <v>98</v>
      </c>
      <c r="H671" s="6" t="s">
        <v>132</v>
      </c>
      <c r="I671" s="6" t="s">
        <v>92</v>
      </c>
      <c r="J671" s="6" t="s">
        <v>8179</v>
      </c>
      <c r="K671" s="6" t="s">
        <v>3140</v>
      </c>
      <c r="L671" s="6" t="s">
        <v>3159</v>
      </c>
      <c r="M671" s="6" t="s">
        <v>3152</v>
      </c>
      <c r="N671" s="6" t="s">
        <v>3142</v>
      </c>
      <c r="O671" s="6" t="s">
        <v>3160</v>
      </c>
      <c r="P671" s="6" t="s">
        <v>7112</v>
      </c>
      <c r="Q671" s="6" t="s">
        <v>8180</v>
      </c>
      <c r="R671" s="6" t="s">
        <v>8181</v>
      </c>
      <c r="S671" s="6" t="s">
        <v>7464</v>
      </c>
      <c r="T671" s="6"/>
      <c r="U671" s="6" t="s">
        <v>3192</v>
      </c>
      <c r="V671" s="6" t="s">
        <v>8182</v>
      </c>
      <c r="W671" s="6" t="s">
        <v>7387</v>
      </c>
      <c r="X671" s="6" t="s">
        <v>85</v>
      </c>
      <c r="Y671" s="6" t="s">
        <v>3140</v>
      </c>
      <c r="Z671" s="6" t="s">
        <v>78</v>
      </c>
      <c r="AA671" s="6" t="s">
        <v>3598</v>
      </c>
      <c r="AB671" s="6"/>
      <c r="AC671" s="6" t="s">
        <v>3292</v>
      </c>
      <c r="AD671" s="6" t="s">
        <v>3160</v>
      </c>
      <c r="AE671" s="6" t="s">
        <v>3210</v>
      </c>
      <c r="AF671" s="6" t="s">
        <v>8183</v>
      </c>
      <c r="AG671" s="6" t="s">
        <v>8184</v>
      </c>
      <c r="AH671" s="6" t="s">
        <v>79</v>
      </c>
    </row>
    <row r="672" spans="1:34" x14ac:dyDescent="0.25">
      <c r="A672" s="6" t="s">
        <v>2179</v>
      </c>
      <c r="B672" s="6" t="s">
        <v>2180</v>
      </c>
      <c r="C672" s="6" t="s">
        <v>2181</v>
      </c>
      <c r="D672" s="6" t="s">
        <v>2182</v>
      </c>
      <c r="E672" s="6" t="s">
        <v>3254</v>
      </c>
      <c r="F672" s="6" t="s">
        <v>3137</v>
      </c>
      <c r="G672" s="6" t="s">
        <v>215</v>
      </c>
      <c r="H672" s="6" t="s">
        <v>6835</v>
      </c>
      <c r="I672" s="6" t="s">
        <v>74</v>
      </c>
      <c r="J672" s="6" t="s">
        <v>8185</v>
      </c>
      <c r="K672" s="6" t="s">
        <v>3159</v>
      </c>
      <c r="L672" s="6" t="s">
        <v>3143</v>
      </c>
      <c r="M672" s="6" t="s">
        <v>76</v>
      </c>
      <c r="N672" s="6" t="s">
        <v>3143</v>
      </c>
      <c r="O672" s="6" t="s">
        <v>3160</v>
      </c>
      <c r="P672" s="6" t="s">
        <v>4063</v>
      </c>
      <c r="Q672" s="6" t="s">
        <v>8186</v>
      </c>
      <c r="R672" s="6" t="s">
        <v>8187</v>
      </c>
      <c r="S672" s="6" t="s">
        <v>21</v>
      </c>
      <c r="T672" s="6" t="s">
        <v>8188</v>
      </c>
      <c r="U672" s="6" t="s">
        <v>3141</v>
      </c>
      <c r="V672" s="6" t="s">
        <v>4832</v>
      </c>
      <c r="W672" s="6" t="s">
        <v>5032</v>
      </c>
      <c r="X672" s="6" t="s">
        <v>85</v>
      </c>
      <c r="Y672" s="6" t="s">
        <v>3292</v>
      </c>
      <c r="Z672" s="6" t="s">
        <v>93</v>
      </c>
      <c r="AA672" s="6" t="s">
        <v>4485</v>
      </c>
      <c r="AB672" s="6"/>
      <c r="AC672" s="6" t="s">
        <v>3141</v>
      </c>
      <c r="AD672" s="6" t="s">
        <v>3243</v>
      </c>
      <c r="AE672" s="6" t="s">
        <v>3293</v>
      </c>
      <c r="AF672" s="6"/>
      <c r="AG672" s="6" t="s">
        <v>8189</v>
      </c>
      <c r="AH672" s="6" t="s">
        <v>79</v>
      </c>
    </row>
    <row r="673" spans="1:34" x14ac:dyDescent="0.25">
      <c r="A673" s="6" t="s">
        <v>2183</v>
      </c>
      <c r="B673" s="6" t="s">
        <v>2184</v>
      </c>
      <c r="C673" s="6" t="s">
        <v>8190</v>
      </c>
      <c r="D673" s="6" t="s">
        <v>2185</v>
      </c>
      <c r="E673" s="6" t="s">
        <v>3254</v>
      </c>
      <c r="F673" s="6" t="s">
        <v>3201</v>
      </c>
      <c r="G673" s="6" t="s">
        <v>115</v>
      </c>
      <c r="H673" s="6" t="s">
        <v>84</v>
      </c>
      <c r="I673" s="6" t="s">
        <v>74</v>
      </c>
      <c r="J673" s="6" t="s">
        <v>3217</v>
      </c>
      <c r="K673" s="6" t="s">
        <v>3140</v>
      </c>
      <c r="L673" s="6" t="s">
        <v>3188</v>
      </c>
      <c r="M673" s="6" t="s">
        <v>3196</v>
      </c>
      <c r="N673" s="6" t="s">
        <v>3143</v>
      </c>
      <c r="O673" s="6" t="s">
        <v>75</v>
      </c>
      <c r="P673" s="6" t="s">
        <v>8191</v>
      </c>
      <c r="Q673" s="6" t="s">
        <v>8192</v>
      </c>
      <c r="R673" s="6" t="s">
        <v>8193</v>
      </c>
      <c r="S673" s="6" t="s">
        <v>21</v>
      </c>
      <c r="T673" s="6" t="s">
        <v>8194</v>
      </c>
      <c r="U673" s="6" t="s">
        <v>3141</v>
      </c>
      <c r="V673" s="6" t="s">
        <v>4918</v>
      </c>
      <c r="W673" s="6" t="s">
        <v>3523</v>
      </c>
      <c r="X673" s="6" t="s">
        <v>161</v>
      </c>
      <c r="Y673" s="6" t="s">
        <v>3141</v>
      </c>
      <c r="Z673" s="6" t="s">
        <v>78</v>
      </c>
      <c r="AA673" s="6" t="s">
        <v>3150</v>
      </c>
      <c r="AB673" s="6" t="s">
        <v>8195</v>
      </c>
      <c r="AC673" s="6" t="s">
        <v>3159</v>
      </c>
      <c r="AD673" s="6" t="s">
        <v>3141</v>
      </c>
      <c r="AE673" s="6" t="s">
        <v>3136</v>
      </c>
      <c r="AF673" s="6"/>
      <c r="AG673" s="6"/>
      <c r="AH673" s="6" t="s">
        <v>79</v>
      </c>
    </row>
    <row r="674" spans="1:34" x14ac:dyDescent="0.25">
      <c r="A674" s="6" t="s">
        <v>2186</v>
      </c>
      <c r="B674" s="6" t="s">
        <v>2187</v>
      </c>
      <c r="C674" s="6" t="s">
        <v>8196</v>
      </c>
      <c r="D674" s="6" t="s">
        <v>2188</v>
      </c>
      <c r="E674" s="6"/>
      <c r="F674" s="6" t="s">
        <v>71</v>
      </c>
      <c r="G674" s="6" t="s">
        <v>6126</v>
      </c>
      <c r="H674" s="6" t="s">
        <v>4359</v>
      </c>
      <c r="I674" s="6" t="s">
        <v>74</v>
      </c>
      <c r="J674" s="6"/>
      <c r="K674" s="6" t="s">
        <v>3140</v>
      </c>
      <c r="L674" s="6" t="s">
        <v>3188</v>
      </c>
      <c r="M674" s="6" t="s">
        <v>3141</v>
      </c>
      <c r="N674" s="6" t="s">
        <v>3173</v>
      </c>
      <c r="O674" s="6" t="s">
        <v>3152</v>
      </c>
      <c r="P674" s="6" t="s">
        <v>4089</v>
      </c>
      <c r="Q674" s="6" t="s">
        <v>8197</v>
      </c>
      <c r="R674" s="6" t="s">
        <v>8198</v>
      </c>
      <c r="S674" s="6" t="s">
        <v>22</v>
      </c>
      <c r="T674" s="6" t="s">
        <v>8199</v>
      </c>
      <c r="U674" s="6" t="s">
        <v>3159</v>
      </c>
      <c r="V674" s="6" t="s">
        <v>3883</v>
      </c>
      <c r="W674" s="6" t="s">
        <v>3352</v>
      </c>
      <c r="X674" s="6" t="s">
        <v>85</v>
      </c>
      <c r="Y674" s="6" t="s">
        <v>3141</v>
      </c>
      <c r="Z674" s="6" t="s">
        <v>78</v>
      </c>
      <c r="AA674" s="6" t="s">
        <v>3195</v>
      </c>
      <c r="AB674" s="6" t="s">
        <v>8200</v>
      </c>
      <c r="AC674" s="6" t="s">
        <v>3159</v>
      </c>
      <c r="AD674" s="6" t="s">
        <v>3152</v>
      </c>
      <c r="AE674" s="6" t="s">
        <v>3622</v>
      </c>
      <c r="AF674" s="6" t="s">
        <v>8201</v>
      </c>
      <c r="AG674" s="6" t="s">
        <v>8202</v>
      </c>
      <c r="AH674" s="6" t="s">
        <v>79</v>
      </c>
    </row>
    <row r="675" spans="1:34" x14ac:dyDescent="0.25">
      <c r="A675" s="6" t="s">
        <v>2189</v>
      </c>
      <c r="B675" s="6" t="s">
        <v>182</v>
      </c>
      <c r="C675" s="6" t="s">
        <v>8203</v>
      </c>
      <c r="D675" s="6" t="s">
        <v>2190</v>
      </c>
      <c r="E675" s="6" t="s">
        <v>3647</v>
      </c>
      <c r="F675" s="6" t="s">
        <v>3283</v>
      </c>
      <c r="G675" s="6" t="s">
        <v>143</v>
      </c>
      <c r="H675" s="6" t="s">
        <v>166</v>
      </c>
      <c r="I675" s="6" t="s">
        <v>74</v>
      </c>
      <c r="J675" s="6" t="s">
        <v>8204</v>
      </c>
      <c r="K675" s="6" t="s">
        <v>3159</v>
      </c>
      <c r="L675" s="6" t="s">
        <v>3141</v>
      </c>
      <c r="M675" s="6" t="s">
        <v>3152</v>
      </c>
      <c r="N675" s="6" t="s">
        <v>3188</v>
      </c>
      <c r="O675" s="6" t="s">
        <v>3160</v>
      </c>
      <c r="P675" s="6" t="s">
        <v>8205</v>
      </c>
      <c r="Q675" s="6" t="s">
        <v>8206</v>
      </c>
      <c r="R675" s="6" t="s">
        <v>8207</v>
      </c>
      <c r="S675" s="6" t="s">
        <v>22</v>
      </c>
      <c r="T675" s="6" t="s">
        <v>8208</v>
      </c>
      <c r="U675" s="6" t="s">
        <v>3159</v>
      </c>
      <c r="V675" s="6" t="s">
        <v>5394</v>
      </c>
      <c r="W675" s="6" t="s">
        <v>3223</v>
      </c>
      <c r="X675" s="6" t="s">
        <v>161</v>
      </c>
      <c r="Y675" s="6" t="s">
        <v>3159</v>
      </c>
      <c r="Z675" s="6" t="s">
        <v>78</v>
      </c>
      <c r="AA675" s="6" t="s">
        <v>3207</v>
      </c>
      <c r="AB675" s="6" t="s">
        <v>8209</v>
      </c>
      <c r="AC675" s="6" t="s">
        <v>3141</v>
      </c>
      <c r="AD675" s="6" t="s">
        <v>3152</v>
      </c>
      <c r="AE675" s="6" t="s">
        <v>3210</v>
      </c>
      <c r="AF675" s="6" t="s">
        <v>8210</v>
      </c>
      <c r="AG675" s="6" t="s">
        <v>5288</v>
      </c>
      <c r="AH675" s="6" t="s">
        <v>94</v>
      </c>
    </row>
    <row r="676" spans="1:34" x14ac:dyDescent="0.25">
      <c r="A676" s="6" t="s">
        <v>2191</v>
      </c>
      <c r="B676" s="6" t="s">
        <v>1919</v>
      </c>
      <c r="C676" s="6"/>
      <c r="D676" s="6" t="s">
        <v>8211</v>
      </c>
      <c r="E676" s="6" t="s">
        <v>3185</v>
      </c>
      <c r="F676" s="6" t="s">
        <v>89</v>
      </c>
      <c r="G676" s="6" t="s">
        <v>120</v>
      </c>
      <c r="H676" s="6" t="s">
        <v>132</v>
      </c>
      <c r="I676" s="6" t="s">
        <v>92</v>
      </c>
      <c r="J676" s="6"/>
      <c r="K676" s="6" t="s">
        <v>3140</v>
      </c>
      <c r="L676" s="6" t="s">
        <v>3159</v>
      </c>
      <c r="M676" s="6" t="s">
        <v>3173</v>
      </c>
      <c r="N676" s="6" t="s">
        <v>3243</v>
      </c>
      <c r="O676" s="6" t="s">
        <v>75</v>
      </c>
      <c r="P676" s="6" t="s">
        <v>3378</v>
      </c>
      <c r="Q676" s="6" t="s">
        <v>8212</v>
      </c>
      <c r="R676" s="6" t="s">
        <v>8213</v>
      </c>
      <c r="S676" s="6" t="s">
        <v>3881</v>
      </c>
      <c r="T676" s="6" t="s">
        <v>8214</v>
      </c>
      <c r="U676" s="6" t="s">
        <v>3141</v>
      </c>
      <c r="V676" s="6" t="s">
        <v>3501</v>
      </c>
      <c r="W676" s="6" t="s">
        <v>3330</v>
      </c>
      <c r="X676" s="6" t="s">
        <v>85</v>
      </c>
      <c r="Y676" s="6" t="s">
        <v>3141</v>
      </c>
      <c r="Z676" s="6" t="s">
        <v>93</v>
      </c>
      <c r="AA676" s="6" t="s">
        <v>5046</v>
      </c>
      <c r="AB676" s="6"/>
      <c r="AC676" s="6" t="s">
        <v>3141</v>
      </c>
      <c r="AD676" s="6" t="s">
        <v>75</v>
      </c>
      <c r="AE676" s="6" t="s">
        <v>3428</v>
      </c>
      <c r="AF676" s="6" t="s">
        <v>8215</v>
      </c>
      <c r="AG676" s="6"/>
      <c r="AH676" s="6" t="s">
        <v>79</v>
      </c>
    </row>
    <row r="677" spans="1:34" x14ac:dyDescent="0.25">
      <c r="A677" s="6" t="s">
        <v>2193</v>
      </c>
      <c r="B677" s="6" t="s">
        <v>2194</v>
      </c>
      <c r="C677" s="6" t="s">
        <v>2195</v>
      </c>
      <c r="D677" s="6" t="s">
        <v>2196</v>
      </c>
      <c r="E677" s="6" t="s">
        <v>3254</v>
      </c>
      <c r="F677" s="6" t="s">
        <v>3283</v>
      </c>
      <c r="G677" s="6" t="s">
        <v>127</v>
      </c>
      <c r="H677" s="6" t="s">
        <v>84</v>
      </c>
      <c r="I677" s="6" t="s">
        <v>74</v>
      </c>
      <c r="J677" s="6" t="s">
        <v>3217</v>
      </c>
      <c r="K677" s="6" t="s">
        <v>3159</v>
      </c>
      <c r="L677" s="6" t="s">
        <v>3142</v>
      </c>
      <c r="M677" s="6" t="s">
        <v>3152</v>
      </c>
      <c r="N677" s="6" t="s">
        <v>3152</v>
      </c>
      <c r="O677" s="6" t="s">
        <v>3143</v>
      </c>
      <c r="P677" s="6" t="s">
        <v>6048</v>
      </c>
      <c r="Q677" s="6" t="s">
        <v>8216</v>
      </c>
      <c r="R677" s="6" t="s">
        <v>8217</v>
      </c>
      <c r="S677" s="6" t="s">
        <v>20</v>
      </c>
      <c r="T677" s="6" t="s">
        <v>8218</v>
      </c>
      <c r="U677" s="6" t="s">
        <v>3141</v>
      </c>
      <c r="V677" s="6" t="s">
        <v>6342</v>
      </c>
      <c r="W677" s="6" t="s">
        <v>3468</v>
      </c>
      <c r="X677" s="6" t="s">
        <v>85</v>
      </c>
      <c r="Y677" s="6" t="s">
        <v>3192</v>
      </c>
      <c r="Z677" s="6" t="s">
        <v>93</v>
      </c>
      <c r="AA677" s="6" t="s">
        <v>4873</v>
      </c>
      <c r="AB677" s="6"/>
      <c r="AC677" s="6" t="s">
        <v>3141</v>
      </c>
      <c r="AD677" s="6" t="s">
        <v>3152</v>
      </c>
      <c r="AE677" s="6" t="s">
        <v>3235</v>
      </c>
      <c r="AF677" s="6"/>
      <c r="AG677" s="6" t="s">
        <v>8219</v>
      </c>
      <c r="AH677" s="6" t="s">
        <v>79</v>
      </c>
    </row>
    <row r="678" spans="1:34" x14ac:dyDescent="0.25">
      <c r="A678" s="6" t="s">
        <v>2197</v>
      </c>
      <c r="B678" s="6" t="s">
        <v>2198</v>
      </c>
      <c r="C678" s="6" t="s">
        <v>8220</v>
      </c>
      <c r="D678" s="6"/>
      <c r="E678" s="6" t="s">
        <v>3213</v>
      </c>
      <c r="F678" s="6" t="s">
        <v>3227</v>
      </c>
      <c r="G678" s="6" t="s">
        <v>72</v>
      </c>
      <c r="H678" s="6" t="s">
        <v>84</v>
      </c>
      <c r="I678" s="6" t="s">
        <v>74</v>
      </c>
      <c r="J678" s="6" t="s">
        <v>8221</v>
      </c>
      <c r="K678" s="6" t="s">
        <v>3140</v>
      </c>
      <c r="L678" s="6" t="s">
        <v>3188</v>
      </c>
      <c r="M678" s="6" t="s">
        <v>3160</v>
      </c>
      <c r="N678" s="6" t="s">
        <v>3142</v>
      </c>
      <c r="O678" s="6" t="s">
        <v>75</v>
      </c>
      <c r="P678" s="6" t="s">
        <v>3806</v>
      </c>
      <c r="Q678" s="6" t="s">
        <v>8222</v>
      </c>
      <c r="R678" s="6" t="s">
        <v>8223</v>
      </c>
      <c r="S678" s="6" t="s">
        <v>20</v>
      </c>
      <c r="T678" s="6" t="s">
        <v>8224</v>
      </c>
      <c r="U678" s="6" t="s">
        <v>3140</v>
      </c>
      <c r="V678" s="6" t="s">
        <v>8225</v>
      </c>
      <c r="W678" s="6" t="s">
        <v>4354</v>
      </c>
      <c r="X678" s="6" t="s">
        <v>85</v>
      </c>
      <c r="Y678" s="6" t="s">
        <v>3159</v>
      </c>
      <c r="Z678" s="6" t="s">
        <v>78</v>
      </c>
      <c r="AA678" s="6" t="s">
        <v>5156</v>
      </c>
      <c r="AB678" s="6"/>
      <c r="AC678" s="6" t="s">
        <v>3140</v>
      </c>
      <c r="AD678" s="6" t="s">
        <v>3159</v>
      </c>
      <c r="AE678" s="6" t="s">
        <v>3136</v>
      </c>
      <c r="AF678" s="6"/>
      <c r="AG678" s="6" t="s">
        <v>4627</v>
      </c>
      <c r="AH678" s="6" t="s">
        <v>79</v>
      </c>
    </row>
    <row r="679" spans="1:34" x14ac:dyDescent="0.25">
      <c r="A679" s="6" t="s">
        <v>2199</v>
      </c>
      <c r="B679" s="6" t="s">
        <v>2200</v>
      </c>
      <c r="C679" s="6" t="s">
        <v>8226</v>
      </c>
      <c r="D679" s="6" t="s">
        <v>8227</v>
      </c>
      <c r="E679" s="6" t="s">
        <v>3296</v>
      </c>
      <c r="F679" s="6" t="s">
        <v>89</v>
      </c>
      <c r="G679" s="6" t="s">
        <v>314</v>
      </c>
      <c r="H679" s="6" t="s">
        <v>84</v>
      </c>
      <c r="I679" s="6" t="s">
        <v>74</v>
      </c>
      <c r="J679" s="6" t="s">
        <v>8228</v>
      </c>
      <c r="K679" s="6" t="s">
        <v>3159</v>
      </c>
      <c r="L679" s="6" t="s">
        <v>3159</v>
      </c>
      <c r="M679" s="6" t="s">
        <v>75</v>
      </c>
      <c r="N679" s="6" t="s">
        <v>3152</v>
      </c>
      <c r="O679" s="6" t="s">
        <v>3141</v>
      </c>
      <c r="P679" s="6" t="s">
        <v>6783</v>
      </c>
      <c r="Q679" s="6" t="s">
        <v>8229</v>
      </c>
      <c r="R679" s="6" t="s">
        <v>8230</v>
      </c>
      <c r="S679" s="6" t="s">
        <v>23</v>
      </c>
      <c r="T679" s="6"/>
      <c r="U679" s="6" t="s">
        <v>3292</v>
      </c>
      <c r="V679" s="6" t="s">
        <v>6260</v>
      </c>
      <c r="W679" s="6" t="s">
        <v>3208</v>
      </c>
      <c r="X679" s="6" t="s">
        <v>161</v>
      </c>
      <c r="Y679" s="6" t="s">
        <v>3192</v>
      </c>
      <c r="Z679" s="6" t="s">
        <v>78</v>
      </c>
      <c r="AA679" s="6" t="s">
        <v>4108</v>
      </c>
      <c r="AB679" s="6" t="s">
        <v>8231</v>
      </c>
      <c r="AC679" s="6" t="s">
        <v>3141</v>
      </c>
      <c r="AD679" s="6" t="s">
        <v>3160</v>
      </c>
      <c r="AE679" s="6" t="s">
        <v>3331</v>
      </c>
      <c r="AF679" s="6" t="s">
        <v>8232</v>
      </c>
      <c r="AG679" s="6" t="s">
        <v>8233</v>
      </c>
      <c r="AH679" s="6" t="s">
        <v>79</v>
      </c>
    </row>
    <row r="680" spans="1:34" x14ac:dyDescent="0.25">
      <c r="A680" s="6" t="s">
        <v>2202</v>
      </c>
      <c r="B680" s="6" t="s">
        <v>2203</v>
      </c>
      <c r="C680" s="6" t="s">
        <v>2204</v>
      </c>
      <c r="D680" s="6" t="s">
        <v>2205</v>
      </c>
      <c r="E680" s="6" t="s">
        <v>3200</v>
      </c>
      <c r="F680" s="6" t="s">
        <v>3283</v>
      </c>
      <c r="G680" s="6" t="s">
        <v>3186</v>
      </c>
      <c r="H680" s="6" t="s">
        <v>103</v>
      </c>
      <c r="I680" s="6" t="s">
        <v>74</v>
      </c>
      <c r="J680" s="6" t="s">
        <v>8234</v>
      </c>
      <c r="K680" s="6" t="s">
        <v>3159</v>
      </c>
      <c r="L680" s="6" t="s">
        <v>3243</v>
      </c>
      <c r="M680" s="6" t="s">
        <v>3188</v>
      </c>
      <c r="N680" s="6" t="s">
        <v>3152</v>
      </c>
      <c r="O680" s="6" t="s">
        <v>3143</v>
      </c>
      <c r="P680" s="6" t="s">
        <v>4837</v>
      </c>
      <c r="Q680" s="6" t="s">
        <v>8235</v>
      </c>
      <c r="R680" s="6" t="s">
        <v>8236</v>
      </c>
      <c r="S680" s="6" t="s">
        <v>20</v>
      </c>
      <c r="T680" s="6" t="s">
        <v>3217</v>
      </c>
      <c r="U680" s="6" t="s">
        <v>3141</v>
      </c>
      <c r="V680" s="6" t="s">
        <v>4889</v>
      </c>
      <c r="W680" s="6" t="s">
        <v>3802</v>
      </c>
      <c r="X680" s="6" t="s">
        <v>77</v>
      </c>
      <c r="Y680" s="6" t="s">
        <v>3140</v>
      </c>
      <c r="Z680" s="6" t="s">
        <v>78</v>
      </c>
      <c r="AA680" s="6" t="s">
        <v>4485</v>
      </c>
      <c r="AB680" s="6" t="s">
        <v>8237</v>
      </c>
      <c r="AC680" s="6" t="s">
        <v>3141</v>
      </c>
      <c r="AD680" s="6" t="s">
        <v>3141</v>
      </c>
      <c r="AE680" s="6" t="s">
        <v>3235</v>
      </c>
      <c r="AF680" s="6"/>
      <c r="AG680" s="6" t="s">
        <v>6658</v>
      </c>
      <c r="AH680" s="6" t="s">
        <v>79</v>
      </c>
    </row>
    <row r="681" spans="1:34" x14ac:dyDescent="0.25">
      <c r="A681" s="6" t="s">
        <v>2206</v>
      </c>
      <c r="B681" s="6" t="s">
        <v>2207</v>
      </c>
      <c r="C681" s="6"/>
      <c r="D681" s="6" t="s">
        <v>2208</v>
      </c>
      <c r="E681" s="6" t="s">
        <v>3268</v>
      </c>
      <c r="F681" s="6" t="s">
        <v>89</v>
      </c>
      <c r="G681" s="6" t="s">
        <v>174</v>
      </c>
      <c r="H681" s="6" t="s">
        <v>144</v>
      </c>
      <c r="I681" s="6" t="s">
        <v>92</v>
      </c>
      <c r="J681" s="6" t="s">
        <v>8238</v>
      </c>
      <c r="K681" s="6" t="s">
        <v>3159</v>
      </c>
      <c r="L681" s="6" t="s">
        <v>3243</v>
      </c>
      <c r="M681" s="6" t="s">
        <v>75</v>
      </c>
      <c r="N681" s="6" t="s">
        <v>3160</v>
      </c>
      <c r="O681" s="6" t="s">
        <v>3142</v>
      </c>
      <c r="P681" s="6" t="s">
        <v>3229</v>
      </c>
      <c r="Q681" s="6" t="s">
        <v>8239</v>
      </c>
      <c r="R681" s="6" t="s">
        <v>8240</v>
      </c>
      <c r="S681" s="6" t="s">
        <v>21</v>
      </c>
      <c r="T681" s="6" t="s">
        <v>8241</v>
      </c>
      <c r="U681" s="6" t="s">
        <v>3141</v>
      </c>
      <c r="V681" s="6" t="s">
        <v>4419</v>
      </c>
      <c r="W681" s="6" t="s">
        <v>4441</v>
      </c>
      <c r="X681" s="6" t="s">
        <v>77</v>
      </c>
      <c r="Y681" s="6" t="s">
        <v>3159</v>
      </c>
      <c r="Z681" s="6" t="s">
        <v>93</v>
      </c>
      <c r="AA681" s="6" t="s">
        <v>3291</v>
      </c>
      <c r="AB681" s="6"/>
      <c r="AC681" s="6" t="s">
        <v>3141</v>
      </c>
      <c r="AD681" s="6" t="s">
        <v>3152</v>
      </c>
      <c r="AE681" s="6" t="s">
        <v>3136</v>
      </c>
      <c r="AF681" s="6"/>
      <c r="AG681" s="6" t="s">
        <v>8242</v>
      </c>
      <c r="AH681" s="6" t="s">
        <v>79</v>
      </c>
    </row>
    <row r="682" spans="1:34" x14ac:dyDescent="0.25">
      <c r="A682" s="6" t="s">
        <v>2209</v>
      </c>
      <c r="B682" s="6" t="s">
        <v>2210</v>
      </c>
      <c r="C682" s="6" t="s">
        <v>8243</v>
      </c>
      <c r="D682" s="6" t="s">
        <v>2211</v>
      </c>
      <c r="E682" s="6" t="s">
        <v>3483</v>
      </c>
      <c r="F682" s="6" t="s">
        <v>3269</v>
      </c>
      <c r="G682" s="6" t="s">
        <v>139</v>
      </c>
      <c r="H682" s="6" t="s">
        <v>144</v>
      </c>
      <c r="I682" s="6" t="s">
        <v>92</v>
      </c>
      <c r="J682" s="6" t="s">
        <v>8244</v>
      </c>
      <c r="K682" s="6" t="s">
        <v>3292</v>
      </c>
      <c r="L682" s="6" t="s">
        <v>3173</v>
      </c>
      <c r="M682" s="6" t="s">
        <v>3196</v>
      </c>
      <c r="N682" s="6" t="s">
        <v>3173</v>
      </c>
      <c r="O682" s="6" t="s">
        <v>3143</v>
      </c>
      <c r="P682" s="6" t="s">
        <v>4697</v>
      </c>
      <c r="Q682" s="6" t="s">
        <v>8245</v>
      </c>
      <c r="R682" s="6" t="s">
        <v>8246</v>
      </c>
      <c r="S682" s="6" t="s">
        <v>20</v>
      </c>
      <c r="T682" s="6" t="s">
        <v>8247</v>
      </c>
      <c r="U682" s="6" t="s">
        <v>3141</v>
      </c>
      <c r="V682" s="6" t="s">
        <v>6208</v>
      </c>
      <c r="W682" s="6" t="s">
        <v>3884</v>
      </c>
      <c r="X682" s="6" t="s">
        <v>85</v>
      </c>
      <c r="Y682" s="6" t="s">
        <v>3292</v>
      </c>
      <c r="Z682" s="6" t="s">
        <v>93</v>
      </c>
      <c r="AA682" s="6" t="s">
        <v>5046</v>
      </c>
      <c r="AB682" s="6" t="s">
        <v>8248</v>
      </c>
      <c r="AC682" s="6" t="s">
        <v>3159</v>
      </c>
      <c r="AD682" s="6" t="s">
        <v>3141</v>
      </c>
      <c r="AE682" s="6" t="s">
        <v>3136</v>
      </c>
      <c r="AF682" s="6"/>
      <c r="AG682" s="6" t="s">
        <v>8249</v>
      </c>
      <c r="AH682" s="6" t="s">
        <v>79</v>
      </c>
    </row>
    <row r="683" spans="1:34" x14ac:dyDescent="0.25">
      <c r="A683" s="6" t="s">
        <v>2212</v>
      </c>
      <c r="B683" s="6" t="s">
        <v>1937</v>
      </c>
      <c r="C683" s="6"/>
      <c r="D683" s="6" t="s">
        <v>2213</v>
      </c>
      <c r="E683" s="6" t="s">
        <v>3357</v>
      </c>
      <c r="F683" s="6" t="s">
        <v>89</v>
      </c>
      <c r="G683" s="6" t="s">
        <v>90</v>
      </c>
      <c r="H683" s="6" t="s">
        <v>144</v>
      </c>
      <c r="I683" s="6" t="s">
        <v>92</v>
      </c>
      <c r="J683" s="6" t="s">
        <v>8250</v>
      </c>
      <c r="K683" s="6" t="s">
        <v>3159</v>
      </c>
      <c r="L683" s="6" t="s">
        <v>76</v>
      </c>
      <c r="M683" s="6" t="s">
        <v>75</v>
      </c>
      <c r="N683" s="6" t="s">
        <v>3152</v>
      </c>
      <c r="O683" s="6" t="s">
        <v>3160</v>
      </c>
      <c r="P683" s="6" t="s">
        <v>6238</v>
      </c>
      <c r="Q683" s="6"/>
      <c r="R683" s="6" t="s">
        <v>8251</v>
      </c>
      <c r="S683" s="6" t="s">
        <v>20</v>
      </c>
      <c r="T683" s="6" t="s">
        <v>8252</v>
      </c>
      <c r="U683" s="6" t="s">
        <v>3141</v>
      </c>
      <c r="V683" s="6" t="s">
        <v>5604</v>
      </c>
      <c r="W683" s="6" t="s">
        <v>3603</v>
      </c>
      <c r="X683" s="6" t="s">
        <v>85</v>
      </c>
      <c r="Y683" s="6" t="s">
        <v>3140</v>
      </c>
      <c r="Z683" s="6" t="s">
        <v>93</v>
      </c>
      <c r="AA683" s="6" t="s">
        <v>4398</v>
      </c>
      <c r="AB683" s="6"/>
      <c r="AC683" s="6" t="s">
        <v>3159</v>
      </c>
      <c r="AD683" s="6" t="s">
        <v>3160</v>
      </c>
      <c r="AE683" s="6" t="s">
        <v>3136</v>
      </c>
      <c r="AF683" s="6"/>
      <c r="AG683" s="6" t="s">
        <v>5615</v>
      </c>
      <c r="AH683" s="6" t="s">
        <v>79</v>
      </c>
    </row>
    <row r="684" spans="1:34" x14ac:dyDescent="0.25">
      <c r="A684" s="6" t="s">
        <v>2214</v>
      </c>
      <c r="B684" s="6" t="s">
        <v>2215</v>
      </c>
      <c r="C684" s="6"/>
      <c r="D684" s="6" t="s">
        <v>8253</v>
      </c>
      <c r="E684" s="6" t="s">
        <v>3235</v>
      </c>
      <c r="F684" s="6" t="s">
        <v>71</v>
      </c>
      <c r="G684" s="6" t="s">
        <v>417</v>
      </c>
      <c r="H684" s="6" t="s">
        <v>73</v>
      </c>
      <c r="I684" s="6" t="s">
        <v>74</v>
      </c>
      <c r="J684" s="6" t="s">
        <v>8254</v>
      </c>
      <c r="K684" s="6" t="s">
        <v>3292</v>
      </c>
      <c r="L684" s="6" t="s">
        <v>76</v>
      </c>
      <c r="M684" s="6" t="s">
        <v>3159</v>
      </c>
      <c r="N684" s="6" t="s">
        <v>3152</v>
      </c>
      <c r="O684" s="6" t="s">
        <v>3196</v>
      </c>
      <c r="P684" s="6" t="s">
        <v>4770</v>
      </c>
      <c r="Q684" s="6" t="s">
        <v>8255</v>
      </c>
      <c r="R684" s="6" t="s">
        <v>8256</v>
      </c>
      <c r="S684" s="6" t="s">
        <v>21</v>
      </c>
      <c r="T684" s="6"/>
      <c r="U684" s="6" t="s">
        <v>3141</v>
      </c>
      <c r="V684" s="6" t="s">
        <v>8257</v>
      </c>
      <c r="W684" s="6" t="s">
        <v>5418</v>
      </c>
      <c r="X684" s="6" t="s">
        <v>77</v>
      </c>
      <c r="Y684" s="6" t="s">
        <v>3159</v>
      </c>
      <c r="Z684" s="6" t="s">
        <v>3895</v>
      </c>
      <c r="AA684" s="6" t="s">
        <v>3250</v>
      </c>
      <c r="AB684" s="6"/>
      <c r="AC684" s="6" t="s">
        <v>3141</v>
      </c>
      <c r="AD684" s="6" t="s">
        <v>75</v>
      </c>
      <c r="AE684" s="6" t="s">
        <v>3293</v>
      </c>
      <c r="AF684" s="6"/>
      <c r="AG684" s="6" t="s">
        <v>8258</v>
      </c>
      <c r="AH684" s="6" t="s">
        <v>79</v>
      </c>
    </row>
    <row r="685" spans="1:34" x14ac:dyDescent="0.25">
      <c r="A685" s="6" t="s">
        <v>2217</v>
      </c>
      <c r="B685" s="6" t="s">
        <v>1461</v>
      </c>
      <c r="C685" s="6" t="s">
        <v>2218</v>
      </c>
      <c r="D685" s="6" t="s">
        <v>2219</v>
      </c>
      <c r="E685" s="6" t="s">
        <v>4155</v>
      </c>
      <c r="F685" s="6" t="s">
        <v>89</v>
      </c>
      <c r="G685" s="6" t="s">
        <v>83</v>
      </c>
      <c r="H685" s="6" t="s">
        <v>166</v>
      </c>
      <c r="I685" s="6" t="s">
        <v>74</v>
      </c>
      <c r="J685" s="6"/>
      <c r="K685" s="6" t="s">
        <v>3159</v>
      </c>
      <c r="L685" s="6" t="s">
        <v>3143</v>
      </c>
      <c r="M685" s="6" t="s">
        <v>3243</v>
      </c>
      <c r="N685" s="6" t="s">
        <v>3143</v>
      </c>
      <c r="O685" s="6" t="s">
        <v>3196</v>
      </c>
      <c r="P685" s="6" t="s">
        <v>4640</v>
      </c>
      <c r="Q685" s="6" t="s">
        <v>8259</v>
      </c>
      <c r="R685" s="6" t="s">
        <v>8260</v>
      </c>
      <c r="S685" s="6" t="s">
        <v>22</v>
      </c>
      <c r="T685" s="6" t="s">
        <v>8261</v>
      </c>
      <c r="U685" s="6" t="s">
        <v>3292</v>
      </c>
      <c r="V685" s="6" t="s">
        <v>3276</v>
      </c>
      <c r="W685" s="6" t="s">
        <v>5137</v>
      </c>
      <c r="X685" s="6" t="s">
        <v>161</v>
      </c>
      <c r="Y685" s="6" t="s">
        <v>3141</v>
      </c>
      <c r="Z685" s="6" t="s">
        <v>93</v>
      </c>
      <c r="AA685" s="6" t="s">
        <v>3691</v>
      </c>
      <c r="AB685" s="6" t="s">
        <v>8262</v>
      </c>
      <c r="AC685" s="6" t="s">
        <v>3159</v>
      </c>
      <c r="AD685" s="6" t="s">
        <v>3143</v>
      </c>
      <c r="AE685" s="6" t="s">
        <v>3210</v>
      </c>
      <c r="AF685" s="6" t="s">
        <v>8263</v>
      </c>
      <c r="AG685" s="6" t="s">
        <v>8264</v>
      </c>
      <c r="AH685" s="6" t="s">
        <v>79</v>
      </c>
    </row>
    <row r="686" spans="1:34" x14ac:dyDescent="0.25">
      <c r="A686" s="6" t="s">
        <v>2220</v>
      </c>
      <c r="B686" s="6" t="s">
        <v>849</v>
      </c>
      <c r="C686" s="6"/>
      <c r="D686" s="6" t="s">
        <v>8265</v>
      </c>
      <c r="E686" s="6" t="s">
        <v>3505</v>
      </c>
      <c r="F686" s="6" t="s">
        <v>3214</v>
      </c>
      <c r="G686" s="6" t="s">
        <v>120</v>
      </c>
      <c r="H686" s="6" t="s">
        <v>99</v>
      </c>
      <c r="I686" s="6" t="s">
        <v>74</v>
      </c>
      <c r="J686" s="6" t="s">
        <v>8266</v>
      </c>
      <c r="K686" s="6" t="s">
        <v>3159</v>
      </c>
      <c r="L686" s="6" t="s">
        <v>3196</v>
      </c>
      <c r="M686" s="6" t="s">
        <v>3152</v>
      </c>
      <c r="N686" s="6" t="s">
        <v>3160</v>
      </c>
      <c r="O686" s="6" t="s">
        <v>3152</v>
      </c>
      <c r="P686" s="6" t="s">
        <v>7828</v>
      </c>
      <c r="Q686" s="6" t="s">
        <v>3217</v>
      </c>
      <c r="R686" s="6" t="s">
        <v>8267</v>
      </c>
      <c r="S686" s="6" t="s">
        <v>20</v>
      </c>
      <c r="T686" s="6" t="s">
        <v>8268</v>
      </c>
      <c r="U686" s="6" t="s">
        <v>3141</v>
      </c>
      <c r="V686" s="6" t="s">
        <v>8269</v>
      </c>
      <c r="W686" s="6" t="s">
        <v>3468</v>
      </c>
      <c r="X686" s="6" t="s">
        <v>3167</v>
      </c>
      <c r="Y686" s="6" t="s">
        <v>3159</v>
      </c>
      <c r="Z686" s="6" t="s">
        <v>3263</v>
      </c>
      <c r="AA686" s="6" t="s">
        <v>3767</v>
      </c>
      <c r="AB686" s="6" t="s">
        <v>8270</v>
      </c>
      <c r="AC686" s="6" t="s">
        <v>3140</v>
      </c>
      <c r="AD686" s="6" t="s">
        <v>75</v>
      </c>
      <c r="AE686" s="6" t="s">
        <v>3235</v>
      </c>
      <c r="AF686" s="6"/>
      <c r="AG686" s="6" t="s">
        <v>8271</v>
      </c>
      <c r="AH686" s="6" t="s">
        <v>79</v>
      </c>
    </row>
    <row r="687" spans="1:34" x14ac:dyDescent="0.25">
      <c r="A687" s="6" t="s">
        <v>2222</v>
      </c>
      <c r="B687" s="6" t="s">
        <v>2223</v>
      </c>
      <c r="C687" s="6" t="s">
        <v>8272</v>
      </c>
      <c r="D687" s="6" t="s">
        <v>2224</v>
      </c>
      <c r="E687" s="6" t="s">
        <v>3323</v>
      </c>
      <c r="F687" s="6" t="s">
        <v>3358</v>
      </c>
      <c r="G687" s="6" t="s">
        <v>72</v>
      </c>
      <c r="H687" s="6" t="s">
        <v>84</v>
      </c>
      <c r="I687" s="6" t="s">
        <v>74</v>
      </c>
      <c r="J687" s="6"/>
      <c r="K687" s="6" t="s">
        <v>3292</v>
      </c>
      <c r="L687" s="6" t="s">
        <v>3159</v>
      </c>
      <c r="M687" s="6" t="s">
        <v>3159</v>
      </c>
      <c r="N687" s="6" t="s">
        <v>3173</v>
      </c>
      <c r="O687" s="6" t="s">
        <v>3160</v>
      </c>
      <c r="P687" s="6" t="s">
        <v>7316</v>
      </c>
      <c r="Q687" s="6" t="s">
        <v>8273</v>
      </c>
      <c r="R687" s="6" t="s">
        <v>8274</v>
      </c>
      <c r="S687" s="6" t="s">
        <v>3219</v>
      </c>
      <c r="T687" s="6" t="s">
        <v>8275</v>
      </c>
      <c r="U687" s="6" t="s">
        <v>3192</v>
      </c>
      <c r="V687" s="6" t="s">
        <v>4981</v>
      </c>
      <c r="W687" s="6" t="s">
        <v>4873</v>
      </c>
      <c r="X687" s="6" t="s">
        <v>77</v>
      </c>
      <c r="Y687" s="6" t="s">
        <v>3159</v>
      </c>
      <c r="Z687" s="6" t="s">
        <v>93</v>
      </c>
      <c r="AA687" s="6" t="s">
        <v>8276</v>
      </c>
      <c r="AB687" s="6"/>
      <c r="AC687" s="6" t="s">
        <v>3292</v>
      </c>
      <c r="AD687" s="6" t="s">
        <v>75</v>
      </c>
      <c r="AE687" s="6" t="s">
        <v>3136</v>
      </c>
      <c r="AF687" s="6"/>
      <c r="AG687" s="6" t="s">
        <v>8277</v>
      </c>
      <c r="AH687" s="6" t="s">
        <v>79</v>
      </c>
    </row>
    <row r="688" spans="1:34" x14ac:dyDescent="0.25">
      <c r="A688" s="6" t="s">
        <v>2225</v>
      </c>
      <c r="B688" s="6" t="s">
        <v>2226</v>
      </c>
      <c r="C688" s="6" t="s">
        <v>8278</v>
      </c>
      <c r="D688" s="6" t="s">
        <v>2227</v>
      </c>
      <c r="E688" s="6" t="s">
        <v>3170</v>
      </c>
      <c r="F688" s="6" t="s">
        <v>89</v>
      </c>
      <c r="G688" s="6" t="s">
        <v>7391</v>
      </c>
      <c r="H688" s="6" t="s">
        <v>73</v>
      </c>
      <c r="I688" s="6" t="s">
        <v>74</v>
      </c>
      <c r="J688" s="6" t="s">
        <v>8279</v>
      </c>
      <c r="K688" s="6" t="s">
        <v>3292</v>
      </c>
      <c r="L688" s="6" t="s">
        <v>76</v>
      </c>
      <c r="M688" s="6" t="s">
        <v>76</v>
      </c>
      <c r="N688" s="6" t="s">
        <v>3196</v>
      </c>
      <c r="O688" s="6" t="s">
        <v>75</v>
      </c>
      <c r="P688" s="6" t="s">
        <v>8280</v>
      </c>
      <c r="Q688" s="6" t="s">
        <v>8281</v>
      </c>
      <c r="R688" s="6" t="s">
        <v>8282</v>
      </c>
      <c r="S688" s="6" t="s">
        <v>23</v>
      </c>
      <c r="T688" s="6" t="s">
        <v>8283</v>
      </c>
      <c r="U688" s="6" t="s">
        <v>3292</v>
      </c>
      <c r="V688" s="6" t="s">
        <v>8284</v>
      </c>
      <c r="W688" s="6" t="s">
        <v>3330</v>
      </c>
      <c r="X688" s="6" t="s">
        <v>161</v>
      </c>
      <c r="Y688" s="6" t="s">
        <v>3159</v>
      </c>
      <c r="Z688" s="6" t="s">
        <v>78</v>
      </c>
      <c r="AA688" s="6" t="s">
        <v>3455</v>
      </c>
      <c r="AB688" s="6"/>
      <c r="AC688" s="6" t="s">
        <v>3140</v>
      </c>
      <c r="AD688" s="6" t="s">
        <v>3243</v>
      </c>
      <c r="AE688" s="6" t="s">
        <v>3318</v>
      </c>
      <c r="AF688" s="6" t="s">
        <v>8285</v>
      </c>
      <c r="AG688" s="6" t="s">
        <v>7233</v>
      </c>
      <c r="AH688" s="6" t="s">
        <v>79</v>
      </c>
    </row>
    <row r="689" spans="1:34" x14ac:dyDescent="0.25">
      <c r="A689" s="6" t="s">
        <v>2228</v>
      </c>
      <c r="B689" s="6" t="s">
        <v>2203</v>
      </c>
      <c r="C689" s="6" t="s">
        <v>2229</v>
      </c>
      <c r="D689" s="6" t="s">
        <v>2230</v>
      </c>
      <c r="E689" s="6" t="s">
        <v>3617</v>
      </c>
      <c r="F689" s="6" t="s">
        <v>3283</v>
      </c>
      <c r="G689" s="6" t="s">
        <v>115</v>
      </c>
      <c r="H689" s="6" t="s">
        <v>144</v>
      </c>
      <c r="I689" s="6" t="s">
        <v>92</v>
      </c>
      <c r="J689" s="6"/>
      <c r="K689" s="6" t="s">
        <v>3140</v>
      </c>
      <c r="L689" s="6" t="s">
        <v>3188</v>
      </c>
      <c r="M689" s="6" t="s">
        <v>3188</v>
      </c>
      <c r="N689" s="6" t="s">
        <v>3243</v>
      </c>
      <c r="O689" s="6" t="s">
        <v>3141</v>
      </c>
      <c r="P689" s="6" t="s">
        <v>8286</v>
      </c>
      <c r="Q689" s="6" t="s">
        <v>8287</v>
      </c>
      <c r="R689" s="6" t="s">
        <v>8288</v>
      </c>
      <c r="S689" s="6" t="s">
        <v>23</v>
      </c>
      <c r="T689" s="6" t="s">
        <v>8289</v>
      </c>
      <c r="U689" s="6" t="s">
        <v>3141</v>
      </c>
      <c r="V689" s="6" t="s">
        <v>4058</v>
      </c>
      <c r="W689" s="6" t="s">
        <v>3278</v>
      </c>
      <c r="X689" s="6" t="s">
        <v>77</v>
      </c>
      <c r="Y689" s="6" t="s">
        <v>3159</v>
      </c>
      <c r="Z689" s="6" t="s">
        <v>93</v>
      </c>
      <c r="AA689" s="6" t="s">
        <v>5926</v>
      </c>
      <c r="AB689" s="6"/>
      <c r="AC689" s="6" t="s">
        <v>3141</v>
      </c>
      <c r="AD689" s="6" t="s">
        <v>75</v>
      </c>
      <c r="AE689" s="6" t="s">
        <v>3428</v>
      </c>
      <c r="AF689" s="6" t="s">
        <v>8290</v>
      </c>
      <c r="AG689" s="6" t="s">
        <v>8291</v>
      </c>
      <c r="AH689" s="6" t="s">
        <v>79</v>
      </c>
    </row>
    <row r="690" spans="1:34" x14ac:dyDescent="0.25">
      <c r="A690" s="6" t="s">
        <v>2231</v>
      </c>
      <c r="B690" s="6" t="s">
        <v>2232</v>
      </c>
      <c r="C690" s="6" t="s">
        <v>2233</v>
      </c>
      <c r="D690" s="6" t="s">
        <v>8292</v>
      </c>
      <c r="E690" s="6" t="s">
        <v>4542</v>
      </c>
      <c r="F690" s="6" t="s">
        <v>71</v>
      </c>
      <c r="G690" s="6" t="s">
        <v>106</v>
      </c>
      <c r="H690" s="6" t="s">
        <v>99</v>
      </c>
      <c r="I690" s="6" t="s">
        <v>74</v>
      </c>
      <c r="J690" s="6"/>
      <c r="K690" s="6" t="s">
        <v>3141</v>
      </c>
      <c r="L690" s="6" t="s">
        <v>3243</v>
      </c>
      <c r="M690" s="6" t="s">
        <v>75</v>
      </c>
      <c r="N690" s="6" t="s">
        <v>3243</v>
      </c>
      <c r="O690" s="6" t="s">
        <v>75</v>
      </c>
      <c r="P690" s="6" t="s">
        <v>5192</v>
      </c>
      <c r="Q690" s="6" t="s">
        <v>8293</v>
      </c>
      <c r="R690" s="6" t="s">
        <v>8294</v>
      </c>
      <c r="S690" s="6" t="s">
        <v>21</v>
      </c>
      <c r="T690" s="6" t="s">
        <v>8295</v>
      </c>
      <c r="U690" s="6" t="s">
        <v>3159</v>
      </c>
      <c r="V690" s="6" t="s">
        <v>8296</v>
      </c>
      <c r="W690" s="6" t="s">
        <v>3994</v>
      </c>
      <c r="X690" s="6" t="s">
        <v>85</v>
      </c>
      <c r="Y690" s="6" t="s">
        <v>3141</v>
      </c>
      <c r="Z690" s="6" t="s">
        <v>78</v>
      </c>
      <c r="AA690" s="6" t="s">
        <v>3304</v>
      </c>
      <c r="AB690" s="6"/>
      <c r="AC690" s="6" t="s">
        <v>3141</v>
      </c>
      <c r="AD690" s="6" t="s">
        <v>3143</v>
      </c>
      <c r="AE690" s="6" t="s">
        <v>3279</v>
      </c>
      <c r="AF690" s="6"/>
      <c r="AG690" s="6" t="s">
        <v>3320</v>
      </c>
      <c r="AH690" s="6" t="s">
        <v>79</v>
      </c>
    </row>
    <row r="691" spans="1:34" x14ac:dyDescent="0.25">
      <c r="A691" s="6" t="s">
        <v>2235</v>
      </c>
      <c r="B691" s="6" t="s">
        <v>2236</v>
      </c>
      <c r="C691" s="6" t="s">
        <v>2237</v>
      </c>
      <c r="D691" s="6" t="s">
        <v>2238</v>
      </c>
      <c r="E691" s="6" t="s">
        <v>4190</v>
      </c>
      <c r="F691" s="6" t="s">
        <v>3283</v>
      </c>
      <c r="G691" s="6" t="s">
        <v>314</v>
      </c>
      <c r="H691" s="6" t="s">
        <v>99</v>
      </c>
      <c r="I691" s="6" t="s">
        <v>74</v>
      </c>
      <c r="J691" s="6" t="s">
        <v>8297</v>
      </c>
      <c r="K691" s="6" t="s">
        <v>3159</v>
      </c>
      <c r="L691" s="6" t="s">
        <v>75</v>
      </c>
      <c r="M691" s="6" t="s">
        <v>3173</v>
      </c>
      <c r="N691" s="6" t="s">
        <v>3160</v>
      </c>
      <c r="O691" s="6" t="s">
        <v>3152</v>
      </c>
      <c r="P691" s="6" t="s">
        <v>8286</v>
      </c>
      <c r="Q691" s="6"/>
      <c r="R691" s="6" t="s">
        <v>8298</v>
      </c>
      <c r="S691" s="6" t="s">
        <v>22</v>
      </c>
      <c r="T691" s="6"/>
      <c r="U691" s="6" t="s">
        <v>3141</v>
      </c>
      <c r="V691" s="6" t="s">
        <v>8299</v>
      </c>
      <c r="W691" s="6" t="s">
        <v>3375</v>
      </c>
      <c r="X691" s="6" t="s">
        <v>85</v>
      </c>
      <c r="Y691" s="6" t="s">
        <v>3159</v>
      </c>
      <c r="Z691" s="6" t="s">
        <v>78</v>
      </c>
      <c r="AA691" s="6" t="s">
        <v>3577</v>
      </c>
      <c r="AB691" s="6" t="s">
        <v>8300</v>
      </c>
      <c r="AC691" s="6" t="s">
        <v>3159</v>
      </c>
      <c r="AD691" s="6" t="s">
        <v>3159</v>
      </c>
      <c r="AE691" s="6" t="s">
        <v>3323</v>
      </c>
      <c r="AF691" s="6" t="s">
        <v>8301</v>
      </c>
      <c r="AG691" s="6" t="s">
        <v>6773</v>
      </c>
      <c r="AH691" s="6" t="s">
        <v>79</v>
      </c>
    </row>
    <row r="692" spans="1:34" x14ac:dyDescent="0.25">
      <c r="A692" s="6" t="s">
        <v>2239</v>
      </c>
      <c r="B692" s="6" t="s">
        <v>2240</v>
      </c>
      <c r="C692" s="6" t="s">
        <v>2241</v>
      </c>
      <c r="D692" s="6" t="s">
        <v>2242</v>
      </c>
      <c r="E692" s="6" t="s">
        <v>3279</v>
      </c>
      <c r="F692" s="6" t="s">
        <v>3214</v>
      </c>
      <c r="G692" s="6" t="s">
        <v>90</v>
      </c>
      <c r="H692" s="6" t="s">
        <v>99</v>
      </c>
      <c r="I692" s="6" t="s">
        <v>74</v>
      </c>
      <c r="J692" s="6" t="s">
        <v>8302</v>
      </c>
      <c r="K692" s="6" t="s">
        <v>3141</v>
      </c>
      <c r="L692" s="6" t="s">
        <v>3152</v>
      </c>
      <c r="M692" s="6" t="s">
        <v>75</v>
      </c>
      <c r="N692" s="6" t="s">
        <v>3243</v>
      </c>
      <c r="O692" s="6" t="s">
        <v>3141</v>
      </c>
      <c r="P692" s="6" t="s">
        <v>8303</v>
      </c>
      <c r="Q692" s="6" t="s">
        <v>8304</v>
      </c>
      <c r="R692" s="6" t="s">
        <v>8305</v>
      </c>
      <c r="S692" s="6" t="s">
        <v>22</v>
      </c>
      <c r="T692" s="6" t="s">
        <v>8306</v>
      </c>
      <c r="U692" s="6" t="s">
        <v>3292</v>
      </c>
      <c r="V692" s="6" t="s">
        <v>5926</v>
      </c>
      <c r="W692" s="6" t="s">
        <v>4014</v>
      </c>
      <c r="X692" s="6" t="s">
        <v>85</v>
      </c>
      <c r="Y692" s="6" t="s">
        <v>3140</v>
      </c>
      <c r="Z692" s="6" t="s">
        <v>93</v>
      </c>
      <c r="AA692" s="6" t="s">
        <v>6178</v>
      </c>
      <c r="AB692" s="6"/>
      <c r="AC692" s="6" t="s">
        <v>3159</v>
      </c>
      <c r="AD692" s="6" t="s">
        <v>3243</v>
      </c>
      <c r="AE692" s="6" t="s">
        <v>3279</v>
      </c>
      <c r="AF692" s="6" t="s">
        <v>8307</v>
      </c>
      <c r="AG692" s="6" t="s">
        <v>8308</v>
      </c>
      <c r="AH692" s="6" t="s">
        <v>79</v>
      </c>
    </row>
    <row r="693" spans="1:34" x14ac:dyDescent="0.25">
      <c r="A693" s="6" t="s">
        <v>2243</v>
      </c>
      <c r="B693" s="6" t="s">
        <v>2244</v>
      </c>
      <c r="C693" s="6" t="s">
        <v>8309</v>
      </c>
      <c r="D693" s="6" t="s">
        <v>2245</v>
      </c>
      <c r="E693" s="6" t="s">
        <v>3505</v>
      </c>
      <c r="F693" s="6" t="s">
        <v>3283</v>
      </c>
      <c r="G693" s="6" t="s">
        <v>5624</v>
      </c>
      <c r="H693" s="6" t="s">
        <v>107</v>
      </c>
      <c r="I693" s="6" t="s">
        <v>92</v>
      </c>
      <c r="J693" s="6" t="s">
        <v>8310</v>
      </c>
      <c r="K693" s="6" t="s">
        <v>3141</v>
      </c>
      <c r="L693" s="6" t="s">
        <v>3160</v>
      </c>
      <c r="M693" s="6" t="s">
        <v>3160</v>
      </c>
      <c r="N693" s="6" t="s">
        <v>3160</v>
      </c>
      <c r="O693" s="6" t="s">
        <v>3141</v>
      </c>
      <c r="P693" s="6"/>
      <c r="Q693" s="6" t="s">
        <v>8311</v>
      </c>
      <c r="R693" s="6" t="s">
        <v>8312</v>
      </c>
      <c r="S693" s="6" t="s">
        <v>23</v>
      </c>
      <c r="T693" s="6" t="s">
        <v>8313</v>
      </c>
      <c r="U693" s="6" t="s">
        <v>3159</v>
      </c>
      <c r="V693" s="6" t="s">
        <v>8314</v>
      </c>
      <c r="W693" s="6" t="s">
        <v>5046</v>
      </c>
      <c r="X693" s="6" t="s">
        <v>77</v>
      </c>
      <c r="Y693" s="6" t="s">
        <v>3159</v>
      </c>
      <c r="Z693" s="6" t="s">
        <v>93</v>
      </c>
      <c r="AA693" s="6" t="s">
        <v>4407</v>
      </c>
      <c r="AB693" s="6"/>
      <c r="AC693" s="6" t="s">
        <v>3159</v>
      </c>
      <c r="AD693" s="6" t="s">
        <v>3152</v>
      </c>
      <c r="AE693" s="6" t="s">
        <v>3428</v>
      </c>
      <c r="AF693" s="6" t="s">
        <v>8315</v>
      </c>
      <c r="AG693" s="6" t="s">
        <v>8316</v>
      </c>
      <c r="AH693" s="6" t="s">
        <v>79</v>
      </c>
    </row>
    <row r="694" spans="1:34" x14ac:dyDescent="0.25">
      <c r="A694" s="6" t="s">
        <v>2246</v>
      </c>
      <c r="B694" s="6" t="s">
        <v>1152</v>
      </c>
      <c r="C694" s="6"/>
      <c r="D694" s="6" t="s">
        <v>2247</v>
      </c>
      <c r="E694" s="6" t="s">
        <v>3268</v>
      </c>
      <c r="F694" s="6" t="s">
        <v>3227</v>
      </c>
      <c r="G694" s="6" t="s">
        <v>106</v>
      </c>
      <c r="H694" s="6" t="s">
        <v>107</v>
      </c>
      <c r="I694" s="6" t="s">
        <v>92</v>
      </c>
      <c r="J694" s="6" t="s">
        <v>8317</v>
      </c>
      <c r="K694" s="6" t="s">
        <v>3140</v>
      </c>
      <c r="L694" s="6" t="s">
        <v>75</v>
      </c>
      <c r="M694" s="6" t="s">
        <v>3243</v>
      </c>
      <c r="N694" s="6" t="s">
        <v>76</v>
      </c>
      <c r="O694" s="6" t="s">
        <v>3142</v>
      </c>
      <c r="P694" s="6" t="s">
        <v>5908</v>
      </c>
      <c r="Q694" s="6"/>
      <c r="R694" s="6" t="s">
        <v>8318</v>
      </c>
      <c r="S694" s="6" t="s">
        <v>22</v>
      </c>
      <c r="T694" s="6" t="s">
        <v>8319</v>
      </c>
      <c r="U694" s="6" t="s">
        <v>3141</v>
      </c>
      <c r="V694" s="6" t="s">
        <v>7648</v>
      </c>
      <c r="W694" s="6" t="s">
        <v>3767</v>
      </c>
      <c r="X694" s="6" t="s">
        <v>85</v>
      </c>
      <c r="Y694" s="6" t="s">
        <v>3141</v>
      </c>
      <c r="Z694" s="6" t="s">
        <v>78</v>
      </c>
      <c r="AA694" s="6" t="s">
        <v>3289</v>
      </c>
      <c r="AB694" s="6"/>
      <c r="AC694" s="6" t="s">
        <v>3159</v>
      </c>
      <c r="AD694" s="6" t="s">
        <v>3143</v>
      </c>
      <c r="AE694" s="6" t="s">
        <v>3136</v>
      </c>
      <c r="AF694" s="6" t="s">
        <v>8320</v>
      </c>
      <c r="AG694" s="6" t="s">
        <v>8321</v>
      </c>
      <c r="AH694" s="6" t="s">
        <v>79</v>
      </c>
    </row>
    <row r="695" spans="1:34" x14ac:dyDescent="0.25">
      <c r="A695" s="6" t="s">
        <v>2248</v>
      </c>
      <c r="B695" s="6" t="s">
        <v>2249</v>
      </c>
      <c r="C695" s="6" t="s">
        <v>8322</v>
      </c>
      <c r="D695" s="6"/>
      <c r="E695" s="6" t="s">
        <v>3282</v>
      </c>
      <c r="F695" s="6" t="s">
        <v>3201</v>
      </c>
      <c r="G695" s="6" t="s">
        <v>153</v>
      </c>
      <c r="H695" s="6" t="s">
        <v>84</v>
      </c>
      <c r="I695" s="6" t="s">
        <v>74</v>
      </c>
      <c r="J695" s="6"/>
      <c r="K695" s="6" t="s">
        <v>3159</v>
      </c>
      <c r="L695" s="6" t="s">
        <v>75</v>
      </c>
      <c r="M695" s="6" t="s">
        <v>3196</v>
      </c>
      <c r="N695" s="6" t="s">
        <v>3141</v>
      </c>
      <c r="O695" s="6" t="s">
        <v>3141</v>
      </c>
      <c r="P695" s="6" t="s">
        <v>8323</v>
      </c>
      <c r="Q695" s="6" t="s">
        <v>8324</v>
      </c>
      <c r="R695" s="6" t="s">
        <v>8325</v>
      </c>
      <c r="S695" s="6" t="s">
        <v>20</v>
      </c>
      <c r="T695" s="6" t="s">
        <v>8326</v>
      </c>
      <c r="U695" s="6" t="s">
        <v>3292</v>
      </c>
      <c r="V695" s="6" t="s">
        <v>3523</v>
      </c>
      <c r="W695" s="6" t="s">
        <v>4568</v>
      </c>
      <c r="X695" s="6" t="s">
        <v>85</v>
      </c>
      <c r="Y695" s="6" t="s">
        <v>3140</v>
      </c>
      <c r="Z695" s="6" t="s">
        <v>93</v>
      </c>
      <c r="AA695" s="6" t="s">
        <v>3344</v>
      </c>
      <c r="AB695" s="6"/>
      <c r="AC695" s="6" t="s">
        <v>3141</v>
      </c>
      <c r="AD695" s="6" t="s">
        <v>3243</v>
      </c>
      <c r="AE695" s="6" t="s">
        <v>3169</v>
      </c>
      <c r="AF695" s="6"/>
      <c r="AG695" s="6"/>
      <c r="AH695" s="6" t="s">
        <v>79</v>
      </c>
    </row>
    <row r="696" spans="1:34" x14ac:dyDescent="0.25">
      <c r="A696" s="6" t="s">
        <v>2250</v>
      </c>
      <c r="B696" s="6" t="s">
        <v>1162</v>
      </c>
      <c r="C696" s="6" t="s">
        <v>2251</v>
      </c>
      <c r="D696" s="6" t="s">
        <v>8327</v>
      </c>
      <c r="E696" s="6" t="s">
        <v>3170</v>
      </c>
      <c r="F696" s="6" t="s">
        <v>3358</v>
      </c>
      <c r="G696" s="6" t="s">
        <v>417</v>
      </c>
      <c r="H696" s="6" t="s">
        <v>132</v>
      </c>
      <c r="I696" s="6" t="s">
        <v>92</v>
      </c>
      <c r="J696" s="6" t="s">
        <v>8328</v>
      </c>
      <c r="K696" s="6" t="s">
        <v>3159</v>
      </c>
      <c r="L696" s="6" t="s">
        <v>3160</v>
      </c>
      <c r="M696" s="6" t="s">
        <v>3141</v>
      </c>
      <c r="N696" s="6" t="s">
        <v>3142</v>
      </c>
      <c r="O696" s="6" t="s">
        <v>3243</v>
      </c>
      <c r="P696" s="6" t="s">
        <v>6769</v>
      </c>
      <c r="Q696" s="6" t="s">
        <v>8329</v>
      </c>
      <c r="R696" s="6" t="s">
        <v>8330</v>
      </c>
      <c r="S696" s="6" t="s">
        <v>20</v>
      </c>
      <c r="T696" s="6" t="s">
        <v>8331</v>
      </c>
      <c r="U696" s="6" t="s">
        <v>3141</v>
      </c>
      <c r="V696" s="6" t="s">
        <v>8332</v>
      </c>
      <c r="W696" s="6" t="s">
        <v>3672</v>
      </c>
      <c r="X696" s="6" t="s">
        <v>85</v>
      </c>
      <c r="Y696" s="6" t="s">
        <v>3159</v>
      </c>
      <c r="Z696" s="6" t="s">
        <v>93</v>
      </c>
      <c r="AA696" s="6" t="s">
        <v>3847</v>
      </c>
      <c r="AB696" s="6"/>
      <c r="AC696" s="6" t="s">
        <v>3141</v>
      </c>
      <c r="AD696" s="6" t="s">
        <v>3152</v>
      </c>
      <c r="AE696" s="6" t="s">
        <v>3169</v>
      </c>
      <c r="AF696" s="6"/>
      <c r="AG696" s="6" t="s">
        <v>8333</v>
      </c>
      <c r="AH696" s="6" t="s">
        <v>79</v>
      </c>
    </row>
    <row r="697" spans="1:34" x14ac:dyDescent="0.25">
      <c r="A697" s="6" t="s">
        <v>2253</v>
      </c>
      <c r="B697" s="6" t="s">
        <v>2254</v>
      </c>
      <c r="C697" s="6" t="s">
        <v>8334</v>
      </c>
      <c r="D697" s="6" t="s">
        <v>8335</v>
      </c>
      <c r="E697" s="6" t="s">
        <v>3254</v>
      </c>
      <c r="F697" s="6" t="s">
        <v>3358</v>
      </c>
      <c r="G697" s="6" t="s">
        <v>139</v>
      </c>
      <c r="H697" s="6" t="s">
        <v>99</v>
      </c>
      <c r="I697" s="6" t="s">
        <v>74</v>
      </c>
      <c r="J697" s="6" t="s">
        <v>8336</v>
      </c>
      <c r="K697" s="6" t="s">
        <v>3140</v>
      </c>
      <c r="L697" s="6" t="s">
        <v>3159</v>
      </c>
      <c r="M697" s="6" t="s">
        <v>3142</v>
      </c>
      <c r="N697" s="6" t="s">
        <v>3243</v>
      </c>
      <c r="O697" s="6" t="s">
        <v>3143</v>
      </c>
      <c r="P697" s="6" t="s">
        <v>8337</v>
      </c>
      <c r="Q697" s="6" t="s">
        <v>8338</v>
      </c>
      <c r="R697" s="6" t="s">
        <v>8339</v>
      </c>
      <c r="S697" s="6" t="s">
        <v>23</v>
      </c>
      <c r="T697" s="6" t="s">
        <v>3217</v>
      </c>
      <c r="U697" s="6" t="s">
        <v>3141</v>
      </c>
      <c r="V697" s="6" t="s">
        <v>8340</v>
      </c>
      <c r="W697" s="6" t="s">
        <v>3490</v>
      </c>
      <c r="X697" s="6" t="s">
        <v>3918</v>
      </c>
      <c r="Y697" s="6" t="s">
        <v>3140</v>
      </c>
      <c r="Z697" s="6" t="s">
        <v>78</v>
      </c>
      <c r="AA697" s="6" t="s">
        <v>3455</v>
      </c>
      <c r="AB697" s="6"/>
      <c r="AC697" s="6" t="s">
        <v>3141</v>
      </c>
      <c r="AD697" s="6" t="s">
        <v>3141</v>
      </c>
      <c r="AE697" s="6" t="s">
        <v>3318</v>
      </c>
      <c r="AF697" s="6" t="s">
        <v>8341</v>
      </c>
      <c r="AG697" s="6" t="s">
        <v>8342</v>
      </c>
      <c r="AH697" s="6" t="s">
        <v>79</v>
      </c>
    </row>
    <row r="698" spans="1:34" x14ac:dyDescent="0.25">
      <c r="A698" s="6" t="s">
        <v>2256</v>
      </c>
      <c r="B698" s="6" t="s">
        <v>2257</v>
      </c>
      <c r="C698" s="6" t="s">
        <v>8343</v>
      </c>
      <c r="D698" s="6"/>
      <c r="E698" s="6" t="s">
        <v>3843</v>
      </c>
      <c r="F698" s="6" t="s">
        <v>3369</v>
      </c>
      <c r="G698" s="6" t="s">
        <v>115</v>
      </c>
      <c r="H698" s="6" t="s">
        <v>103</v>
      </c>
      <c r="I698" s="6" t="s">
        <v>74</v>
      </c>
      <c r="J698" s="6" t="s">
        <v>8344</v>
      </c>
      <c r="K698" s="6" t="s">
        <v>3292</v>
      </c>
      <c r="L698" s="6" t="s">
        <v>3141</v>
      </c>
      <c r="M698" s="6" t="s">
        <v>3173</v>
      </c>
      <c r="N698" s="6" t="s">
        <v>3159</v>
      </c>
      <c r="O698" s="6" t="s">
        <v>3196</v>
      </c>
      <c r="P698" s="6" t="s">
        <v>3660</v>
      </c>
      <c r="Q698" s="6" t="s">
        <v>8345</v>
      </c>
      <c r="R698" s="6" t="s">
        <v>8346</v>
      </c>
      <c r="S698" s="6" t="s">
        <v>20</v>
      </c>
      <c r="T698" s="6"/>
      <c r="U698" s="6" t="s">
        <v>3141</v>
      </c>
      <c r="V698" s="6" t="s">
        <v>3541</v>
      </c>
      <c r="W698" s="6" t="s">
        <v>4463</v>
      </c>
      <c r="X698" s="6" t="s">
        <v>77</v>
      </c>
      <c r="Y698" s="6" t="s">
        <v>3159</v>
      </c>
      <c r="Z698" s="6" t="s">
        <v>93</v>
      </c>
      <c r="AA698" s="6" t="s">
        <v>3195</v>
      </c>
      <c r="AB698" s="6"/>
      <c r="AC698" s="6" t="s">
        <v>3141</v>
      </c>
      <c r="AD698" s="6" t="s">
        <v>3152</v>
      </c>
      <c r="AE698" s="6" t="s">
        <v>3293</v>
      </c>
      <c r="AF698" s="6"/>
      <c r="AG698" s="6" t="s">
        <v>8347</v>
      </c>
      <c r="AH698" s="6" t="s">
        <v>79</v>
      </c>
    </row>
    <row r="699" spans="1:34" x14ac:dyDescent="0.25">
      <c r="A699" s="6" t="s">
        <v>2258</v>
      </c>
      <c r="B699" s="6" t="s">
        <v>2259</v>
      </c>
      <c r="C699" s="6" t="s">
        <v>8348</v>
      </c>
      <c r="D699" s="6" t="s">
        <v>2260</v>
      </c>
      <c r="E699" s="6" t="s">
        <v>3136</v>
      </c>
      <c r="F699" s="6" t="s">
        <v>3358</v>
      </c>
      <c r="G699" s="6" t="s">
        <v>98</v>
      </c>
      <c r="H699" s="6" t="s">
        <v>4359</v>
      </c>
      <c r="I699" s="6" t="s">
        <v>74</v>
      </c>
      <c r="J699" s="6"/>
      <c r="K699" s="6" t="s">
        <v>3292</v>
      </c>
      <c r="L699" s="6" t="s">
        <v>76</v>
      </c>
      <c r="M699" s="6" t="s">
        <v>3196</v>
      </c>
      <c r="N699" s="6" t="s">
        <v>3188</v>
      </c>
      <c r="O699" s="6" t="s">
        <v>75</v>
      </c>
      <c r="P699" s="6" t="s">
        <v>5732</v>
      </c>
      <c r="Q699" s="6" t="s">
        <v>8349</v>
      </c>
      <c r="R699" s="6" t="s">
        <v>8350</v>
      </c>
      <c r="S699" s="6" t="s">
        <v>20</v>
      </c>
      <c r="T699" s="6" t="s">
        <v>8351</v>
      </c>
      <c r="U699" s="6" t="s">
        <v>3192</v>
      </c>
      <c r="V699" s="6" t="s">
        <v>4943</v>
      </c>
      <c r="W699" s="6" t="s">
        <v>3383</v>
      </c>
      <c r="X699" s="6" t="s">
        <v>85</v>
      </c>
      <c r="Y699" s="6" t="s">
        <v>3140</v>
      </c>
      <c r="Z699" s="6" t="s">
        <v>93</v>
      </c>
      <c r="AA699" s="6" t="s">
        <v>3994</v>
      </c>
      <c r="AB699" s="6"/>
      <c r="AC699" s="6" t="s">
        <v>3141</v>
      </c>
      <c r="AD699" s="6" t="s">
        <v>75</v>
      </c>
      <c r="AE699" s="6" t="s">
        <v>3235</v>
      </c>
      <c r="AF699" s="6"/>
      <c r="AG699" s="6" t="s">
        <v>4647</v>
      </c>
      <c r="AH699" s="6" t="s">
        <v>79</v>
      </c>
    </row>
    <row r="700" spans="1:34" x14ac:dyDescent="0.25">
      <c r="A700" s="6" t="s">
        <v>2261</v>
      </c>
      <c r="B700" s="6" t="s">
        <v>2262</v>
      </c>
      <c r="C700" s="6" t="s">
        <v>2263</v>
      </c>
      <c r="D700" s="6" t="s">
        <v>2264</v>
      </c>
      <c r="E700" s="6" t="s">
        <v>3471</v>
      </c>
      <c r="F700" s="6" t="s">
        <v>3137</v>
      </c>
      <c r="G700" s="6" t="s">
        <v>143</v>
      </c>
      <c r="H700" s="6" t="s">
        <v>91</v>
      </c>
      <c r="I700" s="6" t="s">
        <v>92</v>
      </c>
      <c r="J700" s="6" t="s">
        <v>8352</v>
      </c>
      <c r="K700" s="6" t="s">
        <v>3159</v>
      </c>
      <c r="L700" s="6" t="s">
        <v>3160</v>
      </c>
      <c r="M700" s="6" t="s">
        <v>75</v>
      </c>
      <c r="N700" s="6" t="s">
        <v>3142</v>
      </c>
      <c r="O700" s="6" t="s">
        <v>75</v>
      </c>
      <c r="P700" s="6" t="s">
        <v>3144</v>
      </c>
      <c r="Q700" s="6" t="s">
        <v>8353</v>
      </c>
      <c r="R700" s="6" t="s">
        <v>8354</v>
      </c>
      <c r="S700" s="6" t="s">
        <v>21</v>
      </c>
      <c r="T700" s="6" t="s">
        <v>8355</v>
      </c>
      <c r="U700" s="6" t="s">
        <v>3141</v>
      </c>
      <c r="V700" s="6" t="s">
        <v>6487</v>
      </c>
      <c r="W700" s="6" t="s">
        <v>3587</v>
      </c>
      <c r="X700" s="6" t="s">
        <v>85</v>
      </c>
      <c r="Y700" s="6" t="s">
        <v>3141</v>
      </c>
      <c r="Z700" s="6" t="s">
        <v>93</v>
      </c>
      <c r="AA700" s="6" t="s">
        <v>3223</v>
      </c>
      <c r="AB700" s="6" t="s">
        <v>8356</v>
      </c>
      <c r="AC700" s="6" t="s">
        <v>3141</v>
      </c>
      <c r="AD700" s="6" t="s">
        <v>75</v>
      </c>
      <c r="AE700" s="6" t="s">
        <v>3323</v>
      </c>
      <c r="AF700" s="6"/>
      <c r="AG700" s="6" t="s">
        <v>8357</v>
      </c>
      <c r="AH700" s="6" t="s">
        <v>79</v>
      </c>
    </row>
    <row r="701" spans="1:34" x14ac:dyDescent="0.25">
      <c r="A701" s="6" t="s">
        <v>2265</v>
      </c>
      <c r="B701" s="6" t="s">
        <v>2266</v>
      </c>
      <c r="C701" s="6" t="s">
        <v>8358</v>
      </c>
      <c r="D701" s="6" t="s">
        <v>2267</v>
      </c>
      <c r="E701" s="6" t="s">
        <v>4828</v>
      </c>
      <c r="F701" s="6" t="s">
        <v>71</v>
      </c>
      <c r="G701" s="6" t="s">
        <v>120</v>
      </c>
      <c r="H701" s="6" t="s">
        <v>107</v>
      </c>
      <c r="I701" s="6" t="s">
        <v>92</v>
      </c>
      <c r="J701" s="6" t="s">
        <v>3217</v>
      </c>
      <c r="K701" s="6" t="s">
        <v>3140</v>
      </c>
      <c r="L701" s="6" t="s">
        <v>3142</v>
      </c>
      <c r="M701" s="6" t="s">
        <v>3141</v>
      </c>
      <c r="N701" s="6" t="s">
        <v>3173</v>
      </c>
      <c r="O701" s="6" t="s">
        <v>3141</v>
      </c>
      <c r="P701" s="6" t="s">
        <v>4063</v>
      </c>
      <c r="Q701" s="6" t="s">
        <v>8359</v>
      </c>
      <c r="R701" s="6" t="s">
        <v>8360</v>
      </c>
      <c r="S701" s="6" t="s">
        <v>20</v>
      </c>
      <c r="T701" s="6" t="s">
        <v>8361</v>
      </c>
      <c r="U701" s="6" t="s">
        <v>3141</v>
      </c>
      <c r="V701" s="6" t="s">
        <v>3555</v>
      </c>
      <c r="W701" s="6" t="s">
        <v>4013</v>
      </c>
      <c r="X701" s="6" t="s">
        <v>77</v>
      </c>
      <c r="Y701" s="6" t="s">
        <v>3140</v>
      </c>
      <c r="Z701" s="6" t="s">
        <v>78</v>
      </c>
      <c r="AA701" s="6" t="s">
        <v>4117</v>
      </c>
      <c r="AB701" s="6"/>
      <c r="AC701" s="6" t="s">
        <v>3141</v>
      </c>
      <c r="AD701" s="6" t="s">
        <v>3143</v>
      </c>
      <c r="AE701" s="6" t="s">
        <v>3136</v>
      </c>
      <c r="AF701" s="6"/>
      <c r="AG701" s="6" t="s">
        <v>6827</v>
      </c>
      <c r="AH701" s="6" t="s">
        <v>3957</v>
      </c>
    </row>
    <row r="702" spans="1:34" x14ac:dyDescent="0.25">
      <c r="A702" s="6" t="s">
        <v>2268</v>
      </c>
      <c r="B702" s="6" t="s">
        <v>2269</v>
      </c>
      <c r="C702" s="6" t="s">
        <v>8362</v>
      </c>
      <c r="D702" s="6" t="s">
        <v>8363</v>
      </c>
      <c r="E702" s="6" t="s">
        <v>3226</v>
      </c>
      <c r="F702" s="6" t="s">
        <v>3214</v>
      </c>
      <c r="G702" s="6" t="s">
        <v>215</v>
      </c>
      <c r="H702" s="6" t="s">
        <v>99</v>
      </c>
      <c r="I702" s="6" t="s">
        <v>74</v>
      </c>
      <c r="J702" s="6" t="s">
        <v>8364</v>
      </c>
      <c r="K702" s="6" t="s">
        <v>3140</v>
      </c>
      <c r="L702" s="6" t="s">
        <v>3143</v>
      </c>
      <c r="M702" s="6" t="s">
        <v>3173</v>
      </c>
      <c r="N702" s="6" t="s">
        <v>3188</v>
      </c>
      <c r="O702" s="6" t="s">
        <v>3152</v>
      </c>
      <c r="P702" s="6" t="s">
        <v>8365</v>
      </c>
      <c r="Q702" s="6"/>
      <c r="R702" s="6" t="s">
        <v>8366</v>
      </c>
      <c r="S702" s="6" t="s">
        <v>20</v>
      </c>
      <c r="T702" s="6" t="s">
        <v>8367</v>
      </c>
      <c r="U702" s="6" t="s">
        <v>3159</v>
      </c>
      <c r="V702" s="6" t="s">
        <v>5094</v>
      </c>
      <c r="W702" s="6" t="s">
        <v>3728</v>
      </c>
      <c r="X702" s="6" t="s">
        <v>85</v>
      </c>
      <c r="Y702" s="6" t="s">
        <v>3159</v>
      </c>
      <c r="Z702" s="6" t="s">
        <v>3895</v>
      </c>
      <c r="AA702" s="6" t="s">
        <v>4108</v>
      </c>
      <c r="AB702" s="6" t="s">
        <v>8368</v>
      </c>
      <c r="AC702" s="6" t="s">
        <v>3141</v>
      </c>
      <c r="AD702" s="6" t="s">
        <v>3143</v>
      </c>
      <c r="AE702" s="6" t="s">
        <v>3235</v>
      </c>
      <c r="AF702" s="6"/>
      <c r="AG702" s="6" t="s">
        <v>4327</v>
      </c>
      <c r="AH702" s="6" t="s">
        <v>79</v>
      </c>
    </row>
    <row r="703" spans="1:34" x14ac:dyDescent="0.25">
      <c r="A703" s="6" t="s">
        <v>2271</v>
      </c>
      <c r="B703" s="6" t="s">
        <v>2272</v>
      </c>
      <c r="C703" s="6" t="s">
        <v>2273</v>
      </c>
      <c r="D703" s="6" t="s">
        <v>2274</v>
      </c>
      <c r="E703" s="6" t="s">
        <v>3921</v>
      </c>
      <c r="F703" s="6" t="s">
        <v>3201</v>
      </c>
      <c r="G703" s="6" t="s">
        <v>143</v>
      </c>
      <c r="H703" s="6" t="s">
        <v>91</v>
      </c>
      <c r="I703" s="6" t="s">
        <v>92</v>
      </c>
      <c r="J703" s="6" t="s">
        <v>8369</v>
      </c>
      <c r="K703" s="6" t="s">
        <v>3159</v>
      </c>
      <c r="L703" s="6" t="s">
        <v>3159</v>
      </c>
      <c r="M703" s="6" t="s">
        <v>75</v>
      </c>
      <c r="N703" s="6" t="s">
        <v>3143</v>
      </c>
      <c r="O703" s="6" t="s">
        <v>3141</v>
      </c>
      <c r="P703" s="6" t="s">
        <v>5261</v>
      </c>
      <c r="Q703" s="6"/>
      <c r="R703" s="6" t="s">
        <v>8370</v>
      </c>
      <c r="S703" s="6" t="s">
        <v>21</v>
      </c>
      <c r="T703" s="6" t="s">
        <v>8371</v>
      </c>
      <c r="U703" s="6" t="s">
        <v>3140</v>
      </c>
      <c r="V703" s="6" t="s">
        <v>7527</v>
      </c>
      <c r="W703" s="6" t="s">
        <v>4126</v>
      </c>
      <c r="X703" s="6" t="s">
        <v>161</v>
      </c>
      <c r="Y703" s="6" t="s">
        <v>3140</v>
      </c>
      <c r="Z703" s="6" t="s">
        <v>78</v>
      </c>
      <c r="AA703" s="6" t="s">
        <v>3588</v>
      </c>
      <c r="AB703" s="6"/>
      <c r="AC703" s="6" t="s">
        <v>3159</v>
      </c>
      <c r="AD703" s="6" t="s">
        <v>3160</v>
      </c>
      <c r="AE703" s="6" t="s">
        <v>3323</v>
      </c>
      <c r="AF703" s="6"/>
      <c r="AG703" s="6" t="s">
        <v>8372</v>
      </c>
      <c r="AH703" s="6" t="s">
        <v>79</v>
      </c>
    </row>
    <row r="704" spans="1:34" x14ac:dyDescent="0.25">
      <c r="A704" s="6" t="s">
        <v>2275</v>
      </c>
      <c r="B704" s="6" t="s">
        <v>2276</v>
      </c>
      <c r="C704" s="6"/>
      <c r="D704" s="6" t="s">
        <v>2277</v>
      </c>
      <c r="E704" s="6" t="s">
        <v>3626</v>
      </c>
      <c r="F704" s="6" t="s">
        <v>3227</v>
      </c>
      <c r="G704" s="6" t="s">
        <v>4329</v>
      </c>
      <c r="H704" s="6" t="s">
        <v>99</v>
      </c>
      <c r="I704" s="6" t="s">
        <v>74</v>
      </c>
      <c r="J704" s="6"/>
      <c r="K704" s="6" t="s">
        <v>3159</v>
      </c>
      <c r="L704" s="6" t="s">
        <v>3152</v>
      </c>
      <c r="M704" s="6" t="s">
        <v>3141</v>
      </c>
      <c r="N704" s="6" t="s">
        <v>76</v>
      </c>
      <c r="O704" s="6" t="s">
        <v>3143</v>
      </c>
      <c r="P704" s="6" t="s">
        <v>8373</v>
      </c>
      <c r="Q704" s="6" t="s">
        <v>8374</v>
      </c>
      <c r="R704" s="6" t="s">
        <v>8375</v>
      </c>
      <c r="S704" s="6" t="s">
        <v>23</v>
      </c>
      <c r="T704" s="6" t="s">
        <v>8376</v>
      </c>
      <c r="U704" s="6" t="s">
        <v>3141</v>
      </c>
      <c r="V704" s="6" t="s">
        <v>8377</v>
      </c>
      <c r="W704" s="6" t="s">
        <v>4918</v>
      </c>
      <c r="X704" s="6" t="s">
        <v>85</v>
      </c>
      <c r="Y704" s="6" t="s">
        <v>3159</v>
      </c>
      <c r="Z704" s="6" t="s">
        <v>93</v>
      </c>
      <c r="AA704" s="6" t="s">
        <v>3928</v>
      </c>
      <c r="AB704" s="6"/>
      <c r="AC704" s="6" t="s">
        <v>3141</v>
      </c>
      <c r="AD704" s="6" t="s">
        <v>3143</v>
      </c>
      <c r="AE704" s="6" t="s">
        <v>3318</v>
      </c>
      <c r="AF704" s="6" t="s">
        <v>8378</v>
      </c>
      <c r="AG704" s="6" t="s">
        <v>8379</v>
      </c>
      <c r="AH704" s="6" t="s">
        <v>79</v>
      </c>
    </row>
    <row r="705" spans="1:34" x14ac:dyDescent="0.25">
      <c r="A705" s="6" t="s">
        <v>2278</v>
      </c>
      <c r="B705" s="6" t="s">
        <v>2279</v>
      </c>
      <c r="C705" s="6" t="s">
        <v>8380</v>
      </c>
      <c r="D705" s="6" t="s">
        <v>2280</v>
      </c>
      <c r="E705" s="6" t="s">
        <v>3240</v>
      </c>
      <c r="F705" s="6" t="s">
        <v>89</v>
      </c>
      <c r="G705" s="6" t="s">
        <v>5624</v>
      </c>
      <c r="H705" s="6" t="s">
        <v>107</v>
      </c>
      <c r="I705" s="6" t="s">
        <v>92</v>
      </c>
      <c r="J705" s="6"/>
      <c r="K705" s="6" t="s">
        <v>3140</v>
      </c>
      <c r="L705" s="6" t="s">
        <v>3188</v>
      </c>
      <c r="M705" s="6" t="s">
        <v>3173</v>
      </c>
      <c r="N705" s="6" t="s">
        <v>3141</v>
      </c>
      <c r="O705" s="6" t="s">
        <v>3141</v>
      </c>
      <c r="P705" s="6" t="s">
        <v>8381</v>
      </c>
      <c r="Q705" s="6" t="s">
        <v>8382</v>
      </c>
      <c r="R705" s="6" t="s">
        <v>8383</v>
      </c>
      <c r="S705" s="6" t="s">
        <v>21</v>
      </c>
      <c r="T705" s="6" t="s">
        <v>8384</v>
      </c>
      <c r="U705" s="6" t="s">
        <v>3141</v>
      </c>
      <c r="V705" s="6" t="s">
        <v>4644</v>
      </c>
      <c r="W705" s="6" t="s">
        <v>3344</v>
      </c>
      <c r="X705" s="6" t="s">
        <v>77</v>
      </c>
      <c r="Y705" s="6" t="s">
        <v>3140</v>
      </c>
      <c r="Z705" s="6" t="s">
        <v>78</v>
      </c>
      <c r="AA705" s="6" t="s">
        <v>3776</v>
      </c>
      <c r="AB705" s="6" t="s">
        <v>8385</v>
      </c>
      <c r="AC705" s="6" t="s">
        <v>3141</v>
      </c>
      <c r="AD705" s="6" t="s">
        <v>3160</v>
      </c>
      <c r="AE705" s="6" t="s">
        <v>3293</v>
      </c>
      <c r="AF705" s="6"/>
      <c r="AG705" s="6" t="s">
        <v>8386</v>
      </c>
      <c r="AH705" s="6" t="s">
        <v>79</v>
      </c>
    </row>
    <row r="706" spans="1:34" x14ac:dyDescent="0.25">
      <c r="A706" s="6" t="s">
        <v>2281</v>
      </c>
      <c r="B706" s="6" t="s">
        <v>1628</v>
      </c>
      <c r="C706" s="6"/>
      <c r="D706" s="6" t="s">
        <v>2282</v>
      </c>
      <c r="E706" s="6" t="s">
        <v>3240</v>
      </c>
      <c r="F706" s="6" t="s">
        <v>3227</v>
      </c>
      <c r="G706" s="6" t="s">
        <v>417</v>
      </c>
      <c r="H706" s="6" t="s">
        <v>132</v>
      </c>
      <c r="I706" s="6" t="s">
        <v>92</v>
      </c>
      <c r="J706" s="6" t="s">
        <v>3217</v>
      </c>
      <c r="K706" s="6" t="s">
        <v>3159</v>
      </c>
      <c r="L706" s="6" t="s">
        <v>3142</v>
      </c>
      <c r="M706" s="6" t="s">
        <v>3243</v>
      </c>
      <c r="N706" s="6" t="s">
        <v>3243</v>
      </c>
      <c r="O706" s="6" t="s">
        <v>3160</v>
      </c>
      <c r="P706" s="6" t="s">
        <v>4481</v>
      </c>
      <c r="Q706" s="6" t="s">
        <v>8387</v>
      </c>
      <c r="R706" s="6" t="s">
        <v>8388</v>
      </c>
      <c r="S706" s="6" t="s">
        <v>21</v>
      </c>
      <c r="T706" s="6" t="s">
        <v>8389</v>
      </c>
      <c r="U706" s="6" t="s">
        <v>3275</v>
      </c>
      <c r="V706" s="6" t="s">
        <v>4049</v>
      </c>
      <c r="W706" s="6" t="s">
        <v>3208</v>
      </c>
      <c r="X706" s="6" t="s">
        <v>85</v>
      </c>
      <c r="Y706" s="6" t="s">
        <v>3141</v>
      </c>
      <c r="Z706" s="6" t="s">
        <v>78</v>
      </c>
      <c r="AA706" s="6" t="s">
        <v>4420</v>
      </c>
      <c r="AB706" s="6"/>
      <c r="AC706" s="6" t="s">
        <v>3141</v>
      </c>
      <c r="AD706" s="6" t="s">
        <v>3143</v>
      </c>
      <c r="AE706" s="6" t="s">
        <v>3293</v>
      </c>
      <c r="AF706" s="6"/>
      <c r="AG706" s="6" t="s">
        <v>8390</v>
      </c>
      <c r="AH706" s="6" t="s">
        <v>79</v>
      </c>
    </row>
    <row r="707" spans="1:34" x14ac:dyDescent="0.25">
      <c r="A707" s="6" t="s">
        <v>2283</v>
      </c>
      <c r="B707" s="6" t="s">
        <v>2284</v>
      </c>
      <c r="C707" s="6" t="s">
        <v>8391</v>
      </c>
      <c r="D707" s="6" t="s">
        <v>8392</v>
      </c>
      <c r="E707" s="6" t="s">
        <v>3235</v>
      </c>
      <c r="F707" s="6" t="s">
        <v>3214</v>
      </c>
      <c r="G707" s="6" t="s">
        <v>174</v>
      </c>
      <c r="H707" s="6" t="s">
        <v>91</v>
      </c>
      <c r="I707" s="6" t="s">
        <v>92</v>
      </c>
      <c r="J707" s="6"/>
      <c r="K707" s="6" t="s">
        <v>3140</v>
      </c>
      <c r="L707" s="6" t="s">
        <v>3196</v>
      </c>
      <c r="M707" s="6" t="s">
        <v>3152</v>
      </c>
      <c r="N707" s="6" t="s">
        <v>3152</v>
      </c>
      <c r="O707" s="6" t="s">
        <v>3173</v>
      </c>
      <c r="P707" s="6" t="s">
        <v>8393</v>
      </c>
      <c r="Q707" s="6" t="s">
        <v>8394</v>
      </c>
      <c r="R707" s="6" t="s">
        <v>8395</v>
      </c>
      <c r="S707" s="6" t="s">
        <v>20</v>
      </c>
      <c r="T707" s="6" t="s">
        <v>8396</v>
      </c>
      <c r="U707" s="6" t="s">
        <v>3141</v>
      </c>
      <c r="V707" s="6" t="s">
        <v>8397</v>
      </c>
      <c r="W707" s="6" t="s">
        <v>5032</v>
      </c>
      <c r="X707" s="6" t="s">
        <v>77</v>
      </c>
      <c r="Y707" s="6" t="s">
        <v>3141</v>
      </c>
      <c r="Z707" s="6" t="s">
        <v>78</v>
      </c>
      <c r="AA707" s="6" t="s">
        <v>4592</v>
      </c>
      <c r="AB707" s="6" t="s">
        <v>8398</v>
      </c>
      <c r="AC707" s="6" t="s">
        <v>3141</v>
      </c>
      <c r="AD707" s="6" t="s">
        <v>3152</v>
      </c>
      <c r="AE707" s="6" t="s">
        <v>3293</v>
      </c>
      <c r="AF707" s="6"/>
      <c r="AG707" s="6" t="s">
        <v>8399</v>
      </c>
      <c r="AH707" s="6" t="s">
        <v>94</v>
      </c>
    </row>
    <row r="708" spans="1:34" x14ac:dyDescent="0.25">
      <c r="A708" s="6" t="s">
        <v>2286</v>
      </c>
      <c r="B708" s="6" t="s">
        <v>2287</v>
      </c>
      <c r="C708" s="6" t="s">
        <v>2288</v>
      </c>
      <c r="D708" s="6" t="s">
        <v>8400</v>
      </c>
      <c r="E708" s="6" t="s">
        <v>3226</v>
      </c>
      <c r="F708" s="6" t="s">
        <v>3358</v>
      </c>
      <c r="G708" s="6" t="s">
        <v>226</v>
      </c>
      <c r="H708" s="6" t="s">
        <v>99</v>
      </c>
      <c r="I708" s="6" t="s">
        <v>74</v>
      </c>
      <c r="J708" s="6" t="s">
        <v>8401</v>
      </c>
      <c r="K708" s="6" t="s">
        <v>3159</v>
      </c>
      <c r="L708" s="6" t="s">
        <v>3159</v>
      </c>
      <c r="M708" s="6" t="s">
        <v>3143</v>
      </c>
      <c r="N708" s="6" t="s">
        <v>75</v>
      </c>
      <c r="O708" s="6" t="s">
        <v>75</v>
      </c>
      <c r="P708" s="6" t="s">
        <v>7178</v>
      </c>
      <c r="Q708" s="6" t="s">
        <v>8402</v>
      </c>
      <c r="R708" s="6" t="s">
        <v>8403</v>
      </c>
      <c r="S708" s="6" t="s">
        <v>21</v>
      </c>
      <c r="T708" s="6" t="s">
        <v>8404</v>
      </c>
      <c r="U708" s="6" t="s">
        <v>3141</v>
      </c>
      <c r="V708" s="6" t="s">
        <v>8405</v>
      </c>
      <c r="W708" s="6" t="s">
        <v>5038</v>
      </c>
      <c r="X708" s="6" t="s">
        <v>85</v>
      </c>
      <c r="Y708" s="6" t="s">
        <v>3141</v>
      </c>
      <c r="Z708" s="6" t="s">
        <v>78</v>
      </c>
      <c r="AA708" s="6" t="s">
        <v>3884</v>
      </c>
      <c r="AB708" s="6" t="s">
        <v>8406</v>
      </c>
      <c r="AC708" s="6" t="s">
        <v>3141</v>
      </c>
      <c r="AD708" s="6" t="s">
        <v>3243</v>
      </c>
      <c r="AE708" s="6" t="s">
        <v>3235</v>
      </c>
      <c r="AF708" s="6"/>
      <c r="AG708" s="6" t="s">
        <v>8407</v>
      </c>
      <c r="AH708" s="6" t="s">
        <v>79</v>
      </c>
    </row>
    <row r="709" spans="1:34" x14ac:dyDescent="0.25">
      <c r="A709" s="6" t="s">
        <v>2290</v>
      </c>
      <c r="B709" s="6" t="s">
        <v>2291</v>
      </c>
      <c r="C709" s="6" t="s">
        <v>8408</v>
      </c>
      <c r="D709" s="6" t="s">
        <v>8409</v>
      </c>
      <c r="E709" s="6" t="s">
        <v>3185</v>
      </c>
      <c r="F709" s="6" t="s">
        <v>3269</v>
      </c>
      <c r="G709" s="6" t="s">
        <v>215</v>
      </c>
      <c r="H709" s="6" t="s">
        <v>84</v>
      </c>
      <c r="I709" s="6" t="s">
        <v>74</v>
      </c>
      <c r="J709" s="6" t="s">
        <v>8410</v>
      </c>
      <c r="K709" s="6" t="s">
        <v>3159</v>
      </c>
      <c r="L709" s="6" t="s">
        <v>3152</v>
      </c>
      <c r="M709" s="6" t="s">
        <v>3173</v>
      </c>
      <c r="N709" s="6" t="s">
        <v>3243</v>
      </c>
      <c r="O709" s="6" t="s">
        <v>3243</v>
      </c>
      <c r="P709" s="6" t="s">
        <v>8411</v>
      </c>
      <c r="Q709" s="6" t="s">
        <v>8412</v>
      </c>
      <c r="R709" s="6" t="s">
        <v>8413</v>
      </c>
      <c r="S709" s="6" t="s">
        <v>20</v>
      </c>
      <c r="T709" s="6" t="s">
        <v>8414</v>
      </c>
      <c r="U709" s="6" t="s">
        <v>3140</v>
      </c>
      <c r="V709" s="6" t="s">
        <v>8415</v>
      </c>
      <c r="W709" s="6" t="s">
        <v>4420</v>
      </c>
      <c r="X709" s="6" t="s">
        <v>77</v>
      </c>
      <c r="Y709" s="6" t="s">
        <v>3159</v>
      </c>
      <c r="Z709" s="6" t="s">
        <v>78</v>
      </c>
      <c r="AA709" s="6" t="s">
        <v>3603</v>
      </c>
      <c r="AB709" s="6"/>
      <c r="AC709" s="6" t="s">
        <v>3159</v>
      </c>
      <c r="AD709" s="6" t="s">
        <v>3243</v>
      </c>
      <c r="AE709" s="6" t="s">
        <v>3169</v>
      </c>
      <c r="AF709" s="6"/>
      <c r="AG709" s="6" t="s">
        <v>5351</v>
      </c>
      <c r="AH709" s="6" t="s">
        <v>79</v>
      </c>
    </row>
    <row r="710" spans="1:34" x14ac:dyDescent="0.25">
      <c r="A710" s="6" t="s">
        <v>2293</v>
      </c>
      <c r="B710" s="6" t="s">
        <v>2294</v>
      </c>
      <c r="C710" s="6" t="s">
        <v>8416</v>
      </c>
      <c r="D710" s="6" t="s">
        <v>2295</v>
      </c>
      <c r="E710" s="6" t="s">
        <v>3279</v>
      </c>
      <c r="F710" s="6" t="s">
        <v>3283</v>
      </c>
      <c r="G710" s="6" t="s">
        <v>115</v>
      </c>
      <c r="H710" s="6" t="s">
        <v>5368</v>
      </c>
      <c r="I710" s="6" t="s">
        <v>74</v>
      </c>
      <c r="J710" s="6" t="s">
        <v>8417</v>
      </c>
      <c r="K710" s="6" t="s">
        <v>3292</v>
      </c>
      <c r="L710" s="6" t="s">
        <v>3173</v>
      </c>
      <c r="M710" s="6" t="s">
        <v>75</v>
      </c>
      <c r="N710" s="6" t="s">
        <v>3188</v>
      </c>
      <c r="O710" s="6" t="s">
        <v>3159</v>
      </c>
      <c r="P710" s="6" t="s">
        <v>5397</v>
      </c>
      <c r="Q710" s="6" t="s">
        <v>3217</v>
      </c>
      <c r="R710" s="6" t="s">
        <v>8418</v>
      </c>
      <c r="S710" s="6" t="s">
        <v>21</v>
      </c>
      <c r="T710" s="6"/>
      <c r="U710" s="6" t="s">
        <v>3141</v>
      </c>
      <c r="V710" s="6" t="s">
        <v>8419</v>
      </c>
      <c r="W710" s="6" t="s">
        <v>4049</v>
      </c>
      <c r="X710" s="6" t="s">
        <v>85</v>
      </c>
      <c r="Y710" s="6" t="s">
        <v>3141</v>
      </c>
      <c r="Z710" s="6" t="s">
        <v>78</v>
      </c>
      <c r="AA710" s="6" t="s">
        <v>6178</v>
      </c>
      <c r="AB710" s="6" t="s">
        <v>8420</v>
      </c>
      <c r="AC710" s="6" t="s">
        <v>3141</v>
      </c>
      <c r="AD710" s="6" t="s">
        <v>3243</v>
      </c>
      <c r="AE710" s="6" t="s">
        <v>3136</v>
      </c>
      <c r="AF710" s="6"/>
      <c r="AG710" s="6" t="s">
        <v>8421</v>
      </c>
      <c r="AH710" s="6" t="s">
        <v>79</v>
      </c>
    </row>
    <row r="711" spans="1:34" x14ac:dyDescent="0.25">
      <c r="A711" s="6" t="s">
        <v>2296</v>
      </c>
      <c r="B711" s="6" t="s">
        <v>2297</v>
      </c>
      <c r="C711" s="6" t="s">
        <v>2298</v>
      </c>
      <c r="D711" s="6" t="s">
        <v>8422</v>
      </c>
      <c r="E711" s="6" t="s">
        <v>3843</v>
      </c>
      <c r="F711" s="6" t="s">
        <v>3201</v>
      </c>
      <c r="G711" s="6" t="s">
        <v>106</v>
      </c>
      <c r="H711" s="6" t="s">
        <v>84</v>
      </c>
      <c r="I711" s="6" t="s">
        <v>74</v>
      </c>
      <c r="J711" s="6" t="s">
        <v>8423</v>
      </c>
      <c r="K711" s="6" t="s">
        <v>3141</v>
      </c>
      <c r="L711" s="6" t="s">
        <v>3152</v>
      </c>
      <c r="M711" s="6" t="s">
        <v>3160</v>
      </c>
      <c r="N711" s="6" t="s">
        <v>3152</v>
      </c>
      <c r="O711" s="6" t="s">
        <v>3243</v>
      </c>
      <c r="P711" s="6" t="s">
        <v>4970</v>
      </c>
      <c r="Q711" s="6" t="s">
        <v>8424</v>
      </c>
      <c r="R711" s="6" t="s">
        <v>8425</v>
      </c>
      <c r="S711" s="6" t="s">
        <v>23</v>
      </c>
      <c r="T711" s="6"/>
      <c r="U711" s="6" t="s">
        <v>3141</v>
      </c>
      <c r="V711" s="6" t="s">
        <v>6935</v>
      </c>
      <c r="W711" s="6" t="s">
        <v>5215</v>
      </c>
      <c r="X711" s="6" t="s">
        <v>85</v>
      </c>
      <c r="Y711" s="6" t="s">
        <v>3141</v>
      </c>
      <c r="Z711" s="6" t="s">
        <v>194</v>
      </c>
      <c r="AA711" s="6" t="s">
        <v>3195</v>
      </c>
      <c r="AB711" s="6"/>
      <c r="AC711" s="6" t="s">
        <v>3141</v>
      </c>
      <c r="AD711" s="6" t="s">
        <v>3141</v>
      </c>
      <c r="AE711" s="6" t="s">
        <v>3153</v>
      </c>
      <c r="AF711" s="6" t="s">
        <v>8426</v>
      </c>
      <c r="AG711" s="6" t="s">
        <v>6124</v>
      </c>
      <c r="AH711" s="6" t="s">
        <v>79</v>
      </c>
    </row>
    <row r="712" spans="1:34" x14ac:dyDescent="0.25">
      <c r="A712" s="6" t="s">
        <v>2300</v>
      </c>
      <c r="B712" s="6" t="s">
        <v>2301</v>
      </c>
      <c r="C712" s="6"/>
      <c r="D712" s="6" t="s">
        <v>2302</v>
      </c>
      <c r="E712" s="6" t="s">
        <v>3617</v>
      </c>
      <c r="F712" s="6" t="s">
        <v>71</v>
      </c>
      <c r="G712" s="6" t="s">
        <v>3171</v>
      </c>
      <c r="H712" s="6" t="s">
        <v>91</v>
      </c>
      <c r="I712" s="6" t="s">
        <v>92</v>
      </c>
      <c r="J712" s="6" t="s">
        <v>3217</v>
      </c>
      <c r="K712" s="6" t="s">
        <v>3140</v>
      </c>
      <c r="L712" s="6" t="s">
        <v>3159</v>
      </c>
      <c r="M712" s="6" t="s">
        <v>3188</v>
      </c>
      <c r="N712" s="6" t="s">
        <v>3152</v>
      </c>
      <c r="O712" s="6" t="s">
        <v>75</v>
      </c>
      <c r="P712" s="6" t="s">
        <v>6465</v>
      </c>
      <c r="Q712" s="6" t="s">
        <v>8427</v>
      </c>
      <c r="R712" s="6" t="s">
        <v>8428</v>
      </c>
      <c r="S712" s="6" t="s">
        <v>21</v>
      </c>
      <c r="T712" s="6" t="s">
        <v>8429</v>
      </c>
      <c r="U712" s="6" t="s">
        <v>3159</v>
      </c>
      <c r="V712" s="6" t="s">
        <v>8430</v>
      </c>
      <c r="W712" s="6" t="s">
        <v>3954</v>
      </c>
      <c r="X712" s="6" t="s">
        <v>85</v>
      </c>
      <c r="Y712" s="6" t="s">
        <v>3141</v>
      </c>
      <c r="Z712" s="6" t="s">
        <v>93</v>
      </c>
      <c r="AA712" s="6" t="s">
        <v>3490</v>
      </c>
      <c r="AB712" s="6"/>
      <c r="AC712" s="6" t="s">
        <v>3140</v>
      </c>
      <c r="AD712" s="6" t="s">
        <v>3142</v>
      </c>
      <c r="AE712" s="6" t="s">
        <v>3136</v>
      </c>
      <c r="AF712" s="6"/>
      <c r="AG712" s="6" t="s">
        <v>8431</v>
      </c>
      <c r="AH712" s="6" t="s">
        <v>79</v>
      </c>
    </row>
    <row r="713" spans="1:34" x14ac:dyDescent="0.25">
      <c r="A713" s="6" t="s">
        <v>2303</v>
      </c>
      <c r="B713" s="6" t="s">
        <v>2304</v>
      </c>
      <c r="C713" s="6" t="s">
        <v>2305</v>
      </c>
      <c r="D713" s="6" t="s">
        <v>2306</v>
      </c>
      <c r="E713" s="6" t="s">
        <v>3170</v>
      </c>
      <c r="F713" s="6" t="s">
        <v>3214</v>
      </c>
      <c r="G713" s="6" t="s">
        <v>83</v>
      </c>
      <c r="H713" s="6" t="s">
        <v>73</v>
      </c>
      <c r="I713" s="6" t="s">
        <v>74</v>
      </c>
      <c r="J713" s="6" t="s">
        <v>8432</v>
      </c>
      <c r="K713" s="6" t="s">
        <v>3159</v>
      </c>
      <c r="L713" s="6" t="s">
        <v>75</v>
      </c>
      <c r="M713" s="6" t="s">
        <v>3160</v>
      </c>
      <c r="N713" s="6" t="s">
        <v>3196</v>
      </c>
      <c r="O713" s="6" t="s">
        <v>3143</v>
      </c>
      <c r="P713" s="6" t="s">
        <v>8433</v>
      </c>
      <c r="Q713" s="6" t="s">
        <v>8434</v>
      </c>
      <c r="R713" s="6" t="s">
        <v>8435</v>
      </c>
      <c r="S713" s="6" t="s">
        <v>20</v>
      </c>
      <c r="T713" s="6" t="s">
        <v>8436</v>
      </c>
      <c r="U713" s="6" t="s">
        <v>3141</v>
      </c>
      <c r="V713" s="6" t="s">
        <v>8437</v>
      </c>
      <c r="W713" s="6" t="s">
        <v>3478</v>
      </c>
      <c r="X713" s="6" t="s">
        <v>85</v>
      </c>
      <c r="Y713" s="6" t="s">
        <v>3141</v>
      </c>
      <c r="Z713" s="6" t="s">
        <v>93</v>
      </c>
      <c r="AA713" s="6" t="s">
        <v>3691</v>
      </c>
      <c r="AB713" s="6" t="s">
        <v>8438</v>
      </c>
      <c r="AC713" s="6" t="s">
        <v>3140</v>
      </c>
      <c r="AD713" s="6" t="s">
        <v>3143</v>
      </c>
      <c r="AE713" s="6" t="s">
        <v>3293</v>
      </c>
      <c r="AF713" s="6"/>
      <c r="AG713" s="6" t="s">
        <v>3720</v>
      </c>
      <c r="AH713" s="6" t="s">
        <v>94</v>
      </c>
    </row>
    <row r="714" spans="1:34" x14ac:dyDescent="0.25">
      <c r="A714" s="6" t="s">
        <v>2307</v>
      </c>
      <c r="B714" s="6" t="s">
        <v>2308</v>
      </c>
      <c r="C714" s="6" t="s">
        <v>2309</v>
      </c>
      <c r="D714" s="6" t="s">
        <v>8439</v>
      </c>
      <c r="E714" s="6"/>
      <c r="F714" s="6" t="s">
        <v>3214</v>
      </c>
      <c r="G714" s="6" t="s">
        <v>90</v>
      </c>
      <c r="H714" s="6" t="s">
        <v>91</v>
      </c>
      <c r="I714" s="6" t="s">
        <v>92</v>
      </c>
      <c r="J714" s="6"/>
      <c r="K714" s="6" t="s">
        <v>3159</v>
      </c>
      <c r="L714" s="6" t="s">
        <v>3196</v>
      </c>
      <c r="M714" s="6" t="s">
        <v>3243</v>
      </c>
      <c r="N714" s="6" t="s">
        <v>3152</v>
      </c>
      <c r="O714" s="6" t="s">
        <v>3143</v>
      </c>
      <c r="P714" s="6" t="s">
        <v>3144</v>
      </c>
      <c r="Q714" s="6" t="s">
        <v>3217</v>
      </c>
      <c r="R714" s="6" t="s">
        <v>8440</v>
      </c>
      <c r="S714" s="6" t="s">
        <v>23</v>
      </c>
      <c r="T714" s="6" t="s">
        <v>8441</v>
      </c>
      <c r="U714" s="6" t="s">
        <v>3141</v>
      </c>
      <c r="V714" s="6" t="s">
        <v>5595</v>
      </c>
      <c r="W714" s="6" t="s">
        <v>4217</v>
      </c>
      <c r="X714" s="6" t="s">
        <v>77</v>
      </c>
      <c r="Y714" s="6" t="s">
        <v>3292</v>
      </c>
      <c r="Z714" s="6" t="s">
        <v>93</v>
      </c>
      <c r="AA714" s="6" t="s">
        <v>4398</v>
      </c>
      <c r="AB714" s="6"/>
      <c r="AC714" s="6" t="s">
        <v>3141</v>
      </c>
      <c r="AD714" s="6" t="s">
        <v>3188</v>
      </c>
      <c r="AE714" s="6" t="s">
        <v>3331</v>
      </c>
      <c r="AF714" s="6" t="s">
        <v>8442</v>
      </c>
      <c r="AG714" s="6" t="s">
        <v>6613</v>
      </c>
      <c r="AH714" s="6" t="s">
        <v>79</v>
      </c>
    </row>
    <row r="715" spans="1:34" x14ac:dyDescent="0.25">
      <c r="A715" s="6" t="s">
        <v>2311</v>
      </c>
      <c r="B715" s="6" t="s">
        <v>646</v>
      </c>
      <c r="C715" s="6" t="s">
        <v>8443</v>
      </c>
      <c r="D715" s="6" t="s">
        <v>8444</v>
      </c>
      <c r="E715" s="6" t="s">
        <v>4025</v>
      </c>
      <c r="F715" s="6" t="s">
        <v>3214</v>
      </c>
      <c r="G715" s="6" t="s">
        <v>226</v>
      </c>
      <c r="H715" s="6" t="s">
        <v>91</v>
      </c>
      <c r="I715" s="6" t="s">
        <v>92</v>
      </c>
      <c r="J715" s="6" t="s">
        <v>8445</v>
      </c>
      <c r="K715" s="6" t="s">
        <v>3159</v>
      </c>
      <c r="L715" s="6" t="s">
        <v>3152</v>
      </c>
      <c r="M715" s="6" t="s">
        <v>3152</v>
      </c>
      <c r="N715" s="6" t="s">
        <v>3141</v>
      </c>
      <c r="O715" s="6" t="s">
        <v>3142</v>
      </c>
      <c r="P715" s="6" t="s">
        <v>8446</v>
      </c>
      <c r="Q715" s="6" t="s">
        <v>8447</v>
      </c>
      <c r="R715" s="6" t="s">
        <v>8448</v>
      </c>
      <c r="S715" s="6" t="s">
        <v>23</v>
      </c>
      <c r="T715" s="6" t="s">
        <v>8449</v>
      </c>
      <c r="U715" s="6" t="s">
        <v>3141</v>
      </c>
      <c r="V715" s="6" t="s">
        <v>4516</v>
      </c>
      <c r="W715" s="6" t="s">
        <v>3478</v>
      </c>
      <c r="X715" s="6" t="s">
        <v>77</v>
      </c>
      <c r="Y715" s="6" t="s">
        <v>3292</v>
      </c>
      <c r="Z715" s="6" t="s">
        <v>93</v>
      </c>
      <c r="AA715" s="6" t="s">
        <v>6628</v>
      </c>
      <c r="AB715" s="6"/>
      <c r="AC715" s="6" t="s">
        <v>3159</v>
      </c>
      <c r="AD715" s="6" t="s">
        <v>3141</v>
      </c>
      <c r="AE715" s="6" t="s">
        <v>3153</v>
      </c>
      <c r="AF715" s="6" t="s">
        <v>8450</v>
      </c>
      <c r="AG715" s="6" t="s">
        <v>8451</v>
      </c>
      <c r="AH715" s="6" t="s">
        <v>79</v>
      </c>
    </row>
    <row r="716" spans="1:34" x14ac:dyDescent="0.25">
      <c r="A716" s="6" t="s">
        <v>2313</v>
      </c>
      <c r="B716" s="6" t="s">
        <v>8452</v>
      </c>
      <c r="C716" s="6" t="s">
        <v>2315</v>
      </c>
      <c r="D716" s="6" t="s">
        <v>8453</v>
      </c>
      <c r="E716" s="6" t="s">
        <v>3388</v>
      </c>
      <c r="F716" s="6" t="s">
        <v>3214</v>
      </c>
      <c r="G716" s="6" t="s">
        <v>90</v>
      </c>
      <c r="H716" s="6" t="s">
        <v>3678</v>
      </c>
      <c r="I716" s="6" t="s">
        <v>74</v>
      </c>
      <c r="J716" s="6" t="s">
        <v>8454</v>
      </c>
      <c r="K716" s="6" t="s">
        <v>3141</v>
      </c>
      <c r="L716" s="6" t="s">
        <v>75</v>
      </c>
      <c r="M716" s="6" t="s">
        <v>3143</v>
      </c>
      <c r="N716" s="6" t="s">
        <v>3141</v>
      </c>
      <c r="O716" s="6" t="s">
        <v>3141</v>
      </c>
      <c r="P716" s="6" t="s">
        <v>3348</v>
      </c>
      <c r="Q716" s="6" t="s">
        <v>8455</v>
      </c>
      <c r="R716" s="6" t="s">
        <v>8456</v>
      </c>
      <c r="S716" s="6" t="s">
        <v>21</v>
      </c>
      <c r="T716" s="6" t="s">
        <v>8457</v>
      </c>
      <c r="U716" s="6" t="s">
        <v>3292</v>
      </c>
      <c r="V716" s="6" t="s">
        <v>4343</v>
      </c>
      <c r="W716" s="6" t="s">
        <v>3767</v>
      </c>
      <c r="X716" s="6" t="s">
        <v>85</v>
      </c>
      <c r="Y716" s="6" t="s">
        <v>3292</v>
      </c>
      <c r="Z716" s="6" t="s">
        <v>93</v>
      </c>
      <c r="AA716" s="6" t="s">
        <v>3791</v>
      </c>
      <c r="AB716" s="6"/>
      <c r="AC716" s="6" t="s">
        <v>3292</v>
      </c>
      <c r="AD716" s="6" t="s">
        <v>3160</v>
      </c>
      <c r="AE716" s="6" t="s">
        <v>3235</v>
      </c>
      <c r="AF716" s="6"/>
      <c r="AG716" s="6" t="s">
        <v>8458</v>
      </c>
      <c r="AH716" s="6" t="s">
        <v>79</v>
      </c>
    </row>
    <row r="717" spans="1:34" x14ac:dyDescent="0.25">
      <c r="A717" s="6" t="s">
        <v>2317</v>
      </c>
      <c r="B717" s="6" t="s">
        <v>2318</v>
      </c>
      <c r="C717" s="6" t="s">
        <v>8459</v>
      </c>
      <c r="D717" s="6" t="s">
        <v>2319</v>
      </c>
      <c r="E717" s="6" t="s">
        <v>3240</v>
      </c>
      <c r="F717" s="6" t="s">
        <v>3214</v>
      </c>
      <c r="G717" s="6" t="s">
        <v>139</v>
      </c>
      <c r="H717" s="6" t="s">
        <v>144</v>
      </c>
      <c r="I717" s="6" t="s">
        <v>92</v>
      </c>
      <c r="J717" s="6" t="s">
        <v>8460</v>
      </c>
      <c r="K717" s="6" t="s">
        <v>3159</v>
      </c>
      <c r="L717" s="6" t="s">
        <v>3159</v>
      </c>
      <c r="M717" s="6" t="s">
        <v>3141</v>
      </c>
      <c r="N717" s="6" t="s">
        <v>75</v>
      </c>
      <c r="O717" s="6" t="s">
        <v>3160</v>
      </c>
      <c r="P717" s="6" t="s">
        <v>5489</v>
      </c>
      <c r="Q717" s="6" t="s">
        <v>8461</v>
      </c>
      <c r="R717" s="6" t="s">
        <v>8462</v>
      </c>
      <c r="S717" s="6" t="s">
        <v>20</v>
      </c>
      <c r="T717" s="6" t="s">
        <v>8463</v>
      </c>
      <c r="U717" s="6" t="s">
        <v>3141</v>
      </c>
      <c r="V717" s="6" t="s">
        <v>8464</v>
      </c>
      <c r="W717" s="6" t="s">
        <v>3316</v>
      </c>
      <c r="X717" s="6" t="s">
        <v>3167</v>
      </c>
      <c r="Y717" s="6" t="s">
        <v>3140</v>
      </c>
      <c r="Z717" s="6" t="s">
        <v>78</v>
      </c>
      <c r="AA717" s="6" t="s">
        <v>3468</v>
      </c>
      <c r="AB717" s="6"/>
      <c r="AC717" s="6" t="s">
        <v>3141</v>
      </c>
      <c r="AD717" s="6" t="s">
        <v>3173</v>
      </c>
      <c r="AE717" s="6" t="s">
        <v>3169</v>
      </c>
      <c r="AF717" s="6"/>
      <c r="AG717" s="6" t="s">
        <v>8465</v>
      </c>
      <c r="AH717" s="6" t="s">
        <v>79</v>
      </c>
    </row>
    <row r="718" spans="1:34" x14ac:dyDescent="0.25">
      <c r="A718" s="6" t="s">
        <v>2320</v>
      </c>
      <c r="B718" s="6" t="s">
        <v>2321</v>
      </c>
      <c r="C718" s="6" t="s">
        <v>8466</v>
      </c>
      <c r="D718" s="6"/>
      <c r="E718" s="6" t="s">
        <v>3388</v>
      </c>
      <c r="F718" s="6" t="s">
        <v>3358</v>
      </c>
      <c r="G718" s="6" t="s">
        <v>139</v>
      </c>
      <c r="H718" s="6" t="s">
        <v>84</v>
      </c>
      <c r="I718" s="6" t="s">
        <v>74</v>
      </c>
      <c r="J718" s="6" t="s">
        <v>8467</v>
      </c>
      <c r="K718" s="6" t="s">
        <v>3159</v>
      </c>
      <c r="L718" s="6" t="s">
        <v>3143</v>
      </c>
      <c r="M718" s="6" t="s">
        <v>75</v>
      </c>
      <c r="N718" s="6" t="s">
        <v>3243</v>
      </c>
      <c r="O718" s="6" t="s">
        <v>3173</v>
      </c>
      <c r="P718" s="6" t="s">
        <v>3779</v>
      </c>
      <c r="Q718" s="6" t="s">
        <v>8468</v>
      </c>
      <c r="R718" s="6" t="s">
        <v>8469</v>
      </c>
      <c r="S718" s="6" t="s">
        <v>22</v>
      </c>
      <c r="T718" s="6" t="s">
        <v>8470</v>
      </c>
      <c r="U718" s="6" t="s">
        <v>3141</v>
      </c>
      <c r="V718" s="6" t="s">
        <v>3383</v>
      </c>
      <c r="W718" s="6" t="s">
        <v>3672</v>
      </c>
      <c r="X718" s="6" t="s">
        <v>3918</v>
      </c>
      <c r="Y718" s="6" t="s">
        <v>3141</v>
      </c>
      <c r="Z718" s="6" t="s">
        <v>194</v>
      </c>
      <c r="AA718" s="6" t="s">
        <v>4217</v>
      </c>
      <c r="AB718" s="6"/>
      <c r="AC718" s="6" t="s">
        <v>3159</v>
      </c>
      <c r="AD718" s="6" t="s">
        <v>3152</v>
      </c>
      <c r="AE718" s="6" t="s">
        <v>3136</v>
      </c>
      <c r="AF718" s="6" t="s">
        <v>8471</v>
      </c>
      <c r="AG718" s="6" t="s">
        <v>8472</v>
      </c>
      <c r="AH718" s="6" t="s">
        <v>79</v>
      </c>
    </row>
    <row r="719" spans="1:34" x14ac:dyDescent="0.25">
      <c r="A719" s="6" t="s">
        <v>2322</v>
      </c>
      <c r="B719" s="6" t="s">
        <v>2323</v>
      </c>
      <c r="C719" s="6" t="s">
        <v>2324</v>
      </c>
      <c r="D719" s="6" t="s">
        <v>8473</v>
      </c>
      <c r="E719" s="6" t="s">
        <v>4542</v>
      </c>
      <c r="F719" s="6" t="s">
        <v>71</v>
      </c>
      <c r="G719" s="6" t="s">
        <v>174</v>
      </c>
      <c r="H719" s="6" t="s">
        <v>107</v>
      </c>
      <c r="I719" s="6" t="s">
        <v>92</v>
      </c>
      <c r="J719" s="6"/>
      <c r="K719" s="6" t="s">
        <v>3159</v>
      </c>
      <c r="L719" s="6" t="s">
        <v>3243</v>
      </c>
      <c r="M719" s="6" t="s">
        <v>3159</v>
      </c>
      <c r="N719" s="6" t="s">
        <v>3152</v>
      </c>
      <c r="O719" s="6" t="s">
        <v>3152</v>
      </c>
      <c r="P719" s="6" t="s">
        <v>8474</v>
      </c>
      <c r="Q719" s="6" t="s">
        <v>8475</v>
      </c>
      <c r="R719" s="6" t="s">
        <v>8476</v>
      </c>
      <c r="S719" s="6" t="s">
        <v>20</v>
      </c>
      <c r="T719" s="6" t="s">
        <v>8477</v>
      </c>
      <c r="U719" s="6" t="s">
        <v>3192</v>
      </c>
      <c r="V719" s="6" t="s">
        <v>8478</v>
      </c>
      <c r="W719" s="6" t="s">
        <v>3352</v>
      </c>
      <c r="X719" s="6" t="s">
        <v>77</v>
      </c>
      <c r="Y719" s="6" t="s">
        <v>3292</v>
      </c>
      <c r="Z719" s="6" t="s">
        <v>78</v>
      </c>
      <c r="AA719" s="6" t="s">
        <v>8479</v>
      </c>
      <c r="AB719" s="6" t="s">
        <v>8480</v>
      </c>
      <c r="AC719" s="6" t="s">
        <v>3140</v>
      </c>
      <c r="AD719" s="6" t="s">
        <v>3152</v>
      </c>
      <c r="AE719" s="6" t="s">
        <v>3293</v>
      </c>
      <c r="AF719" s="6"/>
      <c r="AG719" s="6" t="s">
        <v>8481</v>
      </c>
      <c r="AH719" s="6" t="s">
        <v>79</v>
      </c>
    </row>
    <row r="720" spans="1:34" x14ac:dyDescent="0.25">
      <c r="A720" s="6" t="s">
        <v>2326</v>
      </c>
      <c r="B720" s="6" t="s">
        <v>2327</v>
      </c>
      <c r="C720" s="6" t="s">
        <v>8482</v>
      </c>
      <c r="D720" s="6" t="s">
        <v>2328</v>
      </c>
      <c r="E720" s="6" t="s">
        <v>3235</v>
      </c>
      <c r="F720" s="6" t="s">
        <v>3283</v>
      </c>
      <c r="G720" s="6" t="s">
        <v>174</v>
      </c>
      <c r="H720" s="6" t="s">
        <v>84</v>
      </c>
      <c r="I720" s="6" t="s">
        <v>74</v>
      </c>
      <c r="J720" s="6" t="s">
        <v>8483</v>
      </c>
      <c r="K720" s="6" t="s">
        <v>3292</v>
      </c>
      <c r="L720" s="6" t="s">
        <v>3159</v>
      </c>
      <c r="M720" s="6" t="s">
        <v>3142</v>
      </c>
      <c r="N720" s="6" t="s">
        <v>3159</v>
      </c>
      <c r="O720" s="6" t="s">
        <v>3160</v>
      </c>
      <c r="P720" s="6" t="s">
        <v>6392</v>
      </c>
      <c r="Q720" s="6" t="s">
        <v>8484</v>
      </c>
      <c r="R720" s="6" t="s">
        <v>8485</v>
      </c>
      <c r="S720" s="6" t="s">
        <v>23</v>
      </c>
      <c r="T720" s="6" t="s">
        <v>8486</v>
      </c>
      <c r="U720" s="6" t="s">
        <v>3141</v>
      </c>
      <c r="V720" s="6" t="s">
        <v>6590</v>
      </c>
      <c r="W720" s="6" t="s">
        <v>3642</v>
      </c>
      <c r="X720" s="6" t="s">
        <v>85</v>
      </c>
      <c r="Y720" s="6" t="s">
        <v>3141</v>
      </c>
      <c r="Z720" s="6" t="s">
        <v>93</v>
      </c>
      <c r="AA720" s="6" t="s">
        <v>3976</v>
      </c>
      <c r="AB720" s="6" t="s">
        <v>8487</v>
      </c>
      <c r="AC720" s="6" t="s">
        <v>3159</v>
      </c>
      <c r="AD720" s="6" t="s">
        <v>3143</v>
      </c>
      <c r="AE720" s="6" t="s">
        <v>3513</v>
      </c>
      <c r="AF720" s="6" t="s">
        <v>8488</v>
      </c>
      <c r="AG720" s="6" t="s">
        <v>5421</v>
      </c>
      <c r="AH720" s="6" t="s">
        <v>79</v>
      </c>
    </row>
    <row r="721" spans="1:34" x14ac:dyDescent="0.25">
      <c r="A721" s="6"/>
      <c r="B721" s="6" t="s">
        <v>1294</v>
      </c>
      <c r="C721" s="6" t="s">
        <v>8489</v>
      </c>
      <c r="D721" s="6" t="s">
        <v>8490</v>
      </c>
      <c r="E721" s="6" t="s">
        <v>3420</v>
      </c>
      <c r="F721" s="6" t="s">
        <v>89</v>
      </c>
      <c r="G721" s="6" t="s">
        <v>3255</v>
      </c>
      <c r="H721" s="6" t="s">
        <v>73</v>
      </c>
      <c r="I721" s="6" t="s">
        <v>74</v>
      </c>
      <c r="J721" s="6"/>
      <c r="K721" s="6" t="s">
        <v>3140</v>
      </c>
      <c r="L721" s="6" t="s">
        <v>76</v>
      </c>
      <c r="M721" s="6" t="s">
        <v>3160</v>
      </c>
      <c r="N721" s="6" t="s">
        <v>3160</v>
      </c>
      <c r="O721" s="6" t="s">
        <v>3173</v>
      </c>
      <c r="P721" s="6" t="s">
        <v>4914</v>
      </c>
      <c r="Q721" s="6" t="s">
        <v>3217</v>
      </c>
      <c r="R721" s="6" t="s">
        <v>8491</v>
      </c>
      <c r="S721" s="6" t="s">
        <v>23</v>
      </c>
      <c r="T721" s="6" t="s">
        <v>8492</v>
      </c>
      <c r="U721" s="6" t="s">
        <v>3141</v>
      </c>
      <c r="V721" s="6" t="s">
        <v>3330</v>
      </c>
      <c r="W721" s="6" t="s">
        <v>3289</v>
      </c>
      <c r="X721" s="6" t="s">
        <v>85</v>
      </c>
      <c r="Y721" s="6" t="s">
        <v>3141</v>
      </c>
      <c r="Z721" s="6" t="s">
        <v>93</v>
      </c>
      <c r="AA721" s="6" t="s">
        <v>4568</v>
      </c>
      <c r="AB721" s="6"/>
      <c r="AC721" s="6" t="s">
        <v>3140</v>
      </c>
      <c r="AD721" s="6" t="s">
        <v>3142</v>
      </c>
      <c r="AE721" s="6" t="s">
        <v>3331</v>
      </c>
      <c r="AF721" s="6" t="s">
        <v>8493</v>
      </c>
      <c r="AG721" s="6" t="s">
        <v>8494</v>
      </c>
      <c r="AH721" s="6" t="s">
        <v>79</v>
      </c>
    </row>
    <row r="722" spans="1:34" x14ac:dyDescent="0.25">
      <c r="A722" s="6" t="s">
        <v>2330</v>
      </c>
      <c r="B722" s="6" t="s">
        <v>2331</v>
      </c>
      <c r="C722" s="6"/>
      <c r="D722" s="6" t="s">
        <v>2332</v>
      </c>
      <c r="E722" s="6" t="s">
        <v>3420</v>
      </c>
      <c r="F722" s="6" t="s">
        <v>3283</v>
      </c>
      <c r="G722" s="6" t="s">
        <v>215</v>
      </c>
      <c r="H722" s="6" t="s">
        <v>103</v>
      </c>
      <c r="I722" s="6" t="s">
        <v>74</v>
      </c>
      <c r="J722" s="6"/>
      <c r="K722" s="6" t="s">
        <v>3159</v>
      </c>
      <c r="L722" s="6" t="s">
        <v>75</v>
      </c>
      <c r="M722" s="6" t="s">
        <v>75</v>
      </c>
      <c r="N722" s="6" t="s">
        <v>3160</v>
      </c>
      <c r="O722" s="6" t="s">
        <v>76</v>
      </c>
      <c r="P722" s="6" t="s">
        <v>5462</v>
      </c>
      <c r="Q722" s="6" t="s">
        <v>8495</v>
      </c>
      <c r="R722" s="6" t="s">
        <v>8496</v>
      </c>
      <c r="S722" s="6" t="s">
        <v>21</v>
      </c>
      <c r="T722" s="6" t="s">
        <v>8497</v>
      </c>
      <c r="U722" s="6" t="s">
        <v>3141</v>
      </c>
      <c r="V722" s="6" t="s">
        <v>8498</v>
      </c>
      <c r="W722" s="6" t="s">
        <v>4563</v>
      </c>
      <c r="X722" s="6" t="s">
        <v>85</v>
      </c>
      <c r="Y722" s="6" t="s">
        <v>3140</v>
      </c>
      <c r="Z722" s="6" t="s">
        <v>194</v>
      </c>
      <c r="AA722" s="6" t="s">
        <v>3455</v>
      </c>
      <c r="AB722" s="6" t="s">
        <v>8499</v>
      </c>
      <c r="AC722" s="6" t="s">
        <v>3141</v>
      </c>
      <c r="AD722" s="6" t="s">
        <v>3143</v>
      </c>
      <c r="AE722" s="6" t="s">
        <v>3136</v>
      </c>
      <c r="AF722" s="6"/>
      <c r="AG722" s="6" t="s">
        <v>8500</v>
      </c>
      <c r="AH722" s="6" t="s">
        <v>79</v>
      </c>
    </row>
    <row r="723" spans="1:34" x14ac:dyDescent="0.25">
      <c r="A723" s="6" t="s">
        <v>2333</v>
      </c>
      <c r="B723" s="6" t="s">
        <v>2334</v>
      </c>
      <c r="C723" s="6" t="s">
        <v>8501</v>
      </c>
      <c r="D723" s="6" t="s">
        <v>2335</v>
      </c>
      <c r="E723" s="6" t="s">
        <v>3323</v>
      </c>
      <c r="F723" s="6" t="s">
        <v>89</v>
      </c>
      <c r="G723" s="6" t="s">
        <v>417</v>
      </c>
      <c r="H723" s="6" t="s">
        <v>166</v>
      </c>
      <c r="I723" s="6" t="s">
        <v>74</v>
      </c>
      <c r="J723" s="6" t="s">
        <v>8502</v>
      </c>
      <c r="K723" s="6" t="s">
        <v>3140</v>
      </c>
      <c r="L723" s="6" t="s">
        <v>3152</v>
      </c>
      <c r="M723" s="6" t="s">
        <v>3196</v>
      </c>
      <c r="N723" s="6" t="s">
        <v>3141</v>
      </c>
      <c r="O723" s="6" t="s">
        <v>3159</v>
      </c>
      <c r="P723" s="6" t="s">
        <v>4954</v>
      </c>
      <c r="Q723" s="6" t="s">
        <v>8503</v>
      </c>
      <c r="R723" s="6" t="s">
        <v>8504</v>
      </c>
      <c r="S723" s="6" t="s">
        <v>21</v>
      </c>
      <c r="T723" s="6" t="s">
        <v>8505</v>
      </c>
      <c r="U723" s="6" t="s">
        <v>3140</v>
      </c>
      <c r="V723" s="6" t="s">
        <v>3209</v>
      </c>
      <c r="W723" s="6" t="s">
        <v>5418</v>
      </c>
      <c r="X723" s="6" t="s">
        <v>77</v>
      </c>
      <c r="Y723" s="6" t="s">
        <v>3292</v>
      </c>
      <c r="Z723" s="6" t="s">
        <v>93</v>
      </c>
      <c r="AA723" s="6" t="s">
        <v>4501</v>
      </c>
      <c r="AB723" s="6" t="s">
        <v>8506</v>
      </c>
      <c r="AC723" s="6" t="s">
        <v>3141</v>
      </c>
      <c r="AD723" s="6" t="s">
        <v>3160</v>
      </c>
      <c r="AE723" s="6" t="s">
        <v>3136</v>
      </c>
      <c r="AF723" s="6"/>
      <c r="AG723" s="6" t="s">
        <v>8507</v>
      </c>
      <c r="AH723" s="6" t="s">
        <v>79</v>
      </c>
    </row>
    <row r="724" spans="1:34" x14ac:dyDescent="0.25">
      <c r="A724" s="6" t="s">
        <v>2336</v>
      </c>
      <c r="B724" s="6" t="s">
        <v>2337</v>
      </c>
      <c r="C724" s="6" t="s">
        <v>2338</v>
      </c>
      <c r="D724" s="6" t="s">
        <v>2339</v>
      </c>
      <c r="E724" s="6" t="s">
        <v>3483</v>
      </c>
      <c r="F724" s="6" t="s">
        <v>3137</v>
      </c>
      <c r="G724" s="6" t="s">
        <v>314</v>
      </c>
      <c r="H724" s="6" t="s">
        <v>103</v>
      </c>
      <c r="I724" s="6" t="s">
        <v>74</v>
      </c>
      <c r="J724" s="6" t="s">
        <v>8508</v>
      </c>
      <c r="K724" s="6" t="s">
        <v>3159</v>
      </c>
      <c r="L724" s="6" t="s">
        <v>3152</v>
      </c>
      <c r="M724" s="6" t="s">
        <v>3141</v>
      </c>
      <c r="N724" s="6" t="s">
        <v>3142</v>
      </c>
      <c r="O724" s="6" t="s">
        <v>3141</v>
      </c>
      <c r="P724" s="6" t="s">
        <v>3325</v>
      </c>
      <c r="Q724" s="6"/>
      <c r="R724" s="6" t="s">
        <v>8509</v>
      </c>
      <c r="S724" s="6" t="s">
        <v>23</v>
      </c>
      <c r="T724" s="6" t="s">
        <v>8510</v>
      </c>
      <c r="U724" s="6" t="s">
        <v>3292</v>
      </c>
      <c r="V724" s="6" t="s">
        <v>5741</v>
      </c>
      <c r="W724" s="6" t="s">
        <v>4013</v>
      </c>
      <c r="X724" s="6" t="s">
        <v>85</v>
      </c>
      <c r="Y724" s="6" t="s">
        <v>3159</v>
      </c>
      <c r="Z724" s="6" t="s">
        <v>3329</v>
      </c>
      <c r="AA724" s="6" t="s">
        <v>5418</v>
      </c>
      <c r="AB724" s="6" t="s">
        <v>8511</v>
      </c>
      <c r="AC724" s="6" t="s">
        <v>3292</v>
      </c>
      <c r="AD724" s="6" t="s">
        <v>3141</v>
      </c>
      <c r="AE724" s="6" t="s">
        <v>3428</v>
      </c>
      <c r="AF724" s="6" t="s">
        <v>8512</v>
      </c>
      <c r="AG724" s="6" t="s">
        <v>7577</v>
      </c>
      <c r="AH724" s="6" t="s">
        <v>94</v>
      </c>
    </row>
    <row r="725" spans="1:34" x14ac:dyDescent="0.25">
      <c r="A725" s="6" t="s">
        <v>2340</v>
      </c>
      <c r="B725" s="6" t="s">
        <v>2294</v>
      </c>
      <c r="C725" s="6"/>
      <c r="D725" s="6" t="s">
        <v>2341</v>
      </c>
      <c r="E725" s="6" t="s">
        <v>3240</v>
      </c>
      <c r="F725" s="6" t="s">
        <v>89</v>
      </c>
      <c r="G725" s="6" t="s">
        <v>72</v>
      </c>
      <c r="H725" s="6" t="s">
        <v>166</v>
      </c>
      <c r="I725" s="6" t="s">
        <v>74</v>
      </c>
      <c r="J725" s="6" t="s">
        <v>3217</v>
      </c>
      <c r="K725" s="6" t="s">
        <v>3140</v>
      </c>
      <c r="L725" s="6" t="s">
        <v>3188</v>
      </c>
      <c r="M725" s="6" t="s">
        <v>3188</v>
      </c>
      <c r="N725" s="6" t="s">
        <v>3143</v>
      </c>
      <c r="O725" s="6" t="s">
        <v>3160</v>
      </c>
      <c r="P725" s="6" t="s">
        <v>5867</v>
      </c>
      <c r="Q725" s="6" t="s">
        <v>8513</v>
      </c>
      <c r="R725" s="6" t="s">
        <v>8514</v>
      </c>
      <c r="S725" s="6" t="s">
        <v>22</v>
      </c>
      <c r="T725" s="6" t="s">
        <v>8515</v>
      </c>
      <c r="U725" s="6" t="s">
        <v>3159</v>
      </c>
      <c r="V725" s="6" t="s">
        <v>6036</v>
      </c>
      <c r="W725" s="6" t="s">
        <v>3577</v>
      </c>
      <c r="X725" s="6" t="s">
        <v>3918</v>
      </c>
      <c r="Y725" s="6" t="s">
        <v>3292</v>
      </c>
      <c r="Z725" s="6" t="s">
        <v>93</v>
      </c>
      <c r="AA725" s="6" t="s">
        <v>3673</v>
      </c>
      <c r="AB725" s="6"/>
      <c r="AC725" s="6" t="s">
        <v>3159</v>
      </c>
      <c r="AD725" s="6" t="s">
        <v>3160</v>
      </c>
      <c r="AE725" s="6" t="s">
        <v>3279</v>
      </c>
      <c r="AF725" s="6" t="s">
        <v>8516</v>
      </c>
      <c r="AG725" s="6" t="s">
        <v>6815</v>
      </c>
      <c r="AH725" s="6" t="s">
        <v>79</v>
      </c>
    </row>
    <row r="726" spans="1:34" x14ac:dyDescent="0.25">
      <c r="A726" s="6"/>
      <c r="B726" s="6" t="s">
        <v>8517</v>
      </c>
      <c r="C726" s="6" t="s">
        <v>8518</v>
      </c>
      <c r="D726" s="6" t="s">
        <v>8519</v>
      </c>
      <c r="E726" s="6" t="s">
        <v>4025</v>
      </c>
      <c r="F726" s="6" t="s">
        <v>71</v>
      </c>
      <c r="G726" s="6" t="s">
        <v>106</v>
      </c>
      <c r="H726" s="6" t="s">
        <v>99</v>
      </c>
      <c r="I726" s="6" t="s">
        <v>74</v>
      </c>
      <c r="J726" s="6" t="s">
        <v>8520</v>
      </c>
      <c r="K726" s="6" t="s">
        <v>3292</v>
      </c>
      <c r="L726" s="6" t="s">
        <v>3188</v>
      </c>
      <c r="M726" s="6" t="s">
        <v>3142</v>
      </c>
      <c r="N726" s="6" t="s">
        <v>3141</v>
      </c>
      <c r="O726" s="6" t="s">
        <v>3159</v>
      </c>
      <c r="P726" s="6" t="s">
        <v>4393</v>
      </c>
      <c r="Q726" s="6" t="s">
        <v>3217</v>
      </c>
      <c r="R726" s="6" t="s">
        <v>8521</v>
      </c>
      <c r="S726" s="6" t="s">
        <v>20</v>
      </c>
      <c r="T726" s="6" t="s">
        <v>8522</v>
      </c>
      <c r="U726" s="6" t="s">
        <v>3141</v>
      </c>
      <c r="V726" s="6" t="s">
        <v>8478</v>
      </c>
      <c r="W726" s="6" t="s">
        <v>3404</v>
      </c>
      <c r="X726" s="6" t="s">
        <v>77</v>
      </c>
      <c r="Y726" s="6" t="s">
        <v>3141</v>
      </c>
      <c r="Z726" s="6" t="s">
        <v>194</v>
      </c>
      <c r="AA726" s="6" t="s">
        <v>5418</v>
      </c>
      <c r="AB726" s="6" t="s">
        <v>8523</v>
      </c>
      <c r="AC726" s="6" t="s">
        <v>3141</v>
      </c>
      <c r="AD726" s="6" t="s">
        <v>3141</v>
      </c>
      <c r="AE726" s="6" t="s">
        <v>3136</v>
      </c>
      <c r="AF726" s="6"/>
      <c r="AG726" s="6" t="s">
        <v>3306</v>
      </c>
      <c r="AH726" s="6" t="s">
        <v>79</v>
      </c>
    </row>
    <row r="727" spans="1:34" x14ac:dyDescent="0.25">
      <c r="A727" s="6" t="s">
        <v>2344</v>
      </c>
      <c r="B727" s="6" t="s">
        <v>2345</v>
      </c>
      <c r="C727" s="6" t="s">
        <v>8524</v>
      </c>
      <c r="D727" s="6" t="s">
        <v>2346</v>
      </c>
      <c r="E727" s="6" t="s">
        <v>3213</v>
      </c>
      <c r="F727" s="6" t="s">
        <v>3358</v>
      </c>
      <c r="G727" s="6" t="s">
        <v>3761</v>
      </c>
      <c r="H727" s="6" t="s">
        <v>84</v>
      </c>
      <c r="I727" s="6" t="s">
        <v>74</v>
      </c>
      <c r="J727" s="6" t="s">
        <v>8525</v>
      </c>
      <c r="K727" s="6" t="s">
        <v>3292</v>
      </c>
      <c r="L727" s="6" t="s">
        <v>76</v>
      </c>
      <c r="M727" s="6" t="s">
        <v>3142</v>
      </c>
      <c r="N727" s="6" t="s">
        <v>3196</v>
      </c>
      <c r="O727" s="6" t="s">
        <v>3143</v>
      </c>
      <c r="P727" s="6" t="s">
        <v>4019</v>
      </c>
      <c r="Q727" s="6" t="s">
        <v>8526</v>
      </c>
      <c r="R727" s="6" t="s">
        <v>8527</v>
      </c>
      <c r="S727" s="6" t="s">
        <v>23</v>
      </c>
      <c r="T727" s="6" t="s">
        <v>8528</v>
      </c>
      <c r="U727" s="6" t="s">
        <v>3141</v>
      </c>
      <c r="V727" s="6" t="s">
        <v>8529</v>
      </c>
      <c r="W727" s="6" t="s">
        <v>3532</v>
      </c>
      <c r="X727" s="6" t="s">
        <v>85</v>
      </c>
      <c r="Y727" s="6" t="s">
        <v>3140</v>
      </c>
      <c r="Z727" s="6" t="s">
        <v>78</v>
      </c>
      <c r="AA727" s="6" t="s">
        <v>4918</v>
      </c>
      <c r="AB727" s="6"/>
      <c r="AC727" s="6" t="s">
        <v>3159</v>
      </c>
      <c r="AD727" s="6" t="s">
        <v>3152</v>
      </c>
      <c r="AE727" s="6" t="s">
        <v>3513</v>
      </c>
      <c r="AF727" s="6" t="s">
        <v>8530</v>
      </c>
      <c r="AG727" s="6"/>
      <c r="AH727" s="6" t="s">
        <v>79</v>
      </c>
    </row>
    <row r="728" spans="1:34" x14ac:dyDescent="0.25">
      <c r="A728" s="6"/>
      <c r="B728" s="6" t="s">
        <v>2103</v>
      </c>
      <c r="C728" s="6" t="s">
        <v>2348</v>
      </c>
      <c r="D728" s="6" t="s">
        <v>2349</v>
      </c>
      <c r="E728" s="6" t="s">
        <v>3170</v>
      </c>
      <c r="F728" s="6" t="s">
        <v>3137</v>
      </c>
      <c r="G728" s="6" t="s">
        <v>115</v>
      </c>
      <c r="H728" s="6" t="s">
        <v>99</v>
      </c>
      <c r="I728" s="6" t="s">
        <v>74</v>
      </c>
      <c r="J728" s="6" t="s">
        <v>3217</v>
      </c>
      <c r="K728" s="6" t="s">
        <v>3141</v>
      </c>
      <c r="L728" s="6" t="s">
        <v>3152</v>
      </c>
      <c r="M728" s="6" t="s">
        <v>3143</v>
      </c>
      <c r="N728" s="6" t="s">
        <v>75</v>
      </c>
      <c r="O728" s="6" t="s">
        <v>3141</v>
      </c>
      <c r="P728" s="6" t="s">
        <v>4472</v>
      </c>
      <c r="Q728" s="6" t="s">
        <v>8531</v>
      </c>
      <c r="R728" s="6" t="s">
        <v>8532</v>
      </c>
      <c r="S728" s="6" t="s">
        <v>3219</v>
      </c>
      <c r="T728" s="6" t="s">
        <v>8533</v>
      </c>
      <c r="U728" s="6" t="s">
        <v>4264</v>
      </c>
      <c r="V728" s="6" t="s">
        <v>8397</v>
      </c>
      <c r="W728" s="6" t="s">
        <v>3365</v>
      </c>
      <c r="X728" s="6" t="s">
        <v>77</v>
      </c>
      <c r="Y728" s="6" t="s">
        <v>3141</v>
      </c>
      <c r="Z728" s="6" t="s">
        <v>93</v>
      </c>
      <c r="AA728" s="6" t="s">
        <v>3262</v>
      </c>
      <c r="AB728" s="6"/>
      <c r="AC728" s="6" t="s">
        <v>3141</v>
      </c>
      <c r="AD728" s="6" t="s">
        <v>75</v>
      </c>
      <c r="AE728" s="6" t="s">
        <v>3293</v>
      </c>
      <c r="AF728" s="6"/>
      <c r="AG728" s="6" t="s">
        <v>4602</v>
      </c>
      <c r="AH728" s="6" t="s">
        <v>79</v>
      </c>
    </row>
    <row r="729" spans="1:34" x14ac:dyDescent="0.25">
      <c r="A729" s="6" t="s">
        <v>2350</v>
      </c>
      <c r="B729" s="6" t="s">
        <v>2351</v>
      </c>
      <c r="C729" s="6" t="s">
        <v>8534</v>
      </c>
      <c r="D729" s="6" t="s">
        <v>8535</v>
      </c>
      <c r="E729" s="6" t="s">
        <v>3843</v>
      </c>
      <c r="F729" s="6" t="s">
        <v>3214</v>
      </c>
      <c r="G729" s="6" t="s">
        <v>131</v>
      </c>
      <c r="H729" s="6" t="s">
        <v>84</v>
      </c>
      <c r="I729" s="6" t="s">
        <v>74</v>
      </c>
      <c r="J729" s="6" t="s">
        <v>8536</v>
      </c>
      <c r="K729" s="6" t="s">
        <v>3159</v>
      </c>
      <c r="L729" s="6" t="s">
        <v>3188</v>
      </c>
      <c r="M729" s="6" t="s">
        <v>3243</v>
      </c>
      <c r="N729" s="6" t="s">
        <v>3143</v>
      </c>
      <c r="O729" s="6" t="s">
        <v>3243</v>
      </c>
      <c r="P729" s="6" t="s">
        <v>8537</v>
      </c>
      <c r="Q729" s="6"/>
      <c r="R729" s="6" t="s">
        <v>8538</v>
      </c>
      <c r="S729" s="6" t="s">
        <v>22</v>
      </c>
      <c r="T729" s="6" t="s">
        <v>8539</v>
      </c>
      <c r="U729" s="6" t="s">
        <v>3141</v>
      </c>
      <c r="V729" s="6" t="s">
        <v>3894</v>
      </c>
      <c r="W729" s="6" t="s">
        <v>3673</v>
      </c>
      <c r="X729" s="6" t="s">
        <v>85</v>
      </c>
      <c r="Y729" s="6" t="s">
        <v>3141</v>
      </c>
      <c r="Z729" s="6" t="s">
        <v>93</v>
      </c>
      <c r="AA729" s="6" t="s">
        <v>3195</v>
      </c>
      <c r="AB729" s="6"/>
      <c r="AC729" s="6" t="s">
        <v>3141</v>
      </c>
      <c r="AD729" s="6" t="s">
        <v>3141</v>
      </c>
      <c r="AE729" s="6" t="s">
        <v>3210</v>
      </c>
      <c r="AF729" s="6" t="s">
        <v>8540</v>
      </c>
      <c r="AG729" s="6" t="s">
        <v>6255</v>
      </c>
      <c r="AH729" s="6" t="s">
        <v>94</v>
      </c>
    </row>
    <row r="730" spans="1:34" x14ac:dyDescent="0.25">
      <c r="A730" s="6" t="s">
        <v>2353</v>
      </c>
      <c r="B730" s="6" t="s">
        <v>2354</v>
      </c>
      <c r="C730" s="6" t="s">
        <v>8541</v>
      </c>
      <c r="D730" s="6" t="s">
        <v>2355</v>
      </c>
      <c r="E730" s="6" t="s">
        <v>3617</v>
      </c>
      <c r="F730" s="6" t="s">
        <v>3137</v>
      </c>
      <c r="G730" s="6" t="s">
        <v>388</v>
      </c>
      <c r="H730" s="6" t="s">
        <v>144</v>
      </c>
      <c r="I730" s="6" t="s">
        <v>92</v>
      </c>
      <c r="J730" s="6"/>
      <c r="K730" s="6" t="s">
        <v>3140</v>
      </c>
      <c r="L730" s="6" t="s">
        <v>3196</v>
      </c>
      <c r="M730" s="6" t="s">
        <v>75</v>
      </c>
      <c r="N730" s="6" t="s">
        <v>76</v>
      </c>
      <c r="O730" s="6" t="s">
        <v>3141</v>
      </c>
      <c r="P730" s="6" t="s">
        <v>8542</v>
      </c>
      <c r="Q730" s="6" t="s">
        <v>3217</v>
      </c>
      <c r="R730" s="6" t="s">
        <v>8543</v>
      </c>
      <c r="S730" s="6" t="s">
        <v>5782</v>
      </c>
      <c r="T730" s="6" t="s">
        <v>8544</v>
      </c>
      <c r="U730" s="6" t="s">
        <v>3141</v>
      </c>
      <c r="V730" s="6" t="s">
        <v>8545</v>
      </c>
      <c r="W730" s="6" t="s">
        <v>3344</v>
      </c>
      <c r="X730" s="6" t="s">
        <v>85</v>
      </c>
      <c r="Y730" s="6" t="s">
        <v>3141</v>
      </c>
      <c r="Z730" s="6" t="s">
        <v>3895</v>
      </c>
      <c r="AA730" s="6" t="s">
        <v>3653</v>
      </c>
      <c r="AB730" s="6"/>
      <c r="AC730" s="6" t="s">
        <v>3159</v>
      </c>
      <c r="AD730" s="6" t="s">
        <v>3141</v>
      </c>
      <c r="AE730" s="6" t="s">
        <v>3235</v>
      </c>
      <c r="AF730" s="6" t="s">
        <v>8546</v>
      </c>
      <c r="AG730" s="6" t="s">
        <v>8547</v>
      </c>
      <c r="AH730" s="6" t="s">
        <v>79</v>
      </c>
    </row>
    <row r="731" spans="1:34" x14ac:dyDescent="0.25">
      <c r="A731" s="6" t="s">
        <v>2356</v>
      </c>
      <c r="B731" s="6" t="s">
        <v>2357</v>
      </c>
      <c r="C731" s="6" t="s">
        <v>8548</v>
      </c>
      <c r="D731" s="6" t="s">
        <v>2358</v>
      </c>
      <c r="E731" s="6" t="s">
        <v>3268</v>
      </c>
      <c r="F731" s="6" t="s">
        <v>3214</v>
      </c>
      <c r="G731" s="6" t="s">
        <v>90</v>
      </c>
      <c r="H731" s="6" t="s">
        <v>144</v>
      </c>
      <c r="I731" s="6" t="s">
        <v>92</v>
      </c>
      <c r="J731" s="6"/>
      <c r="K731" s="6" t="s">
        <v>3140</v>
      </c>
      <c r="L731" s="6" t="s">
        <v>3159</v>
      </c>
      <c r="M731" s="6" t="s">
        <v>3243</v>
      </c>
      <c r="N731" s="6" t="s">
        <v>3152</v>
      </c>
      <c r="O731" s="6" t="s">
        <v>3142</v>
      </c>
      <c r="P731" s="6" t="s">
        <v>7564</v>
      </c>
      <c r="Q731" s="6" t="s">
        <v>3217</v>
      </c>
      <c r="R731" s="6" t="s">
        <v>8549</v>
      </c>
      <c r="S731" s="6" t="s">
        <v>22</v>
      </c>
      <c r="T731" s="6"/>
      <c r="U731" s="6" t="s">
        <v>3141</v>
      </c>
      <c r="V731" s="6" t="s">
        <v>5031</v>
      </c>
      <c r="W731" s="6" t="s">
        <v>3289</v>
      </c>
      <c r="X731" s="6" t="s">
        <v>77</v>
      </c>
      <c r="Y731" s="6" t="s">
        <v>3140</v>
      </c>
      <c r="Z731" s="6" t="s">
        <v>78</v>
      </c>
      <c r="AA731" s="6" t="s">
        <v>3195</v>
      </c>
      <c r="AB731" s="6" t="s">
        <v>8550</v>
      </c>
      <c r="AC731" s="6" t="s">
        <v>3159</v>
      </c>
      <c r="AD731" s="6" t="s">
        <v>3141</v>
      </c>
      <c r="AE731" s="6" t="s">
        <v>3279</v>
      </c>
      <c r="AF731" s="6" t="s">
        <v>8551</v>
      </c>
      <c r="AG731" s="6" t="s">
        <v>8552</v>
      </c>
      <c r="AH731" s="6" t="s">
        <v>79</v>
      </c>
    </row>
    <row r="732" spans="1:34" x14ac:dyDescent="0.25">
      <c r="A732" s="6" t="s">
        <v>2359</v>
      </c>
      <c r="B732" s="6" t="s">
        <v>1887</v>
      </c>
      <c r="C732" s="6" t="s">
        <v>8553</v>
      </c>
      <c r="D732" s="6" t="s">
        <v>2360</v>
      </c>
      <c r="E732" s="6" t="s">
        <v>3136</v>
      </c>
      <c r="F732" s="6" t="s">
        <v>71</v>
      </c>
      <c r="G732" s="6" t="s">
        <v>153</v>
      </c>
      <c r="H732" s="6" t="s">
        <v>166</v>
      </c>
      <c r="I732" s="6" t="s">
        <v>74</v>
      </c>
      <c r="J732" s="6" t="s">
        <v>8554</v>
      </c>
      <c r="K732" s="6" t="s">
        <v>3159</v>
      </c>
      <c r="L732" s="6" t="s">
        <v>3143</v>
      </c>
      <c r="M732" s="6" t="s">
        <v>76</v>
      </c>
      <c r="N732" s="6" t="s">
        <v>3141</v>
      </c>
      <c r="O732" s="6" t="s">
        <v>3243</v>
      </c>
      <c r="P732" s="6" t="s">
        <v>3391</v>
      </c>
      <c r="Q732" s="6" t="s">
        <v>8555</v>
      </c>
      <c r="R732" s="6" t="s">
        <v>8556</v>
      </c>
      <c r="S732" s="6" t="s">
        <v>22</v>
      </c>
      <c r="T732" s="6"/>
      <c r="U732" s="6" t="s">
        <v>3159</v>
      </c>
      <c r="V732" s="6" t="s">
        <v>6454</v>
      </c>
      <c r="W732" s="6" t="s">
        <v>4494</v>
      </c>
      <c r="X732" s="6" t="s">
        <v>85</v>
      </c>
      <c r="Y732" s="6" t="s">
        <v>3292</v>
      </c>
      <c r="Z732" s="6" t="s">
        <v>93</v>
      </c>
      <c r="AA732" s="6" t="s">
        <v>3278</v>
      </c>
      <c r="AB732" s="6" t="s">
        <v>8557</v>
      </c>
      <c r="AC732" s="6" t="s">
        <v>3159</v>
      </c>
      <c r="AD732" s="6" t="s">
        <v>75</v>
      </c>
      <c r="AE732" s="6" t="s">
        <v>3323</v>
      </c>
      <c r="AF732" s="6" t="s">
        <v>8558</v>
      </c>
      <c r="AG732" s="6" t="s">
        <v>8559</v>
      </c>
      <c r="AH732" s="6" t="s">
        <v>79</v>
      </c>
    </row>
    <row r="733" spans="1:34" x14ac:dyDescent="0.25">
      <c r="A733" s="6" t="s">
        <v>2361</v>
      </c>
      <c r="B733" s="6" t="s">
        <v>2362</v>
      </c>
      <c r="C733" s="6" t="s">
        <v>8560</v>
      </c>
      <c r="D733" s="6" t="s">
        <v>2363</v>
      </c>
      <c r="E733" s="6" t="s">
        <v>4828</v>
      </c>
      <c r="F733" s="6" t="s">
        <v>89</v>
      </c>
      <c r="G733" s="6" t="s">
        <v>5716</v>
      </c>
      <c r="H733" s="6" t="s">
        <v>107</v>
      </c>
      <c r="I733" s="6" t="s">
        <v>92</v>
      </c>
      <c r="J733" s="6"/>
      <c r="K733" s="6" t="s">
        <v>3159</v>
      </c>
      <c r="L733" s="6" t="s">
        <v>3159</v>
      </c>
      <c r="M733" s="6" t="s">
        <v>3141</v>
      </c>
      <c r="N733" s="6" t="s">
        <v>75</v>
      </c>
      <c r="O733" s="6" t="s">
        <v>3141</v>
      </c>
      <c r="P733" s="6" t="s">
        <v>4140</v>
      </c>
      <c r="Q733" s="6" t="s">
        <v>8561</v>
      </c>
      <c r="R733" s="6" t="s">
        <v>8562</v>
      </c>
      <c r="S733" s="6" t="s">
        <v>21</v>
      </c>
      <c r="T733" s="6" t="s">
        <v>8563</v>
      </c>
      <c r="U733" s="6" t="s">
        <v>3141</v>
      </c>
      <c r="V733" s="6" t="s">
        <v>5806</v>
      </c>
      <c r="W733" s="6" t="s">
        <v>3415</v>
      </c>
      <c r="X733" s="6" t="s">
        <v>85</v>
      </c>
      <c r="Y733" s="6" t="s">
        <v>3141</v>
      </c>
      <c r="Z733" s="6" t="s">
        <v>78</v>
      </c>
      <c r="AA733" s="6" t="s">
        <v>5604</v>
      </c>
      <c r="AB733" s="6" t="s">
        <v>8564</v>
      </c>
      <c r="AC733" s="6" t="s">
        <v>3141</v>
      </c>
      <c r="AD733" s="6" t="s">
        <v>3152</v>
      </c>
      <c r="AE733" s="6" t="s">
        <v>3293</v>
      </c>
      <c r="AF733" s="6"/>
      <c r="AG733" s="6" t="s">
        <v>8565</v>
      </c>
      <c r="AH733" s="6" t="s">
        <v>79</v>
      </c>
    </row>
    <row r="734" spans="1:34" x14ac:dyDescent="0.25">
      <c r="A734" s="6"/>
      <c r="B734" s="6" t="s">
        <v>2365</v>
      </c>
      <c r="C734" s="6" t="s">
        <v>2366</v>
      </c>
      <c r="D734" s="6" t="s">
        <v>2367</v>
      </c>
      <c r="E734" s="6" t="s">
        <v>3703</v>
      </c>
      <c r="F734" s="6" t="s">
        <v>71</v>
      </c>
      <c r="G734" s="6" t="s">
        <v>4329</v>
      </c>
      <c r="H734" s="6" t="s">
        <v>73</v>
      </c>
      <c r="I734" s="6" t="s">
        <v>74</v>
      </c>
      <c r="J734" s="6" t="s">
        <v>8566</v>
      </c>
      <c r="K734" s="6" t="s">
        <v>3159</v>
      </c>
      <c r="L734" s="6" t="s">
        <v>3159</v>
      </c>
      <c r="M734" s="6" t="s">
        <v>3143</v>
      </c>
      <c r="N734" s="6" t="s">
        <v>3143</v>
      </c>
      <c r="O734" s="6" t="s">
        <v>3143</v>
      </c>
      <c r="P734" s="6" t="s">
        <v>5674</v>
      </c>
      <c r="Q734" s="6" t="s">
        <v>8567</v>
      </c>
      <c r="R734" s="6" t="s">
        <v>8568</v>
      </c>
      <c r="S734" s="6" t="s">
        <v>20</v>
      </c>
      <c r="T734" s="6" t="s">
        <v>3217</v>
      </c>
      <c r="U734" s="6" t="s">
        <v>3140</v>
      </c>
      <c r="V734" s="6" t="s">
        <v>5387</v>
      </c>
      <c r="W734" s="6" t="s">
        <v>4781</v>
      </c>
      <c r="X734" s="6" t="s">
        <v>85</v>
      </c>
      <c r="Y734" s="6" t="s">
        <v>3141</v>
      </c>
      <c r="Z734" s="6" t="s">
        <v>93</v>
      </c>
      <c r="AA734" s="6" t="s">
        <v>3222</v>
      </c>
      <c r="AB734" s="6"/>
      <c r="AC734" s="6" t="s">
        <v>3141</v>
      </c>
      <c r="AD734" s="6" t="s">
        <v>3152</v>
      </c>
      <c r="AE734" s="6" t="s">
        <v>3169</v>
      </c>
      <c r="AF734" s="6"/>
      <c r="AG734" s="6" t="s">
        <v>8569</v>
      </c>
      <c r="AH734" s="6" t="s">
        <v>79</v>
      </c>
    </row>
    <row r="735" spans="1:34" x14ac:dyDescent="0.25">
      <c r="A735" s="6" t="s">
        <v>2368</v>
      </c>
      <c r="B735" s="6" t="s">
        <v>2369</v>
      </c>
      <c r="C735" s="6" t="s">
        <v>8570</v>
      </c>
      <c r="D735" s="6"/>
      <c r="E735" s="6" t="s">
        <v>4358</v>
      </c>
      <c r="F735" s="6" t="s">
        <v>3227</v>
      </c>
      <c r="G735" s="6" t="s">
        <v>5581</v>
      </c>
      <c r="H735" s="6" t="s">
        <v>132</v>
      </c>
      <c r="I735" s="6" t="s">
        <v>92</v>
      </c>
      <c r="J735" s="6" t="s">
        <v>8571</v>
      </c>
      <c r="K735" s="6" t="s">
        <v>3140</v>
      </c>
      <c r="L735" s="6" t="s">
        <v>3142</v>
      </c>
      <c r="M735" s="6" t="s">
        <v>75</v>
      </c>
      <c r="N735" s="6" t="s">
        <v>3141</v>
      </c>
      <c r="O735" s="6" t="s">
        <v>3142</v>
      </c>
      <c r="P735" s="6" t="s">
        <v>7024</v>
      </c>
      <c r="Q735" s="6" t="s">
        <v>8572</v>
      </c>
      <c r="R735" s="6" t="s">
        <v>8573</v>
      </c>
      <c r="S735" s="6" t="s">
        <v>22</v>
      </c>
      <c r="T735" s="6"/>
      <c r="U735" s="6" t="s">
        <v>3159</v>
      </c>
      <c r="V735" s="6" t="s">
        <v>6029</v>
      </c>
      <c r="W735" s="6" t="s">
        <v>4654</v>
      </c>
      <c r="X735" s="6" t="s">
        <v>77</v>
      </c>
      <c r="Y735" s="6" t="s">
        <v>3140</v>
      </c>
      <c r="Z735" s="6" t="s">
        <v>93</v>
      </c>
      <c r="AA735" s="6" t="s">
        <v>3490</v>
      </c>
      <c r="AB735" s="6"/>
      <c r="AC735" s="6" t="s">
        <v>3141</v>
      </c>
      <c r="AD735" s="6" t="s">
        <v>3143</v>
      </c>
      <c r="AE735" s="6" t="s">
        <v>3235</v>
      </c>
      <c r="AF735" s="6" t="s">
        <v>8574</v>
      </c>
      <c r="AG735" s="6" t="s">
        <v>6083</v>
      </c>
      <c r="AH735" s="6" t="s">
        <v>79</v>
      </c>
    </row>
    <row r="736" spans="1:34" x14ac:dyDescent="0.25">
      <c r="A736" s="6" t="s">
        <v>2370</v>
      </c>
      <c r="B736" s="6" t="s">
        <v>2371</v>
      </c>
      <c r="C736" s="6" t="s">
        <v>2372</v>
      </c>
      <c r="D736" s="6" t="s">
        <v>2373</v>
      </c>
      <c r="E736" s="6" t="s">
        <v>3282</v>
      </c>
      <c r="F736" s="6" t="s">
        <v>89</v>
      </c>
      <c r="G736" s="6" t="s">
        <v>115</v>
      </c>
      <c r="H736" s="6" t="s">
        <v>99</v>
      </c>
      <c r="I736" s="6" t="s">
        <v>74</v>
      </c>
      <c r="J736" s="6" t="s">
        <v>8575</v>
      </c>
      <c r="K736" s="6" t="s">
        <v>3140</v>
      </c>
      <c r="L736" s="6" t="s">
        <v>3196</v>
      </c>
      <c r="M736" s="6" t="s">
        <v>3152</v>
      </c>
      <c r="N736" s="6" t="s">
        <v>3173</v>
      </c>
      <c r="O736" s="6" t="s">
        <v>3143</v>
      </c>
      <c r="P736" s="6" t="s">
        <v>8576</v>
      </c>
      <c r="Q736" s="6" t="s">
        <v>8577</v>
      </c>
      <c r="R736" s="6" t="s">
        <v>8578</v>
      </c>
      <c r="S736" s="6" t="s">
        <v>22</v>
      </c>
      <c r="T736" s="6" t="s">
        <v>8579</v>
      </c>
      <c r="U736" s="6" t="s">
        <v>4264</v>
      </c>
      <c r="V736" s="6" t="s">
        <v>7289</v>
      </c>
      <c r="W736" s="6" t="s">
        <v>3303</v>
      </c>
      <c r="X736" s="6" t="s">
        <v>77</v>
      </c>
      <c r="Y736" s="6" t="s">
        <v>3159</v>
      </c>
      <c r="Z736" s="6" t="s">
        <v>78</v>
      </c>
      <c r="AA736" s="6" t="s">
        <v>3873</v>
      </c>
      <c r="AB736" s="6"/>
      <c r="AC736" s="6" t="s">
        <v>3141</v>
      </c>
      <c r="AD736" s="6" t="s">
        <v>3143</v>
      </c>
      <c r="AE736" s="6" t="s">
        <v>3323</v>
      </c>
      <c r="AF736" s="6" t="s">
        <v>8580</v>
      </c>
      <c r="AG736" s="6" t="s">
        <v>5687</v>
      </c>
      <c r="AH736" s="6" t="s">
        <v>3494</v>
      </c>
    </row>
    <row r="737" spans="1:34" x14ac:dyDescent="0.25">
      <c r="A737" s="6" t="s">
        <v>2374</v>
      </c>
      <c r="B737" s="6" t="s">
        <v>2375</v>
      </c>
      <c r="C737" s="6" t="s">
        <v>8581</v>
      </c>
      <c r="D737" s="6" t="s">
        <v>2376</v>
      </c>
      <c r="E737" s="6" t="s">
        <v>4828</v>
      </c>
      <c r="F737" s="6" t="s">
        <v>3227</v>
      </c>
      <c r="G737" s="6" t="s">
        <v>131</v>
      </c>
      <c r="H737" s="6" t="s">
        <v>99</v>
      </c>
      <c r="I737" s="6" t="s">
        <v>74</v>
      </c>
      <c r="J737" s="6" t="s">
        <v>8582</v>
      </c>
      <c r="K737" s="6" t="s">
        <v>3140</v>
      </c>
      <c r="L737" s="6" t="s">
        <v>3196</v>
      </c>
      <c r="M737" s="6" t="s">
        <v>3196</v>
      </c>
      <c r="N737" s="6" t="s">
        <v>3143</v>
      </c>
      <c r="O737" s="6" t="s">
        <v>3141</v>
      </c>
      <c r="P737" s="6" t="s">
        <v>8337</v>
      </c>
      <c r="Q737" s="6" t="s">
        <v>8583</v>
      </c>
      <c r="R737" s="6" t="s">
        <v>8584</v>
      </c>
      <c r="S737" s="6" t="s">
        <v>20</v>
      </c>
      <c r="T737" s="6"/>
      <c r="U737" s="6" t="s">
        <v>3192</v>
      </c>
      <c r="V737" s="6" t="s">
        <v>3576</v>
      </c>
      <c r="W737" s="6" t="s">
        <v>3965</v>
      </c>
      <c r="X737" s="6" t="s">
        <v>161</v>
      </c>
      <c r="Y737" s="6" t="s">
        <v>3141</v>
      </c>
      <c r="Z737" s="6" t="s">
        <v>93</v>
      </c>
      <c r="AA737" s="6" t="s">
        <v>8585</v>
      </c>
      <c r="AB737" s="6" t="s">
        <v>8586</v>
      </c>
      <c r="AC737" s="6" t="s">
        <v>3159</v>
      </c>
      <c r="AD737" s="6" t="s">
        <v>3152</v>
      </c>
      <c r="AE737" s="6" t="s">
        <v>3169</v>
      </c>
      <c r="AF737" s="6"/>
      <c r="AG737" s="6" t="s">
        <v>8587</v>
      </c>
      <c r="AH737" s="6" t="s">
        <v>79</v>
      </c>
    </row>
    <row r="738" spans="1:34" x14ac:dyDescent="0.25">
      <c r="A738" s="6" t="s">
        <v>2377</v>
      </c>
      <c r="B738" s="6" t="s">
        <v>2378</v>
      </c>
      <c r="C738" s="6"/>
      <c r="D738" s="6" t="s">
        <v>2379</v>
      </c>
      <c r="E738" s="6" t="s">
        <v>3170</v>
      </c>
      <c r="F738" s="6" t="s">
        <v>71</v>
      </c>
      <c r="G738" s="6" t="s">
        <v>98</v>
      </c>
      <c r="H738" s="6" t="s">
        <v>99</v>
      </c>
      <c r="I738" s="6" t="s">
        <v>74</v>
      </c>
      <c r="J738" s="6" t="s">
        <v>8588</v>
      </c>
      <c r="K738" s="6" t="s">
        <v>3140</v>
      </c>
      <c r="L738" s="6" t="s">
        <v>3196</v>
      </c>
      <c r="M738" s="6" t="s">
        <v>3160</v>
      </c>
      <c r="N738" s="6" t="s">
        <v>3141</v>
      </c>
      <c r="O738" s="6" t="s">
        <v>3142</v>
      </c>
      <c r="P738" s="6" t="s">
        <v>5511</v>
      </c>
      <c r="Q738" s="6" t="s">
        <v>8589</v>
      </c>
      <c r="R738" s="6" t="s">
        <v>8590</v>
      </c>
      <c r="S738" s="6" t="s">
        <v>22</v>
      </c>
      <c r="T738" s="6" t="s">
        <v>8591</v>
      </c>
      <c r="U738" s="6" t="s">
        <v>3141</v>
      </c>
      <c r="V738" s="6" t="s">
        <v>6869</v>
      </c>
      <c r="W738" s="6" t="s">
        <v>4981</v>
      </c>
      <c r="X738" s="6" t="s">
        <v>161</v>
      </c>
      <c r="Y738" s="6" t="s">
        <v>3141</v>
      </c>
      <c r="Z738" s="6" t="s">
        <v>78</v>
      </c>
      <c r="AA738" s="6" t="s">
        <v>3317</v>
      </c>
      <c r="AB738" s="6"/>
      <c r="AC738" s="6" t="s">
        <v>3159</v>
      </c>
      <c r="AD738" s="6" t="s">
        <v>76</v>
      </c>
      <c r="AE738" s="6" t="s">
        <v>3136</v>
      </c>
      <c r="AF738" s="6" t="s">
        <v>8592</v>
      </c>
      <c r="AG738" s="6" t="s">
        <v>8593</v>
      </c>
      <c r="AH738" s="6" t="s">
        <v>79</v>
      </c>
    </row>
    <row r="739" spans="1:34" x14ac:dyDescent="0.25">
      <c r="A739" s="6" t="s">
        <v>2380</v>
      </c>
      <c r="B739" s="6" t="s">
        <v>2381</v>
      </c>
      <c r="C739" s="6" t="s">
        <v>8594</v>
      </c>
      <c r="D739" s="6"/>
      <c r="E739" s="6" t="s">
        <v>3200</v>
      </c>
      <c r="F739" s="6" t="s">
        <v>3227</v>
      </c>
      <c r="G739" s="6" t="s">
        <v>106</v>
      </c>
      <c r="H739" s="6" t="s">
        <v>103</v>
      </c>
      <c r="I739" s="6" t="s">
        <v>74</v>
      </c>
      <c r="J739" s="6"/>
      <c r="K739" s="6" t="s">
        <v>3159</v>
      </c>
      <c r="L739" s="6" t="s">
        <v>3188</v>
      </c>
      <c r="M739" s="6" t="s">
        <v>75</v>
      </c>
      <c r="N739" s="6" t="s">
        <v>3141</v>
      </c>
      <c r="O739" s="6" t="s">
        <v>3152</v>
      </c>
      <c r="P739" s="6" t="s">
        <v>3914</v>
      </c>
      <c r="Q739" s="6" t="s">
        <v>8595</v>
      </c>
      <c r="R739" s="6" t="s">
        <v>8596</v>
      </c>
      <c r="S739" s="6" t="s">
        <v>22</v>
      </c>
      <c r="T739" s="6" t="s">
        <v>8597</v>
      </c>
      <c r="U739" s="6" t="s">
        <v>3141</v>
      </c>
      <c r="V739" s="6" t="s">
        <v>8598</v>
      </c>
      <c r="W739" s="6" t="s">
        <v>3291</v>
      </c>
      <c r="X739" s="6" t="s">
        <v>77</v>
      </c>
      <c r="Y739" s="6" t="s">
        <v>3159</v>
      </c>
      <c r="Z739" s="6" t="s">
        <v>78</v>
      </c>
      <c r="AA739" s="6" t="s">
        <v>4933</v>
      </c>
      <c r="AB739" s="6" t="s">
        <v>8599</v>
      </c>
      <c r="AC739" s="6" t="s">
        <v>3141</v>
      </c>
      <c r="AD739" s="6" t="s">
        <v>3160</v>
      </c>
      <c r="AE739" s="6" t="s">
        <v>3235</v>
      </c>
      <c r="AF739" s="6" t="s">
        <v>8600</v>
      </c>
      <c r="AG739" s="6" t="s">
        <v>8601</v>
      </c>
      <c r="AH739" s="6" t="s">
        <v>79</v>
      </c>
    </row>
    <row r="740" spans="1:34" x14ac:dyDescent="0.25">
      <c r="A740" s="6" t="s">
        <v>2382</v>
      </c>
      <c r="B740" s="6" t="s">
        <v>2383</v>
      </c>
      <c r="C740" s="6"/>
      <c r="D740" s="6" t="s">
        <v>2384</v>
      </c>
      <c r="E740" s="6" t="s">
        <v>3677</v>
      </c>
      <c r="F740" s="6" t="s">
        <v>3137</v>
      </c>
      <c r="G740" s="6" t="s">
        <v>388</v>
      </c>
      <c r="H740" s="6" t="s">
        <v>103</v>
      </c>
      <c r="I740" s="6" t="s">
        <v>74</v>
      </c>
      <c r="J740" s="6" t="s">
        <v>8602</v>
      </c>
      <c r="K740" s="6" t="s">
        <v>3140</v>
      </c>
      <c r="L740" s="6" t="s">
        <v>3188</v>
      </c>
      <c r="M740" s="6" t="s">
        <v>3141</v>
      </c>
      <c r="N740" s="6" t="s">
        <v>3173</v>
      </c>
      <c r="O740" s="6" t="s">
        <v>75</v>
      </c>
      <c r="P740" s="6" t="s">
        <v>8603</v>
      </c>
      <c r="Q740" s="6" t="s">
        <v>8604</v>
      </c>
      <c r="R740" s="6" t="s">
        <v>8605</v>
      </c>
      <c r="S740" s="6" t="s">
        <v>20</v>
      </c>
      <c r="T740" s="6" t="s">
        <v>8606</v>
      </c>
      <c r="U740" s="6" t="s">
        <v>3159</v>
      </c>
      <c r="V740" s="6" t="s">
        <v>4568</v>
      </c>
      <c r="W740" s="6" t="s">
        <v>3330</v>
      </c>
      <c r="X740" s="6" t="s">
        <v>85</v>
      </c>
      <c r="Y740" s="6" t="s">
        <v>3159</v>
      </c>
      <c r="Z740" s="6" t="s">
        <v>78</v>
      </c>
      <c r="AA740" s="6" t="s">
        <v>4176</v>
      </c>
      <c r="AB740" s="6" t="s">
        <v>8607</v>
      </c>
      <c r="AC740" s="6" t="s">
        <v>3141</v>
      </c>
      <c r="AD740" s="6" t="s">
        <v>3141</v>
      </c>
      <c r="AE740" s="6" t="s">
        <v>3136</v>
      </c>
      <c r="AF740" s="6"/>
      <c r="AG740" s="6" t="s">
        <v>8608</v>
      </c>
      <c r="AH740" s="6" t="s">
        <v>79</v>
      </c>
    </row>
    <row r="741" spans="1:34" x14ac:dyDescent="0.25">
      <c r="A741" s="6" t="s">
        <v>2385</v>
      </c>
      <c r="B741" s="6" t="s">
        <v>2386</v>
      </c>
      <c r="C741" s="6" t="s">
        <v>8609</v>
      </c>
      <c r="D741" s="6" t="s">
        <v>8610</v>
      </c>
      <c r="E741" s="6" t="s">
        <v>3460</v>
      </c>
      <c r="F741" s="6" t="s">
        <v>71</v>
      </c>
      <c r="G741" s="6" t="s">
        <v>226</v>
      </c>
      <c r="H741" s="6" t="s">
        <v>107</v>
      </c>
      <c r="I741" s="6" t="s">
        <v>92</v>
      </c>
      <c r="J741" s="6" t="s">
        <v>8611</v>
      </c>
      <c r="K741" s="6" t="s">
        <v>3159</v>
      </c>
      <c r="L741" s="6" t="s">
        <v>3159</v>
      </c>
      <c r="M741" s="6" t="s">
        <v>75</v>
      </c>
      <c r="N741" s="6" t="s">
        <v>3141</v>
      </c>
      <c r="O741" s="6" t="s">
        <v>3143</v>
      </c>
      <c r="P741" s="6" t="s">
        <v>6161</v>
      </c>
      <c r="Q741" s="6" t="s">
        <v>8612</v>
      </c>
      <c r="R741" s="6" t="s">
        <v>8613</v>
      </c>
      <c r="S741" s="6" t="s">
        <v>23</v>
      </c>
      <c r="T741" s="6" t="s">
        <v>8614</v>
      </c>
      <c r="U741" s="6" t="s">
        <v>3394</v>
      </c>
      <c r="V741" s="6" t="s">
        <v>8615</v>
      </c>
      <c r="W741" s="6" t="s">
        <v>3467</v>
      </c>
      <c r="X741" s="6" t="s">
        <v>85</v>
      </c>
      <c r="Y741" s="6" t="s">
        <v>3141</v>
      </c>
      <c r="Z741" s="6" t="s">
        <v>78</v>
      </c>
      <c r="AA741" s="6" t="s">
        <v>3847</v>
      </c>
      <c r="AB741" s="6"/>
      <c r="AC741" s="6" t="s">
        <v>3141</v>
      </c>
      <c r="AD741" s="6" t="s">
        <v>3152</v>
      </c>
      <c r="AE741" s="6" t="s">
        <v>3318</v>
      </c>
      <c r="AF741" s="6" t="s">
        <v>8616</v>
      </c>
      <c r="AG741" s="6" t="s">
        <v>8617</v>
      </c>
      <c r="AH741" s="6" t="s">
        <v>79</v>
      </c>
    </row>
    <row r="742" spans="1:34" x14ac:dyDescent="0.25">
      <c r="A742" s="6" t="s">
        <v>2388</v>
      </c>
      <c r="B742" s="6" t="s">
        <v>224</v>
      </c>
      <c r="C742" s="6" t="s">
        <v>2389</v>
      </c>
      <c r="D742" s="6" t="s">
        <v>2390</v>
      </c>
      <c r="E742" s="6" t="s">
        <v>3722</v>
      </c>
      <c r="F742" s="6" t="s">
        <v>3201</v>
      </c>
      <c r="G742" s="6" t="s">
        <v>90</v>
      </c>
      <c r="H742" s="6" t="s">
        <v>132</v>
      </c>
      <c r="I742" s="6" t="s">
        <v>92</v>
      </c>
      <c r="J742" s="6" t="s">
        <v>8618</v>
      </c>
      <c r="K742" s="6" t="s">
        <v>3141</v>
      </c>
      <c r="L742" s="6" t="s">
        <v>3143</v>
      </c>
      <c r="M742" s="6" t="s">
        <v>3243</v>
      </c>
      <c r="N742" s="6" t="s">
        <v>3152</v>
      </c>
      <c r="O742" s="6" t="s">
        <v>3152</v>
      </c>
      <c r="P742" s="6" t="s">
        <v>8619</v>
      </c>
      <c r="Q742" s="6" t="s">
        <v>8620</v>
      </c>
      <c r="R742" s="6" t="s">
        <v>8621</v>
      </c>
      <c r="S742" s="6" t="s">
        <v>20</v>
      </c>
      <c r="T742" s="6"/>
      <c r="U742" s="6" t="s">
        <v>3159</v>
      </c>
      <c r="V742" s="6" t="s">
        <v>8622</v>
      </c>
      <c r="W742" s="6" t="s">
        <v>4919</v>
      </c>
      <c r="X742" s="6" t="s">
        <v>77</v>
      </c>
      <c r="Y742" s="6" t="s">
        <v>3159</v>
      </c>
      <c r="Z742" s="6" t="s">
        <v>78</v>
      </c>
      <c r="AA742" s="6" t="s">
        <v>3987</v>
      </c>
      <c r="AB742" s="6"/>
      <c r="AC742" s="6" t="s">
        <v>3159</v>
      </c>
      <c r="AD742" s="6" t="s">
        <v>3141</v>
      </c>
      <c r="AE742" s="6" t="s">
        <v>3136</v>
      </c>
      <c r="AF742" s="6"/>
      <c r="AG742" s="6" t="s">
        <v>8623</v>
      </c>
      <c r="AH742" s="6" t="s">
        <v>79</v>
      </c>
    </row>
    <row r="743" spans="1:34" x14ac:dyDescent="0.25">
      <c r="A743" s="6" t="s">
        <v>2391</v>
      </c>
      <c r="B743" s="6" t="s">
        <v>2392</v>
      </c>
      <c r="C743" s="6"/>
      <c r="D743" s="6" t="s">
        <v>8624</v>
      </c>
      <c r="E743" s="6" t="s">
        <v>4358</v>
      </c>
      <c r="F743" s="6" t="s">
        <v>3214</v>
      </c>
      <c r="G743" s="6" t="s">
        <v>90</v>
      </c>
      <c r="H743" s="6" t="s">
        <v>132</v>
      </c>
      <c r="I743" s="6" t="s">
        <v>92</v>
      </c>
      <c r="J743" s="6" t="s">
        <v>8625</v>
      </c>
      <c r="K743" s="6" t="s">
        <v>3159</v>
      </c>
      <c r="L743" s="6" t="s">
        <v>3196</v>
      </c>
      <c r="M743" s="6" t="s">
        <v>3141</v>
      </c>
      <c r="N743" s="6" t="s">
        <v>3141</v>
      </c>
      <c r="O743" s="6" t="s">
        <v>3152</v>
      </c>
      <c r="P743" s="6" t="s">
        <v>8626</v>
      </c>
      <c r="Q743" s="6" t="s">
        <v>8627</v>
      </c>
      <c r="R743" s="6" t="s">
        <v>8628</v>
      </c>
      <c r="S743" s="6" t="s">
        <v>21</v>
      </c>
      <c r="T743" s="6" t="s">
        <v>8629</v>
      </c>
      <c r="U743" s="6" t="s">
        <v>3141</v>
      </c>
      <c r="V743" s="6" t="s">
        <v>7944</v>
      </c>
      <c r="W743" s="6" t="s">
        <v>3262</v>
      </c>
      <c r="X743" s="6" t="s">
        <v>77</v>
      </c>
      <c r="Y743" s="6" t="s">
        <v>3141</v>
      </c>
      <c r="Z743" s="6" t="s">
        <v>93</v>
      </c>
      <c r="AA743" s="6" t="s">
        <v>8630</v>
      </c>
      <c r="AB743" s="6"/>
      <c r="AC743" s="6" t="s">
        <v>3141</v>
      </c>
      <c r="AD743" s="6" t="s">
        <v>3160</v>
      </c>
      <c r="AE743" s="6" t="s">
        <v>3235</v>
      </c>
      <c r="AF743" s="6"/>
      <c r="AG743" s="6" t="s">
        <v>8631</v>
      </c>
      <c r="AH743" s="6" t="s">
        <v>79</v>
      </c>
    </row>
    <row r="744" spans="1:34" x14ac:dyDescent="0.25">
      <c r="A744" s="6" t="s">
        <v>2394</v>
      </c>
      <c r="B744" s="6" t="s">
        <v>2395</v>
      </c>
      <c r="C744" s="6" t="s">
        <v>2396</v>
      </c>
      <c r="D744" s="6" t="s">
        <v>8632</v>
      </c>
      <c r="E744" s="6" t="s">
        <v>3323</v>
      </c>
      <c r="F744" s="6" t="s">
        <v>3201</v>
      </c>
      <c r="G744" s="6" t="s">
        <v>131</v>
      </c>
      <c r="H744" s="6" t="s">
        <v>132</v>
      </c>
      <c r="I744" s="6" t="s">
        <v>92</v>
      </c>
      <c r="J744" s="6" t="s">
        <v>8633</v>
      </c>
      <c r="K744" s="6" t="s">
        <v>3140</v>
      </c>
      <c r="L744" s="6" t="s">
        <v>3188</v>
      </c>
      <c r="M744" s="6" t="s">
        <v>3159</v>
      </c>
      <c r="N744" s="6" t="s">
        <v>3243</v>
      </c>
      <c r="O744" s="6" t="s">
        <v>75</v>
      </c>
      <c r="P744" s="6" t="s">
        <v>8634</v>
      </c>
      <c r="Q744" s="6" t="s">
        <v>3217</v>
      </c>
      <c r="R744" s="6" t="s">
        <v>8635</v>
      </c>
      <c r="S744" s="6" t="s">
        <v>21</v>
      </c>
      <c r="T744" s="6"/>
      <c r="U744" s="6" t="s">
        <v>3159</v>
      </c>
      <c r="V744" s="6" t="s">
        <v>8636</v>
      </c>
      <c r="W744" s="6" t="s">
        <v>4194</v>
      </c>
      <c r="X744" s="6" t="s">
        <v>77</v>
      </c>
      <c r="Y744" s="6" t="s">
        <v>3292</v>
      </c>
      <c r="Z744" s="6" t="s">
        <v>3664</v>
      </c>
      <c r="AA744" s="6" t="s">
        <v>4108</v>
      </c>
      <c r="AB744" s="6" t="s">
        <v>8637</v>
      </c>
      <c r="AC744" s="6" t="s">
        <v>3141</v>
      </c>
      <c r="AD744" s="6" t="s">
        <v>76</v>
      </c>
      <c r="AE744" s="6" t="s">
        <v>3136</v>
      </c>
      <c r="AF744" s="6"/>
      <c r="AG744" s="6" t="s">
        <v>6864</v>
      </c>
      <c r="AH744" s="6" t="s">
        <v>79</v>
      </c>
    </row>
    <row r="745" spans="1:34" x14ac:dyDescent="0.25">
      <c r="A745" s="6" t="s">
        <v>2398</v>
      </c>
      <c r="B745" s="6" t="s">
        <v>1569</v>
      </c>
      <c r="C745" s="6" t="s">
        <v>8638</v>
      </c>
      <c r="D745" s="6" t="s">
        <v>2399</v>
      </c>
      <c r="E745" s="6" t="s">
        <v>3170</v>
      </c>
      <c r="F745" s="6" t="s">
        <v>71</v>
      </c>
      <c r="G745" s="6" t="s">
        <v>127</v>
      </c>
      <c r="H745" s="6" t="s">
        <v>166</v>
      </c>
      <c r="I745" s="6" t="s">
        <v>74</v>
      </c>
      <c r="J745" s="6" t="s">
        <v>3217</v>
      </c>
      <c r="K745" s="6" t="s">
        <v>3140</v>
      </c>
      <c r="L745" s="6" t="s">
        <v>75</v>
      </c>
      <c r="M745" s="6" t="s">
        <v>3141</v>
      </c>
      <c r="N745" s="6" t="s">
        <v>3159</v>
      </c>
      <c r="O745" s="6" t="s">
        <v>76</v>
      </c>
      <c r="P745" s="6" t="s">
        <v>6399</v>
      </c>
      <c r="Q745" s="6" t="s">
        <v>8639</v>
      </c>
      <c r="R745" s="6" t="s">
        <v>8640</v>
      </c>
      <c r="S745" s="6" t="s">
        <v>21</v>
      </c>
      <c r="T745" s="6" t="s">
        <v>8641</v>
      </c>
      <c r="U745" s="6" t="s">
        <v>3159</v>
      </c>
      <c r="V745" s="6" t="s">
        <v>8642</v>
      </c>
      <c r="W745" s="6" t="s">
        <v>4563</v>
      </c>
      <c r="X745" s="6" t="s">
        <v>77</v>
      </c>
      <c r="Y745" s="6" t="s">
        <v>3159</v>
      </c>
      <c r="Z745" s="6" t="s">
        <v>93</v>
      </c>
      <c r="AA745" s="6" t="s">
        <v>3894</v>
      </c>
      <c r="AB745" s="6" t="s">
        <v>8643</v>
      </c>
      <c r="AC745" s="6" t="s">
        <v>3140</v>
      </c>
      <c r="AD745" s="6" t="s">
        <v>75</v>
      </c>
      <c r="AE745" s="6" t="s">
        <v>3293</v>
      </c>
      <c r="AF745" s="6"/>
      <c r="AG745" s="6"/>
      <c r="AH745" s="6" t="s">
        <v>79</v>
      </c>
    </row>
    <row r="746" spans="1:34" x14ac:dyDescent="0.25">
      <c r="A746" s="6" t="s">
        <v>2400</v>
      </c>
      <c r="B746" s="6" t="s">
        <v>2401</v>
      </c>
      <c r="C746" s="6" t="s">
        <v>8644</v>
      </c>
      <c r="D746" s="6" t="s">
        <v>2402</v>
      </c>
      <c r="E746" s="6" t="s">
        <v>3703</v>
      </c>
      <c r="F746" s="6" t="s">
        <v>89</v>
      </c>
      <c r="G746" s="6" t="s">
        <v>226</v>
      </c>
      <c r="H746" s="6" t="s">
        <v>132</v>
      </c>
      <c r="I746" s="6" t="s">
        <v>92</v>
      </c>
      <c r="J746" s="6" t="s">
        <v>8645</v>
      </c>
      <c r="K746" s="6" t="s">
        <v>3159</v>
      </c>
      <c r="L746" s="6" t="s">
        <v>3243</v>
      </c>
      <c r="M746" s="6" t="s">
        <v>3142</v>
      </c>
      <c r="N746" s="6" t="s">
        <v>3141</v>
      </c>
      <c r="O746" s="6" t="s">
        <v>3160</v>
      </c>
      <c r="P746" s="6" t="s">
        <v>8646</v>
      </c>
      <c r="Q746" s="6"/>
      <c r="R746" s="6" t="s">
        <v>8647</v>
      </c>
      <c r="S746" s="6" t="s">
        <v>5782</v>
      </c>
      <c r="T746" s="6" t="s">
        <v>8648</v>
      </c>
      <c r="U746" s="6" t="s">
        <v>3141</v>
      </c>
      <c r="V746" s="6" t="s">
        <v>3953</v>
      </c>
      <c r="W746" s="6" t="s">
        <v>4398</v>
      </c>
      <c r="X746" s="6" t="s">
        <v>77</v>
      </c>
      <c r="Y746" s="6" t="s">
        <v>3159</v>
      </c>
      <c r="Z746" s="6" t="s">
        <v>93</v>
      </c>
      <c r="AA746" s="6" t="s">
        <v>3550</v>
      </c>
      <c r="AB746" s="6" t="s">
        <v>8649</v>
      </c>
      <c r="AC746" s="6" t="s">
        <v>3141</v>
      </c>
      <c r="AD746" s="6" t="s">
        <v>75</v>
      </c>
      <c r="AE746" s="6" t="s">
        <v>3235</v>
      </c>
      <c r="AF746" s="6" t="s">
        <v>8650</v>
      </c>
      <c r="AG746" s="6" t="s">
        <v>7398</v>
      </c>
      <c r="AH746" s="6" t="s">
        <v>79</v>
      </c>
    </row>
    <row r="747" spans="1:34" x14ac:dyDescent="0.25">
      <c r="A747" s="6" t="s">
        <v>2403</v>
      </c>
      <c r="B747" s="6" t="s">
        <v>2404</v>
      </c>
      <c r="C747" s="6" t="s">
        <v>8651</v>
      </c>
      <c r="D747" s="6" t="s">
        <v>8652</v>
      </c>
      <c r="E747" s="6" t="s">
        <v>3471</v>
      </c>
      <c r="F747" s="6" t="s">
        <v>3201</v>
      </c>
      <c r="G747" s="6" t="s">
        <v>153</v>
      </c>
      <c r="H747" s="6" t="s">
        <v>84</v>
      </c>
      <c r="I747" s="6" t="s">
        <v>74</v>
      </c>
      <c r="J747" s="6"/>
      <c r="K747" s="6" t="s">
        <v>3159</v>
      </c>
      <c r="L747" s="6" t="s">
        <v>3143</v>
      </c>
      <c r="M747" s="6" t="s">
        <v>3196</v>
      </c>
      <c r="N747" s="6" t="s">
        <v>3143</v>
      </c>
      <c r="O747" s="6" t="s">
        <v>3243</v>
      </c>
      <c r="P747" s="6" t="s">
        <v>5077</v>
      </c>
      <c r="Q747" s="6" t="s">
        <v>3217</v>
      </c>
      <c r="R747" s="6" t="s">
        <v>8653</v>
      </c>
      <c r="S747" s="6" t="s">
        <v>20</v>
      </c>
      <c r="T747" s="6" t="s">
        <v>8654</v>
      </c>
      <c r="U747" s="6" t="s">
        <v>3275</v>
      </c>
      <c r="V747" s="6" t="s">
        <v>8655</v>
      </c>
      <c r="W747" s="6" t="s">
        <v>3478</v>
      </c>
      <c r="X747" s="6" t="s">
        <v>85</v>
      </c>
      <c r="Y747" s="6" t="s">
        <v>3159</v>
      </c>
      <c r="Z747" s="6" t="s">
        <v>93</v>
      </c>
      <c r="AA747" s="6" t="s">
        <v>3532</v>
      </c>
      <c r="AB747" s="6" t="s">
        <v>8656</v>
      </c>
      <c r="AC747" s="6" t="s">
        <v>3159</v>
      </c>
      <c r="AD747" s="6" t="s">
        <v>75</v>
      </c>
      <c r="AE747" s="6" t="s">
        <v>3136</v>
      </c>
      <c r="AF747" s="6"/>
      <c r="AG747" s="6" t="s">
        <v>4540</v>
      </c>
      <c r="AH747" s="6" t="s">
        <v>79</v>
      </c>
    </row>
    <row r="748" spans="1:34" x14ac:dyDescent="0.25">
      <c r="A748" s="6" t="s">
        <v>2406</v>
      </c>
      <c r="B748" s="6" t="s">
        <v>2407</v>
      </c>
      <c r="C748" s="6" t="s">
        <v>2408</v>
      </c>
      <c r="D748" s="6" t="s">
        <v>8657</v>
      </c>
      <c r="E748" s="6"/>
      <c r="F748" s="6" t="s">
        <v>89</v>
      </c>
      <c r="G748" s="6" t="s">
        <v>388</v>
      </c>
      <c r="H748" s="6" t="s">
        <v>132</v>
      </c>
      <c r="I748" s="6" t="s">
        <v>92</v>
      </c>
      <c r="J748" s="6" t="s">
        <v>8658</v>
      </c>
      <c r="K748" s="6" t="s">
        <v>3140</v>
      </c>
      <c r="L748" s="6" t="s">
        <v>3160</v>
      </c>
      <c r="M748" s="6" t="s">
        <v>3152</v>
      </c>
      <c r="N748" s="6" t="s">
        <v>3159</v>
      </c>
      <c r="O748" s="6" t="s">
        <v>3188</v>
      </c>
      <c r="P748" s="6" t="s">
        <v>8659</v>
      </c>
      <c r="Q748" s="6" t="s">
        <v>8660</v>
      </c>
      <c r="R748" s="6" t="s">
        <v>8661</v>
      </c>
      <c r="S748" s="6" t="s">
        <v>23</v>
      </c>
      <c r="T748" s="6" t="s">
        <v>8662</v>
      </c>
      <c r="U748" s="6" t="s">
        <v>3141</v>
      </c>
      <c r="V748" s="6" t="s">
        <v>4440</v>
      </c>
      <c r="W748" s="6" t="s">
        <v>4108</v>
      </c>
      <c r="X748" s="6" t="s">
        <v>77</v>
      </c>
      <c r="Y748" s="6" t="s">
        <v>3292</v>
      </c>
      <c r="Z748" s="6" t="s">
        <v>93</v>
      </c>
      <c r="AA748" s="6" t="s">
        <v>3195</v>
      </c>
      <c r="AB748" s="6" t="s">
        <v>8663</v>
      </c>
      <c r="AC748" s="6" t="s">
        <v>3141</v>
      </c>
      <c r="AD748" s="6" t="s">
        <v>3160</v>
      </c>
      <c r="AE748" s="6" t="s">
        <v>3318</v>
      </c>
      <c r="AF748" s="6" t="s">
        <v>8664</v>
      </c>
      <c r="AG748" s="6" t="s">
        <v>6054</v>
      </c>
      <c r="AH748" s="6" t="s">
        <v>79</v>
      </c>
    </row>
    <row r="749" spans="1:34" x14ac:dyDescent="0.25">
      <c r="A749" s="6" t="s">
        <v>2410</v>
      </c>
      <c r="B749" s="6" t="s">
        <v>2411</v>
      </c>
      <c r="C749" s="6" t="s">
        <v>2412</v>
      </c>
      <c r="D749" s="6" t="s">
        <v>8665</v>
      </c>
      <c r="E749" s="6" t="s">
        <v>3279</v>
      </c>
      <c r="F749" s="6" t="s">
        <v>3137</v>
      </c>
      <c r="G749" s="6" t="s">
        <v>72</v>
      </c>
      <c r="H749" s="6" t="s">
        <v>91</v>
      </c>
      <c r="I749" s="6" t="s">
        <v>92</v>
      </c>
      <c r="J749" s="6" t="s">
        <v>8666</v>
      </c>
      <c r="K749" s="6" t="s">
        <v>3141</v>
      </c>
      <c r="L749" s="6" t="s">
        <v>3243</v>
      </c>
      <c r="M749" s="6" t="s">
        <v>75</v>
      </c>
      <c r="N749" s="6" t="s">
        <v>3143</v>
      </c>
      <c r="O749" s="6" t="s">
        <v>3141</v>
      </c>
      <c r="P749" s="6" t="s">
        <v>7711</v>
      </c>
      <c r="Q749" s="6" t="s">
        <v>8667</v>
      </c>
      <c r="R749" s="6" t="s">
        <v>8668</v>
      </c>
      <c r="S749" s="6" t="s">
        <v>23</v>
      </c>
      <c r="T749" s="6" t="s">
        <v>8669</v>
      </c>
      <c r="U749" s="6" t="s">
        <v>3159</v>
      </c>
      <c r="V749" s="6" t="s">
        <v>8670</v>
      </c>
      <c r="W749" s="6" t="s">
        <v>3467</v>
      </c>
      <c r="X749" s="6" t="s">
        <v>77</v>
      </c>
      <c r="Y749" s="6" t="s">
        <v>3140</v>
      </c>
      <c r="Z749" s="6" t="s">
        <v>194</v>
      </c>
      <c r="AA749" s="6" t="s">
        <v>3262</v>
      </c>
      <c r="AB749" s="6"/>
      <c r="AC749" s="6" t="s">
        <v>3159</v>
      </c>
      <c r="AD749" s="6" t="s">
        <v>3160</v>
      </c>
      <c r="AE749" s="6" t="s">
        <v>3513</v>
      </c>
      <c r="AF749" s="6" t="s">
        <v>8671</v>
      </c>
      <c r="AG749" s="6" t="s">
        <v>8672</v>
      </c>
      <c r="AH749" s="6" t="s">
        <v>94</v>
      </c>
    </row>
    <row r="750" spans="1:34" x14ac:dyDescent="0.25">
      <c r="A750" s="6" t="s">
        <v>2414</v>
      </c>
      <c r="B750" s="6" t="s">
        <v>2415</v>
      </c>
      <c r="C750" s="6" t="s">
        <v>8673</v>
      </c>
      <c r="D750" s="6"/>
      <c r="E750" s="6" t="s">
        <v>3157</v>
      </c>
      <c r="F750" s="6" t="s">
        <v>3358</v>
      </c>
      <c r="G750" s="6" t="s">
        <v>388</v>
      </c>
      <c r="H750" s="6" t="s">
        <v>84</v>
      </c>
      <c r="I750" s="6" t="s">
        <v>74</v>
      </c>
      <c r="J750" s="6"/>
      <c r="K750" s="6" t="s">
        <v>3159</v>
      </c>
      <c r="L750" s="6" t="s">
        <v>3173</v>
      </c>
      <c r="M750" s="6" t="s">
        <v>3160</v>
      </c>
      <c r="N750" s="6" t="s">
        <v>3160</v>
      </c>
      <c r="O750" s="6" t="s">
        <v>3143</v>
      </c>
      <c r="P750" s="6" t="s">
        <v>8474</v>
      </c>
      <c r="Q750" s="6" t="s">
        <v>8674</v>
      </c>
      <c r="R750" s="6" t="s">
        <v>8675</v>
      </c>
      <c r="S750" s="6" t="s">
        <v>22</v>
      </c>
      <c r="T750" s="6" t="s">
        <v>8676</v>
      </c>
      <c r="U750" s="6" t="s">
        <v>3141</v>
      </c>
      <c r="V750" s="6" t="s">
        <v>8677</v>
      </c>
      <c r="W750" s="6" t="s">
        <v>3587</v>
      </c>
      <c r="X750" s="6" t="s">
        <v>77</v>
      </c>
      <c r="Y750" s="6" t="s">
        <v>3159</v>
      </c>
      <c r="Z750" s="6" t="s">
        <v>93</v>
      </c>
      <c r="AA750" s="6" t="s">
        <v>3149</v>
      </c>
      <c r="AB750" s="6"/>
      <c r="AC750" s="6" t="s">
        <v>3140</v>
      </c>
      <c r="AD750" s="6" t="s">
        <v>75</v>
      </c>
      <c r="AE750" s="6" t="s">
        <v>3323</v>
      </c>
      <c r="AF750" s="6" t="s">
        <v>8678</v>
      </c>
      <c r="AG750" s="6" t="s">
        <v>8679</v>
      </c>
      <c r="AH750" s="6" t="s">
        <v>3334</v>
      </c>
    </row>
    <row r="751" spans="1:34" x14ac:dyDescent="0.25">
      <c r="A751" s="6" t="s">
        <v>2416</v>
      </c>
      <c r="B751" s="6" t="s">
        <v>2417</v>
      </c>
      <c r="C751" s="6" t="s">
        <v>8680</v>
      </c>
      <c r="D751" s="6" t="s">
        <v>8681</v>
      </c>
      <c r="E751" s="6" t="s">
        <v>3357</v>
      </c>
      <c r="F751" s="6" t="s">
        <v>89</v>
      </c>
      <c r="G751" s="6" t="s">
        <v>3255</v>
      </c>
      <c r="H751" s="6" t="s">
        <v>99</v>
      </c>
      <c r="I751" s="6" t="s">
        <v>74</v>
      </c>
      <c r="J751" s="6" t="s">
        <v>8682</v>
      </c>
      <c r="K751" s="6" t="s">
        <v>3140</v>
      </c>
      <c r="L751" s="6" t="s">
        <v>3196</v>
      </c>
      <c r="M751" s="6" t="s">
        <v>3142</v>
      </c>
      <c r="N751" s="6" t="s">
        <v>3152</v>
      </c>
      <c r="O751" s="6" t="s">
        <v>3143</v>
      </c>
      <c r="P751" s="6" t="s">
        <v>7074</v>
      </c>
      <c r="Q751" s="6"/>
      <c r="R751" s="6" t="s">
        <v>8683</v>
      </c>
      <c r="S751" s="6" t="s">
        <v>7464</v>
      </c>
      <c r="T751" s="6" t="s">
        <v>8684</v>
      </c>
      <c r="U751" s="6" t="s">
        <v>3159</v>
      </c>
      <c r="V751" s="6" t="s">
        <v>5521</v>
      </c>
      <c r="W751" s="6" t="s">
        <v>4918</v>
      </c>
      <c r="X751" s="6" t="s">
        <v>85</v>
      </c>
      <c r="Y751" s="6" t="s">
        <v>3140</v>
      </c>
      <c r="Z751" s="6" t="s">
        <v>78</v>
      </c>
      <c r="AA751" s="6" t="s">
        <v>3987</v>
      </c>
      <c r="AB751" s="6" t="s">
        <v>8685</v>
      </c>
      <c r="AC751" s="6" t="s">
        <v>3141</v>
      </c>
      <c r="AD751" s="6" t="s">
        <v>3160</v>
      </c>
      <c r="AE751" s="6" t="s">
        <v>3235</v>
      </c>
      <c r="AF751" s="6" t="s">
        <v>8686</v>
      </c>
      <c r="AG751" s="6" t="s">
        <v>8687</v>
      </c>
      <c r="AH751" s="6" t="s">
        <v>79</v>
      </c>
    </row>
    <row r="752" spans="1:34" x14ac:dyDescent="0.25">
      <c r="A752" s="6" t="s">
        <v>2419</v>
      </c>
      <c r="B752" s="6" t="s">
        <v>2420</v>
      </c>
      <c r="C752" s="6"/>
      <c r="D752" s="6"/>
      <c r="E752" s="6" t="s">
        <v>3786</v>
      </c>
      <c r="F752" s="6" t="s">
        <v>3283</v>
      </c>
      <c r="G752" s="6" t="s">
        <v>5150</v>
      </c>
      <c r="H752" s="6" t="s">
        <v>166</v>
      </c>
      <c r="I752" s="6" t="s">
        <v>74</v>
      </c>
      <c r="J752" s="6"/>
      <c r="K752" s="6" t="s">
        <v>3140</v>
      </c>
      <c r="L752" s="6" t="s">
        <v>3173</v>
      </c>
      <c r="M752" s="6" t="s">
        <v>3152</v>
      </c>
      <c r="N752" s="6" t="s">
        <v>3143</v>
      </c>
      <c r="O752" s="6" t="s">
        <v>76</v>
      </c>
      <c r="P752" s="6" t="s">
        <v>5443</v>
      </c>
      <c r="Q752" s="6" t="s">
        <v>8688</v>
      </c>
      <c r="R752" s="6" t="s">
        <v>8689</v>
      </c>
      <c r="S752" s="6" t="s">
        <v>22</v>
      </c>
      <c r="T752" s="6"/>
      <c r="U752" s="6" t="s">
        <v>3140</v>
      </c>
      <c r="V752" s="6" t="s">
        <v>8062</v>
      </c>
      <c r="W752" s="6" t="s">
        <v>4217</v>
      </c>
      <c r="X752" s="6" t="s">
        <v>3290</v>
      </c>
      <c r="Y752" s="6" t="s">
        <v>3141</v>
      </c>
      <c r="Z752" s="6" t="s">
        <v>93</v>
      </c>
      <c r="AA752" s="6" t="s">
        <v>5064</v>
      </c>
      <c r="AB752" s="6"/>
      <c r="AC752" s="6" t="s">
        <v>3140</v>
      </c>
      <c r="AD752" s="6" t="s">
        <v>3159</v>
      </c>
      <c r="AE752" s="6" t="s">
        <v>3235</v>
      </c>
      <c r="AF752" s="6" t="s">
        <v>8690</v>
      </c>
      <c r="AG752" s="6"/>
      <c r="AH752" s="6" t="s">
        <v>79</v>
      </c>
    </row>
    <row r="753" spans="1:34" x14ac:dyDescent="0.25">
      <c r="A753" s="6" t="s">
        <v>2421</v>
      </c>
      <c r="B753" s="6" t="s">
        <v>208</v>
      </c>
      <c r="C753" s="6" t="s">
        <v>8691</v>
      </c>
      <c r="D753" s="6" t="s">
        <v>2422</v>
      </c>
      <c r="E753" s="6" t="s">
        <v>4025</v>
      </c>
      <c r="F753" s="6" t="s">
        <v>3283</v>
      </c>
      <c r="G753" s="6" t="s">
        <v>6816</v>
      </c>
      <c r="H753" s="6" t="s">
        <v>99</v>
      </c>
      <c r="I753" s="6" t="s">
        <v>74</v>
      </c>
      <c r="J753" s="6"/>
      <c r="K753" s="6" t="s">
        <v>3159</v>
      </c>
      <c r="L753" s="6" t="s">
        <v>3173</v>
      </c>
      <c r="M753" s="6" t="s">
        <v>3160</v>
      </c>
      <c r="N753" s="6" t="s">
        <v>3243</v>
      </c>
      <c r="O753" s="6" t="s">
        <v>75</v>
      </c>
      <c r="P753" s="6" t="s">
        <v>5151</v>
      </c>
      <c r="Q753" s="6" t="s">
        <v>8692</v>
      </c>
      <c r="R753" s="6" t="s">
        <v>8693</v>
      </c>
      <c r="S753" s="6" t="s">
        <v>20</v>
      </c>
      <c r="T753" s="6" t="s">
        <v>8694</v>
      </c>
      <c r="U753" s="6" t="s">
        <v>3141</v>
      </c>
      <c r="V753" s="6" t="s">
        <v>7362</v>
      </c>
      <c r="W753" s="6" t="s">
        <v>4059</v>
      </c>
      <c r="X753" s="6" t="s">
        <v>85</v>
      </c>
      <c r="Y753" s="6" t="s">
        <v>3140</v>
      </c>
      <c r="Z753" s="6" t="s">
        <v>78</v>
      </c>
      <c r="AA753" s="6" t="s">
        <v>5806</v>
      </c>
      <c r="AB753" s="6"/>
      <c r="AC753" s="6" t="s">
        <v>3141</v>
      </c>
      <c r="AD753" s="6" t="s">
        <v>3243</v>
      </c>
      <c r="AE753" s="6" t="s">
        <v>3235</v>
      </c>
      <c r="AF753" s="6"/>
      <c r="AG753" s="6" t="s">
        <v>7926</v>
      </c>
      <c r="AH753" s="6" t="s">
        <v>79</v>
      </c>
    </row>
    <row r="754" spans="1:34" x14ac:dyDescent="0.25">
      <c r="A754" s="6" t="s">
        <v>2423</v>
      </c>
      <c r="B754" s="6" t="s">
        <v>2424</v>
      </c>
      <c r="C754" s="6" t="s">
        <v>2425</v>
      </c>
      <c r="D754" s="6" t="s">
        <v>2426</v>
      </c>
      <c r="E754" s="6" t="s">
        <v>3200</v>
      </c>
      <c r="F754" s="6" t="s">
        <v>3369</v>
      </c>
      <c r="G754" s="6" t="s">
        <v>115</v>
      </c>
      <c r="H754" s="6" t="s">
        <v>107</v>
      </c>
      <c r="I754" s="6" t="s">
        <v>92</v>
      </c>
      <c r="J754" s="6" t="s">
        <v>8695</v>
      </c>
      <c r="K754" s="6" t="s">
        <v>3159</v>
      </c>
      <c r="L754" s="6" t="s">
        <v>75</v>
      </c>
      <c r="M754" s="6" t="s">
        <v>3152</v>
      </c>
      <c r="N754" s="6" t="s">
        <v>3159</v>
      </c>
      <c r="O754" s="6" t="s">
        <v>3141</v>
      </c>
      <c r="P754" s="6" t="s">
        <v>8696</v>
      </c>
      <c r="Q754" s="6"/>
      <c r="R754" s="6" t="s">
        <v>8697</v>
      </c>
      <c r="S754" s="6" t="s">
        <v>22</v>
      </c>
      <c r="T754" s="6" t="s">
        <v>8698</v>
      </c>
      <c r="U754" s="6" t="s">
        <v>3141</v>
      </c>
      <c r="V754" s="6" t="s">
        <v>8699</v>
      </c>
      <c r="W754" s="6" t="s">
        <v>3718</v>
      </c>
      <c r="X754" s="6" t="s">
        <v>85</v>
      </c>
      <c r="Y754" s="6" t="s">
        <v>3140</v>
      </c>
      <c r="Z754" s="6" t="s">
        <v>3664</v>
      </c>
      <c r="AA754" s="6" t="s">
        <v>4718</v>
      </c>
      <c r="AB754" s="6" t="s">
        <v>8700</v>
      </c>
      <c r="AC754" s="6" t="s">
        <v>3292</v>
      </c>
      <c r="AD754" s="6" t="s">
        <v>3143</v>
      </c>
      <c r="AE754" s="6" t="s">
        <v>3323</v>
      </c>
      <c r="AF754" s="6" t="s">
        <v>8701</v>
      </c>
      <c r="AG754" s="6" t="s">
        <v>8407</v>
      </c>
      <c r="AH754" s="6" t="s">
        <v>79</v>
      </c>
    </row>
    <row r="755" spans="1:34" x14ac:dyDescent="0.25">
      <c r="A755" s="6" t="s">
        <v>2427</v>
      </c>
      <c r="B755" s="6" t="s">
        <v>2428</v>
      </c>
      <c r="C755" s="6" t="s">
        <v>8702</v>
      </c>
      <c r="D755" s="6" t="s">
        <v>2429</v>
      </c>
      <c r="E755" s="6" t="s">
        <v>3703</v>
      </c>
      <c r="F755" s="6" t="s">
        <v>71</v>
      </c>
      <c r="G755" s="6" t="s">
        <v>6189</v>
      </c>
      <c r="H755" s="6" t="s">
        <v>166</v>
      </c>
      <c r="I755" s="6" t="s">
        <v>74</v>
      </c>
      <c r="J755" s="6"/>
      <c r="K755" s="6" t="s">
        <v>3140</v>
      </c>
      <c r="L755" s="6" t="s">
        <v>75</v>
      </c>
      <c r="M755" s="6" t="s">
        <v>3188</v>
      </c>
      <c r="N755" s="6" t="s">
        <v>3173</v>
      </c>
      <c r="O755" s="6" t="s">
        <v>3143</v>
      </c>
      <c r="P755" s="6" t="s">
        <v>4754</v>
      </c>
      <c r="Q755" s="6"/>
      <c r="R755" s="6" t="s">
        <v>8703</v>
      </c>
      <c r="S755" s="6" t="s">
        <v>22</v>
      </c>
      <c r="T755" s="6" t="s">
        <v>8704</v>
      </c>
      <c r="U755" s="6" t="s">
        <v>3159</v>
      </c>
      <c r="V755" s="6" t="s">
        <v>6245</v>
      </c>
      <c r="W755" s="6" t="s">
        <v>3477</v>
      </c>
      <c r="X755" s="6" t="s">
        <v>3290</v>
      </c>
      <c r="Y755" s="6" t="s">
        <v>3292</v>
      </c>
      <c r="Z755" s="6" t="s">
        <v>78</v>
      </c>
      <c r="AA755" s="6" t="s">
        <v>3683</v>
      </c>
      <c r="AB755" s="6" t="s">
        <v>8705</v>
      </c>
      <c r="AC755" s="6" t="s">
        <v>3141</v>
      </c>
      <c r="AD755" s="6" t="s">
        <v>3160</v>
      </c>
      <c r="AE755" s="6" t="s">
        <v>3622</v>
      </c>
      <c r="AF755" s="6" t="s">
        <v>8706</v>
      </c>
      <c r="AG755" s="6" t="s">
        <v>8707</v>
      </c>
      <c r="AH755" s="6" t="s">
        <v>3494</v>
      </c>
    </row>
    <row r="756" spans="1:34" x14ac:dyDescent="0.25">
      <c r="A756" s="6" t="s">
        <v>2430</v>
      </c>
      <c r="B756" s="6" t="s">
        <v>8708</v>
      </c>
      <c r="C756" s="6" t="s">
        <v>8709</v>
      </c>
      <c r="D756" s="6"/>
      <c r="E756" s="6" t="s">
        <v>3226</v>
      </c>
      <c r="F756" s="6" t="s">
        <v>3227</v>
      </c>
      <c r="G756" s="6" t="s">
        <v>3255</v>
      </c>
      <c r="H756" s="6" t="s">
        <v>144</v>
      </c>
      <c r="I756" s="6" t="s">
        <v>92</v>
      </c>
      <c r="J756" s="6" t="s">
        <v>8710</v>
      </c>
      <c r="K756" s="6" t="s">
        <v>3141</v>
      </c>
      <c r="L756" s="6" t="s">
        <v>3160</v>
      </c>
      <c r="M756" s="6" t="s">
        <v>75</v>
      </c>
      <c r="N756" s="6" t="s">
        <v>75</v>
      </c>
      <c r="O756" s="6" t="s">
        <v>3160</v>
      </c>
      <c r="P756" s="6" t="s">
        <v>4697</v>
      </c>
      <c r="Q756" s="6" t="s">
        <v>8711</v>
      </c>
      <c r="R756" s="6" t="s">
        <v>8712</v>
      </c>
      <c r="S756" s="6" t="s">
        <v>21</v>
      </c>
      <c r="T756" s="6" t="s">
        <v>8713</v>
      </c>
      <c r="U756" s="6" t="s">
        <v>3159</v>
      </c>
      <c r="V756" s="6" t="s">
        <v>3682</v>
      </c>
      <c r="W756" s="6" t="s">
        <v>3317</v>
      </c>
      <c r="X756" s="6" t="s">
        <v>85</v>
      </c>
      <c r="Y756" s="6" t="s">
        <v>3140</v>
      </c>
      <c r="Z756" s="6" t="s">
        <v>8714</v>
      </c>
      <c r="AA756" s="6" t="s">
        <v>4563</v>
      </c>
      <c r="AB756" s="6"/>
      <c r="AC756" s="6" t="s">
        <v>3141</v>
      </c>
      <c r="AD756" s="6" t="s">
        <v>3243</v>
      </c>
      <c r="AE756" s="6" t="s">
        <v>3235</v>
      </c>
      <c r="AF756" s="6"/>
      <c r="AG756" s="6" t="s">
        <v>4042</v>
      </c>
      <c r="AH756" s="6" t="s">
        <v>79</v>
      </c>
    </row>
    <row r="757" spans="1:34" x14ac:dyDescent="0.25">
      <c r="A757" s="6" t="s">
        <v>2432</v>
      </c>
      <c r="B757" s="6" t="s">
        <v>1277</v>
      </c>
      <c r="C757" s="6" t="s">
        <v>2433</v>
      </c>
      <c r="D757" s="6"/>
      <c r="E757" s="6" t="s">
        <v>3323</v>
      </c>
      <c r="F757" s="6" t="s">
        <v>3214</v>
      </c>
      <c r="G757" s="6" t="s">
        <v>3370</v>
      </c>
      <c r="H757" s="6" t="s">
        <v>107</v>
      </c>
      <c r="I757" s="6" t="s">
        <v>92</v>
      </c>
      <c r="J757" s="6" t="s">
        <v>8715</v>
      </c>
      <c r="K757" s="6" t="s">
        <v>3140</v>
      </c>
      <c r="L757" s="6" t="s">
        <v>3143</v>
      </c>
      <c r="M757" s="6" t="s">
        <v>3159</v>
      </c>
      <c r="N757" s="6" t="s">
        <v>3160</v>
      </c>
      <c r="O757" s="6" t="s">
        <v>3196</v>
      </c>
      <c r="P757" s="6" t="s">
        <v>7657</v>
      </c>
      <c r="Q757" s="6" t="s">
        <v>8716</v>
      </c>
      <c r="R757" s="6" t="s">
        <v>8717</v>
      </c>
      <c r="S757" s="6" t="s">
        <v>23</v>
      </c>
      <c r="T757" s="6" t="s">
        <v>8718</v>
      </c>
      <c r="U757" s="6" t="s">
        <v>3141</v>
      </c>
      <c r="V757" s="6" t="s">
        <v>6036</v>
      </c>
      <c r="W757" s="6" t="s">
        <v>3894</v>
      </c>
      <c r="X757" s="6" t="s">
        <v>77</v>
      </c>
      <c r="Y757" s="6" t="s">
        <v>3140</v>
      </c>
      <c r="Z757" s="6" t="s">
        <v>78</v>
      </c>
      <c r="AA757" s="6" t="s">
        <v>4773</v>
      </c>
      <c r="AB757" s="6"/>
      <c r="AC757" s="6" t="s">
        <v>3140</v>
      </c>
      <c r="AD757" s="6" t="s">
        <v>3243</v>
      </c>
      <c r="AE757" s="6" t="s">
        <v>3331</v>
      </c>
      <c r="AF757" s="6" t="s">
        <v>8719</v>
      </c>
      <c r="AG757" s="6" t="s">
        <v>8720</v>
      </c>
      <c r="AH757" s="6" t="s">
        <v>79</v>
      </c>
    </row>
    <row r="758" spans="1:34" x14ac:dyDescent="0.25">
      <c r="A758" s="6" t="s">
        <v>2434</v>
      </c>
      <c r="B758" s="6" t="s">
        <v>1466</v>
      </c>
      <c r="C758" s="6" t="s">
        <v>8721</v>
      </c>
      <c r="D758" s="6" t="s">
        <v>2435</v>
      </c>
      <c r="E758" s="6" t="s">
        <v>3636</v>
      </c>
      <c r="F758" s="6" t="s">
        <v>89</v>
      </c>
      <c r="G758" s="6" t="s">
        <v>174</v>
      </c>
      <c r="H758" s="6" t="s">
        <v>144</v>
      </c>
      <c r="I758" s="6" t="s">
        <v>92</v>
      </c>
      <c r="J758" s="6" t="s">
        <v>8722</v>
      </c>
      <c r="K758" s="6" t="s">
        <v>3159</v>
      </c>
      <c r="L758" s="6" t="s">
        <v>75</v>
      </c>
      <c r="M758" s="6" t="s">
        <v>3143</v>
      </c>
      <c r="N758" s="6" t="s">
        <v>3173</v>
      </c>
      <c r="O758" s="6" t="s">
        <v>3152</v>
      </c>
      <c r="P758" s="6" t="s">
        <v>8141</v>
      </c>
      <c r="Q758" s="6" t="s">
        <v>3217</v>
      </c>
      <c r="R758" s="6" t="s">
        <v>8723</v>
      </c>
      <c r="S758" s="6" t="s">
        <v>20</v>
      </c>
      <c r="T758" s="6"/>
      <c r="U758" s="6" t="s">
        <v>3159</v>
      </c>
      <c r="V758" s="6" t="s">
        <v>8724</v>
      </c>
      <c r="W758" s="6" t="s">
        <v>3683</v>
      </c>
      <c r="X758" s="6" t="s">
        <v>85</v>
      </c>
      <c r="Y758" s="6" t="s">
        <v>3141</v>
      </c>
      <c r="Z758" s="6" t="s">
        <v>93</v>
      </c>
      <c r="AA758" s="6" t="s">
        <v>6950</v>
      </c>
      <c r="AB758" s="6" t="s">
        <v>8725</v>
      </c>
      <c r="AC758" s="6" t="s">
        <v>3159</v>
      </c>
      <c r="AD758" s="6" t="s">
        <v>3188</v>
      </c>
      <c r="AE758" s="6" t="s">
        <v>3235</v>
      </c>
      <c r="AF758" s="6"/>
      <c r="AG758" s="6" t="s">
        <v>4827</v>
      </c>
      <c r="AH758" s="6" t="s">
        <v>79</v>
      </c>
    </row>
    <row r="759" spans="1:34" x14ac:dyDescent="0.25">
      <c r="A759" s="6" t="s">
        <v>2436</v>
      </c>
      <c r="B759" s="6" t="s">
        <v>2437</v>
      </c>
      <c r="C759" s="6"/>
      <c r="D759" s="6" t="s">
        <v>2438</v>
      </c>
      <c r="E759" s="6" t="s">
        <v>3235</v>
      </c>
      <c r="F759" s="6" t="s">
        <v>3201</v>
      </c>
      <c r="G759" s="6" t="s">
        <v>417</v>
      </c>
      <c r="H759" s="6" t="s">
        <v>107</v>
      </c>
      <c r="I759" s="6" t="s">
        <v>92</v>
      </c>
      <c r="J759" s="6" t="s">
        <v>8726</v>
      </c>
      <c r="K759" s="6" t="s">
        <v>3159</v>
      </c>
      <c r="L759" s="6" t="s">
        <v>3160</v>
      </c>
      <c r="M759" s="6" t="s">
        <v>3159</v>
      </c>
      <c r="N759" s="6" t="s">
        <v>3243</v>
      </c>
      <c r="O759" s="6" t="s">
        <v>3143</v>
      </c>
      <c r="P759" s="6" t="s">
        <v>8727</v>
      </c>
      <c r="Q759" s="6" t="s">
        <v>8728</v>
      </c>
      <c r="R759" s="6" t="s">
        <v>8729</v>
      </c>
      <c r="S759" s="6" t="s">
        <v>20</v>
      </c>
      <c r="T759" s="6" t="s">
        <v>8730</v>
      </c>
      <c r="U759" s="6" t="s">
        <v>3192</v>
      </c>
      <c r="V759" s="6" t="s">
        <v>8731</v>
      </c>
      <c r="W759" s="6" t="s">
        <v>4013</v>
      </c>
      <c r="X759" s="6" t="s">
        <v>85</v>
      </c>
      <c r="Y759" s="6" t="s">
        <v>3159</v>
      </c>
      <c r="Z759" s="6" t="s">
        <v>3263</v>
      </c>
      <c r="AA759" s="6" t="s">
        <v>4873</v>
      </c>
      <c r="AB759" s="6"/>
      <c r="AC759" s="6" t="s">
        <v>3141</v>
      </c>
      <c r="AD759" s="6" t="s">
        <v>3152</v>
      </c>
      <c r="AE759" s="6" t="s">
        <v>3293</v>
      </c>
      <c r="AF759" s="6"/>
      <c r="AG759" s="6" t="s">
        <v>6188</v>
      </c>
      <c r="AH759" s="6" t="s">
        <v>79</v>
      </c>
    </row>
    <row r="760" spans="1:34" x14ac:dyDescent="0.25">
      <c r="A760" s="6" t="s">
        <v>2439</v>
      </c>
      <c r="B760" s="6" t="s">
        <v>2440</v>
      </c>
      <c r="C760" s="6" t="s">
        <v>8732</v>
      </c>
      <c r="D760" s="6" t="s">
        <v>2441</v>
      </c>
      <c r="E760" s="6" t="s">
        <v>3240</v>
      </c>
      <c r="F760" s="6" t="s">
        <v>3201</v>
      </c>
      <c r="G760" s="6" t="s">
        <v>83</v>
      </c>
      <c r="H760" s="6" t="s">
        <v>91</v>
      </c>
      <c r="I760" s="6" t="s">
        <v>92</v>
      </c>
      <c r="J760" s="6" t="s">
        <v>8733</v>
      </c>
      <c r="K760" s="6" t="s">
        <v>3159</v>
      </c>
      <c r="L760" s="6" t="s">
        <v>3159</v>
      </c>
      <c r="M760" s="6" t="s">
        <v>3160</v>
      </c>
      <c r="N760" s="6" t="s">
        <v>3160</v>
      </c>
      <c r="O760" s="6" t="s">
        <v>3152</v>
      </c>
      <c r="P760" s="6" t="s">
        <v>8734</v>
      </c>
      <c r="Q760" s="6" t="s">
        <v>8735</v>
      </c>
      <c r="R760" s="6" t="s">
        <v>8736</v>
      </c>
      <c r="S760" s="6" t="s">
        <v>3881</v>
      </c>
      <c r="T760" s="6" t="s">
        <v>8737</v>
      </c>
      <c r="U760" s="6" t="s">
        <v>3141</v>
      </c>
      <c r="V760" s="6" t="s">
        <v>3652</v>
      </c>
      <c r="W760" s="6" t="s">
        <v>3729</v>
      </c>
      <c r="X760" s="6" t="s">
        <v>85</v>
      </c>
      <c r="Y760" s="6" t="s">
        <v>3141</v>
      </c>
      <c r="Z760" s="6" t="s">
        <v>93</v>
      </c>
      <c r="AA760" s="6" t="s">
        <v>3233</v>
      </c>
      <c r="AB760" s="6" t="s">
        <v>8738</v>
      </c>
      <c r="AC760" s="6" t="s">
        <v>3159</v>
      </c>
      <c r="AD760" s="6" t="s">
        <v>3143</v>
      </c>
      <c r="AE760" s="6" t="s">
        <v>3318</v>
      </c>
      <c r="AF760" s="6" t="s">
        <v>8739</v>
      </c>
      <c r="AG760" s="6"/>
      <c r="AH760" s="6" t="s">
        <v>79</v>
      </c>
    </row>
    <row r="761" spans="1:34" x14ac:dyDescent="0.25">
      <c r="A761" s="6" t="s">
        <v>2442</v>
      </c>
      <c r="B761" s="6" t="s">
        <v>8740</v>
      </c>
      <c r="C761" s="6" t="s">
        <v>8741</v>
      </c>
      <c r="D761" s="6" t="s">
        <v>2444</v>
      </c>
      <c r="E761" s="6" t="s">
        <v>3647</v>
      </c>
      <c r="F761" s="6" t="s">
        <v>3201</v>
      </c>
      <c r="G761" s="6" t="s">
        <v>127</v>
      </c>
      <c r="H761" s="6" t="s">
        <v>107</v>
      </c>
      <c r="I761" s="6" t="s">
        <v>92</v>
      </c>
      <c r="J761" s="6" t="s">
        <v>8742</v>
      </c>
      <c r="K761" s="6" t="s">
        <v>3141</v>
      </c>
      <c r="L761" s="6" t="s">
        <v>3160</v>
      </c>
      <c r="M761" s="6" t="s">
        <v>3143</v>
      </c>
      <c r="N761" s="6" t="s">
        <v>3160</v>
      </c>
      <c r="O761" s="6" t="s">
        <v>3143</v>
      </c>
      <c r="P761" s="6" t="s">
        <v>7376</v>
      </c>
      <c r="Q761" s="6" t="s">
        <v>8743</v>
      </c>
      <c r="R761" s="6" t="s">
        <v>8744</v>
      </c>
      <c r="S761" s="6" t="s">
        <v>23</v>
      </c>
      <c r="T761" s="6"/>
      <c r="U761" s="6" t="s">
        <v>3141</v>
      </c>
      <c r="V761" s="6" t="s">
        <v>8745</v>
      </c>
      <c r="W761" s="6" t="s">
        <v>3250</v>
      </c>
      <c r="X761" s="6" t="s">
        <v>85</v>
      </c>
      <c r="Y761" s="6" t="s">
        <v>3159</v>
      </c>
      <c r="Z761" s="6" t="s">
        <v>93</v>
      </c>
      <c r="AA761" s="6" t="s">
        <v>4217</v>
      </c>
      <c r="AB761" s="6" t="s">
        <v>8746</v>
      </c>
      <c r="AC761" s="6" t="s">
        <v>3159</v>
      </c>
      <c r="AD761" s="6" t="s">
        <v>3143</v>
      </c>
      <c r="AE761" s="6" t="s">
        <v>3153</v>
      </c>
      <c r="AF761" s="6" t="s">
        <v>8747</v>
      </c>
      <c r="AG761" s="6" t="s">
        <v>4710</v>
      </c>
      <c r="AH761" s="6" t="s">
        <v>94</v>
      </c>
    </row>
    <row r="762" spans="1:34" x14ac:dyDescent="0.25">
      <c r="A762" s="6" t="s">
        <v>2445</v>
      </c>
      <c r="B762" s="6" t="s">
        <v>2446</v>
      </c>
      <c r="C762" s="6"/>
      <c r="D762" s="6" t="s">
        <v>2447</v>
      </c>
      <c r="E762" s="6" t="s">
        <v>3483</v>
      </c>
      <c r="F762" s="6" t="s">
        <v>3214</v>
      </c>
      <c r="G762" s="6" t="s">
        <v>417</v>
      </c>
      <c r="H762" s="6" t="s">
        <v>144</v>
      </c>
      <c r="I762" s="6" t="s">
        <v>92</v>
      </c>
      <c r="J762" s="6" t="s">
        <v>8748</v>
      </c>
      <c r="K762" s="6" t="s">
        <v>3141</v>
      </c>
      <c r="L762" s="6" t="s">
        <v>3141</v>
      </c>
      <c r="M762" s="6" t="s">
        <v>3243</v>
      </c>
      <c r="N762" s="6" t="s">
        <v>3141</v>
      </c>
      <c r="O762" s="6" t="s">
        <v>75</v>
      </c>
      <c r="P762" s="6" t="s">
        <v>8749</v>
      </c>
      <c r="Q762" s="6" t="s">
        <v>8750</v>
      </c>
      <c r="R762" s="6" t="s">
        <v>8751</v>
      </c>
      <c r="S762" s="6" t="s">
        <v>3671</v>
      </c>
      <c r="T762" s="6" t="s">
        <v>8752</v>
      </c>
      <c r="U762" s="6" t="s">
        <v>3292</v>
      </c>
      <c r="V762" s="6" t="s">
        <v>3839</v>
      </c>
      <c r="W762" s="6" t="s">
        <v>3447</v>
      </c>
      <c r="X762" s="6" t="s">
        <v>77</v>
      </c>
      <c r="Y762" s="6" t="s">
        <v>3292</v>
      </c>
      <c r="Z762" s="6" t="s">
        <v>93</v>
      </c>
      <c r="AA762" s="6" t="s">
        <v>3791</v>
      </c>
      <c r="AB762" s="6" t="s">
        <v>8753</v>
      </c>
      <c r="AC762" s="6" t="s">
        <v>3159</v>
      </c>
      <c r="AD762" s="6" t="s">
        <v>3160</v>
      </c>
      <c r="AE762" s="6" t="s">
        <v>3153</v>
      </c>
      <c r="AF762" s="6" t="s">
        <v>8754</v>
      </c>
      <c r="AG762" s="6" t="s">
        <v>8755</v>
      </c>
      <c r="AH762" s="6" t="s">
        <v>79</v>
      </c>
    </row>
    <row r="763" spans="1:34" x14ac:dyDescent="0.25">
      <c r="A763" s="6" t="s">
        <v>2448</v>
      </c>
      <c r="B763" s="6" t="s">
        <v>2449</v>
      </c>
      <c r="C763" s="6" t="s">
        <v>2450</v>
      </c>
      <c r="D763" s="6" t="s">
        <v>2451</v>
      </c>
      <c r="E763" s="6" t="s">
        <v>3200</v>
      </c>
      <c r="F763" s="6" t="s">
        <v>71</v>
      </c>
      <c r="G763" s="6" t="s">
        <v>314</v>
      </c>
      <c r="H763" s="6" t="s">
        <v>84</v>
      </c>
      <c r="I763" s="6" t="s">
        <v>74</v>
      </c>
      <c r="J763" s="6" t="s">
        <v>8756</v>
      </c>
      <c r="K763" s="6" t="s">
        <v>3159</v>
      </c>
      <c r="L763" s="6" t="s">
        <v>76</v>
      </c>
      <c r="M763" s="6" t="s">
        <v>3143</v>
      </c>
      <c r="N763" s="6" t="s">
        <v>3143</v>
      </c>
      <c r="O763" s="6" t="s">
        <v>75</v>
      </c>
      <c r="P763" s="6" t="s">
        <v>4181</v>
      </c>
      <c r="Q763" s="6" t="s">
        <v>8757</v>
      </c>
      <c r="R763" s="6" t="s">
        <v>8758</v>
      </c>
      <c r="S763" s="6" t="s">
        <v>20</v>
      </c>
      <c r="T763" s="6" t="s">
        <v>8759</v>
      </c>
      <c r="U763" s="6" t="s">
        <v>3192</v>
      </c>
      <c r="V763" s="6" t="s">
        <v>6787</v>
      </c>
      <c r="W763" s="6" t="s">
        <v>3374</v>
      </c>
      <c r="X763" s="6" t="s">
        <v>77</v>
      </c>
      <c r="Y763" s="6" t="s">
        <v>3140</v>
      </c>
      <c r="Z763" s="6" t="s">
        <v>194</v>
      </c>
      <c r="AA763" s="6" t="s">
        <v>3209</v>
      </c>
      <c r="AB763" s="6"/>
      <c r="AC763" s="6" t="s">
        <v>3140</v>
      </c>
      <c r="AD763" s="6" t="s">
        <v>3141</v>
      </c>
      <c r="AE763" s="6" t="s">
        <v>3136</v>
      </c>
      <c r="AF763" s="6"/>
      <c r="AG763" s="6" t="s">
        <v>8760</v>
      </c>
      <c r="AH763" s="6" t="s">
        <v>79</v>
      </c>
    </row>
    <row r="764" spans="1:34" x14ac:dyDescent="0.25">
      <c r="A764" s="6" t="s">
        <v>2452</v>
      </c>
      <c r="B764" s="6" t="s">
        <v>8761</v>
      </c>
      <c r="C764" s="6" t="s">
        <v>2454</v>
      </c>
      <c r="D764" s="6" t="s">
        <v>2455</v>
      </c>
      <c r="E764" s="6" t="s">
        <v>3200</v>
      </c>
      <c r="F764" s="6" t="s">
        <v>3201</v>
      </c>
      <c r="G764" s="6" t="s">
        <v>4329</v>
      </c>
      <c r="H764" s="6" t="s">
        <v>107</v>
      </c>
      <c r="I764" s="6" t="s">
        <v>92</v>
      </c>
      <c r="J764" s="6" t="s">
        <v>3217</v>
      </c>
      <c r="K764" s="6" t="s">
        <v>3159</v>
      </c>
      <c r="L764" s="6" t="s">
        <v>3143</v>
      </c>
      <c r="M764" s="6" t="s">
        <v>3141</v>
      </c>
      <c r="N764" s="6" t="s">
        <v>75</v>
      </c>
      <c r="O764" s="6" t="s">
        <v>3188</v>
      </c>
      <c r="P764" s="6" t="s">
        <v>7933</v>
      </c>
      <c r="Q764" s="6" t="s">
        <v>8762</v>
      </c>
      <c r="R764" s="6" t="s">
        <v>8763</v>
      </c>
      <c r="S764" s="6" t="s">
        <v>22</v>
      </c>
      <c r="T764" s="6"/>
      <c r="U764" s="6" t="s">
        <v>3141</v>
      </c>
      <c r="V764" s="6" t="s">
        <v>8764</v>
      </c>
      <c r="W764" s="6" t="s">
        <v>5064</v>
      </c>
      <c r="X764" s="6" t="s">
        <v>85</v>
      </c>
      <c r="Y764" s="6" t="s">
        <v>3292</v>
      </c>
      <c r="Z764" s="6" t="s">
        <v>78</v>
      </c>
      <c r="AA764" s="6" t="s">
        <v>5571</v>
      </c>
      <c r="AB764" s="6" t="s">
        <v>8765</v>
      </c>
      <c r="AC764" s="6" t="s">
        <v>3159</v>
      </c>
      <c r="AD764" s="6" t="s">
        <v>75</v>
      </c>
      <c r="AE764" s="6" t="s">
        <v>3279</v>
      </c>
      <c r="AF764" s="6" t="s">
        <v>8766</v>
      </c>
      <c r="AG764" s="6" t="s">
        <v>8291</v>
      </c>
      <c r="AH764" s="6" t="s">
        <v>79</v>
      </c>
    </row>
    <row r="765" spans="1:34" x14ac:dyDescent="0.25">
      <c r="A765" s="6" t="s">
        <v>2456</v>
      </c>
      <c r="B765" s="6" t="s">
        <v>1177</v>
      </c>
      <c r="C765" s="6" t="s">
        <v>2457</v>
      </c>
      <c r="D765" s="6" t="s">
        <v>2458</v>
      </c>
      <c r="E765" s="6" t="s">
        <v>3483</v>
      </c>
      <c r="F765" s="6" t="s">
        <v>3137</v>
      </c>
      <c r="G765" s="6" t="s">
        <v>139</v>
      </c>
      <c r="H765" s="6" t="s">
        <v>103</v>
      </c>
      <c r="I765" s="6" t="s">
        <v>74</v>
      </c>
      <c r="J765" s="6" t="s">
        <v>8767</v>
      </c>
      <c r="K765" s="6" t="s">
        <v>3140</v>
      </c>
      <c r="L765" s="6" t="s">
        <v>3196</v>
      </c>
      <c r="M765" s="6" t="s">
        <v>3143</v>
      </c>
      <c r="N765" s="6" t="s">
        <v>3159</v>
      </c>
      <c r="O765" s="6" t="s">
        <v>3141</v>
      </c>
      <c r="P765" s="6" t="s">
        <v>6906</v>
      </c>
      <c r="Q765" s="6" t="s">
        <v>8768</v>
      </c>
      <c r="R765" s="6" t="s">
        <v>8769</v>
      </c>
      <c r="S765" s="6" t="s">
        <v>20</v>
      </c>
      <c r="T765" s="6" t="s">
        <v>8770</v>
      </c>
      <c r="U765" s="6" t="s">
        <v>3141</v>
      </c>
      <c r="V765" s="6" t="s">
        <v>8771</v>
      </c>
      <c r="W765" s="6" t="s">
        <v>3728</v>
      </c>
      <c r="X765" s="6" t="s">
        <v>77</v>
      </c>
      <c r="Y765" s="6" t="s">
        <v>3141</v>
      </c>
      <c r="Z765" s="6" t="s">
        <v>93</v>
      </c>
      <c r="AA765" s="6" t="s">
        <v>4354</v>
      </c>
      <c r="AB765" s="6"/>
      <c r="AC765" s="6" t="s">
        <v>3159</v>
      </c>
      <c r="AD765" s="6" t="s">
        <v>3152</v>
      </c>
      <c r="AE765" s="6" t="s">
        <v>3169</v>
      </c>
      <c r="AF765" s="6"/>
      <c r="AG765" s="6" t="s">
        <v>6054</v>
      </c>
      <c r="AH765" s="6" t="s">
        <v>79</v>
      </c>
    </row>
    <row r="766" spans="1:34" x14ac:dyDescent="0.25">
      <c r="A766" s="6" t="s">
        <v>2459</v>
      </c>
      <c r="B766" s="6" t="s">
        <v>2460</v>
      </c>
      <c r="C766" s="6" t="s">
        <v>2461</v>
      </c>
      <c r="D766" s="6" t="s">
        <v>8772</v>
      </c>
      <c r="E766" s="6" t="s">
        <v>3268</v>
      </c>
      <c r="F766" s="6" t="s">
        <v>89</v>
      </c>
      <c r="G766" s="6" t="s">
        <v>215</v>
      </c>
      <c r="H766" s="6" t="s">
        <v>144</v>
      </c>
      <c r="I766" s="6" t="s">
        <v>92</v>
      </c>
      <c r="J766" s="6" t="s">
        <v>8773</v>
      </c>
      <c r="K766" s="6" t="s">
        <v>3159</v>
      </c>
      <c r="L766" s="6" t="s">
        <v>75</v>
      </c>
      <c r="M766" s="6" t="s">
        <v>3160</v>
      </c>
      <c r="N766" s="6" t="s">
        <v>3173</v>
      </c>
      <c r="O766" s="6" t="s">
        <v>3141</v>
      </c>
      <c r="P766" s="6" t="s">
        <v>6783</v>
      </c>
      <c r="Q766" s="6"/>
      <c r="R766" s="6" t="s">
        <v>8774</v>
      </c>
      <c r="S766" s="6" t="s">
        <v>23</v>
      </c>
      <c r="T766" s="6" t="s">
        <v>8775</v>
      </c>
      <c r="U766" s="6" t="s">
        <v>3141</v>
      </c>
      <c r="V766" s="6" t="s">
        <v>4683</v>
      </c>
      <c r="W766" s="6" t="s">
        <v>4470</v>
      </c>
      <c r="X766" s="6" t="s">
        <v>77</v>
      </c>
      <c r="Y766" s="6" t="s">
        <v>3140</v>
      </c>
      <c r="Z766" s="6" t="s">
        <v>93</v>
      </c>
      <c r="AA766" s="6" t="s">
        <v>3490</v>
      </c>
      <c r="AB766" s="6"/>
      <c r="AC766" s="6" t="s">
        <v>3141</v>
      </c>
      <c r="AD766" s="6" t="s">
        <v>3143</v>
      </c>
      <c r="AE766" s="6" t="s">
        <v>3318</v>
      </c>
      <c r="AF766" s="6" t="s">
        <v>8776</v>
      </c>
      <c r="AG766" s="6" t="s">
        <v>8777</v>
      </c>
      <c r="AH766" s="6" t="s">
        <v>79</v>
      </c>
    </row>
    <row r="767" spans="1:34" x14ac:dyDescent="0.25">
      <c r="A767" s="6" t="s">
        <v>2463</v>
      </c>
      <c r="B767" s="6" t="s">
        <v>1197</v>
      </c>
      <c r="C767" s="6" t="s">
        <v>2464</v>
      </c>
      <c r="D767" s="6" t="s">
        <v>8778</v>
      </c>
      <c r="E767" s="6" t="s">
        <v>3268</v>
      </c>
      <c r="F767" s="6" t="s">
        <v>3283</v>
      </c>
      <c r="G767" s="6" t="s">
        <v>153</v>
      </c>
      <c r="H767" s="6" t="s">
        <v>144</v>
      </c>
      <c r="I767" s="6" t="s">
        <v>92</v>
      </c>
      <c r="J767" s="6"/>
      <c r="K767" s="6" t="s">
        <v>3159</v>
      </c>
      <c r="L767" s="6" t="s">
        <v>3152</v>
      </c>
      <c r="M767" s="6" t="s">
        <v>3152</v>
      </c>
      <c r="N767" s="6" t="s">
        <v>3243</v>
      </c>
      <c r="O767" s="6" t="s">
        <v>3159</v>
      </c>
      <c r="P767" s="6" t="s">
        <v>3868</v>
      </c>
      <c r="Q767" s="6" t="s">
        <v>8779</v>
      </c>
      <c r="R767" s="6" t="s">
        <v>8780</v>
      </c>
      <c r="S767" s="6" t="s">
        <v>23</v>
      </c>
      <c r="T767" s="6" t="s">
        <v>8781</v>
      </c>
      <c r="U767" s="6" t="s">
        <v>3140</v>
      </c>
      <c r="V767" s="6" t="s">
        <v>3221</v>
      </c>
      <c r="W767" s="6" t="s">
        <v>3928</v>
      </c>
      <c r="X767" s="6" t="s">
        <v>77</v>
      </c>
      <c r="Y767" s="6" t="s">
        <v>3141</v>
      </c>
      <c r="Z767" s="6" t="s">
        <v>93</v>
      </c>
      <c r="AA767" s="6" t="s">
        <v>4470</v>
      </c>
      <c r="AB767" s="6" t="s">
        <v>8782</v>
      </c>
      <c r="AC767" s="6" t="s">
        <v>3159</v>
      </c>
      <c r="AD767" s="6" t="s">
        <v>3143</v>
      </c>
      <c r="AE767" s="6" t="s">
        <v>3428</v>
      </c>
      <c r="AF767" s="6" t="s">
        <v>8783</v>
      </c>
      <c r="AG767" s="6" t="s">
        <v>3795</v>
      </c>
      <c r="AH767" s="6" t="s">
        <v>79</v>
      </c>
    </row>
    <row r="768" spans="1:34" x14ac:dyDescent="0.25">
      <c r="A768" s="6" t="s">
        <v>2466</v>
      </c>
      <c r="B768" s="6" t="s">
        <v>2467</v>
      </c>
      <c r="C768" s="6" t="s">
        <v>2468</v>
      </c>
      <c r="D768" s="6"/>
      <c r="E768" s="6" t="s">
        <v>3357</v>
      </c>
      <c r="F768" s="6" t="s">
        <v>3214</v>
      </c>
      <c r="G768" s="6" t="s">
        <v>106</v>
      </c>
      <c r="H768" s="6" t="s">
        <v>166</v>
      </c>
      <c r="I768" s="6" t="s">
        <v>74</v>
      </c>
      <c r="J768" s="6" t="s">
        <v>8784</v>
      </c>
      <c r="K768" s="6" t="s">
        <v>3159</v>
      </c>
      <c r="L768" s="6" t="s">
        <v>3143</v>
      </c>
      <c r="M768" s="6" t="s">
        <v>3142</v>
      </c>
      <c r="N768" s="6" t="s">
        <v>3160</v>
      </c>
      <c r="O768" s="6" t="s">
        <v>75</v>
      </c>
      <c r="P768" s="6" t="s">
        <v>6753</v>
      </c>
      <c r="Q768" s="6" t="s">
        <v>8785</v>
      </c>
      <c r="R768" s="6" t="s">
        <v>8786</v>
      </c>
      <c r="S768" s="6" t="s">
        <v>23</v>
      </c>
      <c r="T768" s="6" t="s">
        <v>8787</v>
      </c>
      <c r="U768" s="6" t="s">
        <v>3141</v>
      </c>
      <c r="V768" s="6" t="s">
        <v>8788</v>
      </c>
      <c r="W768" s="6" t="s">
        <v>7387</v>
      </c>
      <c r="X768" s="6" t="s">
        <v>161</v>
      </c>
      <c r="Y768" s="6" t="s">
        <v>3140</v>
      </c>
      <c r="Z768" s="6" t="s">
        <v>194</v>
      </c>
      <c r="AA768" s="6" t="s">
        <v>3490</v>
      </c>
      <c r="AB768" s="6"/>
      <c r="AC768" s="6" t="s">
        <v>3140</v>
      </c>
      <c r="AD768" s="6" t="s">
        <v>3143</v>
      </c>
      <c r="AE768" s="6" t="s">
        <v>3428</v>
      </c>
      <c r="AF768" s="6" t="s">
        <v>8789</v>
      </c>
      <c r="AG768" s="6" t="s">
        <v>8472</v>
      </c>
      <c r="AH768" s="6" t="s">
        <v>94</v>
      </c>
    </row>
    <row r="769" spans="1:34" x14ac:dyDescent="0.25">
      <c r="A769" s="6" t="s">
        <v>2469</v>
      </c>
      <c r="B769" s="6" t="s">
        <v>2470</v>
      </c>
      <c r="C769" s="6" t="s">
        <v>8790</v>
      </c>
      <c r="D769" s="6" t="s">
        <v>2471</v>
      </c>
      <c r="E769" s="6" t="s">
        <v>3268</v>
      </c>
      <c r="F769" s="6" t="s">
        <v>3137</v>
      </c>
      <c r="G769" s="6" t="s">
        <v>417</v>
      </c>
      <c r="H769" s="6" t="s">
        <v>99</v>
      </c>
      <c r="I769" s="6" t="s">
        <v>74</v>
      </c>
      <c r="J769" s="6" t="s">
        <v>8791</v>
      </c>
      <c r="K769" s="6" t="s">
        <v>3159</v>
      </c>
      <c r="L769" s="6" t="s">
        <v>3152</v>
      </c>
      <c r="M769" s="6" t="s">
        <v>3243</v>
      </c>
      <c r="N769" s="6" t="s">
        <v>3243</v>
      </c>
      <c r="O769" s="6" t="s">
        <v>3173</v>
      </c>
      <c r="P769" s="6" t="s">
        <v>3771</v>
      </c>
      <c r="Q769" s="6" t="s">
        <v>8792</v>
      </c>
      <c r="R769" s="6" t="s">
        <v>8793</v>
      </c>
      <c r="S769" s="6" t="s">
        <v>20</v>
      </c>
      <c r="T769" s="6" t="s">
        <v>8794</v>
      </c>
      <c r="U769" s="6" t="s">
        <v>3141</v>
      </c>
      <c r="V769" s="6" t="s">
        <v>8795</v>
      </c>
      <c r="W769" s="6" t="s">
        <v>4643</v>
      </c>
      <c r="X769" s="6" t="s">
        <v>85</v>
      </c>
      <c r="Y769" s="6" t="s">
        <v>3159</v>
      </c>
      <c r="Z769" s="6" t="s">
        <v>93</v>
      </c>
      <c r="AA769" s="6" t="s">
        <v>3976</v>
      </c>
      <c r="AB769" s="6"/>
      <c r="AC769" s="6" t="s">
        <v>3141</v>
      </c>
      <c r="AD769" s="6" t="s">
        <v>3160</v>
      </c>
      <c r="AE769" s="6" t="s">
        <v>3136</v>
      </c>
      <c r="AF769" s="6"/>
      <c r="AG769" s="6" t="s">
        <v>6739</v>
      </c>
      <c r="AH769" s="6" t="s">
        <v>3494</v>
      </c>
    </row>
    <row r="770" spans="1:34" x14ac:dyDescent="0.25">
      <c r="A770" s="6" t="s">
        <v>2472</v>
      </c>
      <c r="B770" s="6" t="s">
        <v>2473</v>
      </c>
      <c r="C770" s="6" t="s">
        <v>8796</v>
      </c>
      <c r="D770" s="6"/>
      <c r="E770" s="6" t="s">
        <v>3185</v>
      </c>
      <c r="F770" s="6" t="s">
        <v>89</v>
      </c>
      <c r="G770" s="6" t="s">
        <v>131</v>
      </c>
      <c r="H770" s="6" t="s">
        <v>107</v>
      </c>
      <c r="I770" s="6" t="s">
        <v>92</v>
      </c>
      <c r="J770" s="6" t="s">
        <v>8797</v>
      </c>
      <c r="K770" s="6" t="s">
        <v>3140</v>
      </c>
      <c r="L770" s="6" t="s">
        <v>3159</v>
      </c>
      <c r="M770" s="6" t="s">
        <v>3173</v>
      </c>
      <c r="N770" s="6" t="s">
        <v>75</v>
      </c>
      <c r="O770" s="6" t="s">
        <v>3143</v>
      </c>
      <c r="P770" s="6" t="s">
        <v>7886</v>
      </c>
      <c r="Q770" s="6" t="s">
        <v>8798</v>
      </c>
      <c r="R770" s="6" t="s">
        <v>8799</v>
      </c>
      <c r="S770" s="6" t="s">
        <v>22</v>
      </c>
      <c r="T770" s="6" t="s">
        <v>8800</v>
      </c>
      <c r="U770" s="6" t="s">
        <v>3159</v>
      </c>
      <c r="V770" s="6" t="s">
        <v>5094</v>
      </c>
      <c r="W770" s="6" t="s">
        <v>4675</v>
      </c>
      <c r="X770" s="6" t="s">
        <v>77</v>
      </c>
      <c r="Y770" s="6" t="s">
        <v>3159</v>
      </c>
      <c r="Z770" s="6" t="s">
        <v>93</v>
      </c>
      <c r="AA770" s="6" t="s">
        <v>4463</v>
      </c>
      <c r="AB770" s="6" t="s">
        <v>8801</v>
      </c>
      <c r="AC770" s="6" t="s">
        <v>3141</v>
      </c>
      <c r="AD770" s="6" t="s">
        <v>3141</v>
      </c>
      <c r="AE770" s="6" t="s">
        <v>3210</v>
      </c>
      <c r="AF770" s="6" t="s">
        <v>8802</v>
      </c>
      <c r="AG770" s="6" t="s">
        <v>8803</v>
      </c>
      <c r="AH770" s="6" t="s">
        <v>79</v>
      </c>
    </row>
    <row r="771" spans="1:34" x14ac:dyDescent="0.25">
      <c r="A771" s="6" t="s">
        <v>2474</v>
      </c>
      <c r="B771" s="6" t="s">
        <v>150</v>
      </c>
      <c r="C771" s="6" t="s">
        <v>2475</v>
      </c>
      <c r="D771" s="6"/>
      <c r="E771" s="6" t="s">
        <v>3282</v>
      </c>
      <c r="F771" s="6" t="s">
        <v>3214</v>
      </c>
      <c r="G771" s="6" t="s">
        <v>215</v>
      </c>
      <c r="H771" s="6" t="s">
        <v>144</v>
      </c>
      <c r="I771" s="6" t="s">
        <v>92</v>
      </c>
      <c r="J771" s="6" t="s">
        <v>8804</v>
      </c>
      <c r="K771" s="6" t="s">
        <v>3140</v>
      </c>
      <c r="L771" s="6" t="s">
        <v>3142</v>
      </c>
      <c r="M771" s="6" t="s">
        <v>3196</v>
      </c>
      <c r="N771" s="6" t="s">
        <v>3141</v>
      </c>
      <c r="O771" s="6" t="s">
        <v>3141</v>
      </c>
      <c r="P771" s="6" t="s">
        <v>3331</v>
      </c>
      <c r="Q771" s="6" t="s">
        <v>3217</v>
      </c>
      <c r="R771" s="6" t="s">
        <v>8805</v>
      </c>
      <c r="S771" s="6" t="s">
        <v>21</v>
      </c>
      <c r="T771" s="6"/>
      <c r="U771" s="6" t="s">
        <v>3141</v>
      </c>
      <c r="V771" s="6" t="s">
        <v>8806</v>
      </c>
      <c r="W771" s="6" t="s">
        <v>3405</v>
      </c>
      <c r="X771" s="6" t="s">
        <v>77</v>
      </c>
      <c r="Y771" s="6" t="s">
        <v>3140</v>
      </c>
      <c r="Z771" s="6" t="s">
        <v>78</v>
      </c>
      <c r="AA771" s="6" t="s">
        <v>3873</v>
      </c>
      <c r="AB771" s="6"/>
      <c r="AC771" s="6" t="s">
        <v>3141</v>
      </c>
      <c r="AD771" s="6" t="s">
        <v>3141</v>
      </c>
      <c r="AE771" s="6" t="s">
        <v>3293</v>
      </c>
      <c r="AF771" s="6"/>
      <c r="AG771" s="6" t="s">
        <v>8807</v>
      </c>
      <c r="AH771" s="6" t="s">
        <v>79</v>
      </c>
    </row>
    <row r="772" spans="1:34" x14ac:dyDescent="0.25">
      <c r="A772" s="6" t="s">
        <v>2476</v>
      </c>
      <c r="B772" s="6" t="s">
        <v>2477</v>
      </c>
      <c r="C772" s="6" t="s">
        <v>8808</v>
      </c>
      <c r="D772" s="6" t="s">
        <v>2478</v>
      </c>
      <c r="E772" s="6" t="s">
        <v>3617</v>
      </c>
      <c r="F772" s="6" t="s">
        <v>3283</v>
      </c>
      <c r="G772" s="6" t="s">
        <v>388</v>
      </c>
      <c r="H772" s="6" t="s">
        <v>73</v>
      </c>
      <c r="I772" s="6" t="s">
        <v>74</v>
      </c>
      <c r="J772" s="6" t="s">
        <v>3217</v>
      </c>
      <c r="K772" s="6" t="s">
        <v>3140</v>
      </c>
      <c r="L772" s="6" t="s">
        <v>3141</v>
      </c>
      <c r="M772" s="6" t="s">
        <v>76</v>
      </c>
      <c r="N772" s="6" t="s">
        <v>3188</v>
      </c>
      <c r="O772" s="6" t="s">
        <v>3141</v>
      </c>
      <c r="P772" s="6" t="s">
        <v>3990</v>
      </c>
      <c r="Q772" s="6"/>
      <c r="R772" s="6" t="s">
        <v>8809</v>
      </c>
      <c r="S772" s="6" t="s">
        <v>23</v>
      </c>
      <c r="T772" s="6" t="s">
        <v>8810</v>
      </c>
      <c r="U772" s="6" t="s">
        <v>3141</v>
      </c>
      <c r="V772" s="6" t="s">
        <v>6876</v>
      </c>
      <c r="W772" s="6" t="s">
        <v>3478</v>
      </c>
      <c r="X772" s="6" t="s">
        <v>4030</v>
      </c>
      <c r="Y772" s="6" t="s">
        <v>3140</v>
      </c>
      <c r="Z772" s="6" t="s">
        <v>78</v>
      </c>
      <c r="AA772" s="6" t="s">
        <v>4683</v>
      </c>
      <c r="AB772" s="6"/>
      <c r="AC772" s="6" t="s">
        <v>3292</v>
      </c>
      <c r="AD772" s="6" t="s">
        <v>3243</v>
      </c>
      <c r="AE772" s="6" t="s">
        <v>3428</v>
      </c>
      <c r="AF772" s="6" t="s">
        <v>8811</v>
      </c>
      <c r="AG772" s="6" t="s">
        <v>8812</v>
      </c>
      <c r="AH772" s="6" t="s">
        <v>79</v>
      </c>
    </row>
    <row r="773" spans="1:34" x14ac:dyDescent="0.25">
      <c r="A773" s="6" t="s">
        <v>2479</v>
      </c>
      <c r="B773" s="6" t="s">
        <v>2480</v>
      </c>
      <c r="C773" s="6" t="s">
        <v>2481</v>
      </c>
      <c r="D773" s="6"/>
      <c r="E773" s="6" t="s">
        <v>4687</v>
      </c>
      <c r="F773" s="6" t="s">
        <v>89</v>
      </c>
      <c r="G773" s="6" t="s">
        <v>98</v>
      </c>
      <c r="H773" s="6" t="s">
        <v>73</v>
      </c>
      <c r="I773" s="6" t="s">
        <v>74</v>
      </c>
      <c r="J773" s="6"/>
      <c r="K773" s="6" t="s">
        <v>3140</v>
      </c>
      <c r="L773" s="6" t="s">
        <v>76</v>
      </c>
      <c r="M773" s="6" t="s">
        <v>3143</v>
      </c>
      <c r="N773" s="6" t="s">
        <v>75</v>
      </c>
      <c r="O773" s="6" t="s">
        <v>3142</v>
      </c>
      <c r="P773" s="6"/>
      <c r="Q773" s="6" t="s">
        <v>8813</v>
      </c>
      <c r="R773" s="6" t="s">
        <v>8814</v>
      </c>
      <c r="S773" s="6" t="s">
        <v>23</v>
      </c>
      <c r="T773" s="6" t="s">
        <v>8815</v>
      </c>
      <c r="U773" s="6" t="s">
        <v>3141</v>
      </c>
      <c r="V773" s="6" t="s">
        <v>8182</v>
      </c>
      <c r="W773" s="6" t="s">
        <v>3523</v>
      </c>
      <c r="X773" s="6" t="s">
        <v>85</v>
      </c>
      <c r="Y773" s="6" t="s">
        <v>3140</v>
      </c>
      <c r="Z773" s="6" t="s">
        <v>93</v>
      </c>
      <c r="AA773" s="6" t="s">
        <v>3691</v>
      </c>
      <c r="AB773" s="6"/>
      <c r="AC773" s="6" t="s">
        <v>3159</v>
      </c>
      <c r="AD773" s="6" t="s">
        <v>75</v>
      </c>
      <c r="AE773" s="6" t="s">
        <v>3513</v>
      </c>
      <c r="AF773" s="6" t="s">
        <v>8816</v>
      </c>
      <c r="AG773" s="6" t="s">
        <v>6371</v>
      </c>
      <c r="AH773" s="6" t="s">
        <v>79</v>
      </c>
    </row>
    <row r="774" spans="1:34" x14ac:dyDescent="0.25">
      <c r="A774" s="6" t="s">
        <v>2482</v>
      </c>
      <c r="B774" s="6" t="s">
        <v>2483</v>
      </c>
      <c r="C774" s="6" t="s">
        <v>8817</v>
      </c>
      <c r="D774" s="6" t="s">
        <v>2484</v>
      </c>
      <c r="E774" s="6" t="s">
        <v>3235</v>
      </c>
      <c r="F774" s="6" t="s">
        <v>71</v>
      </c>
      <c r="G774" s="6" t="s">
        <v>388</v>
      </c>
      <c r="H774" s="6" t="s">
        <v>166</v>
      </c>
      <c r="I774" s="6" t="s">
        <v>74</v>
      </c>
      <c r="J774" s="6" t="s">
        <v>8818</v>
      </c>
      <c r="K774" s="6" t="s">
        <v>3141</v>
      </c>
      <c r="L774" s="6" t="s">
        <v>3243</v>
      </c>
      <c r="M774" s="6" t="s">
        <v>3160</v>
      </c>
      <c r="N774" s="6" t="s">
        <v>3243</v>
      </c>
      <c r="O774" s="6" t="s">
        <v>3152</v>
      </c>
      <c r="P774" s="6" t="s">
        <v>7771</v>
      </c>
      <c r="Q774" s="6" t="s">
        <v>8819</v>
      </c>
      <c r="R774" s="6" t="s">
        <v>8820</v>
      </c>
      <c r="S774" s="6" t="s">
        <v>22</v>
      </c>
      <c r="T774" s="6" t="s">
        <v>8821</v>
      </c>
      <c r="U774" s="6" t="s">
        <v>3141</v>
      </c>
      <c r="V774" s="6" t="s">
        <v>4966</v>
      </c>
      <c r="W774" s="6" t="s">
        <v>4592</v>
      </c>
      <c r="X774" s="6" t="s">
        <v>77</v>
      </c>
      <c r="Y774" s="6" t="s">
        <v>3141</v>
      </c>
      <c r="Z774" s="6" t="s">
        <v>78</v>
      </c>
      <c r="AA774" s="6" t="s">
        <v>4176</v>
      </c>
      <c r="AB774" s="6" t="s">
        <v>8822</v>
      </c>
      <c r="AC774" s="6" t="s">
        <v>3159</v>
      </c>
      <c r="AD774" s="6" t="s">
        <v>3152</v>
      </c>
      <c r="AE774" s="6" t="s">
        <v>3235</v>
      </c>
      <c r="AF774" s="6" t="s">
        <v>8823</v>
      </c>
      <c r="AG774" s="6" t="s">
        <v>8824</v>
      </c>
      <c r="AH774" s="6" t="s">
        <v>79</v>
      </c>
    </row>
    <row r="775" spans="1:34" x14ac:dyDescent="0.25">
      <c r="A775" s="6" t="s">
        <v>2485</v>
      </c>
      <c r="B775" s="6" t="s">
        <v>2467</v>
      </c>
      <c r="C775" s="6" t="s">
        <v>8825</v>
      </c>
      <c r="D775" s="6" t="s">
        <v>2486</v>
      </c>
      <c r="E775" s="6" t="s">
        <v>3970</v>
      </c>
      <c r="F775" s="6" t="s">
        <v>71</v>
      </c>
      <c r="G775" s="6" t="s">
        <v>72</v>
      </c>
      <c r="H775" s="6" t="s">
        <v>84</v>
      </c>
      <c r="I775" s="6" t="s">
        <v>74</v>
      </c>
      <c r="J775" s="6" t="s">
        <v>8826</v>
      </c>
      <c r="K775" s="6" t="s">
        <v>3159</v>
      </c>
      <c r="L775" s="6" t="s">
        <v>3159</v>
      </c>
      <c r="M775" s="6" t="s">
        <v>75</v>
      </c>
      <c r="N775" s="6" t="s">
        <v>3160</v>
      </c>
      <c r="O775" s="6" t="s">
        <v>3152</v>
      </c>
      <c r="P775" s="6" t="s">
        <v>8827</v>
      </c>
      <c r="Q775" s="6"/>
      <c r="R775" s="6" t="s">
        <v>8828</v>
      </c>
      <c r="S775" s="6" t="s">
        <v>22</v>
      </c>
      <c r="T775" s="6" t="s">
        <v>8829</v>
      </c>
      <c r="U775" s="6" t="s">
        <v>3141</v>
      </c>
      <c r="V775" s="6" t="s">
        <v>5156</v>
      </c>
      <c r="W775" s="6" t="s">
        <v>3755</v>
      </c>
      <c r="X775" s="6" t="s">
        <v>77</v>
      </c>
      <c r="Y775" s="6" t="s">
        <v>3140</v>
      </c>
      <c r="Z775" s="6" t="s">
        <v>93</v>
      </c>
      <c r="AA775" s="6" t="s">
        <v>3222</v>
      </c>
      <c r="AB775" s="6" t="s">
        <v>8830</v>
      </c>
      <c r="AC775" s="6" t="s">
        <v>3141</v>
      </c>
      <c r="AD775" s="6" t="s">
        <v>75</v>
      </c>
      <c r="AE775" s="6" t="s">
        <v>3136</v>
      </c>
      <c r="AF775" s="6" t="s">
        <v>8831</v>
      </c>
      <c r="AG775" s="6" t="s">
        <v>3450</v>
      </c>
      <c r="AH775" s="6" t="s">
        <v>79</v>
      </c>
    </row>
    <row r="776" spans="1:34" x14ac:dyDescent="0.25">
      <c r="A776" s="6" t="s">
        <v>2487</v>
      </c>
      <c r="B776" s="6" t="s">
        <v>8832</v>
      </c>
      <c r="C776" s="6"/>
      <c r="D776" s="6" t="s">
        <v>8833</v>
      </c>
      <c r="E776" s="6" t="s">
        <v>3240</v>
      </c>
      <c r="F776" s="6" t="s">
        <v>3283</v>
      </c>
      <c r="G776" s="6" t="s">
        <v>215</v>
      </c>
      <c r="H776" s="6" t="s">
        <v>103</v>
      </c>
      <c r="I776" s="6" t="s">
        <v>74</v>
      </c>
      <c r="J776" s="6" t="s">
        <v>8834</v>
      </c>
      <c r="K776" s="6" t="s">
        <v>3159</v>
      </c>
      <c r="L776" s="6" t="s">
        <v>3141</v>
      </c>
      <c r="M776" s="6" t="s">
        <v>75</v>
      </c>
      <c r="N776" s="6" t="s">
        <v>3159</v>
      </c>
      <c r="O776" s="6" t="s">
        <v>3143</v>
      </c>
      <c r="P776" s="6"/>
      <c r="Q776" s="6"/>
      <c r="R776" s="6" t="s">
        <v>8835</v>
      </c>
      <c r="S776" s="6" t="s">
        <v>23</v>
      </c>
      <c r="T776" s="6" t="s">
        <v>3217</v>
      </c>
      <c r="U776" s="6" t="s">
        <v>3292</v>
      </c>
      <c r="V776" s="6" t="s">
        <v>3328</v>
      </c>
      <c r="W776" s="6" t="s">
        <v>3830</v>
      </c>
      <c r="X776" s="6" t="s">
        <v>85</v>
      </c>
      <c r="Y776" s="6" t="s">
        <v>3141</v>
      </c>
      <c r="Z776" s="6" t="s">
        <v>78</v>
      </c>
      <c r="AA776" s="6" t="s">
        <v>3718</v>
      </c>
      <c r="AB776" s="6"/>
      <c r="AC776" s="6" t="s">
        <v>3292</v>
      </c>
      <c r="AD776" s="6" t="s">
        <v>3143</v>
      </c>
      <c r="AE776" s="6" t="s">
        <v>3331</v>
      </c>
      <c r="AF776" s="6" t="s">
        <v>8836</v>
      </c>
      <c r="AG776" s="6" t="s">
        <v>3480</v>
      </c>
      <c r="AH776" s="6" t="s">
        <v>79</v>
      </c>
    </row>
    <row r="777" spans="1:34" x14ac:dyDescent="0.25">
      <c r="A777" s="6" t="s">
        <v>2490</v>
      </c>
      <c r="B777" s="6" t="s">
        <v>2491</v>
      </c>
      <c r="C777" s="6" t="s">
        <v>2492</v>
      </c>
      <c r="D777" s="6" t="s">
        <v>2493</v>
      </c>
      <c r="E777" s="6" t="s">
        <v>3346</v>
      </c>
      <c r="F777" s="6" t="s">
        <v>3283</v>
      </c>
      <c r="G777" s="6" t="s">
        <v>98</v>
      </c>
      <c r="H777" s="6" t="s">
        <v>107</v>
      </c>
      <c r="I777" s="6" t="s">
        <v>92</v>
      </c>
      <c r="J777" s="6" t="s">
        <v>8837</v>
      </c>
      <c r="K777" s="6" t="s">
        <v>3140</v>
      </c>
      <c r="L777" s="6" t="s">
        <v>3142</v>
      </c>
      <c r="M777" s="6" t="s">
        <v>75</v>
      </c>
      <c r="N777" s="6" t="s">
        <v>3159</v>
      </c>
      <c r="O777" s="6" t="s">
        <v>3143</v>
      </c>
      <c r="P777" s="6" t="s">
        <v>5559</v>
      </c>
      <c r="Q777" s="6" t="s">
        <v>8838</v>
      </c>
      <c r="R777" s="6" t="s">
        <v>8839</v>
      </c>
      <c r="S777" s="6" t="s">
        <v>22</v>
      </c>
      <c r="T777" s="6" t="s">
        <v>8840</v>
      </c>
      <c r="U777" s="6" t="s">
        <v>3159</v>
      </c>
      <c r="V777" s="6" t="s">
        <v>4117</v>
      </c>
      <c r="W777" s="6" t="s">
        <v>4194</v>
      </c>
      <c r="X777" s="6" t="s">
        <v>77</v>
      </c>
      <c r="Y777" s="6" t="s">
        <v>3192</v>
      </c>
      <c r="Z777" s="6" t="s">
        <v>78</v>
      </c>
      <c r="AA777" s="6" t="s">
        <v>5156</v>
      </c>
      <c r="AB777" s="6"/>
      <c r="AC777" s="6" t="s">
        <v>3141</v>
      </c>
      <c r="AD777" s="6" t="s">
        <v>3188</v>
      </c>
      <c r="AE777" s="6" t="s">
        <v>3323</v>
      </c>
      <c r="AF777" s="6" t="s">
        <v>8841</v>
      </c>
      <c r="AG777" s="6" t="s">
        <v>8842</v>
      </c>
      <c r="AH777" s="6" t="s">
        <v>79</v>
      </c>
    </row>
    <row r="778" spans="1:34" x14ac:dyDescent="0.25">
      <c r="A778" s="6" t="s">
        <v>2494</v>
      </c>
      <c r="B778" s="6" t="s">
        <v>254</v>
      </c>
      <c r="C778" s="6" t="s">
        <v>8843</v>
      </c>
      <c r="D778" s="6" t="s">
        <v>2495</v>
      </c>
      <c r="E778" s="6" t="s">
        <v>3388</v>
      </c>
      <c r="F778" s="6" t="s">
        <v>3369</v>
      </c>
      <c r="G778" s="6" t="s">
        <v>98</v>
      </c>
      <c r="H778" s="6" t="s">
        <v>84</v>
      </c>
      <c r="I778" s="6" t="s">
        <v>74</v>
      </c>
      <c r="J778" s="6" t="s">
        <v>8844</v>
      </c>
      <c r="K778" s="6" t="s">
        <v>3141</v>
      </c>
      <c r="L778" s="6" t="s">
        <v>3152</v>
      </c>
      <c r="M778" s="6" t="s">
        <v>3141</v>
      </c>
      <c r="N778" s="6" t="s">
        <v>3143</v>
      </c>
      <c r="O778" s="6" t="s">
        <v>75</v>
      </c>
      <c r="P778" s="6" t="s">
        <v>5846</v>
      </c>
      <c r="Q778" s="6" t="s">
        <v>8845</v>
      </c>
      <c r="R778" s="6" t="s">
        <v>8846</v>
      </c>
      <c r="S778" s="6" t="s">
        <v>21</v>
      </c>
      <c r="T778" s="6" t="s">
        <v>3217</v>
      </c>
      <c r="U778" s="6" t="s">
        <v>3159</v>
      </c>
      <c r="V778" s="6" t="s">
        <v>6627</v>
      </c>
      <c r="W778" s="6" t="s">
        <v>4568</v>
      </c>
      <c r="X778" s="6" t="s">
        <v>85</v>
      </c>
      <c r="Y778" s="6" t="s">
        <v>3140</v>
      </c>
      <c r="Z778" s="6" t="s">
        <v>93</v>
      </c>
      <c r="AA778" s="6" t="s">
        <v>3907</v>
      </c>
      <c r="AB778" s="6" t="s">
        <v>8847</v>
      </c>
      <c r="AC778" s="6" t="s">
        <v>3141</v>
      </c>
      <c r="AD778" s="6" t="s">
        <v>3143</v>
      </c>
      <c r="AE778" s="6" t="s">
        <v>3279</v>
      </c>
      <c r="AF778" s="6"/>
      <c r="AG778" s="6" t="s">
        <v>8848</v>
      </c>
      <c r="AH778" s="6" t="s">
        <v>94</v>
      </c>
    </row>
    <row r="779" spans="1:34" x14ac:dyDescent="0.25">
      <c r="A779" s="6" t="s">
        <v>2496</v>
      </c>
      <c r="B779" s="6" t="s">
        <v>2497</v>
      </c>
      <c r="C779" s="6" t="s">
        <v>2498</v>
      </c>
      <c r="D779" s="6" t="s">
        <v>2499</v>
      </c>
      <c r="E779" s="6" t="s">
        <v>3254</v>
      </c>
      <c r="F779" s="6" t="s">
        <v>71</v>
      </c>
      <c r="G779" s="6" t="s">
        <v>8849</v>
      </c>
      <c r="H779" s="6" t="s">
        <v>99</v>
      </c>
      <c r="I779" s="6" t="s">
        <v>74</v>
      </c>
      <c r="J779" s="6"/>
      <c r="K779" s="6" t="s">
        <v>3159</v>
      </c>
      <c r="L779" s="6" t="s">
        <v>3243</v>
      </c>
      <c r="M779" s="6" t="s">
        <v>3160</v>
      </c>
      <c r="N779" s="6" t="s">
        <v>3188</v>
      </c>
      <c r="O779" s="6" t="s">
        <v>3143</v>
      </c>
      <c r="P779" s="6" t="s">
        <v>8850</v>
      </c>
      <c r="Q779" s="6" t="s">
        <v>3217</v>
      </c>
      <c r="R779" s="6" t="s">
        <v>8851</v>
      </c>
      <c r="S779" s="6" t="s">
        <v>23</v>
      </c>
      <c r="T779" s="6"/>
      <c r="U779" s="6" t="s">
        <v>3140</v>
      </c>
      <c r="V779" s="6" t="s">
        <v>3673</v>
      </c>
      <c r="W779" s="6" t="s">
        <v>3249</v>
      </c>
      <c r="X779" s="6" t="s">
        <v>85</v>
      </c>
      <c r="Y779" s="6" t="s">
        <v>3140</v>
      </c>
      <c r="Z779" s="6" t="s">
        <v>78</v>
      </c>
      <c r="AA779" s="6" t="s">
        <v>3278</v>
      </c>
      <c r="AB779" s="6"/>
      <c r="AC779" s="6" t="s">
        <v>3159</v>
      </c>
      <c r="AD779" s="6" t="s">
        <v>3141</v>
      </c>
      <c r="AE779" s="6" t="s">
        <v>3318</v>
      </c>
      <c r="AF779" s="6" t="s">
        <v>8852</v>
      </c>
      <c r="AG779" s="6" t="s">
        <v>8853</v>
      </c>
      <c r="AH779" s="6" t="s">
        <v>79</v>
      </c>
    </row>
    <row r="780" spans="1:34" x14ac:dyDescent="0.25">
      <c r="A780" s="6" t="s">
        <v>2500</v>
      </c>
      <c r="B780" s="6" t="s">
        <v>2501</v>
      </c>
      <c r="C780" s="6"/>
      <c r="D780" s="6" t="s">
        <v>2502</v>
      </c>
      <c r="E780" s="6" t="s">
        <v>3254</v>
      </c>
      <c r="F780" s="6" t="s">
        <v>3137</v>
      </c>
      <c r="G780" s="6" t="s">
        <v>153</v>
      </c>
      <c r="H780" s="6" t="s">
        <v>144</v>
      </c>
      <c r="I780" s="6" t="s">
        <v>92</v>
      </c>
      <c r="J780" s="6"/>
      <c r="K780" s="6" t="s">
        <v>3140</v>
      </c>
      <c r="L780" s="6" t="s">
        <v>3152</v>
      </c>
      <c r="M780" s="6" t="s">
        <v>3159</v>
      </c>
      <c r="N780" s="6" t="s">
        <v>76</v>
      </c>
      <c r="O780" s="6" t="s">
        <v>3243</v>
      </c>
      <c r="P780" s="6" t="s">
        <v>8125</v>
      </c>
      <c r="Q780" s="6" t="s">
        <v>8854</v>
      </c>
      <c r="R780" s="6" t="s">
        <v>8855</v>
      </c>
      <c r="S780" s="6" t="s">
        <v>20</v>
      </c>
      <c r="T780" s="6" t="s">
        <v>8856</v>
      </c>
      <c r="U780" s="6" t="s">
        <v>3140</v>
      </c>
      <c r="V780" s="6" t="s">
        <v>5829</v>
      </c>
      <c r="W780" s="6" t="s">
        <v>3194</v>
      </c>
      <c r="X780" s="6" t="s">
        <v>3918</v>
      </c>
      <c r="Y780" s="6" t="s">
        <v>3159</v>
      </c>
      <c r="Z780" s="6" t="s">
        <v>3895</v>
      </c>
      <c r="AA780" s="6" t="s">
        <v>3954</v>
      </c>
      <c r="AB780" s="6"/>
      <c r="AC780" s="6" t="s">
        <v>3140</v>
      </c>
      <c r="AD780" s="6" t="s">
        <v>3160</v>
      </c>
      <c r="AE780" s="6" t="s">
        <v>3169</v>
      </c>
      <c r="AF780" s="6"/>
      <c r="AG780" s="6" t="s">
        <v>8857</v>
      </c>
      <c r="AH780" s="6" t="s">
        <v>79</v>
      </c>
    </row>
    <row r="781" spans="1:34" x14ac:dyDescent="0.25">
      <c r="A781" s="6" t="s">
        <v>2503</v>
      </c>
      <c r="B781" s="6" t="s">
        <v>2504</v>
      </c>
      <c r="C781" s="6"/>
      <c r="D781" s="6" t="s">
        <v>2505</v>
      </c>
      <c r="E781" s="6" t="s">
        <v>4358</v>
      </c>
      <c r="F781" s="6" t="s">
        <v>3227</v>
      </c>
      <c r="G781" s="6" t="s">
        <v>388</v>
      </c>
      <c r="H781" s="6" t="s">
        <v>84</v>
      </c>
      <c r="I781" s="6" t="s">
        <v>74</v>
      </c>
      <c r="J781" s="6"/>
      <c r="K781" s="6" t="s">
        <v>3140</v>
      </c>
      <c r="L781" s="6" t="s">
        <v>3159</v>
      </c>
      <c r="M781" s="6" t="s">
        <v>75</v>
      </c>
      <c r="N781" s="6" t="s">
        <v>3243</v>
      </c>
      <c r="O781" s="6" t="s">
        <v>3188</v>
      </c>
      <c r="P781" s="6" t="s">
        <v>5007</v>
      </c>
      <c r="Q781" s="6"/>
      <c r="R781" s="6" t="s">
        <v>8858</v>
      </c>
      <c r="S781" s="6" t="s">
        <v>21</v>
      </c>
      <c r="T781" s="6" t="s">
        <v>8859</v>
      </c>
      <c r="U781" s="6" t="s">
        <v>3292</v>
      </c>
      <c r="V781" s="6" t="s">
        <v>8860</v>
      </c>
      <c r="W781" s="6" t="s">
        <v>4117</v>
      </c>
      <c r="X781" s="6" t="s">
        <v>85</v>
      </c>
      <c r="Y781" s="6" t="s">
        <v>3292</v>
      </c>
      <c r="Z781" s="6" t="s">
        <v>93</v>
      </c>
      <c r="AA781" s="6" t="s">
        <v>3873</v>
      </c>
      <c r="AB781" s="6"/>
      <c r="AC781" s="6" t="s">
        <v>3159</v>
      </c>
      <c r="AD781" s="6" t="s">
        <v>3160</v>
      </c>
      <c r="AE781" s="6" t="s">
        <v>3136</v>
      </c>
      <c r="AF781" s="6"/>
      <c r="AG781" s="6" t="s">
        <v>8861</v>
      </c>
      <c r="AH781" s="6" t="s">
        <v>4004</v>
      </c>
    </row>
    <row r="782" spans="1:34" x14ac:dyDescent="0.25">
      <c r="A782" s="6" t="s">
        <v>2506</v>
      </c>
      <c r="B782" s="6" t="s">
        <v>2507</v>
      </c>
      <c r="C782" s="6"/>
      <c r="D782" s="6" t="s">
        <v>2508</v>
      </c>
      <c r="E782" s="6" t="s">
        <v>3226</v>
      </c>
      <c r="F782" s="6" t="s">
        <v>71</v>
      </c>
      <c r="G782" s="6" t="s">
        <v>3186</v>
      </c>
      <c r="H782" s="6" t="s">
        <v>4620</v>
      </c>
      <c r="I782" s="6" t="s">
        <v>74</v>
      </c>
      <c r="J782" s="6" t="s">
        <v>8862</v>
      </c>
      <c r="K782" s="6" t="s">
        <v>3159</v>
      </c>
      <c r="L782" s="6" t="s">
        <v>3141</v>
      </c>
      <c r="M782" s="6" t="s">
        <v>3143</v>
      </c>
      <c r="N782" s="6" t="s">
        <v>3188</v>
      </c>
      <c r="O782" s="6" t="s">
        <v>3143</v>
      </c>
      <c r="P782" s="6" t="s">
        <v>5362</v>
      </c>
      <c r="Q782" s="6" t="s">
        <v>8863</v>
      </c>
      <c r="R782" s="6" t="s">
        <v>8864</v>
      </c>
      <c r="S782" s="6" t="s">
        <v>21</v>
      </c>
      <c r="T782" s="6" t="s">
        <v>8865</v>
      </c>
      <c r="U782" s="6" t="s">
        <v>3141</v>
      </c>
      <c r="V782" s="6" t="s">
        <v>8866</v>
      </c>
      <c r="W782" s="6" t="s">
        <v>3289</v>
      </c>
      <c r="X782" s="6" t="s">
        <v>161</v>
      </c>
      <c r="Y782" s="6" t="s">
        <v>3141</v>
      </c>
      <c r="Z782" s="6" t="s">
        <v>78</v>
      </c>
      <c r="AA782" s="6" t="s">
        <v>4692</v>
      </c>
      <c r="AB782" s="6" t="s">
        <v>8867</v>
      </c>
      <c r="AC782" s="6" t="s">
        <v>3159</v>
      </c>
      <c r="AD782" s="6" t="s">
        <v>3243</v>
      </c>
      <c r="AE782" s="6" t="s">
        <v>3136</v>
      </c>
      <c r="AF782" s="6"/>
      <c r="AG782" s="6" t="s">
        <v>8347</v>
      </c>
      <c r="AH782" s="6" t="s">
        <v>79</v>
      </c>
    </row>
    <row r="783" spans="1:34" x14ac:dyDescent="0.25">
      <c r="A783" s="6"/>
      <c r="B783" s="6" t="s">
        <v>2510</v>
      </c>
      <c r="C783" s="6" t="s">
        <v>8868</v>
      </c>
      <c r="D783" s="6" t="s">
        <v>2511</v>
      </c>
      <c r="E783" s="6" t="s">
        <v>3282</v>
      </c>
      <c r="F783" s="6" t="s">
        <v>89</v>
      </c>
      <c r="G783" s="6" t="s">
        <v>388</v>
      </c>
      <c r="H783" s="6" t="s">
        <v>107</v>
      </c>
      <c r="I783" s="6" t="s">
        <v>92</v>
      </c>
      <c r="J783" s="6" t="s">
        <v>8869</v>
      </c>
      <c r="K783" s="6" t="s">
        <v>3159</v>
      </c>
      <c r="L783" s="6" t="s">
        <v>3152</v>
      </c>
      <c r="M783" s="6" t="s">
        <v>75</v>
      </c>
      <c r="N783" s="6" t="s">
        <v>3173</v>
      </c>
      <c r="O783" s="6" t="s">
        <v>3243</v>
      </c>
      <c r="P783" s="6" t="s">
        <v>8870</v>
      </c>
      <c r="Q783" s="6" t="s">
        <v>3217</v>
      </c>
      <c r="R783" s="6" t="s">
        <v>8871</v>
      </c>
      <c r="S783" s="6" t="s">
        <v>20</v>
      </c>
      <c r="T783" s="6" t="s">
        <v>8872</v>
      </c>
      <c r="U783" s="6" t="s">
        <v>3159</v>
      </c>
      <c r="V783" s="6" t="s">
        <v>4365</v>
      </c>
      <c r="W783" s="6" t="s">
        <v>3954</v>
      </c>
      <c r="X783" s="6" t="s">
        <v>77</v>
      </c>
      <c r="Y783" s="6" t="s">
        <v>3192</v>
      </c>
      <c r="Z783" s="6" t="s">
        <v>93</v>
      </c>
      <c r="AA783" s="6" t="s">
        <v>3354</v>
      </c>
      <c r="AB783" s="6" t="s">
        <v>8873</v>
      </c>
      <c r="AC783" s="6" t="s">
        <v>3141</v>
      </c>
      <c r="AD783" s="6" t="s">
        <v>3143</v>
      </c>
      <c r="AE783" s="6" t="s">
        <v>3293</v>
      </c>
      <c r="AF783" s="6"/>
      <c r="AG783" s="6" t="s">
        <v>8874</v>
      </c>
      <c r="AH783" s="6" t="s">
        <v>79</v>
      </c>
    </row>
    <row r="784" spans="1:34" x14ac:dyDescent="0.25">
      <c r="A784" s="6" t="s">
        <v>2512</v>
      </c>
      <c r="B784" s="6" t="s">
        <v>2513</v>
      </c>
      <c r="C784" s="6" t="s">
        <v>8875</v>
      </c>
      <c r="D784" s="6" t="s">
        <v>2514</v>
      </c>
      <c r="E784" s="6" t="s">
        <v>3226</v>
      </c>
      <c r="F784" s="6" t="s">
        <v>71</v>
      </c>
      <c r="G784" s="6" t="s">
        <v>127</v>
      </c>
      <c r="H784" s="6" t="s">
        <v>166</v>
      </c>
      <c r="I784" s="6" t="s">
        <v>74</v>
      </c>
      <c r="J784" s="6"/>
      <c r="K784" s="6" t="s">
        <v>3159</v>
      </c>
      <c r="L784" s="6" t="s">
        <v>3152</v>
      </c>
      <c r="M784" s="6" t="s">
        <v>3143</v>
      </c>
      <c r="N784" s="6" t="s">
        <v>3243</v>
      </c>
      <c r="O784" s="6" t="s">
        <v>3196</v>
      </c>
      <c r="P784" s="6" t="s">
        <v>8876</v>
      </c>
      <c r="Q784" s="6" t="s">
        <v>8877</v>
      </c>
      <c r="R784" s="6" t="s">
        <v>8878</v>
      </c>
      <c r="S784" s="6" t="s">
        <v>23</v>
      </c>
      <c r="T784" s="6"/>
      <c r="U784" s="6" t="s">
        <v>3141</v>
      </c>
      <c r="V784" s="6" t="s">
        <v>8731</v>
      </c>
      <c r="W784" s="6" t="s">
        <v>3289</v>
      </c>
      <c r="X784" s="6" t="s">
        <v>161</v>
      </c>
      <c r="Y784" s="6" t="s">
        <v>3292</v>
      </c>
      <c r="Z784" s="6" t="s">
        <v>93</v>
      </c>
      <c r="AA784" s="6" t="s">
        <v>5156</v>
      </c>
      <c r="AB784" s="6" t="s">
        <v>8879</v>
      </c>
      <c r="AC784" s="6" t="s">
        <v>3159</v>
      </c>
      <c r="AD784" s="6" t="s">
        <v>75</v>
      </c>
      <c r="AE784" s="6" t="s">
        <v>3153</v>
      </c>
      <c r="AF784" s="6" t="s">
        <v>8880</v>
      </c>
      <c r="AG784" s="6" t="s">
        <v>8807</v>
      </c>
      <c r="AH784" s="6" t="s">
        <v>79</v>
      </c>
    </row>
    <row r="785" spans="1:34" x14ac:dyDescent="0.25">
      <c r="A785" s="6" t="s">
        <v>2515</v>
      </c>
      <c r="B785" s="6" t="s">
        <v>2516</v>
      </c>
      <c r="C785" s="6" t="s">
        <v>8881</v>
      </c>
      <c r="D785" s="6" t="s">
        <v>2517</v>
      </c>
      <c r="E785" s="6" t="s">
        <v>3279</v>
      </c>
      <c r="F785" s="6" t="s">
        <v>3137</v>
      </c>
      <c r="G785" s="6" t="s">
        <v>115</v>
      </c>
      <c r="H785" s="6" t="s">
        <v>73</v>
      </c>
      <c r="I785" s="6" t="s">
        <v>74</v>
      </c>
      <c r="J785" s="6"/>
      <c r="K785" s="6" t="s">
        <v>3159</v>
      </c>
      <c r="L785" s="6" t="s">
        <v>3152</v>
      </c>
      <c r="M785" s="6" t="s">
        <v>75</v>
      </c>
      <c r="N785" s="6" t="s">
        <v>3159</v>
      </c>
      <c r="O785" s="6" t="s">
        <v>3141</v>
      </c>
      <c r="P785" s="6" t="s">
        <v>4140</v>
      </c>
      <c r="Q785" s="6" t="s">
        <v>8882</v>
      </c>
      <c r="R785" s="6" t="s">
        <v>8883</v>
      </c>
      <c r="S785" s="6" t="s">
        <v>23</v>
      </c>
      <c r="T785" s="6" t="s">
        <v>8884</v>
      </c>
      <c r="U785" s="6" t="s">
        <v>3192</v>
      </c>
      <c r="V785" s="6" t="s">
        <v>3179</v>
      </c>
      <c r="W785" s="6" t="s">
        <v>4654</v>
      </c>
      <c r="X785" s="6" t="s">
        <v>85</v>
      </c>
      <c r="Y785" s="6" t="s">
        <v>3292</v>
      </c>
      <c r="Z785" s="6" t="s">
        <v>93</v>
      </c>
      <c r="AA785" s="6" t="s">
        <v>4675</v>
      </c>
      <c r="AB785" s="6"/>
      <c r="AC785" s="6" t="s">
        <v>3140</v>
      </c>
      <c r="AD785" s="6" t="s">
        <v>3160</v>
      </c>
      <c r="AE785" s="6" t="s">
        <v>3428</v>
      </c>
      <c r="AF785" s="6" t="s">
        <v>8885</v>
      </c>
      <c r="AG785" s="6" t="s">
        <v>5305</v>
      </c>
      <c r="AH785" s="6" t="s">
        <v>79</v>
      </c>
    </row>
    <row r="786" spans="1:34" x14ac:dyDescent="0.25">
      <c r="A786" s="6" t="s">
        <v>2518</v>
      </c>
      <c r="B786" s="6" t="s">
        <v>2519</v>
      </c>
      <c r="C786" s="6" t="s">
        <v>2520</v>
      </c>
      <c r="D786" s="6" t="s">
        <v>2521</v>
      </c>
      <c r="E786" s="6" t="s">
        <v>4358</v>
      </c>
      <c r="F786" s="6" t="s">
        <v>3358</v>
      </c>
      <c r="G786" s="6" t="s">
        <v>139</v>
      </c>
      <c r="H786" s="6" t="s">
        <v>132</v>
      </c>
      <c r="I786" s="6" t="s">
        <v>92</v>
      </c>
      <c r="J786" s="6"/>
      <c r="K786" s="6" t="s">
        <v>3140</v>
      </c>
      <c r="L786" s="6" t="s">
        <v>75</v>
      </c>
      <c r="M786" s="6" t="s">
        <v>3159</v>
      </c>
      <c r="N786" s="6" t="s">
        <v>3159</v>
      </c>
      <c r="O786" s="6" t="s">
        <v>3143</v>
      </c>
      <c r="P786" s="6" t="s">
        <v>7393</v>
      </c>
      <c r="Q786" s="6" t="s">
        <v>8886</v>
      </c>
      <c r="R786" s="6" t="s">
        <v>8887</v>
      </c>
      <c r="S786" s="6" t="s">
        <v>21</v>
      </c>
      <c r="T786" s="6" t="s">
        <v>8888</v>
      </c>
      <c r="U786" s="6" t="s">
        <v>3159</v>
      </c>
      <c r="V786" s="6" t="s">
        <v>4429</v>
      </c>
      <c r="W786" s="6" t="s">
        <v>3673</v>
      </c>
      <c r="X786" s="6" t="s">
        <v>85</v>
      </c>
      <c r="Y786" s="6" t="s">
        <v>3159</v>
      </c>
      <c r="Z786" s="6" t="s">
        <v>93</v>
      </c>
      <c r="AA786" s="6" t="s">
        <v>3691</v>
      </c>
      <c r="AB786" s="6"/>
      <c r="AC786" s="6" t="s">
        <v>3141</v>
      </c>
      <c r="AD786" s="6" t="s">
        <v>3173</v>
      </c>
      <c r="AE786" s="6" t="s">
        <v>3279</v>
      </c>
      <c r="AF786" s="6"/>
      <c r="AG786" s="6" t="s">
        <v>5928</v>
      </c>
      <c r="AH786" s="6" t="s">
        <v>79</v>
      </c>
    </row>
    <row r="787" spans="1:34" x14ac:dyDescent="0.25">
      <c r="A787" s="6" t="s">
        <v>2522</v>
      </c>
      <c r="B787" s="6" t="s">
        <v>2523</v>
      </c>
      <c r="C787" s="6" t="s">
        <v>2524</v>
      </c>
      <c r="D787" s="6" t="s">
        <v>2525</v>
      </c>
      <c r="E787" s="6" t="s">
        <v>4358</v>
      </c>
      <c r="F787" s="6" t="s">
        <v>3137</v>
      </c>
      <c r="G787" s="6" t="s">
        <v>3297</v>
      </c>
      <c r="H787" s="6" t="s">
        <v>132</v>
      </c>
      <c r="I787" s="6" t="s">
        <v>92</v>
      </c>
      <c r="J787" s="6" t="s">
        <v>3217</v>
      </c>
      <c r="K787" s="6" t="s">
        <v>3140</v>
      </c>
      <c r="L787" s="6" t="s">
        <v>3159</v>
      </c>
      <c r="M787" s="6" t="s">
        <v>3243</v>
      </c>
      <c r="N787" s="6" t="s">
        <v>3142</v>
      </c>
      <c r="O787" s="6" t="s">
        <v>3143</v>
      </c>
      <c r="P787" s="6" t="s">
        <v>7771</v>
      </c>
      <c r="Q787" s="6"/>
      <c r="R787" s="6" t="s">
        <v>8889</v>
      </c>
      <c r="S787" s="6" t="s">
        <v>23</v>
      </c>
      <c r="T787" s="6" t="s">
        <v>8890</v>
      </c>
      <c r="U787" s="6" t="s">
        <v>3140</v>
      </c>
      <c r="V787" s="6" t="s">
        <v>6487</v>
      </c>
      <c r="W787" s="6" t="s">
        <v>4675</v>
      </c>
      <c r="X787" s="6" t="s">
        <v>85</v>
      </c>
      <c r="Y787" s="6" t="s">
        <v>3140</v>
      </c>
      <c r="Z787" s="6" t="s">
        <v>93</v>
      </c>
      <c r="AA787" s="6" t="s">
        <v>5064</v>
      </c>
      <c r="AB787" s="6"/>
      <c r="AC787" s="6" t="s">
        <v>3141</v>
      </c>
      <c r="AD787" s="6" t="s">
        <v>3152</v>
      </c>
      <c r="AE787" s="6" t="s">
        <v>3153</v>
      </c>
      <c r="AF787" s="6" t="s">
        <v>8891</v>
      </c>
      <c r="AG787" s="6" t="s">
        <v>8892</v>
      </c>
      <c r="AH787" s="6" t="s">
        <v>79</v>
      </c>
    </row>
    <row r="788" spans="1:34" x14ac:dyDescent="0.25">
      <c r="A788" s="6" t="s">
        <v>2526</v>
      </c>
      <c r="B788" s="6" t="s">
        <v>2527</v>
      </c>
      <c r="C788" s="6" t="s">
        <v>2528</v>
      </c>
      <c r="D788" s="6" t="s">
        <v>2529</v>
      </c>
      <c r="E788" s="6" t="s">
        <v>4542</v>
      </c>
      <c r="F788" s="6" t="s">
        <v>3283</v>
      </c>
      <c r="G788" s="6" t="s">
        <v>314</v>
      </c>
      <c r="H788" s="6" t="s">
        <v>5131</v>
      </c>
      <c r="I788" s="6" t="s">
        <v>92</v>
      </c>
      <c r="J788" s="6" t="s">
        <v>8893</v>
      </c>
      <c r="K788" s="6" t="s">
        <v>3159</v>
      </c>
      <c r="L788" s="6" t="s">
        <v>3196</v>
      </c>
      <c r="M788" s="6" t="s">
        <v>3243</v>
      </c>
      <c r="N788" s="6" t="s">
        <v>3243</v>
      </c>
      <c r="O788" s="6" t="s">
        <v>75</v>
      </c>
      <c r="P788" s="6" t="s">
        <v>7695</v>
      </c>
      <c r="Q788" s="6" t="s">
        <v>8894</v>
      </c>
      <c r="R788" s="6" t="s">
        <v>8895</v>
      </c>
      <c r="S788" s="6" t="s">
        <v>22</v>
      </c>
      <c r="T788" s="6" t="s">
        <v>8896</v>
      </c>
      <c r="U788" s="6" t="s">
        <v>3159</v>
      </c>
      <c r="V788" s="6" t="s">
        <v>8897</v>
      </c>
      <c r="W788" s="6" t="s">
        <v>4059</v>
      </c>
      <c r="X788" s="6" t="s">
        <v>85</v>
      </c>
      <c r="Y788" s="6" t="s">
        <v>3159</v>
      </c>
      <c r="Z788" s="6" t="s">
        <v>93</v>
      </c>
      <c r="AA788" s="6" t="s">
        <v>3249</v>
      </c>
      <c r="AB788" s="6"/>
      <c r="AC788" s="6" t="s">
        <v>3159</v>
      </c>
      <c r="AD788" s="6" t="s">
        <v>3141</v>
      </c>
      <c r="AE788" s="6" t="s">
        <v>3136</v>
      </c>
      <c r="AF788" s="6" t="s">
        <v>8898</v>
      </c>
      <c r="AG788" s="6" t="s">
        <v>8146</v>
      </c>
      <c r="AH788" s="6" t="s">
        <v>79</v>
      </c>
    </row>
    <row r="789" spans="1:34" x14ac:dyDescent="0.25">
      <c r="A789" s="6" t="s">
        <v>2530</v>
      </c>
      <c r="B789" s="6" t="s">
        <v>1315</v>
      </c>
      <c r="C789" s="6" t="s">
        <v>8899</v>
      </c>
      <c r="D789" s="6" t="s">
        <v>8900</v>
      </c>
      <c r="E789" s="6" t="s">
        <v>4828</v>
      </c>
      <c r="F789" s="6" t="s">
        <v>71</v>
      </c>
      <c r="G789" s="6" t="s">
        <v>106</v>
      </c>
      <c r="H789" s="6" t="s">
        <v>99</v>
      </c>
      <c r="I789" s="6" t="s">
        <v>74</v>
      </c>
      <c r="J789" s="6" t="s">
        <v>8901</v>
      </c>
      <c r="K789" s="6" t="s">
        <v>3292</v>
      </c>
      <c r="L789" s="6" t="s">
        <v>3188</v>
      </c>
      <c r="M789" s="6" t="s">
        <v>75</v>
      </c>
      <c r="N789" s="6" t="s">
        <v>76</v>
      </c>
      <c r="O789" s="6" t="s">
        <v>3142</v>
      </c>
      <c r="P789" s="6" t="s">
        <v>4857</v>
      </c>
      <c r="Q789" s="6" t="s">
        <v>8902</v>
      </c>
      <c r="R789" s="6" t="s">
        <v>8903</v>
      </c>
      <c r="S789" s="6" t="s">
        <v>22</v>
      </c>
      <c r="T789" s="6" t="s">
        <v>8904</v>
      </c>
      <c r="U789" s="6" t="s">
        <v>3292</v>
      </c>
      <c r="V789" s="6" t="s">
        <v>3223</v>
      </c>
      <c r="W789" s="6" t="s">
        <v>4643</v>
      </c>
      <c r="X789" s="6" t="s">
        <v>85</v>
      </c>
      <c r="Y789" s="6" t="s">
        <v>3192</v>
      </c>
      <c r="Z789" s="6" t="s">
        <v>78</v>
      </c>
      <c r="AA789" s="6" t="s">
        <v>4485</v>
      </c>
      <c r="AB789" s="6" t="s">
        <v>8905</v>
      </c>
      <c r="AC789" s="6" t="s">
        <v>3141</v>
      </c>
      <c r="AD789" s="6" t="s">
        <v>3141</v>
      </c>
      <c r="AE789" s="6" t="s">
        <v>3235</v>
      </c>
      <c r="AF789" s="6" t="s">
        <v>8906</v>
      </c>
      <c r="AG789" s="6" t="s">
        <v>7963</v>
      </c>
      <c r="AH789" s="6" t="s">
        <v>94</v>
      </c>
    </row>
    <row r="790" spans="1:34" x14ac:dyDescent="0.25">
      <c r="A790" s="6" t="s">
        <v>2532</v>
      </c>
      <c r="B790" s="6" t="s">
        <v>2533</v>
      </c>
      <c r="C790" s="6" t="s">
        <v>8907</v>
      </c>
      <c r="D790" s="6" t="s">
        <v>8908</v>
      </c>
      <c r="E790" s="6" t="s">
        <v>3505</v>
      </c>
      <c r="F790" s="6" t="s">
        <v>89</v>
      </c>
      <c r="G790" s="6" t="s">
        <v>139</v>
      </c>
      <c r="H790" s="6" t="s">
        <v>107</v>
      </c>
      <c r="I790" s="6" t="s">
        <v>92</v>
      </c>
      <c r="J790" s="6" t="s">
        <v>8909</v>
      </c>
      <c r="K790" s="6" t="s">
        <v>3140</v>
      </c>
      <c r="L790" s="6" t="s">
        <v>3142</v>
      </c>
      <c r="M790" s="6" t="s">
        <v>3159</v>
      </c>
      <c r="N790" s="6" t="s">
        <v>3152</v>
      </c>
      <c r="O790" s="6" t="s">
        <v>3243</v>
      </c>
      <c r="P790" s="6" t="s">
        <v>8910</v>
      </c>
      <c r="Q790" s="6" t="s">
        <v>3217</v>
      </c>
      <c r="R790" s="6" t="s">
        <v>8911</v>
      </c>
      <c r="S790" s="6" t="s">
        <v>21</v>
      </c>
      <c r="T790" s="6"/>
      <c r="U790" s="6" t="s">
        <v>3141</v>
      </c>
      <c r="V790" s="6" t="s">
        <v>5431</v>
      </c>
      <c r="W790" s="6" t="s">
        <v>4675</v>
      </c>
      <c r="X790" s="6" t="s">
        <v>85</v>
      </c>
      <c r="Y790" s="6" t="s">
        <v>3159</v>
      </c>
      <c r="Z790" s="6" t="s">
        <v>93</v>
      </c>
      <c r="AA790" s="6" t="s">
        <v>4684</v>
      </c>
      <c r="AB790" s="6"/>
      <c r="AC790" s="6" t="s">
        <v>3141</v>
      </c>
      <c r="AD790" s="6" t="s">
        <v>3141</v>
      </c>
      <c r="AE790" s="6" t="s">
        <v>3323</v>
      </c>
      <c r="AF790" s="6"/>
      <c r="AG790" s="6" t="s">
        <v>6522</v>
      </c>
      <c r="AH790" s="6" t="s">
        <v>79</v>
      </c>
    </row>
    <row r="791" spans="1:34" x14ac:dyDescent="0.25">
      <c r="A791" s="6" t="s">
        <v>2535</v>
      </c>
      <c r="B791" s="6" t="s">
        <v>2536</v>
      </c>
      <c r="C791" s="6" t="s">
        <v>8912</v>
      </c>
      <c r="D791" s="6" t="s">
        <v>8913</v>
      </c>
      <c r="E791" s="6" t="s">
        <v>3346</v>
      </c>
      <c r="F791" s="6" t="s">
        <v>3283</v>
      </c>
      <c r="G791" s="6" t="s">
        <v>417</v>
      </c>
      <c r="H791" s="6" t="s">
        <v>73</v>
      </c>
      <c r="I791" s="6" t="s">
        <v>74</v>
      </c>
      <c r="J791" s="6" t="s">
        <v>8914</v>
      </c>
      <c r="K791" s="6" t="s">
        <v>3159</v>
      </c>
      <c r="L791" s="6" t="s">
        <v>3196</v>
      </c>
      <c r="M791" s="6" t="s">
        <v>3152</v>
      </c>
      <c r="N791" s="6" t="s">
        <v>75</v>
      </c>
      <c r="O791" s="6" t="s">
        <v>3152</v>
      </c>
      <c r="P791" s="6" t="s">
        <v>5938</v>
      </c>
      <c r="Q791" s="6" t="s">
        <v>8915</v>
      </c>
      <c r="R791" s="6" t="s">
        <v>8916</v>
      </c>
      <c r="S791" s="6" t="s">
        <v>21</v>
      </c>
      <c r="T791" s="6" t="s">
        <v>8917</v>
      </c>
      <c r="U791" s="6" t="s">
        <v>3394</v>
      </c>
      <c r="V791" s="6" t="s">
        <v>8918</v>
      </c>
      <c r="W791" s="6" t="s">
        <v>4568</v>
      </c>
      <c r="X791" s="6" t="s">
        <v>85</v>
      </c>
      <c r="Y791" s="6" t="s">
        <v>3140</v>
      </c>
      <c r="Z791" s="6" t="s">
        <v>93</v>
      </c>
      <c r="AA791" s="6" t="s">
        <v>3234</v>
      </c>
      <c r="AB791" s="6" t="s">
        <v>8919</v>
      </c>
      <c r="AC791" s="6" t="s">
        <v>3141</v>
      </c>
      <c r="AD791" s="6" t="s">
        <v>75</v>
      </c>
      <c r="AE791" s="6" t="s">
        <v>3136</v>
      </c>
      <c r="AF791" s="6"/>
      <c r="AG791" s="6" t="s">
        <v>7079</v>
      </c>
      <c r="AH791" s="6" t="s">
        <v>79</v>
      </c>
    </row>
    <row r="792" spans="1:34" x14ac:dyDescent="0.25">
      <c r="A792" s="6" t="s">
        <v>2538</v>
      </c>
      <c r="B792" s="6" t="s">
        <v>2539</v>
      </c>
      <c r="C792" s="6" t="s">
        <v>8920</v>
      </c>
      <c r="D792" s="6" t="s">
        <v>2540</v>
      </c>
      <c r="E792" s="6" t="s">
        <v>3141</v>
      </c>
      <c r="F792" s="6" t="s">
        <v>3283</v>
      </c>
      <c r="G792" s="6" t="s">
        <v>72</v>
      </c>
      <c r="H792" s="6" t="s">
        <v>144</v>
      </c>
      <c r="I792" s="6" t="s">
        <v>92</v>
      </c>
      <c r="J792" s="6" t="s">
        <v>8921</v>
      </c>
      <c r="K792" s="6" t="s">
        <v>3159</v>
      </c>
      <c r="L792" s="6" t="s">
        <v>75</v>
      </c>
      <c r="M792" s="6" t="s">
        <v>3159</v>
      </c>
      <c r="N792" s="6" t="s">
        <v>3143</v>
      </c>
      <c r="O792" s="6" t="s">
        <v>3243</v>
      </c>
      <c r="P792" s="6" t="s">
        <v>6320</v>
      </c>
      <c r="Q792" s="6" t="s">
        <v>8922</v>
      </c>
      <c r="R792" s="6" t="s">
        <v>8923</v>
      </c>
      <c r="S792" s="6" t="s">
        <v>22</v>
      </c>
      <c r="T792" s="6" t="s">
        <v>8924</v>
      </c>
      <c r="U792" s="6" t="s">
        <v>3292</v>
      </c>
      <c r="V792" s="6" t="s">
        <v>4429</v>
      </c>
      <c r="W792" s="6" t="s">
        <v>6628</v>
      </c>
      <c r="X792" s="6" t="s">
        <v>77</v>
      </c>
      <c r="Y792" s="6" t="s">
        <v>3159</v>
      </c>
      <c r="Z792" s="6" t="s">
        <v>93</v>
      </c>
      <c r="AA792" s="6" t="s">
        <v>5064</v>
      </c>
      <c r="AB792" s="6"/>
      <c r="AC792" s="6" t="s">
        <v>3159</v>
      </c>
      <c r="AD792" s="6" t="s">
        <v>3243</v>
      </c>
      <c r="AE792" s="6" t="s">
        <v>3210</v>
      </c>
      <c r="AF792" s="6" t="s">
        <v>8925</v>
      </c>
      <c r="AG792" s="6" t="s">
        <v>8926</v>
      </c>
      <c r="AH792" s="6" t="s">
        <v>3334</v>
      </c>
    </row>
    <row r="793" spans="1:34" x14ac:dyDescent="0.25">
      <c r="A793" s="6" t="s">
        <v>2541</v>
      </c>
      <c r="B793" s="6" t="s">
        <v>300</v>
      </c>
      <c r="C793" s="6" t="s">
        <v>8927</v>
      </c>
      <c r="D793" s="6" t="s">
        <v>2542</v>
      </c>
      <c r="E793" s="6" t="s">
        <v>3157</v>
      </c>
      <c r="F793" s="6" t="s">
        <v>71</v>
      </c>
      <c r="G793" s="6" t="s">
        <v>106</v>
      </c>
      <c r="H793" s="6" t="s">
        <v>107</v>
      </c>
      <c r="I793" s="6" t="s">
        <v>92</v>
      </c>
      <c r="J793" s="6" t="s">
        <v>8928</v>
      </c>
      <c r="K793" s="6" t="s">
        <v>3159</v>
      </c>
      <c r="L793" s="6" t="s">
        <v>3141</v>
      </c>
      <c r="M793" s="6" t="s">
        <v>3142</v>
      </c>
      <c r="N793" s="6" t="s">
        <v>75</v>
      </c>
      <c r="O793" s="6" t="s">
        <v>75</v>
      </c>
      <c r="P793" s="6" t="s">
        <v>5575</v>
      </c>
      <c r="Q793" s="6" t="s">
        <v>8929</v>
      </c>
      <c r="R793" s="6" t="s">
        <v>8930</v>
      </c>
      <c r="S793" s="6" t="s">
        <v>23</v>
      </c>
      <c r="T793" s="6"/>
      <c r="U793" s="6" t="s">
        <v>3275</v>
      </c>
      <c r="V793" s="6" t="s">
        <v>8931</v>
      </c>
      <c r="W793" s="6" t="s">
        <v>3541</v>
      </c>
      <c r="X793" s="6" t="s">
        <v>85</v>
      </c>
      <c r="Y793" s="6" t="s">
        <v>3140</v>
      </c>
      <c r="Z793" s="6" t="s">
        <v>78</v>
      </c>
      <c r="AA793" s="6" t="s">
        <v>3439</v>
      </c>
      <c r="AB793" s="6" t="s">
        <v>8932</v>
      </c>
      <c r="AC793" s="6" t="s">
        <v>3141</v>
      </c>
      <c r="AD793" s="6" t="s">
        <v>3152</v>
      </c>
      <c r="AE793" s="6" t="s">
        <v>3318</v>
      </c>
      <c r="AF793" s="6" t="s">
        <v>8933</v>
      </c>
      <c r="AG793" s="6" t="s">
        <v>6134</v>
      </c>
      <c r="AH793" s="6" t="s">
        <v>79</v>
      </c>
    </row>
    <row r="794" spans="1:34" x14ac:dyDescent="0.25">
      <c r="A794" s="6" t="s">
        <v>2543</v>
      </c>
      <c r="B794" s="6" t="s">
        <v>2544</v>
      </c>
      <c r="C794" s="6" t="s">
        <v>2545</v>
      </c>
      <c r="D794" s="6" t="s">
        <v>2546</v>
      </c>
      <c r="E794" s="6" t="s">
        <v>3296</v>
      </c>
      <c r="F794" s="6" t="s">
        <v>3214</v>
      </c>
      <c r="G794" s="6" t="s">
        <v>3761</v>
      </c>
      <c r="H794" s="6" t="s">
        <v>84</v>
      </c>
      <c r="I794" s="6" t="s">
        <v>74</v>
      </c>
      <c r="J794" s="6" t="s">
        <v>8934</v>
      </c>
      <c r="K794" s="6" t="s">
        <v>3141</v>
      </c>
      <c r="L794" s="6" t="s">
        <v>3152</v>
      </c>
      <c r="M794" s="6" t="s">
        <v>3160</v>
      </c>
      <c r="N794" s="6" t="s">
        <v>75</v>
      </c>
      <c r="O794" s="6" t="s">
        <v>3143</v>
      </c>
      <c r="P794" s="6" t="s">
        <v>6753</v>
      </c>
      <c r="Q794" s="6" t="s">
        <v>8935</v>
      </c>
      <c r="R794" s="6" t="s">
        <v>8936</v>
      </c>
      <c r="S794" s="6" t="s">
        <v>23</v>
      </c>
      <c r="T794" s="6" t="s">
        <v>8937</v>
      </c>
      <c r="U794" s="6" t="s">
        <v>3141</v>
      </c>
      <c r="V794" s="6" t="s">
        <v>3207</v>
      </c>
      <c r="W794" s="6" t="s">
        <v>3342</v>
      </c>
      <c r="X794" s="6" t="s">
        <v>85</v>
      </c>
      <c r="Y794" s="6" t="s">
        <v>3159</v>
      </c>
      <c r="Z794" s="6" t="s">
        <v>78</v>
      </c>
      <c r="AA794" s="6" t="s">
        <v>3221</v>
      </c>
      <c r="AB794" s="6" t="s">
        <v>8938</v>
      </c>
      <c r="AC794" s="6" t="s">
        <v>3140</v>
      </c>
      <c r="AD794" s="6" t="s">
        <v>3143</v>
      </c>
      <c r="AE794" s="6" t="s">
        <v>3318</v>
      </c>
      <c r="AF794" s="6" t="s">
        <v>8939</v>
      </c>
      <c r="AG794" s="6" t="s">
        <v>8940</v>
      </c>
      <c r="AH794" s="6" t="s">
        <v>79</v>
      </c>
    </row>
    <row r="795" spans="1:34" x14ac:dyDescent="0.25">
      <c r="A795" s="6" t="s">
        <v>2547</v>
      </c>
      <c r="B795" s="6" t="s">
        <v>8941</v>
      </c>
      <c r="C795" s="6" t="s">
        <v>8942</v>
      </c>
      <c r="D795" s="6" t="s">
        <v>2549</v>
      </c>
      <c r="E795" s="6"/>
      <c r="F795" s="6" t="s">
        <v>89</v>
      </c>
      <c r="G795" s="6" t="s">
        <v>388</v>
      </c>
      <c r="H795" s="6" t="s">
        <v>107</v>
      </c>
      <c r="I795" s="6" t="s">
        <v>92</v>
      </c>
      <c r="J795" s="6"/>
      <c r="K795" s="6" t="s">
        <v>3159</v>
      </c>
      <c r="L795" s="6" t="s">
        <v>3160</v>
      </c>
      <c r="M795" s="6" t="s">
        <v>3196</v>
      </c>
      <c r="N795" s="6" t="s">
        <v>3160</v>
      </c>
      <c r="O795" s="6" t="s">
        <v>75</v>
      </c>
      <c r="P795" s="6" t="s">
        <v>4223</v>
      </c>
      <c r="Q795" s="6" t="s">
        <v>8943</v>
      </c>
      <c r="R795" s="6" t="s">
        <v>8944</v>
      </c>
      <c r="S795" s="6" t="s">
        <v>3412</v>
      </c>
      <c r="T795" s="6" t="s">
        <v>8945</v>
      </c>
      <c r="U795" s="6" t="s">
        <v>3292</v>
      </c>
      <c r="V795" s="6" t="s">
        <v>8946</v>
      </c>
      <c r="W795" s="6" t="s">
        <v>3365</v>
      </c>
      <c r="X795" s="6" t="s">
        <v>77</v>
      </c>
      <c r="Y795" s="6" t="s">
        <v>3141</v>
      </c>
      <c r="Z795" s="6" t="s">
        <v>78</v>
      </c>
      <c r="AA795" s="6" t="s">
        <v>3181</v>
      </c>
      <c r="AB795" s="6" t="s">
        <v>8947</v>
      </c>
      <c r="AC795" s="6" t="s">
        <v>3159</v>
      </c>
      <c r="AD795" s="6" t="s">
        <v>3160</v>
      </c>
      <c r="AE795" s="6" t="s">
        <v>3279</v>
      </c>
      <c r="AF795" s="6"/>
      <c r="AG795" s="6" t="s">
        <v>8948</v>
      </c>
      <c r="AH795" s="6" t="s">
        <v>3334</v>
      </c>
    </row>
    <row r="796" spans="1:34" x14ac:dyDescent="0.25">
      <c r="A796" s="6" t="s">
        <v>2550</v>
      </c>
      <c r="B796" s="6" t="s">
        <v>2551</v>
      </c>
      <c r="C796" s="6" t="s">
        <v>2552</v>
      </c>
      <c r="D796" s="6" t="s">
        <v>2553</v>
      </c>
      <c r="E796" s="6" t="s">
        <v>4828</v>
      </c>
      <c r="F796" s="6" t="s">
        <v>3137</v>
      </c>
      <c r="G796" s="6" t="s">
        <v>226</v>
      </c>
      <c r="H796" s="6" t="s">
        <v>144</v>
      </c>
      <c r="I796" s="6" t="s">
        <v>92</v>
      </c>
      <c r="J796" s="6" t="s">
        <v>3217</v>
      </c>
      <c r="K796" s="6" t="s">
        <v>3140</v>
      </c>
      <c r="L796" s="6" t="s">
        <v>3159</v>
      </c>
      <c r="M796" s="6" t="s">
        <v>3142</v>
      </c>
      <c r="N796" s="6" t="s">
        <v>3141</v>
      </c>
      <c r="O796" s="6" t="s">
        <v>3141</v>
      </c>
      <c r="P796" s="6" t="s">
        <v>4063</v>
      </c>
      <c r="Q796" s="6" t="s">
        <v>8949</v>
      </c>
      <c r="R796" s="6" t="s">
        <v>8950</v>
      </c>
      <c r="S796" s="6" t="s">
        <v>23</v>
      </c>
      <c r="T796" s="6" t="s">
        <v>8951</v>
      </c>
      <c r="U796" s="6" t="s">
        <v>3141</v>
      </c>
      <c r="V796" s="6" t="s">
        <v>8952</v>
      </c>
      <c r="W796" s="6" t="s">
        <v>3342</v>
      </c>
      <c r="X796" s="6" t="s">
        <v>85</v>
      </c>
      <c r="Y796" s="6" t="s">
        <v>3140</v>
      </c>
      <c r="Z796" s="6" t="s">
        <v>78</v>
      </c>
      <c r="AA796" s="6" t="s">
        <v>4067</v>
      </c>
      <c r="AB796" s="6"/>
      <c r="AC796" s="6" t="s">
        <v>3159</v>
      </c>
      <c r="AD796" s="6" t="s">
        <v>3152</v>
      </c>
      <c r="AE796" s="6" t="s">
        <v>3428</v>
      </c>
      <c r="AF796" s="6" t="s">
        <v>8953</v>
      </c>
      <c r="AG796" s="6" t="s">
        <v>8954</v>
      </c>
      <c r="AH796" s="6" t="s">
        <v>79</v>
      </c>
    </row>
    <row r="797" spans="1:34" x14ac:dyDescent="0.25">
      <c r="A797" s="6" t="s">
        <v>2554</v>
      </c>
      <c r="B797" s="6" t="s">
        <v>1142</v>
      </c>
      <c r="C797" s="6" t="s">
        <v>2555</v>
      </c>
      <c r="D797" s="6" t="s">
        <v>8955</v>
      </c>
      <c r="E797" s="6" t="s">
        <v>3157</v>
      </c>
      <c r="F797" s="6" t="s">
        <v>3269</v>
      </c>
      <c r="G797" s="6" t="s">
        <v>90</v>
      </c>
      <c r="H797" s="6" t="s">
        <v>84</v>
      </c>
      <c r="I797" s="6" t="s">
        <v>74</v>
      </c>
      <c r="J797" s="6" t="s">
        <v>8956</v>
      </c>
      <c r="K797" s="6" t="s">
        <v>3159</v>
      </c>
      <c r="L797" s="6" t="s">
        <v>75</v>
      </c>
      <c r="M797" s="6" t="s">
        <v>3173</v>
      </c>
      <c r="N797" s="6" t="s">
        <v>75</v>
      </c>
      <c r="O797" s="6" t="s">
        <v>75</v>
      </c>
      <c r="P797" s="6" t="s">
        <v>4481</v>
      </c>
      <c r="Q797" s="6" t="s">
        <v>8957</v>
      </c>
      <c r="R797" s="6" t="s">
        <v>8958</v>
      </c>
      <c r="S797" s="6" t="s">
        <v>23</v>
      </c>
      <c r="T797" s="6" t="s">
        <v>8959</v>
      </c>
      <c r="U797" s="6" t="s">
        <v>3394</v>
      </c>
      <c r="V797" s="6" t="s">
        <v>8866</v>
      </c>
      <c r="W797" s="6" t="s">
        <v>3395</v>
      </c>
      <c r="X797" s="6" t="s">
        <v>85</v>
      </c>
      <c r="Y797" s="6" t="s">
        <v>3141</v>
      </c>
      <c r="Z797" s="6" t="s">
        <v>93</v>
      </c>
      <c r="AA797" s="6" t="s">
        <v>7260</v>
      </c>
      <c r="AB797" s="6" t="s">
        <v>8960</v>
      </c>
      <c r="AC797" s="6" t="s">
        <v>3159</v>
      </c>
      <c r="AD797" s="6" t="s">
        <v>3152</v>
      </c>
      <c r="AE797" s="6" t="s">
        <v>3331</v>
      </c>
      <c r="AF797" s="6" t="s">
        <v>8961</v>
      </c>
      <c r="AG797" s="6" t="s">
        <v>8962</v>
      </c>
      <c r="AH797" s="6" t="s">
        <v>79</v>
      </c>
    </row>
    <row r="798" spans="1:34" x14ac:dyDescent="0.25">
      <c r="A798" s="6" t="s">
        <v>2557</v>
      </c>
      <c r="B798" s="6" t="s">
        <v>8963</v>
      </c>
      <c r="C798" s="6" t="s">
        <v>8964</v>
      </c>
      <c r="D798" s="6" t="s">
        <v>8965</v>
      </c>
      <c r="E798" s="6" t="s">
        <v>3760</v>
      </c>
      <c r="F798" s="6" t="s">
        <v>3137</v>
      </c>
      <c r="G798" s="6" t="s">
        <v>388</v>
      </c>
      <c r="H798" s="6" t="s">
        <v>73</v>
      </c>
      <c r="I798" s="6" t="s">
        <v>74</v>
      </c>
      <c r="J798" s="6"/>
      <c r="K798" s="6" t="s">
        <v>3141</v>
      </c>
      <c r="L798" s="6" t="s">
        <v>75</v>
      </c>
      <c r="M798" s="6" t="s">
        <v>3143</v>
      </c>
      <c r="N798" s="6" t="s">
        <v>3243</v>
      </c>
      <c r="O798" s="6" t="s">
        <v>75</v>
      </c>
      <c r="P798" s="6" t="s">
        <v>7843</v>
      </c>
      <c r="Q798" s="6" t="s">
        <v>8966</v>
      </c>
      <c r="R798" s="6" t="s">
        <v>8967</v>
      </c>
      <c r="S798" s="6" t="s">
        <v>20</v>
      </c>
      <c r="T798" s="6" t="s">
        <v>8968</v>
      </c>
      <c r="U798" s="6" t="s">
        <v>3141</v>
      </c>
      <c r="V798" s="6" t="s">
        <v>8284</v>
      </c>
      <c r="W798" s="6" t="s">
        <v>3264</v>
      </c>
      <c r="X798" s="6" t="s">
        <v>85</v>
      </c>
      <c r="Y798" s="6" t="s">
        <v>3141</v>
      </c>
      <c r="Z798" s="6" t="s">
        <v>78</v>
      </c>
      <c r="AA798" s="6" t="s">
        <v>3383</v>
      </c>
      <c r="AB798" s="6"/>
      <c r="AC798" s="6" t="s">
        <v>3141</v>
      </c>
      <c r="AD798" s="6" t="s">
        <v>3143</v>
      </c>
      <c r="AE798" s="6" t="s">
        <v>3293</v>
      </c>
      <c r="AF798" s="6"/>
      <c r="AG798" s="6" t="s">
        <v>8969</v>
      </c>
      <c r="AH798" s="6" t="s">
        <v>79</v>
      </c>
    </row>
    <row r="799" spans="1:34" x14ac:dyDescent="0.25">
      <c r="A799" s="6" t="s">
        <v>2560</v>
      </c>
      <c r="B799" s="6" t="s">
        <v>2561</v>
      </c>
      <c r="C799" s="6" t="s">
        <v>8970</v>
      </c>
      <c r="D799" s="6" t="s">
        <v>8971</v>
      </c>
      <c r="E799" s="6" t="s">
        <v>3921</v>
      </c>
      <c r="F799" s="6" t="s">
        <v>3283</v>
      </c>
      <c r="G799" s="6" t="s">
        <v>72</v>
      </c>
      <c r="H799" s="6" t="s">
        <v>132</v>
      </c>
      <c r="I799" s="6" t="s">
        <v>92</v>
      </c>
      <c r="J799" s="6" t="s">
        <v>8972</v>
      </c>
      <c r="K799" s="6" t="s">
        <v>3159</v>
      </c>
      <c r="L799" s="6" t="s">
        <v>3196</v>
      </c>
      <c r="M799" s="6" t="s">
        <v>3141</v>
      </c>
      <c r="N799" s="6" t="s">
        <v>3152</v>
      </c>
      <c r="O799" s="6" t="s">
        <v>3243</v>
      </c>
      <c r="P799" s="6" t="s">
        <v>7301</v>
      </c>
      <c r="Q799" s="6" t="s">
        <v>8973</v>
      </c>
      <c r="R799" s="6" t="s">
        <v>8974</v>
      </c>
      <c r="S799" s="6" t="s">
        <v>22</v>
      </c>
      <c r="T799" s="6" t="s">
        <v>8975</v>
      </c>
      <c r="U799" s="6" t="s">
        <v>3140</v>
      </c>
      <c r="V799" s="6" t="s">
        <v>8976</v>
      </c>
      <c r="W799" s="6" t="s">
        <v>4013</v>
      </c>
      <c r="X799" s="6" t="s">
        <v>77</v>
      </c>
      <c r="Y799" s="6" t="s">
        <v>3141</v>
      </c>
      <c r="Z799" s="6" t="s">
        <v>78</v>
      </c>
      <c r="AA799" s="6" t="s">
        <v>4485</v>
      </c>
      <c r="AB799" s="6"/>
      <c r="AC799" s="6" t="s">
        <v>3292</v>
      </c>
      <c r="AD799" s="6" t="s">
        <v>3243</v>
      </c>
      <c r="AE799" s="6" t="s">
        <v>3136</v>
      </c>
      <c r="AF799" s="6" t="s">
        <v>8977</v>
      </c>
      <c r="AG799" s="6"/>
      <c r="AH799" s="6" t="s">
        <v>79</v>
      </c>
    </row>
    <row r="800" spans="1:34" x14ac:dyDescent="0.25">
      <c r="A800" s="6" t="s">
        <v>2563</v>
      </c>
      <c r="B800" s="6" t="s">
        <v>2564</v>
      </c>
      <c r="C800" s="6" t="s">
        <v>8978</v>
      </c>
      <c r="D800" s="6" t="s">
        <v>2565</v>
      </c>
      <c r="E800" s="6" t="s">
        <v>4358</v>
      </c>
      <c r="F800" s="6" t="s">
        <v>3214</v>
      </c>
      <c r="G800" s="6" t="s">
        <v>153</v>
      </c>
      <c r="H800" s="6" t="s">
        <v>84</v>
      </c>
      <c r="I800" s="6" t="s">
        <v>74</v>
      </c>
      <c r="J800" s="6" t="s">
        <v>8979</v>
      </c>
      <c r="K800" s="6" t="s">
        <v>3141</v>
      </c>
      <c r="L800" s="6" t="s">
        <v>75</v>
      </c>
      <c r="M800" s="6" t="s">
        <v>3143</v>
      </c>
      <c r="N800" s="6" t="s">
        <v>3141</v>
      </c>
      <c r="O800" s="6" t="s">
        <v>75</v>
      </c>
      <c r="P800" s="6" t="s">
        <v>8980</v>
      </c>
      <c r="Q800" s="6" t="s">
        <v>3217</v>
      </c>
      <c r="R800" s="6" t="s">
        <v>8981</v>
      </c>
      <c r="S800" s="6" t="s">
        <v>7464</v>
      </c>
      <c r="T800" s="6" t="s">
        <v>3217</v>
      </c>
      <c r="U800" s="6" t="s">
        <v>3140</v>
      </c>
      <c r="V800" s="6" t="s">
        <v>8982</v>
      </c>
      <c r="W800" s="6" t="s">
        <v>4873</v>
      </c>
      <c r="X800" s="6" t="s">
        <v>3290</v>
      </c>
      <c r="Y800" s="6" t="s">
        <v>3159</v>
      </c>
      <c r="Z800" s="6" t="s">
        <v>93</v>
      </c>
      <c r="AA800" s="6" t="s">
        <v>4669</v>
      </c>
      <c r="AB800" s="6"/>
      <c r="AC800" s="6" t="s">
        <v>3141</v>
      </c>
      <c r="AD800" s="6" t="s">
        <v>3243</v>
      </c>
      <c r="AE800" s="6" t="s">
        <v>3622</v>
      </c>
      <c r="AF800" s="6" t="s">
        <v>8983</v>
      </c>
      <c r="AG800" s="6" t="s">
        <v>8984</v>
      </c>
      <c r="AH800" s="6" t="s">
        <v>79</v>
      </c>
    </row>
    <row r="801" spans="1:34" x14ac:dyDescent="0.25">
      <c r="A801" s="6" t="s">
        <v>2566</v>
      </c>
      <c r="B801" s="6" t="s">
        <v>2567</v>
      </c>
      <c r="C801" s="6" t="s">
        <v>2568</v>
      </c>
      <c r="D801" s="6" t="s">
        <v>2569</v>
      </c>
      <c r="E801" s="6" t="s">
        <v>3254</v>
      </c>
      <c r="F801" s="6" t="s">
        <v>3283</v>
      </c>
      <c r="G801" s="6" t="s">
        <v>115</v>
      </c>
      <c r="H801" s="6" t="s">
        <v>8985</v>
      </c>
      <c r="I801" s="6" t="s">
        <v>92</v>
      </c>
      <c r="J801" s="6" t="s">
        <v>8986</v>
      </c>
      <c r="K801" s="6" t="s">
        <v>3292</v>
      </c>
      <c r="L801" s="6" t="s">
        <v>3142</v>
      </c>
      <c r="M801" s="6" t="s">
        <v>3142</v>
      </c>
      <c r="N801" s="6" t="s">
        <v>3160</v>
      </c>
      <c r="O801" s="6" t="s">
        <v>3188</v>
      </c>
      <c r="P801" s="6" t="s">
        <v>3940</v>
      </c>
      <c r="Q801" s="6" t="s">
        <v>8987</v>
      </c>
      <c r="R801" s="6" t="s">
        <v>8988</v>
      </c>
      <c r="S801" s="6" t="s">
        <v>20</v>
      </c>
      <c r="T801" s="6" t="s">
        <v>8989</v>
      </c>
      <c r="U801" s="6" t="s">
        <v>3159</v>
      </c>
      <c r="V801" s="6" t="s">
        <v>4185</v>
      </c>
      <c r="W801" s="6" t="s">
        <v>4568</v>
      </c>
      <c r="X801" s="6" t="s">
        <v>85</v>
      </c>
      <c r="Y801" s="6" t="s">
        <v>3140</v>
      </c>
      <c r="Z801" s="6" t="s">
        <v>93</v>
      </c>
      <c r="AA801" s="6" t="s">
        <v>3468</v>
      </c>
      <c r="AB801" s="6" t="s">
        <v>8990</v>
      </c>
      <c r="AC801" s="6" t="s">
        <v>3141</v>
      </c>
      <c r="AD801" s="6" t="s">
        <v>75</v>
      </c>
      <c r="AE801" s="6" t="s">
        <v>3235</v>
      </c>
      <c r="AF801" s="6"/>
      <c r="AG801" s="6" t="s">
        <v>8991</v>
      </c>
      <c r="AH801" s="6" t="s">
        <v>79</v>
      </c>
    </row>
    <row r="802" spans="1:34" x14ac:dyDescent="0.25">
      <c r="A802" s="6" t="s">
        <v>2570</v>
      </c>
      <c r="B802" s="6" t="s">
        <v>1365</v>
      </c>
      <c r="C802" s="6" t="s">
        <v>8992</v>
      </c>
      <c r="D802" s="6" t="s">
        <v>2571</v>
      </c>
      <c r="E802" s="6" t="s">
        <v>4358</v>
      </c>
      <c r="F802" s="6" t="s">
        <v>3201</v>
      </c>
      <c r="G802" s="6" t="s">
        <v>6189</v>
      </c>
      <c r="H802" s="6" t="s">
        <v>6095</v>
      </c>
      <c r="I802" s="6" t="s">
        <v>92</v>
      </c>
      <c r="J802" s="6" t="s">
        <v>8993</v>
      </c>
      <c r="K802" s="6" t="s">
        <v>3292</v>
      </c>
      <c r="L802" s="6" t="s">
        <v>3173</v>
      </c>
      <c r="M802" s="6" t="s">
        <v>3188</v>
      </c>
      <c r="N802" s="6" t="s">
        <v>3173</v>
      </c>
      <c r="O802" s="6" t="s">
        <v>3152</v>
      </c>
      <c r="P802" s="6" t="s">
        <v>4657</v>
      </c>
      <c r="Q802" s="6" t="s">
        <v>3217</v>
      </c>
      <c r="R802" s="6" t="s">
        <v>8994</v>
      </c>
      <c r="S802" s="6" t="s">
        <v>3412</v>
      </c>
      <c r="T802" s="6" t="s">
        <v>8995</v>
      </c>
      <c r="U802" s="6" t="s">
        <v>3292</v>
      </c>
      <c r="V802" s="6" t="s">
        <v>7095</v>
      </c>
      <c r="W802" s="6" t="s">
        <v>5046</v>
      </c>
      <c r="X802" s="6" t="s">
        <v>77</v>
      </c>
      <c r="Y802" s="6" t="s">
        <v>3140</v>
      </c>
      <c r="Z802" s="6" t="s">
        <v>93</v>
      </c>
      <c r="AA802" s="6" t="s">
        <v>8996</v>
      </c>
      <c r="AB802" s="6"/>
      <c r="AC802" s="6" t="s">
        <v>3141</v>
      </c>
      <c r="AD802" s="6" t="s">
        <v>3243</v>
      </c>
      <c r="AE802" s="6" t="s">
        <v>3279</v>
      </c>
      <c r="AF802" s="6"/>
      <c r="AG802" s="6" t="s">
        <v>3684</v>
      </c>
      <c r="AH802" s="6" t="s">
        <v>79</v>
      </c>
    </row>
    <row r="803" spans="1:34" x14ac:dyDescent="0.25">
      <c r="A803" s="6" t="s">
        <v>2572</v>
      </c>
      <c r="B803" s="6" t="s">
        <v>1821</v>
      </c>
      <c r="C803" s="6" t="s">
        <v>8997</v>
      </c>
      <c r="D803" s="6" t="s">
        <v>8998</v>
      </c>
      <c r="E803" s="6" t="s">
        <v>3460</v>
      </c>
      <c r="F803" s="6" t="s">
        <v>71</v>
      </c>
      <c r="G803" s="6" t="s">
        <v>115</v>
      </c>
      <c r="H803" s="6" t="s">
        <v>144</v>
      </c>
      <c r="I803" s="6" t="s">
        <v>92</v>
      </c>
      <c r="J803" s="6" t="s">
        <v>8999</v>
      </c>
      <c r="K803" s="6" t="s">
        <v>3140</v>
      </c>
      <c r="L803" s="6" t="s">
        <v>3142</v>
      </c>
      <c r="M803" s="6" t="s">
        <v>3141</v>
      </c>
      <c r="N803" s="6" t="s">
        <v>3188</v>
      </c>
      <c r="O803" s="6" t="s">
        <v>3141</v>
      </c>
      <c r="P803" s="6" t="s">
        <v>9000</v>
      </c>
      <c r="Q803" s="6" t="s">
        <v>9001</v>
      </c>
      <c r="R803" s="6" t="s">
        <v>9002</v>
      </c>
      <c r="S803" s="6" t="s">
        <v>22</v>
      </c>
      <c r="T803" s="6" t="s">
        <v>9003</v>
      </c>
      <c r="U803" s="6" t="s">
        <v>3275</v>
      </c>
      <c r="V803" s="6" t="s">
        <v>4787</v>
      </c>
      <c r="W803" s="6" t="s">
        <v>4592</v>
      </c>
      <c r="X803" s="6" t="s">
        <v>77</v>
      </c>
      <c r="Y803" s="6" t="s">
        <v>3140</v>
      </c>
      <c r="Z803" s="6" t="s">
        <v>78</v>
      </c>
      <c r="AA803" s="6" t="s">
        <v>3383</v>
      </c>
      <c r="AB803" s="6"/>
      <c r="AC803" s="6" t="s">
        <v>3159</v>
      </c>
      <c r="AD803" s="6" t="s">
        <v>3152</v>
      </c>
      <c r="AE803" s="6" t="s">
        <v>3136</v>
      </c>
      <c r="AF803" s="6" t="s">
        <v>9004</v>
      </c>
      <c r="AG803" s="6" t="s">
        <v>9005</v>
      </c>
      <c r="AH803" s="6" t="s">
        <v>79</v>
      </c>
    </row>
    <row r="804" spans="1:34" x14ac:dyDescent="0.25">
      <c r="A804" s="6" t="s">
        <v>2574</v>
      </c>
      <c r="B804" s="6" t="s">
        <v>2575</v>
      </c>
      <c r="C804" s="6" t="s">
        <v>2576</v>
      </c>
      <c r="D804" s="6" t="s">
        <v>2577</v>
      </c>
      <c r="E804" s="6" t="s">
        <v>4155</v>
      </c>
      <c r="F804" s="6" t="s">
        <v>3227</v>
      </c>
      <c r="G804" s="6" t="s">
        <v>226</v>
      </c>
      <c r="H804" s="6" t="s">
        <v>103</v>
      </c>
      <c r="I804" s="6" t="s">
        <v>74</v>
      </c>
      <c r="J804" s="6" t="s">
        <v>3217</v>
      </c>
      <c r="K804" s="6" t="s">
        <v>3141</v>
      </c>
      <c r="L804" s="6" t="s">
        <v>3141</v>
      </c>
      <c r="M804" s="6" t="s">
        <v>3143</v>
      </c>
      <c r="N804" s="6" t="s">
        <v>75</v>
      </c>
      <c r="O804" s="6" t="s">
        <v>3243</v>
      </c>
      <c r="P804" s="6" t="s">
        <v>9006</v>
      </c>
      <c r="Q804" s="6" t="s">
        <v>9007</v>
      </c>
      <c r="R804" s="6" t="s">
        <v>9008</v>
      </c>
      <c r="S804" s="6" t="s">
        <v>23</v>
      </c>
      <c r="T804" s="6" t="s">
        <v>9009</v>
      </c>
      <c r="U804" s="6" t="s">
        <v>3159</v>
      </c>
      <c r="V804" s="6" t="s">
        <v>9010</v>
      </c>
      <c r="W804" s="6" t="s">
        <v>3943</v>
      </c>
      <c r="X804" s="6" t="s">
        <v>3353</v>
      </c>
      <c r="Y804" s="6" t="s">
        <v>3140</v>
      </c>
      <c r="Z804" s="6" t="s">
        <v>78</v>
      </c>
      <c r="AA804" s="6" t="s">
        <v>3416</v>
      </c>
      <c r="AB804" s="6"/>
      <c r="AC804" s="6" t="s">
        <v>3141</v>
      </c>
      <c r="AD804" s="6" t="s">
        <v>75</v>
      </c>
      <c r="AE804" s="6" t="s">
        <v>3513</v>
      </c>
      <c r="AF804" s="6" t="s">
        <v>9011</v>
      </c>
      <c r="AG804" s="6" t="s">
        <v>9012</v>
      </c>
      <c r="AH804" s="6" t="s">
        <v>79</v>
      </c>
    </row>
    <row r="805" spans="1:34" x14ac:dyDescent="0.25">
      <c r="A805" s="6" t="s">
        <v>2578</v>
      </c>
      <c r="B805" s="6" t="s">
        <v>2579</v>
      </c>
      <c r="C805" s="6" t="s">
        <v>9013</v>
      </c>
      <c r="D805" s="6" t="s">
        <v>9014</v>
      </c>
      <c r="E805" s="6" t="s">
        <v>3432</v>
      </c>
      <c r="F805" s="6" t="s">
        <v>3227</v>
      </c>
      <c r="G805" s="6" t="s">
        <v>5235</v>
      </c>
      <c r="H805" s="6" t="s">
        <v>99</v>
      </c>
      <c r="I805" s="6" t="s">
        <v>74</v>
      </c>
      <c r="J805" s="6" t="s">
        <v>9015</v>
      </c>
      <c r="K805" s="6" t="s">
        <v>3159</v>
      </c>
      <c r="L805" s="6" t="s">
        <v>75</v>
      </c>
      <c r="M805" s="6" t="s">
        <v>3188</v>
      </c>
      <c r="N805" s="6" t="s">
        <v>3243</v>
      </c>
      <c r="O805" s="6" t="s">
        <v>75</v>
      </c>
      <c r="P805" s="6" t="s">
        <v>9016</v>
      </c>
      <c r="Q805" s="6" t="s">
        <v>9017</v>
      </c>
      <c r="R805" s="6" t="s">
        <v>9018</v>
      </c>
      <c r="S805" s="6" t="s">
        <v>23</v>
      </c>
      <c r="T805" s="6" t="s">
        <v>9019</v>
      </c>
      <c r="U805" s="6" t="s">
        <v>3159</v>
      </c>
      <c r="V805" s="6" t="s">
        <v>7628</v>
      </c>
      <c r="W805" s="6" t="s">
        <v>3455</v>
      </c>
      <c r="X805" s="6" t="s">
        <v>85</v>
      </c>
      <c r="Y805" s="6" t="s">
        <v>3159</v>
      </c>
      <c r="Z805" s="6" t="s">
        <v>3895</v>
      </c>
      <c r="AA805" s="6" t="s">
        <v>3317</v>
      </c>
      <c r="AB805" s="6"/>
      <c r="AC805" s="6" t="s">
        <v>3140</v>
      </c>
      <c r="AD805" s="6" t="s">
        <v>3243</v>
      </c>
      <c r="AE805" s="6" t="s">
        <v>3318</v>
      </c>
      <c r="AF805" s="6" t="s">
        <v>9020</v>
      </c>
      <c r="AG805" s="6" t="s">
        <v>9021</v>
      </c>
      <c r="AH805" s="6" t="s">
        <v>4004</v>
      </c>
    </row>
    <row r="806" spans="1:34" x14ac:dyDescent="0.25">
      <c r="A806" s="6"/>
      <c r="B806" s="6" t="s">
        <v>9022</v>
      </c>
      <c r="C806" s="6" t="s">
        <v>9023</v>
      </c>
      <c r="D806" s="6" t="s">
        <v>2582</v>
      </c>
      <c r="E806" s="6" t="s">
        <v>3471</v>
      </c>
      <c r="F806" s="6" t="s">
        <v>3227</v>
      </c>
      <c r="G806" s="6" t="s">
        <v>3712</v>
      </c>
      <c r="H806" s="6" t="s">
        <v>107</v>
      </c>
      <c r="I806" s="6" t="s">
        <v>92</v>
      </c>
      <c r="J806" s="6"/>
      <c r="K806" s="6" t="s">
        <v>3159</v>
      </c>
      <c r="L806" s="6" t="s">
        <v>76</v>
      </c>
      <c r="M806" s="6" t="s">
        <v>3143</v>
      </c>
      <c r="N806" s="6" t="s">
        <v>75</v>
      </c>
      <c r="O806" s="6" t="s">
        <v>3141</v>
      </c>
      <c r="P806" s="6" t="s">
        <v>9024</v>
      </c>
      <c r="Q806" s="6" t="s">
        <v>9025</v>
      </c>
      <c r="R806" s="6" t="s">
        <v>9026</v>
      </c>
      <c r="S806" s="6" t="s">
        <v>22</v>
      </c>
      <c r="T806" s="6" t="s">
        <v>9027</v>
      </c>
      <c r="U806" s="6" t="s">
        <v>3159</v>
      </c>
      <c r="V806" s="6" t="s">
        <v>4707</v>
      </c>
      <c r="W806" s="6" t="s">
        <v>3374</v>
      </c>
      <c r="X806" s="6" t="s">
        <v>85</v>
      </c>
      <c r="Y806" s="6" t="s">
        <v>3141</v>
      </c>
      <c r="Z806" s="6" t="s">
        <v>93</v>
      </c>
      <c r="AA806" s="6" t="s">
        <v>4108</v>
      </c>
      <c r="AB806" s="6"/>
      <c r="AC806" s="6" t="s">
        <v>3292</v>
      </c>
      <c r="AD806" s="6" t="s">
        <v>3243</v>
      </c>
      <c r="AE806" s="6" t="s">
        <v>3136</v>
      </c>
      <c r="AF806" s="6" t="s">
        <v>9028</v>
      </c>
      <c r="AG806" s="6"/>
      <c r="AH806" s="6" t="s">
        <v>79</v>
      </c>
    </row>
    <row r="807" spans="1:34" x14ac:dyDescent="0.25">
      <c r="A807" s="6" t="s">
        <v>2583</v>
      </c>
      <c r="B807" s="6" t="s">
        <v>2354</v>
      </c>
      <c r="C807" s="6" t="s">
        <v>9029</v>
      </c>
      <c r="D807" s="6" t="s">
        <v>2584</v>
      </c>
      <c r="E807" s="6" t="s">
        <v>3388</v>
      </c>
      <c r="F807" s="6" t="s">
        <v>89</v>
      </c>
      <c r="G807" s="6" t="s">
        <v>226</v>
      </c>
      <c r="H807" s="6" t="s">
        <v>73</v>
      </c>
      <c r="I807" s="6" t="s">
        <v>74</v>
      </c>
      <c r="J807" s="6" t="s">
        <v>9030</v>
      </c>
      <c r="K807" s="6" t="s">
        <v>3159</v>
      </c>
      <c r="L807" s="6" t="s">
        <v>3173</v>
      </c>
      <c r="M807" s="6" t="s">
        <v>3243</v>
      </c>
      <c r="N807" s="6" t="s">
        <v>3143</v>
      </c>
      <c r="O807" s="6" t="s">
        <v>75</v>
      </c>
      <c r="P807" s="6" t="s">
        <v>9031</v>
      </c>
      <c r="Q807" s="6" t="s">
        <v>9032</v>
      </c>
      <c r="R807" s="6" t="s">
        <v>9033</v>
      </c>
      <c r="S807" s="6" t="s">
        <v>21</v>
      </c>
      <c r="T807" s="6" t="s">
        <v>9034</v>
      </c>
      <c r="U807" s="6" t="s">
        <v>3192</v>
      </c>
      <c r="V807" s="6" t="s">
        <v>9035</v>
      </c>
      <c r="W807" s="6" t="s">
        <v>3317</v>
      </c>
      <c r="X807" s="6" t="s">
        <v>85</v>
      </c>
      <c r="Y807" s="6" t="s">
        <v>3141</v>
      </c>
      <c r="Z807" s="6" t="s">
        <v>194</v>
      </c>
      <c r="AA807" s="6" t="s">
        <v>4943</v>
      </c>
      <c r="AB807" s="6"/>
      <c r="AC807" s="6" t="s">
        <v>3141</v>
      </c>
      <c r="AD807" s="6" t="s">
        <v>3188</v>
      </c>
      <c r="AE807" s="6" t="s">
        <v>3293</v>
      </c>
      <c r="AF807" s="6"/>
      <c r="AG807" s="6" t="s">
        <v>3979</v>
      </c>
      <c r="AH807" s="6" t="s">
        <v>79</v>
      </c>
    </row>
    <row r="808" spans="1:34" x14ac:dyDescent="0.25">
      <c r="A808" s="6" t="s">
        <v>2585</v>
      </c>
      <c r="B808" s="6" t="s">
        <v>2586</v>
      </c>
      <c r="C808" s="6" t="s">
        <v>2587</v>
      </c>
      <c r="D808" s="6" t="s">
        <v>2588</v>
      </c>
      <c r="E808" s="6" t="s">
        <v>4190</v>
      </c>
      <c r="F808" s="6" t="s">
        <v>3137</v>
      </c>
      <c r="G808" s="6" t="s">
        <v>388</v>
      </c>
      <c r="H808" s="6" t="s">
        <v>91</v>
      </c>
      <c r="I808" s="6" t="s">
        <v>92</v>
      </c>
      <c r="J808" s="6" t="s">
        <v>9036</v>
      </c>
      <c r="K808" s="6" t="s">
        <v>3141</v>
      </c>
      <c r="L808" s="6" t="s">
        <v>3143</v>
      </c>
      <c r="M808" s="6" t="s">
        <v>75</v>
      </c>
      <c r="N808" s="6" t="s">
        <v>3160</v>
      </c>
      <c r="O808" s="6" t="s">
        <v>3243</v>
      </c>
      <c r="P808" s="6" t="s">
        <v>9037</v>
      </c>
      <c r="Q808" s="6" t="s">
        <v>9038</v>
      </c>
      <c r="R808" s="6" t="s">
        <v>9039</v>
      </c>
      <c r="S808" s="6" t="s">
        <v>23</v>
      </c>
      <c r="T808" s="6" t="s">
        <v>9040</v>
      </c>
      <c r="U808" s="6" t="s">
        <v>3140</v>
      </c>
      <c r="V808" s="6" t="s">
        <v>9041</v>
      </c>
      <c r="W808" s="6" t="s">
        <v>3478</v>
      </c>
      <c r="X808" s="6" t="s">
        <v>85</v>
      </c>
      <c r="Y808" s="6" t="s">
        <v>3292</v>
      </c>
      <c r="Z808" s="6" t="s">
        <v>93</v>
      </c>
      <c r="AA808" s="6" t="s">
        <v>3405</v>
      </c>
      <c r="AB808" s="6"/>
      <c r="AC808" s="6" t="s">
        <v>3140</v>
      </c>
      <c r="AD808" s="6" t="s">
        <v>75</v>
      </c>
      <c r="AE808" s="6" t="s">
        <v>3318</v>
      </c>
      <c r="AF808" s="6" t="s">
        <v>9042</v>
      </c>
      <c r="AG808" s="6" t="s">
        <v>9043</v>
      </c>
      <c r="AH808" s="6" t="s">
        <v>3957</v>
      </c>
    </row>
    <row r="809" spans="1:34" x14ac:dyDescent="0.25">
      <c r="A809" s="6" t="s">
        <v>2589</v>
      </c>
      <c r="B809" s="6" t="s">
        <v>2590</v>
      </c>
      <c r="C809" s="6" t="s">
        <v>2591</v>
      </c>
      <c r="D809" s="6" t="s">
        <v>2592</v>
      </c>
      <c r="E809" s="6" t="s">
        <v>3185</v>
      </c>
      <c r="F809" s="6" t="s">
        <v>71</v>
      </c>
      <c r="G809" s="6" t="s">
        <v>72</v>
      </c>
      <c r="H809" s="6" t="s">
        <v>84</v>
      </c>
      <c r="I809" s="6" t="s">
        <v>74</v>
      </c>
      <c r="J809" s="6" t="s">
        <v>9044</v>
      </c>
      <c r="K809" s="6" t="s">
        <v>3159</v>
      </c>
      <c r="L809" s="6" t="s">
        <v>3243</v>
      </c>
      <c r="M809" s="6" t="s">
        <v>3196</v>
      </c>
      <c r="N809" s="6" t="s">
        <v>3141</v>
      </c>
      <c r="O809" s="6" t="s">
        <v>3243</v>
      </c>
      <c r="P809" s="6" t="s">
        <v>7735</v>
      </c>
      <c r="Q809" s="6" t="s">
        <v>3217</v>
      </c>
      <c r="R809" s="6" t="s">
        <v>9045</v>
      </c>
      <c r="S809" s="6" t="s">
        <v>20</v>
      </c>
      <c r="T809" s="6" t="s">
        <v>9046</v>
      </c>
      <c r="U809" s="6" t="s">
        <v>3192</v>
      </c>
      <c r="V809" s="6" t="s">
        <v>8764</v>
      </c>
      <c r="W809" s="6" t="s">
        <v>3264</v>
      </c>
      <c r="X809" s="6" t="s">
        <v>85</v>
      </c>
      <c r="Y809" s="6" t="s">
        <v>3292</v>
      </c>
      <c r="Z809" s="6" t="s">
        <v>93</v>
      </c>
      <c r="AA809" s="6" t="s">
        <v>5064</v>
      </c>
      <c r="AB809" s="6"/>
      <c r="AC809" s="6" t="s">
        <v>3141</v>
      </c>
      <c r="AD809" s="6" t="s">
        <v>3141</v>
      </c>
      <c r="AE809" s="6" t="s">
        <v>3293</v>
      </c>
      <c r="AF809" s="6"/>
      <c r="AG809" s="6" t="s">
        <v>9047</v>
      </c>
      <c r="AH809" s="6" t="s">
        <v>79</v>
      </c>
    </row>
    <row r="810" spans="1:34" x14ac:dyDescent="0.25">
      <c r="A810" s="6" t="s">
        <v>2593</v>
      </c>
      <c r="B810" s="6" t="s">
        <v>6021</v>
      </c>
      <c r="C810" s="6" t="s">
        <v>2594</v>
      </c>
      <c r="D810" s="6" t="s">
        <v>2595</v>
      </c>
      <c r="E810" s="6" t="s">
        <v>3136</v>
      </c>
      <c r="F810" s="6" t="s">
        <v>3137</v>
      </c>
      <c r="G810" s="6" t="s">
        <v>106</v>
      </c>
      <c r="H810" s="6" t="s">
        <v>99</v>
      </c>
      <c r="I810" s="6" t="s">
        <v>74</v>
      </c>
      <c r="J810" s="6" t="s">
        <v>9048</v>
      </c>
      <c r="K810" s="6" t="s">
        <v>3141</v>
      </c>
      <c r="L810" s="6" t="s">
        <v>3141</v>
      </c>
      <c r="M810" s="6" t="s">
        <v>3152</v>
      </c>
      <c r="N810" s="6" t="s">
        <v>3160</v>
      </c>
      <c r="O810" s="6" t="s">
        <v>3152</v>
      </c>
      <c r="P810" s="6" t="s">
        <v>8749</v>
      </c>
      <c r="Q810" s="6" t="s">
        <v>9049</v>
      </c>
      <c r="R810" s="6" t="s">
        <v>9050</v>
      </c>
      <c r="S810" s="6" t="s">
        <v>3287</v>
      </c>
      <c r="T810" s="6" t="s">
        <v>9051</v>
      </c>
      <c r="U810" s="6" t="s">
        <v>3159</v>
      </c>
      <c r="V810" s="6" t="s">
        <v>4644</v>
      </c>
      <c r="W810" s="6" t="s">
        <v>4441</v>
      </c>
      <c r="X810" s="6" t="s">
        <v>85</v>
      </c>
      <c r="Y810" s="6" t="s">
        <v>3140</v>
      </c>
      <c r="Z810" s="6" t="s">
        <v>78</v>
      </c>
      <c r="AA810" s="6" t="s">
        <v>4981</v>
      </c>
      <c r="AB810" s="6" t="s">
        <v>9052</v>
      </c>
      <c r="AC810" s="6" t="s">
        <v>3141</v>
      </c>
      <c r="AD810" s="6" t="s">
        <v>3141</v>
      </c>
      <c r="AE810" s="6" t="s">
        <v>3235</v>
      </c>
      <c r="AF810" s="6"/>
      <c r="AG810" s="6" t="s">
        <v>8258</v>
      </c>
      <c r="AH810" s="6" t="s">
        <v>79</v>
      </c>
    </row>
    <row r="811" spans="1:34" x14ac:dyDescent="0.25">
      <c r="A811" s="6" t="s">
        <v>2596</v>
      </c>
      <c r="B811" s="6" t="s">
        <v>2597</v>
      </c>
      <c r="C811" s="6" t="s">
        <v>2598</v>
      </c>
      <c r="D811" s="6" t="s">
        <v>2599</v>
      </c>
      <c r="E811" s="6" t="s">
        <v>3703</v>
      </c>
      <c r="F811" s="6" t="s">
        <v>71</v>
      </c>
      <c r="G811" s="6" t="s">
        <v>3761</v>
      </c>
      <c r="H811" s="6" t="s">
        <v>132</v>
      </c>
      <c r="I811" s="6" t="s">
        <v>92</v>
      </c>
      <c r="J811" s="6" t="s">
        <v>9053</v>
      </c>
      <c r="K811" s="6" t="s">
        <v>3141</v>
      </c>
      <c r="L811" s="6" t="s">
        <v>3160</v>
      </c>
      <c r="M811" s="6" t="s">
        <v>3143</v>
      </c>
      <c r="N811" s="6" t="s">
        <v>3160</v>
      </c>
      <c r="O811" s="6" t="s">
        <v>75</v>
      </c>
      <c r="P811" s="6" t="s">
        <v>4582</v>
      </c>
      <c r="Q811" s="6"/>
      <c r="R811" s="6" t="s">
        <v>9054</v>
      </c>
      <c r="S811" s="6" t="s">
        <v>23</v>
      </c>
      <c r="T811" s="6" t="s">
        <v>9055</v>
      </c>
      <c r="U811" s="6" t="s">
        <v>3141</v>
      </c>
      <c r="V811" s="6" t="s">
        <v>4568</v>
      </c>
      <c r="W811" s="6" t="s">
        <v>3166</v>
      </c>
      <c r="X811" s="6" t="s">
        <v>77</v>
      </c>
      <c r="Y811" s="6" t="s">
        <v>3159</v>
      </c>
      <c r="Z811" s="6" t="s">
        <v>93</v>
      </c>
      <c r="AA811" s="6" t="s">
        <v>4470</v>
      </c>
      <c r="AB811" s="6" t="s">
        <v>9056</v>
      </c>
      <c r="AC811" s="6" t="s">
        <v>3141</v>
      </c>
      <c r="AD811" s="6" t="s">
        <v>3160</v>
      </c>
      <c r="AE811" s="6" t="s">
        <v>3331</v>
      </c>
      <c r="AF811" s="6" t="s">
        <v>9057</v>
      </c>
      <c r="AG811" s="6" t="s">
        <v>9058</v>
      </c>
      <c r="AH811" s="6" t="s">
        <v>79</v>
      </c>
    </row>
    <row r="812" spans="1:34" x14ac:dyDescent="0.25">
      <c r="A812" s="6" t="s">
        <v>2600</v>
      </c>
      <c r="B812" s="6" t="s">
        <v>2601</v>
      </c>
      <c r="C812" s="6"/>
      <c r="D812" s="6" t="s">
        <v>2602</v>
      </c>
      <c r="E812" s="6" t="s">
        <v>3626</v>
      </c>
      <c r="F812" s="6" t="s">
        <v>71</v>
      </c>
      <c r="G812" s="6" t="s">
        <v>226</v>
      </c>
      <c r="H812" s="6" t="s">
        <v>166</v>
      </c>
      <c r="I812" s="6" t="s">
        <v>74</v>
      </c>
      <c r="J812" s="6" t="s">
        <v>9059</v>
      </c>
      <c r="K812" s="6" t="s">
        <v>3141</v>
      </c>
      <c r="L812" s="6" t="s">
        <v>3143</v>
      </c>
      <c r="M812" s="6" t="s">
        <v>3243</v>
      </c>
      <c r="N812" s="6" t="s">
        <v>75</v>
      </c>
      <c r="O812" s="6" t="s">
        <v>3143</v>
      </c>
      <c r="P812" s="6" t="s">
        <v>6769</v>
      </c>
      <c r="Q812" s="6" t="s">
        <v>9060</v>
      </c>
      <c r="R812" s="6" t="s">
        <v>9061</v>
      </c>
      <c r="S812" s="6" t="s">
        <v>23</v>
      </c>
      <c r="T812" s="6" t="s">
        <v>9062</v>
      </c>
      <c r="U812" s="6" t="s">
        <v>3141</v>
      </c>
      <c r="V812" s="6" t="s">
        <v>3288</v>
      </c>
      <c r="W812" s="6" t="s">
        <v>4463</v>
      </c>
      <c r="X812" s="6" t="s">
        <v>85</v>
      </c>
      <c r="Y812" s="6" t="s">
        <v>3141</v>
      </c>
      <c r="Z812" s="6" t="s">
        <v>78</v>
      </c>
      <c r="AA812" s="6" t="s">
        <v>4539</v>
      </c>
      <c r="AB812" s="6"/>
      <c r="AC812" s="6" t="s">
        <v>3141</v>
      </c>
      <c r="AD812" s="6" t="s">
        <v>3152</v>
      </c>
      <c r="AE812" s="6" t="s">
        <v>3331</v>
      </c>
      <c r="AF812" s="6" t="s">
        <v>9063</v>
      </c>
      <c r="AG812" s="6" t="s">
        <v>9064</v>
      </c>
      <c r="AH812" s="6" t="s">
        <v>79</v>
      </c>
    </row>
    <row r="813" spans="1:34" x14ac:dyDescent="0.25">
      <c r="A813" s="6" t="s">
        <v>2603</v>
      </c>
      <c r="B813" s="6" t="s">
        <v>2604</v>
      </c>
      <c r="C813" s="6" t="s">
        <v>9065</v>
      </c>
      <c r="D813" s="6" t="s">
        <v>9066</v>
      </c>
      <c r="E813" s="6" t="s">
        <v>3346</v>
      </c>
      <c r="F813" s="6" t="s">
        <v>71</v>
      </c>
      <c r="G813" s="6" t="s">
        <v>120</v>
      </c>
      <c r="H813" s="6" t="s">
        <v>103</v>
      </c>
      <c r="I813" s="6" t="s">
        <v>74</v>
      </c>
      <c r="J813" s="6" t="s">
        <v>9067</v>
      </c>
      <c r="K813" s="6" t="s">
        <v>3141</v>
      </c>
      <c r="L813" s="6" t="s">
        <v>3160</v>
      </c>
      <c r="M813" s="6" t="s">
        <v>75</v>
      </c>
      <c r="N813" s="6" t="s">
        <v>75</v>
      </c>
      <c r="O813" s="6" t="s">
        <v>75</v>
      </c>
      <c r="P813" s="6" t="s">
        <v>8603</v>
      </c>
      <c r="Q813" s="6" t="s">
        <v>9068</v>
      </c>
      <c r="R813" s="6" t="s">
        <v>9069</v>
      </c>
      <c r="S813" s="6" t="s">
        <v>20</v>
      </c>
      <c r="T813" s="6" t="s">
        <v>9070</v>
      </c>
      <c r="U813" s="6" t="s">
        <v>3292</v>
      </c>
      <c r="V813" s="6" t="s">
        <v>4780</v>
      </c>
      <c r="W813" s="6" t="s">
        <v>3278</v>
      </c>
      <c r="X813" s="6" t="s">
        <v>77</v>
      </c>
      <c r="Y813" s="6" t="s">
        <v>3141</v>
      </c>
      <c r="Z813" s="6" t="s">
        <v>93</v>
      </c>
      <c r="AA813" s="6" t="s">
        <v>3149</v>
      </c>
      <c r="AB813" s="6"/>
      <c r="AC813" s="6" t="s">
        <v>3159</v>
      </c>
      <c r="AD813" s="6" t="s">
        <v>3152</v>
      </c>
      <c r="AE813" s="6" t="s">
        <v>3293</v>
      </c>
      <c r="AF813" s="6"/>
      <c r="AG813" s="6" t="s">
        <v>9071</v>
      </c>
      <c r="AH813" s="6" t="s">
        <v>79</v>
      </c>
    </row>
    <row r="814" spans="1:34" x14ac:dyDescent="0.25">
      <c r="A814" s="6" t="s">
        <v>2606</v>
      </c>
      <c r="B814" s="6" t="s">
        <v>2607</v>
      </c>
      <c r="C814" s="6" t="s">
        <v>9072</v>
      </c>
      <c r="D814" s="6" t="s">
        <v>2608</v>
      </c>
      <c r="E814" s="6" t="s">
        <v>3970</v>
      </c>
      <c r="F814" s="6" t="s">
        <v>3201</v>
      </c>
      <c r="G814" s="6" t="s">
        <v>143</v>
      </c>
      <c r="H814" s="6" t="s">
        <v>99</v>
      </c>
      <c r="I814" s="6" t="s">
        <v>74</v>
      </c>
      <c r="J814" s="6" t="s">
        <v>9073</v>
      </c>
      <c r="K814" s="6" t="s">
        <v>3159</v>
      </c>
      <c r="L814" s="6" t="s">
        <v>3152</v>
      </c>
      <c r="M814" s="6" t="s">
        <v>3196</v>
      </c>
      <c r="N814" s="6" t="s">
        <v>3141</v>
      </c>
      <c r="O814" s="6" t="s">
        <v>3141</v>
      </c>
      <c r="P814" s="6" t="s">
        <v>7401</v>
      </c>
      <c r="Q814" s="6" t="s">
        <v>9074</v>
      </c>
      <c r="R814" s="6" t="s">
        <v>9075</v>
      </c>
      <c r="S814" s="6" t="s">
        <v>23</v>
      </c>
      <c r="T814" s="6" t="s">
        <v>9076</v>
      </c>
      <c r="U814" s="6" t="s">
        <v>3192</v>
      </c>
      <c r="V814" s="6" t="s">
        <v>4012</v>
      </c>
      <c r="W814" s="6" t="s">
        <v>3180</v>
      </c>
      <c r="X814" s="6" t="s">
        <v>77</v>
      </c>
      <c r="Y814" s="6" t="s">
        <v>3141</v>
      </c>
      <c r="Z814" s="6" t="s">
        <v>93</v>
      </c>
      <c r="AA814" s="6" t="s">
        <v>3233</v>
      </c>
      <c r="AB814" s="6"/>
      <c r="AC814" s="6" t="s">
        <v>3159</v>
      </c>
      <c r="AD814" s="6" t="s">
        <v>3152</v>
      </c>
      <c r="AE814" s="6" t="s">
        <v>3513</v>
      </c>
      <c r="AF814" s="6" t="s">
        <v>9077</v>
      </c>
      <c r="AG814" s="6" t="s">
        <v>9078</v>
      </c>
      <c r="AH814" s="6" t="s">
        <v>3334</v>
      </c>
    </row>
    <row r="815" spans="1:34" x14ac:dyDescent="0.25">
      <c r="A815" s="6" t="s">
        <v>2609</v>
      </c>
      <c r="B815" s="6" t="s">
        <v>659</v>
      </c>
      <c r="C815" s="6" t="s">
        <v>9079</v>
      </c>
      <c r="D815" s="6" t="s">
        <v>9080</v>
      </c>
      <c r="E815" s="6" t="s">
        <v>3309</v>
      </c>
      <c r="F815" s="6" t="s">
        <v>3201</v>
      </c>
      <c r="G815" s="6" t="s">
        <v>388</v>
      </c>
      <c r="H815" s="6" t="s">
        <v>166</v>
      </c>
      <c r="I815" s="6" t="s">
        <v>74</v>
      </c>
      <c r="J815" s="6" t="s">
        <v>9081</v>
      </c>
      <c r="K815" s="6" t="s">
        <v>3292</v>
      </c>
      <c r="L815" s="6" t="s">
        <v>3142</v>
      </c>
      <c r="M815" s="6" t="s">
        <v>3141</v>
      </c>
      <c r="N815" s="6" t="s">
        <v>3188</v>
      </c>
      <c r="O815" s="6" t="s">
        <v>3173</v>
      </c>
      <c r="P815" s="6" t="s">
        <v>7625</v>
      </c>
      <c r="Q815" s="6" t="s">
        <v>9082</v>
      </c>
      <c r="R815" s="6" t="s">
        <v>9083</v>
      </c>
      <c r="S815" s="6" t="s">
        <v>3177</v>
      </c>
      <c r="T815" s="6"/>
      <c r="U815" s="6" t="s">
        <v>3141</v>
      </c>
      <c r="V815" s="6" t="s">
        <v>4413</v>
      </c>
      <c r="W815" s="6" t="s">
        <v>4563</v>
      </c>
      <c r="X815" s="6" t="s">
        <v>77</v>
      </c>
      <c r="Y815" s="6" t="s">
        <v>3141</v>
      </c>
      <c r="Z815" s="6" t="s">
        <v>93</v>
      </c>
      <c r="AA815" s="6" t="s">
        <v>4618</v>
      </c>
      <c r="AB815" s="6"/>
      <c r="AC815" s="6" t="s">
        <v>3159</v>
      </c>
      <c r="AD815" s="6" t="s">
        <v>3173</v>
      </c>
      <c r="AE815" s="6" t="s">
        <v>3293</v>
      </c>
      <c r="AF815" s="6"/>
      <c r="AG815" s="6" t="s">
        <v>9084</v>
      </c>
      <c r="AH815" s="6" t="s">
        <v>79</v>
      </c>
    </row>
    <row r="816" spans="1:34" x14ac:dyDescent="0.25">
      <c r="A816" s="6" t="s">
        <v>2611</v>
      </c>
      <c r="B816" s="6" t="s">
        <v>1556</v>
      </c>
      <c r="C816" s="6" t="s">
        <v>9085</v>
      </c>
      <c r="D816" s="6" t="s">
        <v>2612</v>
      </c>
      <c r="E816" s="6" t="s">
        <v>3505</v>
      </c>
      <c r="F816" s="6" t="s">
        <v>89</v>
      </c>
      <c r="G816" s="6" t="s">
        <v>139</v>
      </c>
      <c r="H816" s="6" t="s">
        <v>99</v>
      </c>
      <c r="I816" s="6" t="s">
        <v>74</v>
      </c>
      <c r="J816" s="6" t="s">
        <v>9086</v>
      </c>
      <c r="K816" s="6" t="s">
        <v>3141</v>
      </c>
      <c r="L816" s="6" t="s">
        <v>3243</v>
      </c>
      <c r="M816" s="6" t="s">
        <v>3152</v>
      </c>
      <c r="N816" s="6" t="s">
        <v>75</v>
      </c>
      <c r="O816" s="6" t="s">
        <v>3141</v>
      </c>
      <c r="P816" s="6" t="s">
        <v>9087</v>
      </c>
      <c r="Q816" s="6" t="s">
        <v>9088</v>
      </c>
      <c r="R816" s="6" t="s">
        <v>9089</v>
      </c>
      <c r="S816" s="6" t="s">
        <v>23</v>
      </c>
      <c r="T816" s="6"/>
      <c r="U816" s="6" t="s">
        <v>3192</v>
      </c>
      <c r="V816" s="6" t="s">
        <v>6876</v>
      </c>
      <c r="W816" s="6" t="s">
        <v>3344</v>
      </c>
      <c r="X816" s="6" t="s">
        <v>85</v>
      </c>
      <c r="Y816" s="6" t="s">
        <v>3140</v>
      </c>
      <c r="Z816" s="6" t="s">
        <v>3329</v>
      </c>
      <c r="AA816" s="6" t="s">
        <v>3477</v>
      </c>
      <c r="AB816" s="6"/>
      <c r="AC816" s="6" t="s">
        <v>3141</v>
      </c>
      <c r="AD816" s="6" t="s">
        <v>3243</v>
      </c>
      <c r="AE816" s="6" t="s">
        <v>3331</v>
      </c>
      <c r="AF816" s="6" t="s">
        <v>9090</v>
      </c>
      <c r="AG816" s="6" t="s">
        <v>9091</v>
      </c>
      <c r="AH816" s="6" t="s">
        <v>79</v>
      </c>
    </row>
    <row r="817" spans="1:34" x14ac:dyDescent="0.25">
      <c r="A817" s="6" t="s">
        <v>2613</v>
      </c>
      <c r="B817" s="6" t="s">
        <v>9092</v>
      </c>
      <c r="C817" s="6"/>
      <c r="D817" s="6" t="s">
        <v>2614</v>
      </c>
      <c r="E817" s="6" t="s">
        <v>3970</v>
      </c>
      <c r="F817" s="6" t="s">
        <v>3137</v>
      </c>
      <c r="G817" s="6" t="s">
        <v>120</v>
      </c>
      <c r="H817" s="6" t="s">
        <v>84</v>
      </c>
      <c r="I817" s="6" t="s">
        <v>74</v>
      </c>
      <c r="J817" s="6"/>
      <c r="K817" s="6" t="s">
        <v>3141</v>
      </c>
      <c r="L817" s="6" t="s">
        <v>3143</v>
      </c>
      <c r="M817" s="6" t="s">
        <v>75</v>
      </c>
      <c r="N817" s="6" t="s">
        <v>3243</v>
      </c>
      <c r="O817" s="6" t="s">
        <v>3152</v>
      </c>
      <c r="P817" s="6" t="s">
        <v>6953</v>
      </c>
      <c r="Q817" s="6" t="s">
        <v>9093</v>
      </c>
      <c r="R817" s="6" t="s">
        <v>9094</v>
      </c>
      <c r="S817" s="6" t="s">
        <v>6304</v>
      </c>
      <c r="T817" s="6"/>
      <c r="U817" s="6" t="s">
        <v>3140</v>
      </c>
      <c r="V817" s="6" t="s">
        <v>9095</v>
      </c>
      <c r="W817" s="6" t="s">
        <v>4654</v>
      </c>
      <c r="X817" s="6" t="s">
        <v>85</v>
      </c>
      <c r="Y817" s="6" t="s">
        <v>3141</v>
      </c>
      <c r="Z817" s="6" t="s">
        <v>194</v>
      </c>
      <c r="AA817" s="6" t="s">
        <v>3683</v>
      </c>
      <c r="AB817" s="6"/>
      <c r="AC817" s="6" t="s">
        <v>3141</v>
      </c>
      <c r="AD817" s="6" t="s">
        <v>75</v>
      </c>
      <c r="AE817" s="6" t="s">
        <v>3428</v>
      </c>
      <c r="AF817" s="6" t="s">
        <v>9096</v>
      </c>
      <c r="AG817" s="6" t="s">
        <v>9097</v>
      </c>
      <c r="AH817" s="6" t="s">
        <v>79</v>
      </c>
    </row>
    <row r="818" spans="1:34" x14ac:dyDescent="0.25">
      <c r="A818" s="6" t="s">
        <v>2615</v>
      </c>
      <c r="B818" s="6" t="s">
        <v>2616</v>
      </c>
      <c r="C818" s="6" t="s">
        <v>9098</v>
      </c>
      <c r="D818" s="6"/>
      <c r="E818" s="6" t="s">
        <v>3460</v>
      </c>
      <c r="F818" s="6" t="s">
        <v>3283</v>
      </c>
      <c r="G818" s="6" t="s">
        <v>417</v>
      </c>
      <c r="H818" s="6" t="s">
        <v>103</v>
      </c>
      <c r="I818" s="6" t="s">
        <v>74</v>
      </c>
      <c r="J818" s="6" t="s">
        <v>9099</v>
      </c>
      <c r="K818" s="6" t="s">
        <v>3159</v>
      </c>
      <c r="L818" s="6" t="s">
        <v>3141</v>
      </c>
      <c r="M818" s="6" t="s">
        <v>3143</v>
      </c>
      <c r="N818" s="6" t="s">
        <v>76</v>
      </c>
      <c r="O818" s="6" t="s">
        <v>75</v>
      </c>
      <c r="P818" s="6" t="s">
        <v>5211</v>
      </c>
      <c r="Q818" s="6" t="s">
        <v>9100</v>
      </c>
      <c r="R818" s="6" t="s">
        <v>9101</v>
      </c>
      <c r="S818" s="6" t="s">
        <v>22</v>
      </c>
      <c r="T818" s="6" t="s">
        <v>9102</v>
      </c>
      <c r="U818" s="6" t="s">
        <v>3192</v>
      </c>
      <c r="V818" s="6" t="s">
        <v>8866</v>
      </c>
      <c r="W818" s="6" t="s">
        <v>3264</v>
      </c>
      <c r="X818" s="6" t="s">
        <v>3167</v>
      </c>
      <c r="Y818" s="6" t="s">
        <v>3159</v>
      </c>
      <c r="Z818" s="6" t="s">
        <v>78</v>
      </c>
      <c r="AA818" s="6" t="s">
        <v>4135</v>
      </c>
      <c r="AB818" s="6" t="s">
        <v>9103</v>
      </c>
      <c r="AC818" s="6" t="s">
        <v>3141</v>
      </c>
      <c r="AD818" s="6" t="s">
        <v>3243</v>
      </c>
      <c r="AE818" s="6" t="s">
        <v>3622</v>
      </c>
      <c r="AF818" s="6" t="s">
        <v>9104</v>
      </c>
      <c r="AG818" s="6" t="s">
        <v>6291</v>
      </c>
      <c r="AH818" s="6" t="s">
        <v>79</v>
      </c>
    </row>
    <row r="819" spans="1:34" x14ac:dyDescent="0.25">
      <c r="A819" s="6" t="s">
        <v>2617</v>
      </c>
      <c r="B819" s="6" t="s">
        <v>2140</v>
      </c>
      <c r="C819" s="6" t="s">
        <v>9105</v>
      </c>
      <c r="D819" s="6"/>
      <c r="E819" s="6" t="s">
        <v>3254</v>
      </c>
      <c r="F819" s="6" t="s">
        <v>3201</v>
      </c>
      <c r="G819" s="6" t="s">
        <v>72</v>
      </c>
      <c r="H819" s="6" t="s">
        <v>99</v>
      </c>
      <c r="I819" s="6" t="s">
        <v>74</v>
      </c>
      <c r="J819" s="6" t="s">
        <v>9106</v>
      </c>
      <c r="K819" s="6" t="s">
        <v>3140</v>
      </c>
      <c r="L819" s="6" t="s">
        <v>3188</v>
      </c>
      <c r="M819" s="6" t="s">
        <v>3243</v>
      </c>
      <c r="N819" s="6" t="s">
        <v>76</v>
      </c>
      <c r="O819" s="6" t="s">
        <v>75</v>
      </c>
      <c r="P819" s="6" t="s">
        <v>9107</v>
      </c>
      <c r="Q819" s="6"/>
      <c r="R819" s="6" t="s">
        <v>9108</v>
      </c>
      <c r="S819" s="6" t="s">
        <v>21</v>
      </c>
      <c r="T819" s="6" t="s">
        <v>9109</v>
      </c>
      <c r="U819" s="6" t="s">
        <v>3159</v>
      </c>
      <c r="V819" s="6" t="s">
        <v>6591</v>
      </c>
      <c r="W819" s="6" t="s">
        <v>7387</v>
      </c>
      <c r="X819" s="6" t="s">
        <v>77</v>
      </c>
      <c r="Y819" s="6" t="s">
        <v>3140</v>
      </c>
      <c r="Z819" s="6" t="s">
        <v>93</v>
      </c>
      <c r="AA819" s="6" t="s">
        <v>4563</v>
      </c>
      <c r="AB819" s="6" t="s">
        <v>9110</v>
      </c>
      <c r="AC819" s="6" t="s">
        <v>3141</v>
      </c>
      <c r="AD819" s="6" t="s">
        <v>3243</v>
      </c>
      <c r="AE819" s="6" t="s">
        <v>3279</v>
      </c>
      <c r="AF819" s="6"/>
      <c r="AG819" s="6" t="s">
        <v>9111</v>
      </c>
      <c r="AH819" s="6" t="s">
        <v>79</v>
      </c>
    </row>
    <row r="820" spans="1:34" x14ac:dyDescent="0.25">
      <c r="A820" s="6" t="s">
        <v>2618</v>
      </c>
      <c r="B820" s="6" t="s">
        <v>1827</v>
      </c>
      <c r="C820" s="6" t="s">
        <v>2619</v>
      </c>
      <c r="D820" s="6" t="s">
        <v>2620</v>
      </c>
      <c r="E820" s="6" t="s">
        <v>3282</v>
      </c>
      <c r="F820" s="6" t="s">
        <v>71</v>
      </c>
      <c r="G820" s="6" t="s">
        <v>72</v>
      </c>
      <c r="H820" s="6" t="s">
        <v>107</v>
      </c>
      <c r="I820" s="6" t="s">
        <v>92</v>
      </c>
      <c r="J820" s="6" t="s">
        <v>9112</v>
      </c>
      <c r="K820" s="6" t="s">
        <v>3159</v>
      </c>
      <c r="L820" s="6" t="s">
        <v>3188</v>
      </c>
      <c r="M820" s="6" t="s">
        <v>75</v>
      </c>
      <c r="N820" s="6" t="s">
        <v>3160</v>
      </c>
      <c r="O820" s="6" t="s">
        <v>3160</v>
      </c>
      <c r="P820" s="6" t="s">
        <v>5504</v>
      </c>
      <c r="Q820" s="6" t="s">
        <v>9113</v>
      </c>
      <c r="R820" s="6" t="s">
        <v>9114</v>
      </c>
      <c r="S820" s="6" t="s">
        <v>23</v>
      </c>
      <c r="T820" s="6" t="s">
        <v>9115</v>
      </c>
      <c r="U820" s="6" t="s">
        <v>3192</v>
      </c>
      <c r="V820" s="6" t="s">
        <v>3511</v>
      </c>
      <c r="W820" s="6" t="s">
        <v>5215</v>
      </c>
      <c r="X820" s="6" t="s">
        <v>77</v>
      </c>
      <c r="Y820" s="6" t="s">
        <v>3141</v>
      </c>
      <c r="Z820" s="6" t="s">
        <v>78</v>
      </c>
      <c r="AA820" s="6" t="s">
        <v>3777</v>
      </c>
      <c r="AB820" s="6" t="s">
        <v>9116</v>
      </c>
      <c r="AC820" s="6" t="s">
        <v>3141</v>
      </c>
      <c r="AD820" s="6" t="s">
        <v>3243</v>
      </c>
      <c r="AE820" s="6" t="s">
        <v>3318</v>
      </c>
      <c r="AF820" s="6" t="s">
        <v>9117</v>
      </c>
      <c r="AG820" s="6" t="s">
        <v>4876</v>
      </c>
      <c r="AH820" s="6" t="s">
        <v>79</v>
      </c>
    </row>
    <row r="821" spans="1:34" x14ac:dyDescent="0.25">
      <c r="A821" s="6" t="s">
        <v>2621</v>
      </c>
      <c r="B821" s="6" t="s">
        <v>2551</v>
      </c>
      <c r="C821" s="6" t="s">
        <v>9118</v>
      </c>
      <c r="D821" s="6" t="s">
        <v>9119</v>
      </c>
      <c r="E821" s="6" t="s">
        <v>4687</v>
      </c>
      <c r="F821" s="6" t="s">
        <v>3283</v>
      </c>
      <c r="G821" s="6" t="s">
        <v>98</v>
      </c>
      <c r="H821" s="6" t="s">
        <v>5066</v>
      </c>
      <c r="I821" s="6" t="s">
        <v>92</v>
      </c>
      <c r="J821" s="6" t="s">
        <v>9120</v>
      </c>
      <c r="K821" s="6" t="s">
        <v>3140</v>
      </c>
      <c r="L821" s="6" t="s">
        <v>3173</v>
      </c>
      <c r="M821" s="6" t="s">
        <v>75</v>
      </c>
      <c r="N821" s="6" t="s">
        <v>3159</v>
      </c>
      <c r="O821" s="6" t="s">
        <v>75</v>
      </c>
      <c r="P821" s="6" t="s">
        <v>5858</v>
      </c>
      <c r="Q821" s="6" t="s">
        <v>9121</v>
      </c>
      <c r="R821" s="6" t="s">
        <v>9122</v>
      </c>
      <c r="S821" s="6" t="s">
        <v>21</v>
      </c>
      <c r="T821" s="6"/>
      <c r="U821" s="6" t="s">
        <v>3275</v>
      </c>
      <c r="V821" s="6" t="s">
        <v>9123</v>
      </c>
      <c r="W821" s="6" t="s">
        <v>3730</v>
      </c>
      <c r="X821" s="6" t="s">
        <v>3167</v>
      </c>
      <c r="Y821" s="6" t="s">
        <v>3141</v>
      </c>
      <c r="Z821" s="6" t="s">
        <v>93</v>
      </c>
      <c r="AA821" s="6" t="s">
        <v>4529</v>
      </c>
      <c r="AB821" s="6"/>
      <c r="AC821" s="6" t="s">
        <v>3159</v>
      </c>
      <c r="AD821" s="6" t="s">
        <v>75</v>
      </c>
      <c r="AE821" s="6" t="s">
        <v>3293</v>
      </c>
      <c r="AF821" s="6"/>
      <c r="AG821" s="6" t="s">
        <v>9124</v>
      </c>
      <c r="AH821" s="6" t="s">
        <v>94</v>
      </c>
    </row>
    <row r="822" spans="1:34" x14ac:dyDescent="0.25">
      <c r="A822" s="6" t="s">
        <v>2623</v>
      </c>
      <c r="B822" s="6" t="s">
        <v>2624</v>
      </c>
      <c r="C822" s="6" t="s">
        <v>9125</v>
      </c>
      <c r="D822" s="6" t="s">
        <v>2625</v>
      </c>
      <c r="E822" s="6" t="s">
        <v>3760</v>
      </c>
      <c r="F822" s="6" t="s">
        <v>3369</v>
      </c>
      <c r="G822" s="6" t="s">
        <v>417</v>
      </c>
      <c r="H822" s="6" t="s">
        <v>84</v>
      </c>
      <c r="I822" s="6" t="s">
        <v>74</v>
      </c>
      <c r="J822" s="6" t="s">
        <v>9126</v>
      </c>
      <c r="K822" s="6" t="s">
        <v>3141</v>
      </c>
      <c r="L822" s="6" t="s">
        <v>3152</v>
      </c>
      <c r="M822" s="6" t="s">
        <v>3143</v>
      </c>
      <c r="N822" s="6" t="s">
        <v>3160</v>
      </c>
      <c r="O822" s="6" t="s">
        <v>3160</v>
      </c>
      <c r="P822" s="6"/>
      <c r="Q822" s="6" t="s">
        <v>9127</v>
      </c>
      <c r="R822" s="6" t="s">
        <v>9128</v>
      </c>
      <c r="S822" s="6" t="s">
        <v>21</v>
      </c>
      <c r="T822" s="6" t="s">
        <v>9129</v>
      </c>
      <c r="U822" s="6" t="s">
        <v>3292</v>
      </c>
      <c r="V822" s="6" t="s">
        <v>4848</v>
      </c>
      <c r="W822" s="6" t="s">
        <v>3352</v>
      </c>
      <c r="X822" s="6" t="s">
        <v>85</v>
      </c>
      <c r="Y822" s="6" t="s">
        <v>3292</v>
      </c>
      <c r="Z822" s="6" t="s">
        <v>93</v>
      </c>
      <c r="AA822" s="6" t="s">
        <v>5231</v>
      </c>
      <c r="AB822" s="6" t="s">
        <v>9130</v>
      </c>
      <c r="AC822" s="6" t="s">
        <v>3159</v>
      </c>
      <c r="AD822" s="6" t="s">
        <v>3188</v>
      </c>
      <c r="AE822" s="6" t="s">
        <v>3136</v>
      </c>
      <c r="AF822" s="6"/>
      <c r="AG822" s="6" t="s">
        <v>9131</v>
      </c>
      <c r="AH822" s="6" t="s">
        <v>79</v>
      </c>
    </row>
    <row r="823" spans="1:34" x14ac:dyDescent="0.25">
      <c r="A823" s="6" t="s">
        <v>2626</v>
      </c>
      <c r="B823" s="6" t="s">
        <v>2627</v>
      </c>
      <c r="C823" s="6" t="s">
        <v>2628</v>
      </c>
      <c r="D823" s="6" t="s">
        <v>2629</v>
      </c>
      <c r="E823" s="6" t="s">
        <v>3309</v>
      </c>
      <c r="F823" s="6" t="s">
        <v>3358</v>
      </c>
      <c r="G823" s="6" t="s">
        <v>139</v>
      </c>
      <c r="H823" s="6" t="s">
        <v>99</v>
      </c>
      <c r="I823" s="6" t="s">
        <v>74</v>
      </c>
      <c r="J823" s="6" t="s">
        <v>9132</v>
      </c>
      <c r="K823" s="6" t="s">
        <v>3140</v>
      </c>
      <c r="L823" s="6" t="s">
        <v>3159</v>
      </c>
      <c r="M823" s="6" t="s">
        <v>75</v>
      </c>
      <c r="N823" s="6" t="s">
        <v>3159</v>
      </c>
      <c r="O823" s="6" t="s">
        <v>3141</v>
      </c>
      <c r="P823" s="6" t="s">
        <v>6250</v>
      </c>
      <c r="Q823" s="6" t="s">
        <v>9133</v>
      </c>
      <c r="R823" s="6" t="s">
        <v>9134</v>
      </c>
      <c r="S823" s="6" t="s">
        <v>21</v>
      </c>
      <c r="T823" s="6" t="s">
        <v>9135</v>
      </c>
      <c r="U823" s="6" t="s">
        <v>3275</v>
      </c>
      <c r="V823" s="6" t="s">
        <v>9136</v>
      </c>
      <c r="W823" s="6" t="s">
        <v>3943</v>
      </c>
      <c r="X823" s="6" t="s">
        <v>77</v>
      </c>
      <c r="Y823" s="6" t="s">
        <v>3159</v>
      </c>
      <c r="Z823" s="6" t="s">
        <v>3263</v>
      </c>
      <c r="AA823" s="6" t="s">
        <v>4636</v>
      </c>
      <c r="AB823" s="6"/>
      <c r="AC823" s="6" t="s">
        <v>3159</v>
      </c>
      <c r="AD823" s="6" t="s">
        <v>3152</v>
      </c>
      <c r="AE823" s="6" t="s">
        <v>3279</v>
      </c>
      <c r="AF823" s="6"/>
      <c r="AG823" s="6" t="s">
        <v>4996</v>
      </c>
      <c r="AH823" s="6" t="s">
        <v>79</v>
      </c>
    </row>
    <row r="824" spans="1:34" x14ac:dyDescent="0.25">
      <c r="A824" s="6" t="s">
        <v>2630</v>
      </c>
      <c r="B824" s="6" t="s">
        <v>2631</v>
      </c>
      <c r="C824" s="6" t="s">
        <v>2632</v>
      </c>
      <c r="D824" s="6"/>
      <c r="E824" s="6" t="s">
        <v>3647</v>
      </c>
      <c r="F824" s="6" t="s">
        <v>3358</v>
      </c>
      <c r="G824" s="6" t="s">
        <v>388</v>
      </c>
      <c r="H824" s="6" t="s">
        <v>107</v>
      </c>
      <c r="I824" s="6" t="s">
        <v>92</v>
      </c>
      <c r="J824" s="6"/>
      <c r="K824" s="6" t="s">
        <v>3140</v>
      </c>
      <c r="L824" s="6" t="s">
        <v>3142</v>
      </c>
      <c r="M824" s="6" t="s">
        <v>75</v>
      </c>
      <c r="N824" s="6" t="s">
        <v>3160</v>
      </c>
      <c r="O824" s="6" t="s">
        <v>3196</v>
      </c>
      <c r="P824" s="6" t="s">
        <v>6897</v>
      </c>
      <c r="Q824" s="6" t="s">
        <v>3217</v>
      </c>
      <c r="R824" s="6" t="s">
        <v>9137</v>
      </c>
      <c r="S824" s="6" t="s">
        <v>3287</v>
      </c>
      <c r="T824" s="6" t="s">
        <v>9138</v>
      </c>
      <c r="U824" s="6" t="s">
        <v>3141</v>
      </c>
      <c r="V824" s="6" t="s">
        <v>5401</v>
      </c>
      <c r="W824" s="6" t="s">
        <v>4781</v>
      </c>
      <c r="X824" s="6" t="s">
        <v>85</v>
      </c>
      <c r="Y824" s="6" t="s">
        <v>3141</v>
      </c>
      <c r="Z824" s="6" t="s">
        <v>78</v>
      </c>
      <c r="AA824" s="6" t="s">
        <v>5876</v>
      </c>
      <c r="AB824" s="6"/>
      <c r="AC824" s="6" t="s">
        <v>3141</v>
      </c>
      <c r="AD824" s="6" t="s">
        <v>3152</v>
      </c>
      <c r="AE824" s="6" t="s">
        <v>3136</v>
      </c>
      <c r="AF824" s="6"/>
      <c r="AG824" s="6" t="s">
        <v>9139</v>
      </c>
      <c r="AH824" s="6" t="s">
        <v>79</v>
      </c>
    </row>
    <row r="825" spans="1:34" x14ac:dyDescent="0.25">
      <c r="A825" s="6" t="s">
        <v>2633</v>
      </c>
      <c r="B825" s="6" t="s">
        <v>2634</v>
      </c>
      <c r="C825" s="6" t="s">
        <v>9140</v>
      </c>
      <c r="D825" s="6" t="s">
        <v>9141</v>
      </c>
      <c r="E825" s="6" t="s">
        <v>3722</v>
      </c>
      <c r="F825" s="6" t="s">
        <v>71</v>
      </c>
      <c r="G825" s="6" t="s">
        <v>226</v>
      </c>
      <c r="H825" s="6" t="s">
        <v>166</v>
      </c>
      <c r="I825" s="6" t="s">
        <v>74</v>
      </c>
      <c r="J825" s="6" t="s">
        <v>9142</v>
      </c>
      <c r="K825" s="6" t="s">
        <v>3141</v>
      </c>
      <c r="L825" s="6" t="s">
        <v>3243</v>
      </c>
      <c r="M825" s="6" t="s">
        <v>75</v>
      </c>
      <c r="N825" s="6" t="s">
        <v>3143</v>
      </c>
      <c r="O825" s="6" t="s">
        <v>3141</v>
      </c>
      <c r="P825" s="6" t="s">
        <v>7985</v>
      </c>
      <c r="Q825" s="6" t="s">
        <v>9143</v>
      </c>
      <c r="R825" s="6" t="s">
        <v>9144</v>
      </c>
      <c r="S825" s="6" t="s">
        <v>3859</v>
      </c>
      <c r="T825" s="6" t="s">
        <v>9145</v>
      </c>
      <c r="U825" s="6" t="s">
        <v>3159</v>
      </c>
      <c r="V825" s="6" t="s">
        <v>5571</v>
      </c>
      <c r="W825" s="6" t="s">
        <v>3222</v>
      </c>
      <c r="X825" s="6" t="s">
        <v>77</v>
      </c>
      <c r="Y825" s="6" t="s">
        <v>3140</v>
      </c>
      <c r="Z825" s="6" t="s">
        <v>194</v>
      </c>
      <c r="AA825" s="6" t="s">
        <v>4108</v>
      </c>
      <c r="AB825" s="6"/>
      <c r="AC825" s="6" t="s">
        <v>3140</v>
      </c>
      <c r="AD825" s="6" t="s">
        <v>3152</v>
      </c>
      <c r="AE825" s="6" t="s">
        <v>3323</v>
      </c>
      <c r="AF825" s="6" t="s">
        <v>9146</v>
      </c>
      <c r="AG825" s="6" t="s">
        <v>8760</v>
      </c>
      <c r="AH825" s="6" t="s">
        <v>79</v>
      </c>
    </row>
    <row r="826" spans="1:34" x14ac:dyDescent="0.25">
      <c r="A826" s="6" t="s">
        <v>2636</v>
      </c>
      <c r="B826" s="6" t="s">
        <v>2637</v>
      </c>
      <c r="C826" s="6"/>
      <c r="D826" s="6" t="s">
        <v>2638</v>
      </c>
      <c r="E826" s="6" t="s">
        <v>3309</v>
      </c>
      <c r="F826" s="6" t="s">
        <v>3227</v>
      </c>
      <c r="G826" s="6" t="s">
        <v>3171</v>
      </c>
      <c r="H826" s="6" t="s">
        <v>166</v>
      </c>
      <c r="I826" s="6" t="s">
        <v>74</v>
      </c>
      <c r="J826" s="6"/>
      <c r="K826" s="6" t="s">
        <v>3159</v>
      </c>
      <c r="L826" s="6" t="s">
        <v>3142</v>
      </c>
      <c r="M826" s="6" t="s">
        <v>3143</v>
      </c>
      <c r="N826" s="6" t="s">
        <v>75</v>
      </c>
      <c r="O826" s="6" t="s">
        <v>3152</v>
      </c>
      <c r="P826" s="6" t="s">
        <v>6118</v>
      </c>
      <c r="Q826" s="6" t="s">
        <v>9147</v>
      </c>
      <c r="R826" s="6" t="s">
        <v>9148</v>
      </c>
      <c r="S826" s="6" t="s">
        <v>22</v>
      </c>
      <c r="T826" s="6"/>
      <c r="U826" s="6" t="s">
        <v>3985</v>
      </c>
      <c r="V826" s="6" t="s">
        <v>4272</v>
      </c>
      <c r="W826" s="6" t="s">
        <v>3180</v>
      </c>
      <c r="X826" s="6" t="s">
        <v>77</v>
      </c>
      <c r="Y826" s="6" t="s">
        <v>3140</v>
      </c>
      <c r="Z826" s="6" t="s">
        <v>78</v>
      </c>
      <c r="AA826" s="6" t="s">
        <v>3416</v>
      </c>
      <c r="AB826" s="6"/>
      <c r="AC826" s="6" t="s">
        <v>3141</v>
      </c>
      <c r="AD826" s="6" t="s">
        <v>3152</v>
      </c>
      <c r="AE826" s="6" t="s">
        <v>3622</v>
      </c>
      <c r="AF826" s="6" t="s">
        <v>9149</v>
      </c>
      <c r="AG826" s="6" t="s">
        <v>5715</v>
      </c>
      <c r="AH826" s="6" t="s">
        <v>79</v>
      </c>
    </row>
    <row r="827" spans="1:34" x14ac:dyDescent="0.25">
      <c r="A827" s="6" t="s">
        <v>2639</v>
      </c>
      <c r="B827" s="6" t="s">
        <v>9150</v>
      </c>
      <c r="C827" s="6"/>
      <c r="D827" s="6" t="s">
        <v>9151</v>
      </c>
      <c r="E827" s="6" t="s">
        <v>4828</v>
      </c>
      <c r="F827" s="6" t="s">
        <v>89</v>
      </c>
      <c r="G827" s="6" t="s">
        <v>72</v>
      </c>
      <c r="H827" s="6" t="s">
        <v>132</v>
      </c>
      <c r="I827" s="6" t="s">
        <v>92</v>
      </c>
      <c r="J827" s="6" t="s">
        <v>9152</v>
      </c>
      <c r="K827" s="6" t="s">
        <v>3140</v>
      </c>
      <c r="L827" s="6" t="s">
        <v>3142</v>
      </c>
      <c r="M827" s="6" t="s">
        <v>3142</v>
      </c>
      <c r="N827" s="6" t="s">
        <v>3243</v>
      </c>
      <c r="O827" s="6" t="s">
        <v>3160</v>
      </c>
      <c r="P827" s="6" t="s">
        <v>3582</v>
      </c>
      <c r="Q827" s="6" t="s">
        <v>9153</v>
      </c>
      <c r="R827" s="6" t="s">
        <v>9154</v>
      </c>
      <c r="S827" s="6" t="s">
        <v>20</v>
      </c>
      <c r="T827" s="6" t="s">
        <v>9155</v>
      </c>
      <c r="U827" s="6" t="s">
        <v>3292</v>
      </c>
      <c r="V827" s="6" t="s">
        <v>3893</v>
      </c>
      <c r="W827" s="6" t="s">
        <v>3613</v>
      </c>
      <c r="X827" s="6" t="s">
        <v>77</v>
      </c>
      <c r="Y827" s="6" t="s">
        <v>3292</v>
      </c>
      <c r="Z827" s="6" t="s">
        <v>93</v>
      </c>
      <c r="AA827" s="6" t="s">
        <v>9156</v>
      </c>
      <c r="AB827" s="6"/>
      <c r="AC827" s="6" t="s">
        <v>3141</v>
      </c>
      <c r="AD827" s="6" t="s">
        <v>3152</v>
      </c>
      <c r="AE827" s="6" t="s">
        <v>3136</v>
      </c>
      <c r="AF827" s="6"/>
      <c r="AG827" s="6" t="s">
        <v>9157</v>
      </c>
      <c r="AH827" s="6" t="s">
        <v>79</v>
      </c>
    </row>
    <row r="828" spans="1:34" x14ac:dyDescent="0.25">
      <c r="A828" s="6" t="s">
        <v>2641</v>
      </c>
      <c r="B828" s="6" t="s">
        <v>2184</v>
      </c>
      <c r="C828" s="6" t="s">
        <v>9158</v>
      </c>
      <c r="D828" s="6" t="s">
        <v>2642</v>
      </c>
      <c r="E828" s="6" t="s">
        <v>3388</v>
      </c>
      <c r="F828" s="6" t="s">
        <v>3369</v>
      </c>
      <c r="G828" s="6" t="s">
        <v>3712</v>
      </c>
      <c r="H828" s="6" t="s">
        <v>73</v>
      </c>
      <c r="I828" s="6" t="s">
        <v>74</v>
      </c>
      <c r="J828" s="6"/>
      <c r="K828" s="6" t="s">
        <v>3159</v>
      </c>
      <c r="L828" s="6" t="s">
        <v>3159</v>
      </c>
      <c r="M828" s="6" t="s">
        <v>3141</v>
      </c>
      <c r="N828" s="6" t="s">
        <v>3160</v>
      </c>
      <c r="O828" s="6" t="s">
        <v>75</v>
      </c>
      <c r="P828" s="6" t="s">
        <v>9159</v>
      </c>
      <c r="Q828" s="6" t="s">
        <v>9160</v>
      </c>
      <c r="R828" s="6" t="s">
        <v>9161</v>
      </c>
      <c r="S828" s="6" t="s">
        <v>22</v>
      </c>
      <c r="T828" s="6"/>
      <c r="U828" s="6" t="s">
        <v>3140</v>
      </c>
      <c r="V828" s="6" t="s">
        <v>4585</v>
      </c>
      <c r="W828" s="6" t="s">
        <v>3673</v>
      </c>
      <c r="X828" s="6" t="s">
        <v>85</v>
      </c>
      <c r="Y828" s="6" t="s">
        <v>3140</v>
      </c>
      <c r="Z828" s="6" t="s">
        <v>78</v>
      </c>
      <c r="AA828" s="6" t="s">
        <v>5418</v>
      </c>
      <c r="AB828" s="6" t="s">
        <v>9162</v>
      </c>
      <c r="AC828" s="6" t="s">
        <v>3141</v>
      </c>
      <c r="AD828" s="6" t="s">
        <v>3143</v>
      </c>
      <c r="AE828" s="6" t="s">
        <v>3210</v>
      </c>
      <c r="AF828" s="6" t="s">
        <v>9163</v>
      </c>
      <c r="AG828" s="6" t="s">
        <v>9164</v>
      </c>
      <c r="AH828" s="6" t="s">
        <v>79</v>
      </c>
    </row>
    <row r="829" spans="1:34" x14ac:dyDescent="0.25">
      <c r="A829" s="6" t="s">
        <v>2643</v>
      </c>
      <c r="B829" s="6" t="s">
        <v>522</v>
      </c>
      <c r="C829" s="6" t="s">
        <v>9165</v>
      </c>
      <c r="D829" s="6" t="s">
        <v>2644</v>
      </c>
      <c r="E829" s="6" t="s">
        <v>3647</v>
      </c>
      <c r="F829" s="6" t="s">
        <v>71</v>
      </c>
      <c r="G829" s="6" t="s">
        <v>143</v>
      </c>
      <c r="H829" s="6" t="s">
        <v>144</v>
      </c>
      <c r="I829" s="6" t="s">
        <v>92</v>
      </c>
      <c r="J829" s="6" t="s">
        <v>9166</v>
      </c>
      <c r="K829" s="6" t="s">
        <v>3141</v>
      </c>
      <c r="L829" s="6" t="s">
        <v>3143</v>
      </c>
      <c r="M829" s="6" t="s">
        <v>3160</v>
      </c>
      <c r="N829" s="6" t="s">
        <v>3141</v>
      </c>
      <c r="O829" s="6" t="s">
        <v>3143</v>
      </c>
      <c r="P829" s="6" t="s">
        <v>3706</v>
      </c>
      <c r="Q829" s="6" t="s">
        <v>9167</v>
      </c>
      <c r="R829" s="6" t="s">
        <v>9168</v>
      </c>
      <c r="S829" s="6" t="s">
        <v>21</v>
      </c>
      <c r="T829" s="6" t="s">
        <v>9169</v>
      </c>
      <c r="U829" s="6" t="s">
        <v>4264</v>
      </c>
      <c r="V829" s="6" t="s">
        <v>3586</v>
      </c>
      <c r="W829" s="6" t="s">
        <v>3317</v>
      </c>
      <c r="X829" s="6" t="s">
        <v>85</v>
      </c>
      <c r="Y829" s="6" t="s">
        <v>3141</v>
      </c>
      <c r="Z829" s="6" t="s">
        <v>93</v>
      </c>
      <c r="AA829" s="6" t="s">
        <v>3456</v>
      </c>
      <c r="AB829" s="6"/>
      <c r="AC829" s="6" t="s">
        <v>3141</v>
      </c>
      <c r="AD829" s="6" t="s">
        <v>3173</v>
      </c>
      <c r="AE829" s="6" t="s">
        <v>3323</v>
      </c>
      <c r="AF829" s="6"/>
      <c r="AG829" s="6" t="s">
        <v>3720</v>
      </c>
      <c r="AH829" s="6" t="s">
        <v>79</v>
      </c>
    </row>
    <row r="830" spans="1:34" x14ac:dyDescent="0.25">
      <c r="A830" s="6" t="s">
        <v>2645</v>
      </c>
      <c r="B830" s="6" t="s">
        <v>9170</v>
      </c>
      <c r="C830" s="6" t="s">
        <v>9171</v>
      </c>
      <c r="D830" s="6" t="s">
        <v>9172</v>
      </c>
      <c r="E830" s="6" t="s">
        <v>3346</v>
      </c>
      <c r="F830" s="6" t="s">
        <v>3137</v>
      </c>
      <c r="G830" s="6" t="s">
        <v>6126</v>
      </c>
      <c r="H830" s="6" t="s">
        <v>84</v>
      </c>
      <c r="I830" s="6" t="s">
        <v>74</v>
      </c>
      <c r="J830" s="6" t="s">
        <v>9173</v>
      </c>
      <c r="K830" s="6" t="s">
        <v>3141</v>
      </c>
      <c r="L830" s="6" t="s">
        <v>3152</v>
      </c>
      <c r="M830" s="6" t="s">
        <v>3141</v>
      </c>
      <c r="N830" s="6" t="s">
        <v>3160</v>
      </c>
      <c r="O830" s="6" t="s">
        <v>3243</v>
      </c>
      <c r="P830" s="6" t="s">
        <v>4213</v>
      </c>
      <c r="Q830" s="6" t="s">
        <v>9174</v>
      </c>
      <c r="R830" s="6" t="s">
        <v>9175</v>
      </c>
      <c r="S830" s="6" t="s">
        <v>5782</v>
      </c>
      <c r="T830" s="6"/>
      <c r="U830" s="6" t="s">
        <v>3292</v>
      </c>
      <c r="V830" s="6" t="s">
        <v>4523</v>
      </c>
      <c r="W830" s="6" t="s">
        <v>3415</v>
      </c>
      <c r="X830" s="6" t="s">
        <v>85</v>
      </c>
      <c r="Y830" s="6" t="s">
        <v>3140</v>
      </c>
      <c r="Z830" s="6" t="s">
        <v>78</v>
      </c>
      <c r="AA830" s="6" t="s">
        <v>3383</v>
      </c>
      <c r="AB830" s="6"/>
      <c r="AC830" s="6" t="s">
        <v>3141</v>
      </c>
      <c r="AD830" s="6" t="s">
        <v>75</v>
      </c>
      <c r="AE830" s="6" t="s">
        <v>3136</v>
      </c>
      <c r="AF830" s="6" t="s">
        <v>9176</v>
      </c>
      <c r="AG830" s="6" t="s">
        <v>9177</v>
      </c>
      <c r="AH830" s="6" t="s">
        <v>3494</v>
      </c>
    </row>
    <row r="831" spans="1:34" x14ac:dyDescent="0.25">
      <c r="A831" s="6" t="s">
        <v>2648</v>
      </c>
      <c r="B831" s="6" t="s">
        <v>9178</v>
      </c>
      <c r="C831" s="6" t="s">
        <v>9179</v>
      </c>
      <c r="D831" s="6"/>
      <c r="E831" s="6" t="s">
        <v>3170</v>
      </c>
      <c r="F831" s="6" t="s">
        <v>3201</v>
      </c>
      <c r="G831" s="6" t="s">
        <v>72</v>
      </c>
      <c r="H831" s="6" t="s">
        <v>103</v>
      </c>
      <c r="I831" s="6" t="s">
        <v>74</v>
      </c>
      <c r="J831" s="6" t="s">
        <v>9180</v>
      </c>
      <c r="K831" s="6" t="s">
        <v>3141</v>
      </c>
      <c r="L831" s="6" t="s">
        <v>3141</v>
      </c>
      <c r="M831" s="6" t="s">
        <v>75</v>
      </c>
      <c r="N831" s="6" t="s">
        <v>3143</v>
      </c>
      <c r="O831" s="6" t="s">
        <v>3152</v>
      </c>
      <c r="P831" s="6" t="s">
        <v>8603</v>
      </c>
      <c r="Q831" s="6" t="s">
        <v>9181</v>
      </c>
      <c r="R831" s="6" t="s">
        <v>9182</v>
      </c>
      <c r="S831" s="6" t="s">
        <v>20</v>
      </c>
      <c r="T831" s="6" t="s">
        <v>9183</v>
      </c>
      <c r="U831" s="6" t="s">
        <v>3141</v>
      </c>
      <c r="V831" s="6" t="s">
        <v>9184</v>
      </c>
      <c r="W831" s="6" t="s">
        <v>3854</v>
      </c>
      <c r="X831" s="6" t="s">
        <v>85</v>
      </c>
      <c r="Y831" s="6" t="s">
        <v>3140</v>
      </c>
      <c r="Z831" s="6" t="s">
        <v>93</v>
      </c>
      <c r="AA831" s="6" t="s">
        <v>3965</v>
      </c>
      <c r="AB831" s="6" t="s">
        <v>9185</v>
      </c>
      <c r="AC831" s="6" t="s">
        <v>3159</v>
      </c>
      <c r="AD831" s="6" t="s">
        <v>3142</v>
      </c>
      <c r="AE831" s="6" t="s">
        <v>3293</v>
      </c>
      <c r="AF831" s="6"/>
      <c r="AG831" s="6"/>
      <c r="AH831" s="6" t="s">
        <v>79</v>
      </c>
    </row>
    <row r="832" spans="1:34" x14ac:dyDescent="0.25">
      <c r="A832" s="6" t="s">
        <v>2650</v>
      </c>
      <c r="B832" s="6" t="s">
        <v>2651</v>
      </c>
      <c r="C832" s="6"/>
      <c r="D832" s="6" t="s">
        <v>2652</v>
      </c>
      <c r="E832" s="6" t="s">
        <v>3200</v>
      </c>
      <c r="F832" s="6" t="s">
        <v>3227</v>
      </c>
      <c r="G832" s="6" t="s">
        <v>131</v>
      </c>
      <c r="H832" s="6" t="s">
        <v>91</v>
      </c>
      <c r="I832" s="6" t="s">
        <v>92</v>
      </c>
      <c r="J832" s="6" t="s">
        <v>9186</v>
      </c>
      <c r="K832" s="6" t="s">
        <v>3159</v>
      </c>
      <c r="L832" s="6" t="s">
        <v>3243</v>
      </c>
      <c r="M832" s="6" t="s">
        <v>3160</v>
      </c>
      <c r="N832" s="6" t="s">
        <v>3143</v>
      </c>
      <c r="O832" s="6" t="s">
        <v>3188</v>
      </c>
      <c r="P832" s="6" t="s">
        <v>5051</v>
      </c>
      <c r="Q832" s="6" t="s">
        <v>9187</v>
      </c>
      <c r="R832" s="6" t="s">
        <v>9188</v>
      </c>
      <c r="S832" s="6" t="s">
        <v>22</v>
      </c>
      <c r="T832" s="6"/>
      <c r="U832" s="6" t="s">
        <v>3141</v>
      </c>
      <c r="V832" s="6" t="s">
        <v>4980</v>
      </c>
      <c r="W832" s="6" t="s">
        <v>3729</v>
      </c>
      <c r="X832" s="6" t="s">
        <v>85</v>
      </c>
      <c r="Y832" s="6" t="s">
        <v>3159</v>
      </c>
      <c r="Z832" s="6" t="s">
        <v>78</v>
      </c>
      <c r="AA832" s="6" t="s">
        <v>3907</v>
      </c>
      <c r="AB832" s="6"/>
      <c r="AC832" s="6" t="s">
        <v>3141</v>
      </c>
      <c r="AD832" s="6" t="s">
        <v>3141</v>
      </c>
      <c r="AE832" s="6" t="s">
        <v>3622</v>
      </c>
      <c r="AF832" s="6" t="s">
        <v>9189</v>
      </c>
      <c r="AG832" s="6"/>
      <c r="AH832" s="6" t="s">
        <v>79</v>
      </c>
    </row>
    <row r="833" spans="1:34" x14ac:dyDescent="0.25">
      <c r="A833" s="6" t="s">
        <v>2653</v>
      </c>
      <c r="B833" s="6" t="s">
        <v>2654</v>
      </c>
      <c r="C833" s="6" t="s">
        <v>2655</v>
      </c>
      <c r="D833" s="6" t="s">
        <v>2656</v>
      </c>
      <c r="E833" s="6" t="s">
        <v>3346</v>
      </c>
      <c r="F833" s="6" t="s">
        <v>3214</v>
      </c>
      <c r="G833" s="6" t="s">
        <v>106</v>
      </c>
      <c r="H833" s="6" t="s">
        <v>84</v>
      </c>
      <c r="I833" s="6" t="s">
        <v>74</v>
      </c>
      <c r="J833" s="6" t="s">
        <v>9190</v>
      </c>
      <c r="K833" s="6" t="s">
        <v>3159</v>
      </c>
      <c r="L833" s="6" t="s">
        <v>3141</v>
      </c>
      <c r="M833" s="6" t="s">
        <v>3173</v>
      </c>
      <c r="N833" s="6" t="s">
        <v>3141</v>
      </c>
      <c r="O833" s="6" t="s">
        <v>3141</v>
      </c>
      <c r="P833" s="6" t="s">
        <v>9191</v>
      </c>
      <c r="Q833" s="6" t="s">
        <v>9192</v>
      </c>
      <c r="R833" s="6" t="s">
        <v>9193</v>
      </c>
      <c r="S833" s="6" t="s">
        <v>20</v>
      </c>
      <c r="T833" s="6" t="s">
        <v>9194</v>
      </c>
      <c r="U833" s="6" t="s">
        <v>3159</v>
      </c>
      <c r="V833" s="6" t="s">
        <v>9195</v>
      </c>
      <c r="W833" s="6" t="s">
        <v>4485</v>
      </c>
      <c r="X833" s="6" t="s">
        <v>77</v>
      </c>
      <c r="Y833" s="6" t="s">
        <v>3159</v>
      </c>
      <c r="Z833" s="6" t="s">
        <v>93</v>
      </c>
      <c r="AA833" s="6" t="s">
        <v>4718</v>
      </c>
      <c r="AB833" s="6"/>
      <c r="AC833" s="6" t="s">
        <v>3140</v>
      </c>
      <c r="AD833" s="6" t="s">
        <v>3143</v>
      </c>
      <c r="AE833" s="6" t="s">
        <v>3136</v>
      </c>
      <c r="AF833" s="6"/>
      <c r="AG833" s="6" t="s">
        <v>7805</v>
      </c>
      <c r="AH833" s="6" t="s">
        <v>79</v>
      </c>
    </row>
    <row r="834" spans="1:34" x14ac:dyDescent="0.25">
      <c r="A834" s="6" t="s">
        <v>2657</v>
      </c>
      <c r="B834" s="6" t="s">
        <v>2658</v>
      </c>
      <c r="C834" s="6" t="s">
        <v>9196</v>
      </c>
      <c r="D834" s="6" t="s">
        <v>2659</v>
      </c>
      <c r="E834" s="6" t="s">
        <v>4025</v>
      </c>
      <c r="F834" s="6" t="s">
        <v>89</v>
      </c>
      <c r="G834" s="6" t="s">
        <v>4489</v>
      </c>
      <c r="H834" s="6" t="s">
        <v>6835</v>
      </c>
      <c r="I834" s="6" t="s">
        <v>74</v>
      </c>
      <c r="J834" s="6" t="s">
        <v>9197</v>
      </c>
      <c r="K834" s="6" t="s">
        <v>3141</v>
      </c>
      <c r="L834" s="6" t="s">
        <v>3243</v>
      </c>
      <c r="M834" s="6" t="s">
        <v>3141</v>
      </c>
      <c r="N834" s="6" t="s">
        <v>3152</v>
      </c>
      <c r="O834" s="6" t="s">
        <v>3141</v>
      </c>
      <c r="P834" s="6" t="s">
        <v>4505</v>
      </c>
      <c r="Q834" s="6" t="s">
        <v>9198</v>
      </c>
      <c r="R834" s="6" t="s">
        <v>9199</v>
      </c>
      <c r="S834" s="6" t="s">
        <v>21</v>
      </c>
      <c r="T834" s="6" t="s">
        <v>9200</v>
      </c>
      <c r="U834" s="6" t="s">
        <v>3141</v>
      </c>
      <c r="V834" s="6" t="s">
        <v>9201</v>
      </c>
      <c r="W834" s="6" t="s">
        <v>3448</v>
      </c>
      <c r="X834" s="6" t="s">
        <v>85</v>
      </c>
      <c r="Y834" s="6" t="s">
        <v>3140</v>
      </c>
      <c r="Z834" s="6" t="s">
        <v>3343</v>
      </c>
      <c r="AA834" s="6" t="s">
        <v>4407</v>
      </c>
      <c r="AB834" s="6"/>
      <c r="AC834" s="6" t="s">
        <v>3141</v>
      </c>
      <c r="AD834" s="6" t="s">
        <v>3243</v>
      </c>
      <c r="AE834" s="6" t="s">
        <v>3323</v>
      </c>
      <c r="AF834" s="6"/>
      <c r="AG834" s="6" t="s">
        <v>3676</v>
      </c>
      <c r="AH834" s="6" t="s">
        <v>94</v>
      </c>
    </row>
    <row r="835" spans="1:34" x14ac:dyDescent="0.25">
      <c r="A835" s="6" t="s">
        <v>2660</v>
      </c>
      <c r="B835" s="6" t="s">
        <v>9202</v>
      </c>
      <c r="C835" s="6" t="s">
        <v>9203</v>
      </c>
      <c r="D835" s="6" t="s">
        <v>2661</v>
      </c>
      <c r="E835" s="6" t="s">
        <v>3279</v>
      </c>
      <c r="F835" s="6" t="s">
        <v>3283</v>
      </c>
      <c r="G835" s="6" t="s">
        <v>6790</v>
      </c>
      <c r="H835" s="6" t="s">
        <v>91</v>
      </c>
      <c r="I835" s="6" t="s">
        <v>92</v>
      </c>
      <c r="J835" s="6" t="s">
        <v>9204</v>
      </c>
      <c r="K835" s="6" t="s">
        <v>3159</v>
      </c>
      <c r="L835" s="6" t="s">
        <v>3160</v>
      </c>
      <c r="M835" s="6" t="s">
        <v>3160</v>
      </c>
      <c r="N835" s="6" t="s">
        <v>3141</v>
      </c>
      <c r="O835" s="6" t="s">
        <v>3196</v>
      </c>
      <c r="P835" s="6" t="s">
        <v>7771</v>
      </c>
      <c r="Q835" s="6" t="s">
        <v>9205</v>
      </c>
      <c r="R835" s="6" t="s">
        <v>9206</v>
      </c>
      <c r="S835" s="6" t="s">
        <v>21</v>
      </c>
      <c r="T835" s="6" t="s">
        <v>3217</v>
      </c>
      <c r="U835" s="6" t="s">
        <v>3141</v>
      </c>
      <c r="V835" s="6" t="s">
        <v>9207</v>
      </c>
      <c r="W835" s="6" t="s">
        <v>3415</v>
      </c>
      <c r="X835" s="6" t="s">
        <v>85</v>
      </c>
      <c r="Y835" s="6" t="s">
        <v>3140</v>
      </c>
      <c r="Z835" s="6" t="s">
        <v>3263</v>
      </c>
      <c r="AA835" s="6" t="s">
        <v>3455</v>
      </c>
      <c r="AB835" s="6"/>
      <c r="AC835" s="6" t="s">
        <v>3141</v>
      </c>
      <c r="AD835" s="6" t="s">
        <v>75</v>
      </c>
      <c r="AE835" s="6" t="s">
        <v>3323</v>
      </c>
      <c r="AF835" s="6"/>
      <c r="AG835" s="6" t="s">
        <v>9208</v>
      </c>
      <c r="AH835" s="6" t="s">
        <v>79</v>
      </c>
    </row>
    <row r="836" spans="1:34" x14ac:dyDescent="0.25">
      <c r="A836" s="6" t="s">
        <v>2662</v>
      </c>
      <c r="B836" s="6" t="s">
        <v>1709</v>
      </c>
      <c r="C836" s="6"/>
      <c r="D836" s="6" t="s">
        <v>9209</v>
      </c>
      <c r="E836" s="6" t="s">
        <v>3226</v>
      </c>
      <c r="F836" s="6" t="s">
        <v>3201</v>
      </c>
      <c r="G836" s="6" t="s">
        <v>72</v>
      </c>
      <c r="H836" s="6" t="s">
        <v>166</v>
      </c>
      <c r="I836" s="6" t="s">
        <v>74</v>
      </c>
      <c r="J836" s="6" t="s">
        <v>9210</v>
      </c>
      <c r="K836" s="6" t="s">
        <v>3159</v>
      </c>
      <c r="L836" s="6" t="s">
        <v>3142</v>
      </c>
      <c r="M836" s="6" t="s">
        <v>3141</v>
      </c>
      <c r="N836" s="6" t="s">
        <v>3152</v>
      </c>
      <c r="O836" s="6" t="s">
        <v>3143</v>
      </c>
      <c r="P836" s="6" t="s">
        <v>7967</v>
      </c>
      <c r="Q836" s="6" t="s">
        <v>9211</v>
      </c>
      <c r="R836" s="6" t="s">
        <v>9212</v>
      </c>
      <c r="S836" s="6" t="s">
        <v>21</v>
      </c>
      <c r="T836" s="6"/>
      <c r="U836" s="6" t="s">
        <v>3141</v>
      </c>
      <c r="V836" s="6" t="s">
        <v>4151</v>
      </c>
      <c r="W836" s="6" t="s">
        <v>3166</v>
      </c>
      <c r="X836" s="6" t="s">
        <v>3167</v>
      </c>
      <c r="Y836" s="6" t="s">
        <v>3159</v>
      </c>
      <c r="Z836" s="6" t="s">
        <v>78</v>
      </c>
      <c r="AA836" s="6" t="s">
        <v>7153</v>
      </c>
      <c r="AB836" s="6" t="s">
        <v>9213</v>
      </c>
      <c r="AC836" s="6" t="s">
        <v>3159</v>
      </c>
      <c r="AD836" s="6" t="s">
        <v>3160</v>
      </c>
      <c r="AE836" s="6" t="s">
        <v>3136</v>
      </c>
      <c r="AF836" s="6"/>
      <c r="AG836" s="6" t="s">
        <v>9214</v>
      </c>
      <c r="AH836" s="6" t="s">
        <v>79</v>
      </c>
    </row>
    <row r="837" spans="1:34" x14ac:dyDescent="0.25">
      <c r="A837" s="6" t="s">
        <v>2664</v>
      </c>
      <c r="B837" s="6" t="s">
        <v>2665</v>
      </c>
      <c r="C837" s="6" t="s">
        <v>9215</v>
      </c>
      <c r="D837" s="6" t="s">
        <v>2666</v>
      </c>
      <c r="E837" s="6" t="s">
        <v>3136</v>
      </c>
      <c r="F837" s="6" t="s">
        <v>3201</v>
      </c>
      <c r="G837" s="6" t="s">
        <v>106</v>
      </c>
      <c r="H837" s="6" t="s">
        <v>91</v>
      </c>
      <c r="I837" s="6" t="s">
        <v>92</v>
      </c>
      <c r="J837" s="6" t="s">
        <v>9216</v>
      </c>
      <c r="K837" s="6" t="s">
        <v>3141</v>
      </c>
      <c r="L837" s="6" t="s">
        <v>3143</v>
      </c>
      <c r="M837" s="6" t="s">
        <v>3243</v>
      </c>
      <c r="N837" s="6" t="s">
        <v>3160</v>
      </c>
      <c r="O837" s="6" t="s">
        <v>3143</v>
      </c>
      <c r="P837" s="6" t="s">
        <v>3561</v>
      </c>
      <c r="Q837" s="6" t="s">
        <v>9217</v>
      </c>
      <c r="R837" s="6" t="s">
        <v>9218</v>
      </c>
      <c r="S837" s="6" t="s">
        <v>20</v>
      </c>
      <c r="T837" s="6" t="s">
        <v>9219</v>
      </c>
      <c r="U837" s="6" t="s">
        <v>3141</v>
      </c>
      <c r="V837" s="6" t="s">
        <v>8479</v>
      </c>
      <c r="W837" s="6" t="s">
        <v>3928</v>
      </c>
      <c r="X837" s="6" t="s">
        <v>77</v>
      </c>
      <c r="Y837" s="6" t="s">
        <v>3292</v>
      </c>
      <c r="Z837" s="6" t="s">
        <v>93</v>
      </c>
      <c r="AA837" s="6" t="s">
        <v>3776</v>
      </c>
      <c r="AB837" s="6"/>
      <c r="AC837" s="6" t="s">
        <v>3141</v>
      </c>
      <c r="AD837" s="6" t="s">
        <v>3152</v>
      </c>
      <c r="AE837" s="6" t="s">
        <v>3136</v>
      </c>
      <c r="AF837" s="6"/>
      <c r="AG837" s="6" t="s">
        <v>9220</v>
      </c>
      <c r="AH837" s="6" t="s">
        <v>79</v>
      </c>
    </row>
    <row r="838" spans="1:34" x14ac:dyDescent="0.25">
      <c r="A838" s="6" t="s">
        <v>2667</v>
      </c>
      <c r="B838" s="6" t="s">
        <v>1208</v>
      </c>
      <c r="C838" s="6" t="s">
        <v>9221</v>
      </c>
      <c r="D838" s="6"/>
      <c r="E838" s="6" t="s">
        <v>3254</v>
      </c>
      <c r="F838" s="6" t="s">
        <v>71</v>
      </c>
      <c r="G838" s="6" t="s">
        <v>6202</v>
      </c>
      <c r="H838" s="6" t="s">
        <v>107</v>
      </c>
      <c r="I838" s="6" t="s">
        <v>92</v>
      </c>
      <c r="J838" s="6" t="s">
        <v>9222</v>
      </c>
      <c r="K838" s="6" t="s">
        <v>3140</v>
      </c>
      <c r="L838" s="6" t="s">
        <v>3160</v>
      </c>
      <c r="M838" s="6" t="s">
        <v>3159</v>
      </c>
      <c r="N838" s="6" t="s">
        <v>3188</v>
      </c>
      <c r="O838" s="6" t="s">
        <v>3160</v>
      </c>
      <c r="P838" s="6" t="s">
        <v>3932</v>
      </c>
      <c r="Q838" s="6" t="s">
        <v>9223</v>
      </c>
      <c r="R838" s="6" t="s">
        <v>9224</v>
      </c>
      <c r="S838" s="6" t="s">
        <v>22</v>
      </c>
      <c r="T838" s="6" t="s">
        <v>9225</v>
      </c>
      <c r="U838" s="6" t="s">
        <v>3141</v>
      </c>
      <c r="V838" s="6" t="s">
        <v>8415</v>
      </c>
      <c r="W838" s="6" t="s">
        <v>3344</v>
      </c>
      <c r="X838" s="6" t="s">
        <v>85</v>
      </c>
      <c r="Y838" s="6" t="s">
        <v>3141</v>
      </c>
      <c r="Z838" s="6" t="s">
        <v>3329</v>
      </c>
      <c r="AA838" s="6" t="s">
        <v>3490</v>
      </c>
      <c r="AB838" s="6"/>
      <c r="AC838" s="6" t="s">
        <v>3141</v>
      </c>
      <c r="AD838" s="6" t="s">
        <v>3143</v>
      </c>
      <c r="AE838" s="6" t="s">
        <v>3279</v>
      </c>
      <c r="AF838" s="6" t="s">
        <v>9226</v>
      </c>
      <c r="AG838" s="6" t="s">
        <v>9227</v>
      </c>
      <c r="AH838" s="6" t="s">
        <v>79</v>
      </c>
    </row>
    <row r="839" spans="1:34" x14ac:dyDescent="0.25">
      <c r="A839" s="6" t="s">
        <v>2668</v>
      </c>
      <c r="B839" s="6" t="s">
        <v>9228</v>
      </c>
      <c r="C839" s="6" t="s">
        <v>2670</v>
      </c>
      <c r="D839" s="6" t="s">
        <v>9229</v>
      </c>
      <c r="E839" s="6" t="s">
        <v>3282</v>
      </c>
      <c r="F839" s="6" t="s">
        <v>89</v>
      </c>
      <c r="G839" s="6" t="s">
        <v>90</v>
      </c>
      <c r="H839" s="6" t="s">
        <v>166</v>
      </c>
      <c r="I839" s="6" t="s">
        <v>74</v>
      </c>
      <c r="J839" s="6"/>
      <c r="K839" s="6" t="s">
        <v>3159</v>
      </c>
      <c r="L839" s="6" t="s">
        <v>76</v>
      </c>
      <c r="M839" s="6" t="s">
        <v>3141</v>
      </c>
      <c r="N839" s="6" t="s">
        <v>3141</v>
      </c>
      <c r="O839" s="6" t="s">
        <v>3141</v>
      </c>
      <c r="P839" s="6" t="s">
        <v>3990</v>
      </c>
      <c r="Q839" s="6" t="s">
        <v>9230</v>
      </c>
      <c r="R839" s="6" t="s">
        <v>9231</v>
      </c>
      <c r="S839" s="6" t="s">
        <v>20</v>
      </c>
      <c r="T839" s="6" t="s">
        <v>9232</v>
      </c>
      <c r="U839" s="6" t="s">
        <v>3141</v>
      </c>
      <c r="V839" s="6" t="s">
        <v>9233</v>
      </c>
      <c r="W839" s="6" t="s">
        <v>3730</v>
      </c>
      <c r="X839" s="6" t="s">
        <v>77</v>
      </c>
      <c r="Y839" s="6" t="s">
        <v>3141</v>
      </c>
      <c r="Z839" s="6" t="s">
        <v>78</v>
      </c>
      <c r="AA839" s="6" t="s">
        <v>3853</v>
      </c>
      <c r="AB839" s="6"/>
      <c r="AC839" s="6" t="s">
        <v>3141</v>
      </c>
      <c r="AD839" s="6" t="s">
        <v>75</v>
      </c>
      <c r="AE839" s="6" t="s">
        <v>3293</v>
      </c>
      <c r="AF839" s="6"/>
      <c r="AG839" s="6" t="s">
        <v>4827</v>
      </c>
      <c r="AH839" s="6" t="s">
        <v>79</v>
      </c>
    </row>
    <row r="840" spans="1:34" x14ac:dyDescent="0.25">
      <c r="A840" s="6" t="s">
        <v>2672</v>
      </c>
      <c r="B840" s="6" t="s">
        <v>2673</v>
      </c>
      <c r="C840" s="6" t="s">
        <v>9234</v>
      </c>
      <c r="D840" s="6" t="s">
        <v>9235</v>
      </c>
      <c r="E840" s="6"/>
      <c r="F840" s="6" t="s">
        <v>89</v>
      </c>
      <c r="G840" s="6" t="s">
        <v>106</v>
      </c>
      <c r="H840" s="6" t="s">
        <v>84</v>
      </c>
      <c r="I840" s="6" t="s">
        <v>74</v>
      </c>
      <c r="J840" s="6" t="s">
        <v>9236</v>
      </c>
      <c r="K840" s="6" t="s">
        <v>3140</v>
      </c>
      <c r="L840" s="6" t="s">
        <v>3159</v>
      </c>
      <c r="M840" s="6" t="s">
        <v>75</v>
      </c>
      <c r="N840" s="6" t="s">
        <v>3173</v>
      </c>
      <c r="O840" s="6" t="s">
        <v>75</v>
      </c>
      <c r="P840" s="6" t="s">
        <v>7158</v>
      </c>
      <c r="Q840" s="6" t="s">
        <v>3217</v>
      </c>
      <c r="R840" s="6" t="s">
        <v>9237</v>
      </c>
      <c r="S840" s="6" t="s">
        <v>21</v>
      </c>
      <c r="T840" s="6" t="s">
        <v>9238</v>
      </c>
      <c r="U840" s="6" t="s">
        <v>3159</v>
      </c>
      <c r="V840" s="6" t="s">
        <v>4151</v>
      </c>
      <c r="W840" s="6" t="s">
        <v>3448</v>
      </c>
      <c r="X840" s="6" t="s">
        <v>85</v>
      </c>
      <c r="Y840" s="6" t="s">
        <v>3140</v>
      </c>
      <c r="Z840" s="6" t="s">
        <v>78</v>
      </c>
      <c r="AA840" s="6" t="s">
        <v>3532</v>
      </c>
      <c r="AB840" s="6"/>
      <c r="AC840" s="6" t="s">
        <v>3141</v>
      </c>
      <c r="AD840" s="6" t="s">
        <v>3152</v>
      </c>
      <c r="AE840" s="6" t="s">
        <v>3235</v>
      </c>
      <c r="AF840" s="6"/>
      <c r="AG840" s="6" t="s">
        <v>9239</v>
      </c>
      <c r="AH840" s="6" t="s">
        <v>79</v>
      </c>
    </row>
    <row r="841" spans="1:34" x14ac:dyDescent="0.25">
      <c r="A841" s="6" t="s">
        <v>2675</v>
      </c>
      <c r="B841" s="6" t="s">
        <v>2676</v>
      </c>
      <c r="C841" s="6" t="s">
        <v>9240</v>
      </c>
      <c r="D841" s="6" t="s">
        <v>2677</v>
      </c>
      <c r="E841" s="6" t="s">
        <v>3136</v>
      </c>
      <c r="F841" s="6" t="s">
        <v>3137</v>
      </c>
      <c r="G841" s="6" t="s">
        <v>90</v>
      </c>
      <c r="H841" s="6" t="s">
        <v>144</v>
      </c>
      <c r="I841" s="6" t="s">
        <v>92</v>
      </c>
      <c r="J841" s="6" t="s">
        <v>9241</v>
      </c>
      <c r="K841" s="6" t="s">
        <v>3159</v>
      </c>
      <c r="L841" s="6" t="s">
        <v>3141</v>
      </c>
      <c r="M841" s="6" t="s">
        <v>3159</v>
      </c>
      <c r="N841" s="6" t="s">
        <v>3152</v>
      </c>
      <c r="O841" s="6" t="s">
        <v>75</v>
      </c>
      <c r="P841" s="6" t="s">
        <v>9242</v>
      </c>
      <c r="Q841" s="6" t="s">
        <v>9243</v>
      </c>
      <c r="R841" s="6" t="s">
        <v>9244</v>
      </c>
      <c r="S841" s="6" t="s">
        <v>23</v>
      </c>
      <c r="T841" s="6"/>
      <c r="U841" s="6" t="s">
        <v>3141</v>
      </c>
      <c r="V841" s="6" t="s">
        <v>3303</v>
      </c>
      <c r="W841" s="6" t="s">
        <v>3439</v>
      </c>
      <c r="X841" s="6" t="s">
        <v>77</v>
      </c>
      <c r="Y841" s="6" t="s">
        <v>3140</v>
      </c>
      <c r="Z841" s="6" t="s">
        <v>93</v>
      </c>
      <c r="AA841" s="6" t="s">
        <v>3221</v>
      </c>
      <c r="AB841" s="6"/>
      <c r="AC841" s="6" t="s">
        <v>3159</v>
      </c>
      <c r="AD841" s="6" t="s">
        <v>3141</v>
      </c>
      <c r="AE841" s="6" t="s">
        <v>3331</v>
      </c>
      <c r="AF841" s="6" t="s">
        <v>9245</v>
      </c>
      <c r="AG841" s="6" t="s">
        <v>9246</v>
      </c>
      <c r="AH841" s="6" t="s">
        <v>79</v>
      </c>
    </row>
    <row r="842" spans="1:34" x14ac:dyDescent="0.25">
      <c r="A842" s="6" t="s">
        <v>2678</v>
      </c>
      <c r="B842" s="6" t="s">
        <v>2679</v>
      </c>
      <c r="C842" s="6" t="s">
        <v>2680</v>
      </c>
      <c r="D842" s="6"/>
      <c r="E842" s="6" t="s">
        <v>3703</v>
      </c>
      <c r="F842" s="6" t="s">
        <v>3269</v>
      </c>
      <c r="G842" s="6" t="s">
        <v>127</v>
      </c>
      <c r="H842" s="6" t="s">
        <v>103</v>
      </c>
      <c r="I842" s="6" t="s">
        <v>74</v>
      </c>
      <c r="J842" s="6" t="s">
        <v>9247</v>
      </c>
      <c r="K842" s="6" t="s">
        <v>3292</v>
      </c>
      <c r="L842" s="6" t="s">
        <v>3196</v>
      </c>
      <c r="M842" s="6" t="s">
        <v>3143</v>
      </c>
      <c r="N842" s="6" t="s">
        <v>3196</v>
      </c>
      <c r="O842" s="6" t="s">
        <v>76</v>
      </c>
      <c r="P842" s="6" t="s">
        <v>3771</v>
      </c>
      <c r="Q842" s="6" t="s">
        <v>9248</v>
      </c>
      <c r="R842" s="6" t="s">
        <v>9249</v>
      </c>
      <c r="S842" s="6" t="s">
        <v>20</v>
      </c>
      <c r="T842" s="6" t="s">
        <v>9250</v>
      </c>
      <c r="U842" s="6" t="s">
        <v>3141</v>
      </c>
      <c r="V842" s="6" t="s">
        <v>6557</v>
      </c>
      <c r="W842" s="6" t="s">
        <v>3149</v>
      </c>
      <c r="X842" s="6" t="s">
        <v>85</v>
      </c>
      <c r="Y842" s="6" t="s">
        <v>3140</v>
      </c>
      <c r="Z842" s="6" t="s">
        <v>93</v>
      </c>
      <c r="AA842" s="6" t="s">
        <v>4764</v>
      </c>
      <c r="AB842" s="6" t="s">
        <v>9251</v>
      </c>
      <c r="AC842" s="6" t="s">
        <v>3141</v>
      </c>
      <c r="AD842" s="6" t="s">
        <v>3143</v>
      </c>
      <c r="AE842" s="6" t="s">
        <v>3293</v>
      </c>
      <c r="AF842" s="6"/>
      <c r="AG842" s="6" t="s">
        <v>7920</v>
      </c>
      <c r="AH842" s="6" t="s">
        <v>79</v>
      </c>
    </row>
    <row r="843" spans="1:34" x14ac:dyDescent="0.25">
      <c r="A843" s="6" t="s">
        <v>2681</v>
      </c>
      <c r="B843" s="6" t="s">
        <v>2682</v>
      </c>
      <c r="C843" s="6"/>
      <c r="D843" s="6" t="s">
        <v>2683</v>
      </c>
      <c r="E843" s="6" t="s">
        <v>3722</v>
      </c>
      <c r="F843" s="6" t="s">
        <v>3201</v>
      </c>
      <c r="G843" s="6" t="s">
        <v>106</v>
      </c>
      <c r="H843" s="6" t="s">
        <v>99</v>
      </c>
      <c r="I843" s="6" t="s">
        <v>74</v>
      </c>
      <c r="J843" s="6" t="s">
        <v>9252</v>
      </c>
      <c r="K843" s="6" t="s">
        <v>3159</v>
      </c>
      <c r="L843" s="6" t="s">
        <v>3159</v>
      </c>
      <c r="M843" s="6" t="s">
        <v>3141</v>
      </c>
      <c r="N843" s="6" t="s">
        <v>3143</v>
      </c>
      <c r="O843" s="6" t="s">
        <v>75</v>
      </c>
      <c r="P843" s="6" t="s">
        <v>5872</v>
      </c>
      <c r="Q843" s="6" t="s">
        <v>9253</v>
      </c>
      <c r="R843" s="6" t="s">
        <v>9254</v>
      </c>
      <c r="S843" s="6" t="s">
        <v>20</v>
      </c>
      <c r="T843" s="6" t="s">
        <v>9255</v>
      </c>
      <c r="U843" s="6" t="s">
        <v>3141</v>
      </c>
      <c r="V843" s="6" t="s">
        <v>9256</v>
      </c>
      <c r="W843" s="6" t="s">
        <v>4781</v>
      </c>
      <c r="X843" s="6" t="s">
        <v>77</v>
      </c>
      <c r="Y843" s="6" t="s">
        <v>3140</v>
      </c>
      <c r="Z843" s="6" t="s">
        <v>93</v>
      </c>
      <c r="AA843" s="6" t="s">
        <v>5273</v>
      </c>
      <c r="AB843" s="6"/>
      <c r="AC843" s="6" t="s">
        <v>3141</v>
      </c>
      <c r="AD843" s="6" t="s">
        <v>3243</v>
      </c>
      <c r="AE843" s="6" t="s">
        <v>3293</v>
      </c>
      <c r="AF843" s="6"/>
      <c r="AG843" s="6" t="s">
        <v>9257</v>
      </c>
      <c r="AH843" s="6" t="s">
        <v>79</v>
      </c>
    </row>
    <row r="844" spans="1:34" x14ac:dyDescent="0.25">
      <c r="A844" s="6" t="s">
        <v>2684</v>
      </c>
      <c r="B844" s="6" t="s">
        <v>693</v>
      </c>
      <c r="C844" s="6" t="s">
        <v>9258</v>
      </c>
      <c r="D844" s="6" t="s">
        <v>2685</v>
      </c>
      <c r="E844" s="6" t="s">
        <v>4687</v>
      </c>
      <c r="F844" s="6" t="s">
        <v>3283</v>
      </c>
      <c r="G844" s="6" t="s">
        <v>127</v>
      </c>
      <c r="H844" s="6" t="s">
        <v>103</v>
      </c>
      <c r="I844" s="6" t="s">
        <v>74</v>
      </c>
      <c r="J844" s="6"/>
      <c r="K844" s="6" t="s">
        <v>3140</v>
      </c>
      <c r="L844" s="6" t="s">
        <v>3159</v>
      </c>
      <c r="M844" s="6" t="s">
        <v>3143</v>
      </c>
      <c r="N844" s="6" t="s">
        <v>3173</v>
      </c>
      <c r="O844" s="6" t="s">
        <v>75</v>
      </c>
      <c r="P844" s="6" t="s">
        <v>6161</v>
      </c>
      <c r="Q844" s="6"/>
      <c r="R844" s="6" t="s">
        <v>9259</v>
      </c>
      <c r="S844" s="6" t="s">
        <v>3219</v>
      </c>
      <c r="T844" s="6" t="s">
        <v>9260</v>
      </c>
      <c r="U844" s="6" t="s">
        <v>3140</v>
      </c>
      <c r="V844" s="6" t="s">
        <v>9261</v>
      </c>
      <c r="W844" s="6" t="s">
        <v>3894</v>
      </c>
      <c r="X844" s="6" t="s">
        <v>77</v>
      </c>
      <c r="Y844" s="6" t="s">
        <v>3192</v>
      </c>
      <c r="Z844" s="6" t="s">
        <v>93</v>
      </c>
      <c r="AA844" s="6" t="s">
        <v>7527</v>
      </c>
      <c r="AB844" s="6" t="s">
        <v>9262</v>
      </c>
      <c r="AC844" s="6" t="s">
        <v>3140</v>
      </c>
      <c r="AD844" s="6" t="s">
        <v>75</v>
      </c>
      <c r="AE844" s="6" t="s">
        <v>3136</v>
      </c>
      <c r="AF844" s="6"/>
      <c r="AG844" s="6" t="s">
        <v>6164</v>
      </c>
      <c r="AH844" s="6" t="s">
        <v>79</v>
      </c>
    </row>
    <row r="845" spans="1:34" x14ac:dyDescent="0.25">
      <c r="A845" s="6" t="s">
        <v>2686</v>
      </c>
      <c r="B845" s="6" t="s">
        <v>2687</v>
      </c>
      <c r="C845" s="6" t="s">
        <v>9263</v>
      </c>
      <c r="D845" s="6" t="s">
        <v>2688</v>
      </c>
      <c r="E845" s="6" t="s">
        <v>4542</v>
      </c>
      <c r="F845" s="6" t="s">
        <v>3227</v>
      </c>
      <c r="G845" s="6" t="s">
        <v>139</v>
      </c>
      <c r="H845" s="6" t="s">
        <v>84</v>
      </c>
      <c r="I845" s="6" t="s">
        <v>74</v>
      </c>
      <c r="J845" s="6" t="s">
        <v>3217</v>
      </c>
      <c r="K845" s="6" t="s">
        <v>3140</v>
      </c>
      <c r="L845" s="6" t="s">
        <v>3243</v>
      </c>
      <c r="M845" s="6" t="s">
        <v>76</v>
      </c>
      <c r="N845" s="6" t="s">
        <v>76</v>
      </c>
      <c r="O845" s="6" t="s">
        <v>3143</v>
      </c>
      <c r="P845" s="6"/>
      <c r="Q845" s="6" t="s">
        <v>9264</v>
      </c>
      <c r="R845" s="6" t="s">
        <v>9265</v>
      </c>
      <c r="S845" s="6" t="s">
        <v>23</v>
      </c>
      <c r="T845" s="6" t="s">
        <v>9266</v>
      </c>
      <c r="U845" s="6" t="s">
        <v>3192</v>
      </c>
      <c r="V845" s="6" t="s">
        <v>4098</v>
      </c>
      <c r="W845" s="6" t="s">
        <v>3364</v>
      </c>
      <c r="X845" s="6" t="s">
        <v>77</v>
      </c>
      <c r="Y845" s="6" t="s">
        <v>3159</v>
      </c>
      <c r="Z845" s="6" t="s">
        <v>78</v>
      </c>
      <c r="AA845" s="6" t="s">
        <v>6455</v>
      </c>
      <c r="AB845" s="6"/>
      <c r="AC845" s="6" t="s">
        <v>3141</v>
      </c>
      <c r="AD845" s="6" t="s">
        <v>3141</v>
      </c>
      <c r="AE845" s="6" t="s">
        <v>3513</v>
      </c>
      <c r="AF845" s="6" t="s">
        <v>9267</v>
      </c>
      <c r="AG845" s="6" t="s">
        <v>9268</v>
      </c>
      <c r="AH845" s="6" t="s">
        <v>79</v>
      </c>
    </row>
    <row r="846" spans="1:34" x14ac:dyDescent="0.25">
      <c r="A846" s="6" t="s">
        <v>2689</v>
      </c>
      <c r="B846" s="6" t="s">
        <v>2044</v>
      </c>
      <c r="C846" s="6" t="s">
        <v>9269</v>
      </c>
      <c r="D846" s="6" t="s">
        <v>2690</v>
      </c>
      <c r="E846" s="6" t="s">
        <v>3170</v>
      </c>
      <c r="F846" s="6" t="s">
        <v>3283</v>
      </c>
      <c r="G846" s="6" t="s">
        <v>131</v>
      </c>
      <c r="H846" s="6" t="s">
        <v>99</v>
      </c>
      <c r="I846" s="6" t="s">
        <v>74</v>
      </c>
      <c r="J846" s="6" t="s">
        <v>9270</v>
      </c>
      <c r="K846" s="6" t="s">
        <v>3159</v>
      </c>
      <c r="L846" s="6" t="s">
        <v>3160</v>
      </c>
      <c r="M846" s="6" t="s">
        <v>3159</v>
      </c>
      <c r="N846" s="6" t="s">
        <v>3141</v>
      </c>
      <c r="O846" s="6" t="s">
        <v>3143</v>
      </c>
      <c r="P846" s="6" t="s">
        <v>7967</v>
      </c>
      <c r="Q846" s="6"/>
      <c r="R846" s="6" t="s">
        <v>9271</v>
      </c>
      <c r="S846" s="6" t="s">
        <v>20</v>
      </c>
      <c r="T846" s="6"/>
      <c r="U846" s="6" t="s">
        <v>3159</v>
      </c>
      <c r="V846" s="6" t="s">
        <v>9272</v>
      </c>
      <c r="W846" s="6" t="s">
        <v>3976</v>
      </c>
      <c r="X846" s="6" t="s">
        <v>85</v>
      </c>
      <c r="Y846" s="6" t="s">
        <v>3141</v>
      </c>
      <c r="Z846" s="6" t="s">
        <v>78</v>
      </c>
      <c r="AA846" s="6" t="s">
        <v>3467</v>
      </c>
      <c r="AB846" s="6" t="s">
        <v>9273</v>
      </c>
      <c r="AC846" s="6" t="s">
        <v>3159</v>
      </c>
      <c r="AD846" s="6" t="s">
        <v>3143</v>
      </c>
      <c r="AE846" s="6" t="s">
        <v>3293</v>
      </c>
      <c r="AF846" s="6"/>
      <c r="AG846" s="6" t="s">
        <v>9274</v>
      </c>
      <c r="AH846" s="6" t="s">
        <v>79</v>
      </c>
    </row>
    <row r="847" spans="1:34" x14ac:dyDescent="0.25">
      <c r="A847" s="6" t="s">
        <v>2691</v>
      </c>
      <c r="B847" s="6" t="s">
        <v>96</v>
      </c>
      <c r="C847" s="6"/>
      <c r="D847" s="6" t="s">
        <v>9275</v>
      </c>
      <c r="E847" s="6" t="s">
        <v>3185</v>
      </c>
      <c r="F847" s="6" t="s">
        <v>3283</v>
      </c>
      <c r="G847" s="6" t="s">
        <v>127</v>
      </c>
      <c r="H847" s="6" t="s">
        <v>73</v>
      </c>
      <c r="I847" s="6" t="s">
        <v>74</v>
      </c>
      <c r="J847" s="6" t="s">
        <v>9276</v>
      </c>
      <c r="K847" s="6" t="s">
        <v>3159</v>
      </c>
      <c r="L847" s="6" t="s">
        <v>3142</v>
      </c>
      <c r="M847" s="6" t="s">
        <v>3160</v>
      </c>
      <c r="N847" s="6" t="s">
        <v>3143</v>
      </c>
      <c r="O847" s="6" t="s">
        <v>75</v>
      </c>
      <c r="P847" s="6" t="s">
        <v>9277</v>
      </c>
      <c r="Q847" s="6"/>
      <c r="R847" s="6" t="s">
        <v>9278</v>
      </c>
      <c r="S847" s="6" t="s">
        <v>22</v>
      </c>
      <c r="T847" s="6" t="s">
        <v>9279</v>
      </c>
      <c r="U847" s="6" t="s">
        <v>3159</v>
      </c>
      <c r="V847" s="6" t="s">
        <v>4085</v>
      </c>
      <c r="W847" s="6" t="s">
        <v>3523</v>
      </c>
      <c r="X847" s="6" t="s">
        <v>85</v>
      </c>
      <c r="Y847" s="6" t="s">
        <v>3159</v>
      </c>
      <c r="Z847" s="6" t="s">
        <v>3343</v>
      </c>
      <c r="AA847" s="6" t="s">
        <v>5064</v>
      </c>
      <c r="AB847" s="6"/>
      <c r="AC847" s="6" t="s">
        <v>3141</v>
      </c>
      <c r="AD847" s="6" t="s">
        <v>3143</v>
      </c>
      <c r="AE847" s="6" t="s">
        <v>3279</v>
      </c>
      <c r="AF847" s="6" t="s">
        <v>9280</v>
      </c>
      <c r="AG847" s="6" t="s">
        <v>9281</v>
      </c>
      <c r="AH847" s="6" t="s">
        <v>79</v>
      </c>
    </row>
    <row r="848" spans="1:34" x14ac:dyDescent="0.25">
      <c r="A848" s="6" t="s">
        <v>2693</v>
      </c>
      <c r="B848" s="6" t="s">
        <v>872</v>
      </c>
      <c r="C848" s="6" t="s">
        <v>2694</v>
      </c>
      <c r="D848" s="6" t="s">
        <v>9282</v>
      </c>
      <c r="E848" s="6" t="s">
        <v>3636</v>
      </c>
      <c r="F848" s="6" t="s">
        <v>89</v>
      </c>
      <c r="G848" s="6" t="s">
        <v>3215</v>
      </c>
      <c r="H848" s="6" t="s">
        <v>144</v>
      </c>
      <c r="I848" s="6" t="s">
        <v>92</v>
      </c>
      <c r="J848" s="6" t="s">
        <v>9283</v>
      </c>
      <c r="K848" s="6" t="s">
        <v>3159</v>
      </c>
      <c r="L848" s="6" t="s">
        <v>75</v>
      </c>
      <c r="M848" s="6" t="s">
        <v>3152</v>
      </c>
      <c r="N848" s="6" t="s">
        <v>76</v>
      </c>
      <c r="O848" s="6" t="s">
        <v>3243</v>
      </c>
      <c r="P848" s="6"/>
      <c r="Q848" s="6" t="s">
        <v>9284</v>
      </c>
      <c r="R848" s="6" t="s">
        <v>9285</v>
      </c>
      <c r="S848" s="6" t="s">
        <v>21</v>
      </c>
      <c r="T848" s="6" t="s">
        <v>9286</v>
      </c>
      <c r="U848" s="6" t="s">
        <v>3292</v>
      </c>
      <c r="V848" s="6" t="s">
        <v>6177</v>
      </c>
      <c r="W848" s="6" t="s">
        <v>3352</v>
      </c>
      <c r="X848" s="6" t="s">
        <v>85</v>
      </c>
      <c r="Y848" s="6" t="s">
        <v>3292</v>
      </c>
      <c r="Z848" s="6" t="s">
        <v>78</v>
      </c>
      <c r="AA848" s="6" t="s">
        <v>3747</v>
      </c>
      <c r="AB848" s="6"/>
      <c r="AC848" s="6" t="s">
        <v>3141</v>
      </c>
      <c r="AD848" s="6" t="s">
        <v>3143</v>
      </c>
      <c r="AE848" s="6" t="s">
        <v>3136</v>
      </c>
      <c r="AF848" s="6"/>
      <c r="AG848" s="6" t="s">
        <v>9287</v>
      </c>
      <c r="AH848" s="6" t="s">
        <v>79</v>
      </c>
    </row>
    <row r="849" spans="1:34" x14ac:dyDescent="0.25">
      <c r="A849" s="6" t="s">
        <v>2696</v>
      </c>
      <c r="B849" s="6" t="s">
        <v>2697</v>
      </c>
      <c r="C849" s="6" t="s">
        <v>9288</v>
      </c>
      <c r="D849" s="6" t="s">
        <v>2698</v>
      </c>
      <c r="E849" s="6" t="s">
        <v>3296</v>
      </c>
      <c r="F849" s="6" t="s">
        <v>3201</v>
      </c>
      <c r="G849" s="6" t="s">
        <v>174</v>
      </c>
      <c r="H849" s="6" t="s">
        <v>91</v>
      </c>
      <c r="I849" s="6" t="s">
        <v>92</v>
      </c>
      <c r="J849" s="6" t="s">
        <v>3217</v>
      </c>
      <c r="K849" s="6" t="s">
        <v>3159</v>
      </c>
      <c r="L849" s="6" t="s">
        <v>3143</v>
      </c>
      <c r="M849" s="6" t="s">
        <v>3152</v>
      </c>
      <c r="N849" s="6" t="s">
        <v>76</v>
      </c>
      <c r="O849" s="6" t="s">
        <v>3143</v>
      </c>
      <c r="P849" s="6" t="s">
        <v>9289</v>
      </c>
      <c r="Q849" s="6" t="s">
        <v>3217</v>
      </c>
      <c r="R849" s="6" t="s">
        <v>9290</v>
      </c>
      <c r="S849" s="6" t="s">
        <v>20</v>
      </c>
      <c r="T849" s="6"/>
      <c r="U849" s="6" t="s">
        <v>3159</v>
      </c>
      <c r="V849" s="6" t="s">
        <v>9291</v>
      </c>
      <c r="W849" s="6" t="s">
        <v>3478</v>
      </c>
      <c r="X849" s="6" t="s">
        <v>85</v>
      </c>
      <c r="Y849" s="6" t="s">
        <v>3141</v>
      </c>
      <c r="Z849" s="6" t="s">
        <v>93</v>
      </c>
      <c r="AA849" s="6" t="s">
        <v>3149</v>
      </c>
      <c r="AB849" s="6"/>
      <c r="AC849" s="6" t="s">
        <v>3141</v>
      </c>
      <c r="AD849" s="6" t="s">
        <v>3160</v>
      </c>
      <c r="AE849" s="6" t="s">
        <v>3169</v>
      </c>
      <c r="AF849" s="6"/>
      <c r="AG849" s="6" t="s">
        <v>9292</v>
      </c>
      <c r="AH849" s="6" t="s">
        <v>79</v>
      </c>
    </row>
    <row r="850" spans="1:34" x14ac:dyDescent="0.25">
      <c r="A850" s="6" t="s">
        <v>2699</v>
      </c>
      <c r="B850" s="6" t="s">
        <v>146</v>
      </c>
      <c r="C850" s="6" t="s">
        <v>9293</v>
      </c>
      <c r="D850" s="6" t="s">
        <v>2700</v>
      </c>
      <c r="E850" s="6" t="s">
        <v>3136</v>
      </c>
      <c r="F850" s="6" t="s">
        <v>3358</v>
      </c>
      <c r="G850" s="6" t="s">
        <v>115</v>
      </c>
      <c r="H850" s="6" t="s">
        <v>144</v>
      </c>
      <c r="I850" s="6" t="s">
        <v>92</v>
      </c>
      <c r="J850" s="6"/>
      <c r="K850" s="6" t="s">
        <v>3140</v>
      </c>
      <c r="L850" s="6" t="s">
        <v>76</v>
      </c>
      <c r="M850" s="6" t="s">
        <v>76</v>
      </c>
      <c r="N850" s="6" t="s">
        <v>3152</v>
      </c>
      <c r="O850" s="6" t="s">
        <v>3152</v>
      </c>
      <c r="P850" s="6" t="s">
        <v>3497</v>
      </c>
      <c r="Q850" s="6" t="s">
        <v>9294</v>
      </c>
      <c r="R850" s="6" t="s">
        <v>9295</v>
      </c>
      <c r="S850" s="6" t="s">
        <v>21</v>
      </c>
      <c r="T850" s="6" t="s">
        <v>3217</v>
      </c>
      <c r="U850" s="6" t="s">
        <v>3141</v>
      </c>
      <c r="V850" s="6" t="s">
        <v>9296</v>
      </c>
      <c r="W850" s="6" t="s">
        <v>4290</v>
      </c>
      <c r="X850" s="6" t="s">
        <v>85</v>
      </c>
      <c r="Y850" s="6" t="s">
        <v>3141</v>
      </c>
      <c r="Z850" s="6" t="s">
        <v>93</v>
      </c>
      <c r="AA850" s="6" t="s">
        <v>6628</v>
      </c>
      <c r="AB850" s="6"/>
      <c r="AC850" s="6" t="s">
        <v>3141</v>
      </c>
      <c r="AD850" s="6" t="s">
        <v>3141</v>
      </c>
      <c r="AE850" s="6" t="s">
        <v>3323</v>
      </c>
      <c r="AF850" s="6"/>
      <c r="AG850" s="6" t="s">
        <v>4346</v>
      </c>
      <c r="AH850" s="6" t="s">
        <v>79</v>
      </c>
    </row>
    <row r="851" spans="1:34" x14ac:dyDescent="0.25">
      <c r="A851" s="6" t="s">
        <v>2701</v>
      </c>
      <c r="B851" s="6" t="s">
        <v>2702</v>
      </c>
      <c r="C851" s="6" t="s">
        <v>2703</v>
      </c>
      <c r="D851" s="6" t="s">
        <v>9297</v>
      </c>
      <c r="E851" s="6" t="s">
        <v>3460</v>
      </c>
      <c r="F851" s="6" t="s">
        <v>71</v>
      </c>
      <c r="G851" s="6" t="s">
        <v>72</v>
      </c>
      <c r="H851" s="6" t="s">
        <v>9298</v>
      </c>
      <c r="I851" s="6" t="s">
        <v>74</v>
      </c>
      <c r="J851" s="6" t="s">
        <v>9299</v>
      </c>
      <c r="K851" s="6" t="s">
        <v>3140</v>
      </c>
      <c r="L851" s="6" t="s">
        <v>3188</v>
      </c>
      <c r="M851" s="6" t="s">
        <v>3152</v>
      </c>
      <c r="N851" s="6" t="s">
        <v>3173</v>
      </c>
      <c r="O851" s="6" t="s">
        <v>3143</v>
      </c>
      <c r="P851" s="6" t="s">
        <v>8827</v>
      </c>
      <c r="Q851" s="6" t="s">
        <v>9300</v>
      </c>
      <c r="R851" s="6" t="s">
        <v>9301</v>
      </c>
      <c r="S851" s="6" t="s">
        <v>3859</v>
      </c>
      <c r="T851" s="6"/>
      <c r="U851" s="6" t="s">
        <v>3192</v>
      </c>
      <c r="V851" s="6" t="s">
        <v>9302</v>
      </c>
      <c r="W851" s="6" t="s">
        <v>6628</v>
      </c>
      <c r="X851" s="6" t="s">
        <v>85</v>
      </c>
      <c r="Y851" s="6" t="s">
        <v>3140</v>
      </c>
      <c r="Z851" s="6" t="s">
        <v>78</v>
      </c>
      <c r="AA851" s="6" t="s">
        <v>3490</v>
      </c>
      <c r="AB851" s="6"/>
      <c r="AC851" s="6" t="s">
        <v>3141</v>
      </c>
      <c r="AD851" s="6" t="s">
        <v>75</v>
      </c>
      <c r="AE851" s="6" t="s">
        <v>3136</v>
      </c>
      <c r="AF851" s="6" t="s">
        <v>9303</v>
      </c>
      <c r="AG851" s="6"/>
      <c r="AH851" s="6" t="s">
        <v>79</v>
      </c>
    </row>
    <row r="852" spans="1:34" x14ac:dyDescent="0.25">
      <c r="A852" s="6" t="s">
        <v>2705</v>
      </c>
      <c r="B852" s="6" t="s">
        <v>2706</v>
      </c>
      <c r="C852" s="6" t="s">
        <v>9304</v>
      </c>
      <c r="D852" s="6"/>
      <c r="E852" s="6" t="s">
        <v>4190</v>
      </c>
      <c r="F852" s="6" t="s">
        <v>3283</v>
      </c>
      <c r="G852" s="6" t="s">
        <v>131</v>
      </c>
      <c r="H852" s="6" t="s">
        <v>73</v>
      </c>
      <c r="I852" s="6" t="s">
        <v>74</v>
      </c>
      <c r="J852" s="6" t="s">
        <v>9305</v>
      </c>
      <c r="K852" s="6" t="s">
        <v>3140</v>
      </c>
      <c r="L852" s="6" t="s">
        <v>3196</v>
      </c>
      <c r="M852" s="6" t="s">
        <v>3141</v>
      </c>
      <c r="N852" s="6" t="s">
        <v>3141</v>
      </c>
      <c r="O852" s="6" t="s">
        <v>76</v>
      </c>
      <c r="P852" s="6" t="s">
        <v>4770</v>
      </c>
      <c r="Q852" s="6" t="s">
        <v>9306</v>
      </c>
      <c r="R852" s="6" t="s">
        <v>9307</v>
      </c>
      <c r="S852" s="6" t="s">
        <v>22</v>
      </c>
      <c r="T852" s="6" t="s">
        <v>9308</v>
      </c>
      <c r="U852" s="6" t="s">
        <v>3140</v>
      </c>
      <c r="V852" s="6" t="s">
        <v>5241</v>
      </c>
      <c r="W852" s="6" t="s">
        <v>5002</v>
      </c>
      <c r="X852" s="6" t="s">
        <v>85</v>
      </c>
      <c r="Y852" s="6" t="s">
        <v>3140</v>
      </c>
      <c r="Z852" s="6" t="s">
        <v>93</v>
      </c>
      <c r="AA852" s="6" t="s">
        <v>3250</v>
      </c>
      <c r="AB852" s="6" t="s">
        <v>9309</v>
      </c>
      <c r="AC852" s="6" t="s">
        <v>3159</v>
      </c>
      <c r="AD852" s="6" t="s">
        <v>3141</v>
      </c>
      <c r="AE852" s="6" t="s">
        <v>3210</v>
      </c>
      <c r="AF852" s="6" t="s">
        <v>9310</v>
      </c>
      <c r="AG852" s="6" t="s">
        <v>9311</v>
      </c>
      <c r="AH852" s="6" t="s">
        <v>79</v>
      </c>
    </row>
    <row r="853" spans="1:34" x14ac:dyDescent="0.25">
      <c r="A853" s="6" t="s">
        <v>2707</v>
      </c>
      <c r="B853" s="6" t="s">
        <v>2708</v>
      </c>
      <c r="C853" s="6"/>
      <c r="D853" s="6" t="s">
        <v>2709</v>
      </c>
      <c r="E853" s="6" t="s">
        <v>3636</v>
      </c>
      <c r="F853" s="6" t="s">
        <v>3201</v>
      </c>
      <c r="G853" s="6" t="s">
        <v>3704</v>
      </c>
      <c r="H853" s="6" t="s">
        <v>99</v>
      </c>
      <c r="I853" s="6" t="s">
        <v>74</v>
      </c>
      <c r="J853" s="6" t="s">
        <v>9312</v>
      </c>
      <c r="K853" s="6" t="s">
        <v>3140</v>
      </c>
      <c r="L853" s="6" t="s">
        <v>3173</v>
      </c>
      <c r="M853" s="6" t="s">
        <v>3141</v>
      </c>
      <c r="N853" s="6" t="s">
        <v>3142</v>
      </c>
      <c r="O853" s="6" t="s">
        <v>3160</v>
      </c>
      <c r="P853" s="6" t="s">
        <v>5333</v>
      </c>
      <c r="Q853" s="6"/>
      <c r="R853" s="6" t="s">
        <v>9313</v>
      </c>
      <c r="S853" s="6" t="s">
        <v>3219</v>
      </c>
      <c r="T853" s="6" t="s">
        <v>9314</v>
      </c>
      <c r="U853" s="6" t="s">
        <v>3140</v>
      </c>
      <c r="V853" s="6" t="s">
        <v>9315</v>
      </c>
      <c r="W853" s="6" t="s">
        <v>3894</v>
      </c>
      <c r="X853" s="6" t="s">
        <v>77</v>
      </c>
      <c r="Y853" s="6" t="s">
        <v>3192</v>
      </c>
      <c r="Z853" s="6" t="s">
        <v>93</v>
      </c>
      <c r="AA853" s="6" t="s">
        <v>3672</v>
      </c>
      <c r="AB853" s="6" t="s">
        <v>9316</v>
      </c>
      <c r="AC853" s="6" t="s">
        <v>3141</v>
      </c>
      <c r="AD853" s="6" t="s">
        <v>3152</v>
      </c>
      <c r="AE853" s="6" t="s">
        <v>3235</v>
      </c>
      <c r="AF853" s="6"/>
      <c r="AG853" s="6" t="s">
        <v>9317</v>
      </c>
      <c r="AH853" s="6" t="s">
        <v>79</v>
      </c>
    </row>
    <row r="854" spans="1:34" x14ac:dyDescent="0.25">
      <c r="A854" s="6" t="s">
        <v>2710</v>
      </c>
      <c r="B854" s="6" t="s">
        <v>9318</v>
      </c>
      <c r="C854" s="6"/>
      <c r="D854" s="6" t="s">
        <v>2711</v>
      </c>
      <c r="E854" s="6" t="s">
        <v>3235</v>
      </c>
      <c r="F854" s="6" t="s">
        <v>89</v>
      </c>
      <c r="G854" s="6" t="s">
        <v>131</v>
      </c>
      <c r="H854" s="6" t="s">
        <v>132</v>
      </c>
      <c r="I854" s="6" t="s">
        <v>92</v>
      </c>
      <c r="J854" s="6"/>
      <c r="K854" s="6" t="s">
        <v>3140</v>
      </c>
      <c r="L854" s="6" t="s">
        <v>3142</v>
      </c>
      <c r="M854" s="6" t="s">
        <v>3160</v>
      </c>
      <c r="N854" s="6" t="s">
        <v>3173</v>
      </c>
      <c r="O854" s="6" t="s">
        <v>3160</v>
      </c>
      <c r="P854" s="6" t="s">
        <v>5051</v>
      </c>
      <c r="Q854" s="6" t="s">
        <v>9319</v>
      </c>
      <c r="R854" s="6" t="s">
        <v>9320</v>
      </c>
      <c r="S854" s="6" t="s">
        <v>22</v>
      </c>
      <c r="T854" s="6" t="s">
        <v>9321</v>
      </c>
      <c r="U854" s="6" t="s">
        <v>3141</v>
      </c>
      <c r="V854" s="6" t="s">
        <v>8182</v>
      </c>
      <c r="W854" s="6" t="s">
        <v>3873</v>
      </c>
      <c r="X854" s="6" t="s">
        <v>77</v>
      </c>
      <c r="Y854" s="6" t="s">
        <v>3141</v>
      </c>
      <c r="Z854" s="6" t="s">
        <v>194</v>
      </c>
      <c r="AA854" s="6" t="s">
        <v>4176</v>
      </c>
      <c r="AB854" s="6"/>
      <c r="AC854" s="6" t="s">
        <v>3141</v>
      </c>
      <c r="AD854" s="6" t="s">
        <v>3152</v>
      </c>
      <c r="AE854" s="6" t="s">
        <v>3279</v>
      </c>
      <c r="AF854" s="6" t="s">
        <v>9322</v>
      </c>
      <c r="AG854" s="6"/>
      <c r="AH854" s="6" t="s">
        <v>79</v>
      </c>
    </row>
    <row r="855" spans="1:34" x14ac:dyDescent="0.25">
      <c r="A855" s="6" t="s">
        <v>2712</v>
      </c>
      <c r="B855" s="6" t="s">
        <v>2713</v>
      </c>
      <c r="C855" s="6" t="s">
        <v>2714</v>
      </c>
      <c r="D855" s="6"/>
      <c r="E855" s="6" t="s">
        <v>3185</v>
      </c>
      <c r="F855" s="6" t="s">
        <v>89</v>
      </c>
      <c r="G855" s="6" t="s">
        <v>3472</v>
      </c>
      <c r="H855" s="6" t="s">
        <v>103</v>
      </c>
      <c r="I855" s="6" t="s">
        <v>74</v>
      </c>
      <c r="J855" s="6" t="s">
        <v>9323</v>
      </c>
      <c r="K855" s="6" t="s">
        <v>3159</v>
      </c>
      <c r="L855" s="6" t="s">
        <v>3143</v>
      </c>
      <c r="M855" s="6" t="s">
        <v>3159</v>
      </c>
      <c r="N855" s="6" t="s">
        <v>3152</v>
      </c>
      <c r="O855" s="6" t="s">
        <v>3143</v>
      </c>
      <c r="P855" s="6" t="s">
        <v>9324</v>
      </c>
      <c r="Q855" s="6" t="s">
        <v>9325</v>
      </c>
      <c r="R855" s="6" t="s">
        <v>9326</v>
      </c>
      <c r="S855" s="6" t="s">
        <v>20</v>
      </c>
      <c r="T855" s="6" t="s">
        <v>9327</v>
      </c>
      <c r="U855" s="6" t="s">
        <v>3141</v>
      </c>
      <c r="V855" s="6" t="s">
        <v>3747</v>
      </c>
      <c r="W855" s="6" t="s">
        <v>4441</v>
      </c>
      <c r="X855" s="6" t="s">
        <v>77</v>
      </c>
      <c r="Y855" s="6" t="s">
        <v>3159</v>
      </c>
      <c r="Z855" s="6" t="s">
        <v>78</v>
      </c>
      <c r="AA855" s="6" t="s">
        <v>3550</v>
      </c>
      <c r="AB855" s="6"/>
      <c r="AC855" s="6" t="s">
        <v>3141</v>
      </c>
      <c r="AD855" s="6" t="s">
        <v>3173</v>
      </c>
      <c r="AE855" s="6" t="s">
        <v>3169</v>
      </c>
      <c r="AF855" s="6"/>
      <c r="AG855" s="6" t="s">
        <v>8687</v>
      </c>
      <c r="AH855" s="6" t="s">
        <v>79</v>
      </c>
    </row>
    <row r="856" spans="1:34" x14ac:dyDescent="0.25">
      <c r="A856" s="6" t="s">
        <v>2715</v>
      </c>
      <c r="B856" s="6" t="s">
        <v>2716</v>
      </c>
      <c r="C856" s="6" t="s">
        <v>9328</v>
      </c>
      <c r="D856" s="6" t="s">
        <v>2717</v>
      </c>
      <c r="E856" s="6" t="s">
        <v>3677</v>
      </c>
      <c r="F856" s="6" t="s">
        <v>3269</v>
      </c>
      <c r="G856" s="6" t="s">
        <v>226</v>
      </c>
      <c r="H856" s="6" t="s">
        <v>99</v>
      </c>
      <c r="I856" s="6" t="s">
        <v>74</v>
      </c>
      <c r="J856" s="6" t="s">
        <v>9329</v>
      </c>
      <c r="K856" s="6" t="s">
        <v>3159</v>
      </c>
      <c r="L856" s="6" t="s">
        <v>3141</v>
      </c>
      <c r="M856" s="6" t="s">
        <v>3173</v>
      </c>
      <c r="N856" s="6" t="s">
        <v>3143</v>
      </c>
      <c r="O856" s="6" t="s">
        <v>3243</v>
      </c>
      <c r="P856" s="6" t="s">
        <v>6617</v>
      </c>
      <c r="Q856" s="6" t="s">
        <v>9330</v>
      </c>
      <c r="R856" s="6" t="s">
        <v>9331</v>
      </c>
      <c r="S856" s="6" t="s">
        <v>21</v>
      </c>
      <c r="T856" s="6" t="s">
        <v>9332</v>
      </c>
      <c r="U856" s="6" t="s">
        <v>3141</v>
      </c>
      <c r="V856" s="6" t="s">
        <v>9333</v>
      </c>
      <c r="W856" s="6" t="s">
        <v>3830</v>
      </c>
      <c r="X856" s="6" t="s">
        <v>77</v>
      </c>
      <c r="Y856" s="6" t="s">
        <v>3159</v>
      </c>
      <c r="Z856" s="6" t="s">
        <v>78</v>
      </c>
      <c r="AA856" s="6" t="s">
        <v>4176</v>
      </c>
      <c r="AB856" s="6" t="s">
        <v>9334</v>
      </c>
      <c r="AC856" s="6" t="s">
        <v>3141</v>
      </c>
      <c r="AD856" s="6" t="s">
        <v>3160</v>
      </c>
      <c r="AE856" s="6" t="s">
        <v>3293</v>
      </c>
      <c r="AF856" s="6"/>
      <c r="AG856" s="6" t="s">
        <v>9335</v>
      </c>
      <c r="AH856" s="6" t="s">
        <v>79</v>
      </c>
    </row>
    <row r="857" spans="1:34" x14ac:dyDescent="0.25">
      <c r="A857" s="6" t="s">
        <v>2718</v>
      </c>
      <c r="B857" s="6" t="s">
        <v>2719</v>
      </c>
      <c r="C857" s="6" t="s">
        <v>2720</v>
      </c>
      <c r="D857" s="6" t="s">
        <v>9336</v>
      </c>
      <c r="E857" s="6" t="s">
        <v>3505</v>
      </c>
      <c r="F857" s="6" t="s">
        <v>3137</v>
      </c>
      <c r="G857" s="6" t="s">
        <v>131</v>
      </c>
      <c r="H857" s="6" t="s">
        <v>84</v>
      </c>
      <c r="I857" s="6" t="s">
        <v>74</v>
      </c>
      <c r="J857" s="6" t="s">
        <v>9337</v>
      </c>
      <c r="K857" s="6" t="s">
        <v>3292</v>
      </c>
      <c r="L857" s="6" t="s">
        <v>3173</v>
      </c>
      <c r="M857" s="6" t="s">
        <v>3152</v>
      </c>
      <c r="N857" s="6" t="s">
        <v>3159</v>
      </c>
      <c r="O857" s="6" t="s">
        <v>76</v>
      </c>
      <c r="P857" s="6" t="s">
        <v>9338</v>
      </c>
      <c r="Q857" s="6" t="s">
        <v>9339</v>
      </c>
      <c r="R857" s="6" t="s">
        <v>9340</v>
      </c>
      <c r="S857" s="6" t="s">
        <v>21</v>
      </c>
      <c r="T857" s="6"/>
      <c r="U857" s="6" t="s">
        <v>3141</v>
      </c>
      <c r="V857" s="6" t="s">
        <v>4001</v>
      </c>
      <c r="W857" s="6" t="s">
        <v>3987</v>
      </c>
      <c r="X857" s="6" t="s">
        <v>85</v>
      </c>
      <c r="Y857" s="6" t="s">
        <v>3140</v>
      </c>
      <c r="Z857" s="6" t="s">
        <v>194</v>
      </c>
      <c r="AA857" s="6" t="s">
        <v>3317</v>
      </c>
      <c r="AB857" s="6"/>
      <c r="AC857" s="6" t="s">
        <v>3141</v>
      </c>
      <c r="AD857" s="6" t="s">
        <v>3196</v>
      </c>
      <c r="AE857" s="6" t="s">
        <v>3323</v>
      </c>
      <c r="AF857" s="6"/>
      <c r="AG857" s="6" t="s">
        <v>9341</v>
      </c>
      <c r="AH857" s="6" t="s">
        <v>79</v>
      </c>
    </row>
    <row r="858" spans="1:34" x14ac:dyDescent="0.25">
      <c r="A858" s="6" t="s">
        <v>2722</v>
      </c>
      <c r="B858" s="6" t="s">
        <v>2682</v>
      </c>
      <c r="C858" s="6" t="s">
        <v>9342</v>
      </c>
      <c r="D858" s="6"/>
      <c r="E858" s="6" t="s">
        <v>3279</v>
      </c>
      <c r="F858" s="6" t="s">
        <v>3214</v>
      </c>
      <c r="G858" s="6" t="s">
        <v>143</v>
      </c>
      <c r="H858" s="6" t="s">
        <v>7571</v>
      </c>
      <c r="I858" s="6" t="s">
        <v>92</v>
      </c>
      <c r="J858" s="6"/>
      <c r="K858" s="6" t="s">
        <v>3159</v>
      </c>
      <c r="L858" s="6" t="s">
        <v>76</v>
      </c>
      <c r="M858" s="6" t="s">
        <v>3141</v>
      </c>
      <c r="N858" s="6" t="s">
        <v>3152</v>
      </c>
      <c r="O858" s="6" t="s">
        <v>3141</v>
      </c>
      <c r="P858" s="6" t="s">
        <v>7960</v>
      </c>
      <c r="Q858" s="6" t="s">
        <v>3217</v>
      </c>
      <c r="R858" s="6" t="s">
        <v>9343</v>
      </c>
      <c r="S858" s="6" t="s">
        <v>20</v>
      </c>
      <c r="T858" s="6" t="s">
        <v>9344</v>
      </c>
      <c r="U858" s="6" t="s">
        <v>3141</v>
      </c>
      <c r="V858" s="6" t="s">
        <v>9345</v>
      </c>
      <c r="W858" s="6" t="s">
        <v>3395</v>
      </c>
      <c r="X858" s="6" t="s">
        <v>85</v>
      </c>
      <c r="Y858" s="6" t="s">
        <v>3159</v>
      </c>
      <c r="Z858" s="6" t="s">
        <v>194</v>
      </c>
      <c r="AA858" s="6" t="s">
        <v>3232</v>
      </c>
      <c r="AB858" s="6"/>
      <c r="AC858" s="6" t="s">
        <v>3292</v>
      </c>
      <c r="AD858" s="6" t="s">
        <v>3141</v>
      </c>
      <c r="AE858" s="6" t="s">
        <v>3235</v>
      </c>
      <c r="AF858" s="6"/>
      <c r="AG858" s="6" t="s">
        <v>9346</v>
      </c>
      <c r="AH858" s="6" t="s">
        <v>79</v>
      </c>
    </row>
    <row r="859" spans="1:34" x14ac:dyDescent="0.25">
      <c r="A859" s="6" t="s">
        <v>2723</v>
      </c>
      <c r="B859" s="6" t="s">
        <v>2724</v>
      </c>
      <c r="C859" s="6"/>
      <c r="D859" s="6" t="s">
        <v>9347</v>
      </c>
      <c r="E859" s="6" t="s">
        <v>3136</v>
      </c>
      <c r="F859" s="6" t="s">
        <v>3214</v>
      </c>
      <c r="G859" s="6" t="s">
        <v>174</v>
      </c>
      <c r="H859" s="6" t="s">
        <v>84</v>
      </c>
      <c r="I859" s="6" t="s">
        <v>74</v>
      </c>
      <c r="J859" s="6" t="s">
        <v>9348</v>
      </c>
      <c r="K859" s="6" t="s">
        <v>3159</v>
      </c>
      <c r="L859" s="6" t="s">
        <v>3188</v>
      </c>
      <c r="M859" s="6" t="s">
        <v>75</v>
      </c>
      <c r="N859" s="6" t="s">
        <v>3141</v>
      </c>
      <c r="O859" s="6" t="s">
        <v>3160</v>
      </c>
      <c r="P859" s="6" t="s">
        <v>9349</v>
      </c>
      <c r="Q859" s="6" t="s">
        <v>9350</v>
      </c>
      <c r="R859" s="6" t="s">
        <v>9351</v>
      </c>
      <c r="S859" s="6" t="s">
        <v>20</v>
      </c>
      <c r="T859" s="6" t="s">
        <v>9352</v>
      </c>
      <c r="U859" s="6" t="s">
        <v>3159</v>
      </c>
      <c r="V859" s="6" t="s">
        <v>4001</v>
      </c>
      <c r="W859" s="6" t="s">
        <v>3718</v>
      </c>
      <c r="X859" s="6" t="s">
        <v>85</v>
      </c>
      <c r="Y859" s="6" t="s">
        <v>3140</v>
      </c>
      <c r="Z859" s="6" t="s">
        <v>78</v>
      </c>
      <c r="AA859" s="6" t="s">
        <v>3873</v>
      </c>
      <c r="AB859" s="6"/>
      <c r="AC859" s="6" t="s">
        <v>3141</v>
      </c>
      <c r="AD859" s="6" t="s">
        <v>3141</v>
      </c>
      <c r="AE859" s="6" t="s">
        <v>3235</v>
      </c>
      <c r="AF859" s="6"/>
      <c r="AG859" s="6" t="s">
        <v>5508</v>
      </c>
      <c r="AH859" s="6" t="s">
        <v>79</v>
      </c>
    </row>
    <row r="860" spans="1:34" x14ac:dyDescent="0.25">
      <c r="A860" s="6" t="s">
        <v>2726</v>
      </c>
      <c r="B860" s="6" t="s">
        <v>2727</v>
      </c>
      <c r="C860" s="6" t="s">
        <v>9353</v>
      </c>
      <c r="D860" s="6" t="s">
        <v>2728</v>
      </c>
      <c r="E860" s="6" t="s">
        <v>3279</v>
      </c>
      <c r="F860" s="6" t="s">
        <v>3214</v>
      </c>
      <c r="G860" s="6" t="s">
        <v>83</v>
      </c>
      <c r="H860" s="6" t="s">
        <v>84</v>
      </c>
      <c r="I860" s="6" t="s">
        <v>74</v>
      </c>
      <c r="J860" s="6" t="s">
        <v>3217</v>
      </c>
      <c r="K860" s="6" t="s">
        <v>3159</v>
      </c>
      <c r="L860" s="6" t="s">
        <v>3159</v>
      </c>
      <c r="M860" s="6" t="s">
        <v>3143</v>
      </c>
      <c r="N860" s="6" t="s">
        <v>3243</v>
      </c>
      <c r="O860" s="6" t="s">
        <v>75</v>
      </c>
      <c r="P860" s="6" t="s">
        <v>4657</v>
      </c>
      <c r="Q860" s="6" t="s">
        <v>9354</v>
      </c>
      <c r="R860" s="6" t="s">
        <v>9355</v>
      </c>
      <c r="S860" s="6" t="s">
        <v>20</v>
      </c>
      <c r="T860" s="6"/>
      <c r="U860" s="6" t="s">
        <v>3292</v>
      </c>
      <c r="V860" s="6" t="s">
        <v>9356</v>
      </c>
      <c r="W860" s="6" t="s">
        <v>6628</v>
      </c>
      <c r="X860" s="6" t="s">
        <v>3290</v>
      </c>
      <c r="Y860" s="6" t="s">
        <v>3192</v>
      </c>
      <c r="Z860" s="6" t="s">
        <v>78</v>
      </c>
      <c r="AA860" s="6" t="s">
        <v>4684</v>
      </c>
      <c r="AB860" s="6"/>
      <c r="AC860" s="6" t="s">
        <v>3292</v>
      </c>
      <c r="AD860" s="6" t="s">
        <v>76</v>
      </c>
      <c r="AE860" s="6" t="s">
        <v>3136</v>
      </c>
      <c r="AF860" s="6"/>
      <c r="AG860" s="6" t="s">
        <v>9357</v>
      </c>
      <c r="AH860" s="6" t="s">
        <v>79</v>
      </c>
    </row>
    <row r="861" spans="1:34" x14ac:dyDescent="0.25">
      <c r="A861" s="6" t="s">
        <v>2729</v>
      </c>
      <c r="B861" s="6" t="s">
        <v>9358</v>
      </c>
      <c r="C861" s="6" t="s">
        <v>9359</v>
      </c>
      <c r="D861" s="6" t="s">
        <v>2731</v>
      </c>
      <c r="E861" s="6" t="s">
        <v>3570</v>
      </c>
      <c r="F861" s="6" t="s">
        <v>71</v>
      </c>
      <c r="G861" s="6" t="s">
        <v>3592</v>
      </c>
      <c r="H861" s="6" t="s">
        <v>73</v>
      </c>
      <c r="I861" s="6" t="s">
        <v>74</v>
      </c>
      <c r="J861" s="6" t="s">
        <v>9360</v>
      </c>
      <c r="K861" s="6" t="s">
        <v>3292</v>
      </c>
      <c r="L861" s="6" t="s">
        <v>3173</v>
      </c>
      <c r="M861" s="6" t="s">
        <v>3159</v>
      </c>
      <c r="N861" s="6" t="s">
        <v>76</v>
      </c>
      <c r="O861" s="6" t="s">
        <v>75</v>
      </c>
      <c r="P861" s="6" t="s">
        <v>6329</v>
      </c>
      <c r="Q861" s="6" t="s">
        <v>9361</v>
      </c>
      <c r="R861" s="6" t="s">
        <v>9362</v>
      </c>
      <c r="S861" s="6" t="s">
        <v>3412</v>
      </c>
      <c r="T861" s="6" t="s">
        <v>9363</v>
      </c>
      <c r="U861" s="6" t="s">
        <v>3141</v>
      </c>
      <c r="V861" s="6" t="s">
        <v>3698</v>
      </c>
      <c r="W861" s="6" t="s">
        <v>4407</v>
      </c>
      <c r="X861" s="6" t="s">
        <v>77</v>
      </c>
      <c r="Y861" s="6" t="s">
        <v>3140</v>
      </c>
      <c r="Z861" s="6" t="s">
        <v>78</v>
      </c>
      <c r="AA861" s="6" t="s">
        <v>3478</v>
      </c>
      <c r="AB861" s="6" t="s">
        <v>9364</v>
      </c>
      <c r="AC861" s="6" t="s">
        <v>3140</v>
      </c>
      <c r="AD861" s="6" t="s">
        <v>3160</v>
      </c>
      <c r="AE861" s="6" t="s">
        <v>3293</v>
      </c>
      <c r="AF861" s="6"/>
      <c r="AG861" s="6" t="s">
        <v>9365</v>
      </c>
      <c r="AH861" s="6" t="s">
        <v>79</v>
      </c>
    </row>
    <row r="862" spans="1:34" x14ac:dyDescent="0.25">
      <c r="A862" s="6" t="s">
        <v>2732</v>
      </c>
      <c r="B862" s="6" t="s">
        <v>2533</v>
      </c>
      <c r="C862" s="6" t="s">
        <v>2733</v>
      </c>
      <c r="D862" s="6" t="s">
        <v>9366</v>
      </c>
      <c r="E862" s="6"/>
      <c r="F862" s="6" t="s">
        <v>89</v>
      </c>
      <c r="G862" s="6" t="s">
        <v>143</v>
      </c>
      <c r="H862" s="6" t="s">
        <v>166</v>
      </c>
      <c r="I862" s="6" t="s">
        <v>74</v>
      </c>
      <c r="J862" s="6"/>
      <c r="K862" s="6" t="s">
        <v>3159</v>
      </c>
      <c r="L862" s="6" t="s">
        <v>3143</v>
      </c>
      <c r="M862" s="6" t="s">
        <v>75</v>
      </c>
      <c r="N862" s="6" t="s">
        <v>75</v>
      </c>
      <c r="O862" s="6" t="s">
        <v>3196</v>
      </c>
      <c r="P862" s="6" t="s">
        <v>3582</v>
      </c>
      <c r="Q862" s="6" t="s">
        <v>9367</v>
      </c>
      <c r="R862" s="6" t="s">
        <v>9368</v>
      </c>
      <c r="S862" s="6" t="s">
        <v>21</v>
      </c>
      <c r="T862" s="6" t="s">
        <v>3217</v>
      </c>
      <c r="U862" s="6" t="s">
        <v>3141</v>
      </c>
      <c r="V862" s="6" t="s">
        <v>9369</v>
      </c>
      <c r="W862" s="6" t="s">
        <v>3987</v>
      </c>
      <c r="X862" s="6" t="s">
        <v>85</v>
      </c>
      <c r="Y862" s="6" t="s">
        <v>3141</v>
      </c>
      <c r="Z862" s="6" t="s">
        <v>78</v>
      </c>
      <c r="AA862" s="6" t="s">
        <v>9370</v>
      </c>
      <c r="AB862" s="6"/>
      <c r="AC862" s="6" t="s">
        <v>3141</v>
      </c>
      <c r="AD862" s="6" t="s">
        <v>3243</v>
      </c>
      <c r="AE862" s="6" t="s">
        <v>3279</v>
      </c>
      <c r="AF862" s="6"/>
      <c r="AG862" s="6" t="s">
        <v>9371</v>
      </c>
      <c r="AH862" s="6" t="s">
        <v>79</v>
      </c>
    </row>
    <row r="863" spans="1:34" x14ac:dyDescent="0.25">
      <c r="A863" s="6" t="s">
        <v>2735</v>
      </c>
      <c r="B863" s="6" t="s">
        <v>2453</v>
      </c>
      <c r="C863" s="6" t="s">
        <v>9372</v>
      </c>
      <c r="D863" s="6"/>
      <c r="E863" s="6" t="s">
        <v>3268</v>
      </c>
      <c r="F863" s="6" t="s">
        <v>3227</v>
      </c>
      <c r="G863" s="6" t="s">
        <v>131</v>
      </c>
      <c r="H863" s="6" t="s">
        <v>144</v>
      </c>
      <c r="I863" s="6" t="s">
        <v>92</v>
      </c>
      <c r="J863" s="6" t="s">
        <v>9373</v>
      </c>
      <c r="K863" s="6" t="s">
        <v>3141</v>
      </c>
      <c r="L863" s="6" t="s">
        <v>3160</v>
      </c>
      <c r="M863" s="6" t="s">
        <v>75</v>
      </c>
      <c r="N863" s="6" t="s">
        <v>3152</v>
      </c>
      <c r="O863" s="6" t="s">
        <v>3160</v>
      </c>
      <c r="P863" s="6" t="s">
        <v>3553</v>
      </c>
      <c r="Q863" s="6" t="s">
        <v>9374</v>
      </c>
      <c r="R863" s="6" t="s">
        <v>9375</v>
      </c>
      <c r="S863" s="6" t="s">
        <v>22</v>
      </c>
      <c r="T863" s="6" t="s">
        <v>9376</v>
      </c>
      <c r="U863" s="6" t="s">
        <v>3141</v>
      </c>
      <c r="V863" s="6" t="s">
        <v>3233</v>
      </c>
      <c r="W863" s="6" t="s">
        <v>3523</v>
      </c>
      <c r="X863" s="6" t="s">
        <v>85</v>
      </c>
      <c r="Y863" s="6" t="s">
        <v>3141</v>
      </c>
      <c r="Z863" s="6" t="s">
        <v>93</v>
      </c>
      <c r="AA863" s="6" t="s">
        <v>3277</v>
      </c>
      <c r="AB863" s="6"/>
      <c r="AC863" s="6" t="s">
        <v>3159</v>
      </c>
      <c r="AD863" s="6" t="s">
        <v>3141</v>
      </c>
      <c r="AE863" s="6" t="s">
        <v>3210</v>
      </c>
      <c r="AF863" s="6" t="s">
        <v>9377</v>
      </c>
      <c r="AG863" s="6" t="s">
        <v>4588</v>
      </c>
      <c r="AH863" s="6" t="s">
        <v>79</v>
      </c>
    </row>
    <row r="864" spans="1:34" x14ac:dyDescent="0.25">
      <c r="A864" s="6" t="s">
        <v>2736</v>
      </c>
      <c r="B864" s="6" t="s">
        <v>2737</v>
      </c>
      <c r="C864" s="6" t="s">
        <v>9378</v>
      </c>
      <c r="D864" s="6" t="s">
        <v>9379</v>
      </c>
      <c r="E864" s="6" t="s">
        <v>3357</v>
      </c>
      <c r="F864" s="6" t="s">
        <v>3283</v>
      </c>
      <c r="G864" s="6" t="s">
        <v>4139</v>
      </c>
      <c r="H864" s="6" t="s">
        <v>103</v>
      </c>
      <c r="I864" s="6" t="s">
        <v>74</v>
      </c>
      <c r="J864" s="6" t="s">
        <v>9380</v>
      </c>
      <c r="K864" s="6" t="s">
        <v>3159</v>
      </c>
      <c r="L864" s="6" t="s">
        <v>3188</v>
      </c>
      <c r="M864" s="6" t="s">
        <v>3243</v>
      </c>
      <c r="N864" s="6" t="s">
        <v>3243</v>
      </c>
      <c r="O864" s="6" t="s">
        <v>3243</v>
      </c>
      <c r="P864" s="6" t="s">
        <v>6727</v>
      </c>
      <c r="Q864" s="6" t="s">
        <v>9381</v>
      </c>
      <c r="R864" s="6" t="s">
        <v>9382</v>
      </c>
      <c r="S864" s="6" t="s">
        <v>23</v>
      </c>
      <c r="T864" s="6" t="s">
        <v>9383</v>
      </c>
      <c r="U864" s="6" t="s">
        <v>3141</v>
      </c>
      <c r="V864" s="6" t="s">
        <v>9384</v>
      </c>
      <c r="W864" s="6" t="s">
        <v>3416</v>
      </c>
      <c r="X864" s="6" t="s">
        <v>85</v>
      </c>
      <c r="Y864" s="6" t="s">
        <v>3159</v>
      </c>
      <c r="Z864" s="6" t="s">
        <v>93</v>
      </c>
      <c r="AA864" s="6" t="s">
        <v>3994</v>
      </c>
      <c r="AB864" s="6"/>
      <c r="AC864" s="6" t="s">
        <v>3141</v>
      </c>
      <c r="AD864" s="6" t="s">
        <v>3160</v>
      </c>
      <c r="AE864" s="6" t="s">
        <v>3513</v>
      </c>
      <c r="AF864" s="6" t="s">
        <v>9385</v>
      </c>
      <c r="AG864" s="6" t="s">
        <v>9386</v>
      </c>
      <c r="AH864" s="6" t="s">
        <v>79</v>
      </c>
    </row>
    <row r="865" spans="1:34" x14ac:dyDescent="0.25">
      <c r="A865" s="6" t="s">
        <v>2739</v>
      </c>
      <c r="B865" s="6" t="s">
        <v>736</v>
      </c>
      <c r="C865" s="6"/>
      <c r="D865" s="6" t="s">
        <v>2740</v>
      </c>
      <c r="E865" s="6" t="s">
        <v>3626</v>
      </c>
      <c r="F865" s="6" t="s">
        <v>3358</v>
      </c>
      <c r="G865" s="6" t="s">
        <v>417</v>
      </c>
      <c r="H865" s="6" t="s">
        <v>91</v>
      </c>
      <c r="I865" s="6" t="s">
        <v>92</v>
      </c>
      <c r="J865" s="6"/>
      <c r="K865" s="6" t="s">
        <v>3141</v>
      </c>
      <c r="L865" s="6" t="s">
        <v>3160</v>
      </c>
      <c r="M865" s="6" t="s">
        <v>3152</v>
      </c>
      <c r="N865" s="6" t="s">
        <v>3243</v>
      </c>
      <c r="O865" s="6" t="s">
        <v>3143</v>
      </c>
      <c r="P865" s="6" t="s">
        <v>5639</v>
      </c>
      <c r="Q865" s="6" t="s">
        <v>9387</v>
      </c>
      <c r="R865" s="6" t="s">
        <v>9388</v>
      </c>
      <c r="S865" s="6" t="s">
        <v>21</v>
      </c>
      <c r="T865" s="6"/>
      <c r="U865" s="6" t="s">
        <v>3141</v>
      </c>
      <c r="V865" s="6" t="s">
        <v>6778</v>
      </c>
      <c r="W865" s="6" t="s">
        <v>3439</v>
      </c>
      <c r="X865" s="6" t="s">
        <v>77</v>
      </c>
      <c r="Y865" s="6" t="s">
        <v>3140</v>
      </c>
      <c r="Z865" s="6" t="s">
        <v>194</v>
      </c>
      <c r="AA865" s="6" t="s">
        <v>7404</v>
      </c>
      <c r="AB865" s="6"/>
      <c r="AC865" s="6" t="s">
        <v>3141</v>
      </c>
      <c r="AD865" s="6" t="s">
        <v>3143</v>
      </c>
      <c r="AE865" s="6" t="s">
        <v>3279</v>
      </c>
      <c r="AF865" s="6"/>
      <c r="AG865" s="6" t="s">
        <v>5516</v>
      </c>
      <c r="AH865" s="6" t="s">
        <v>79</v>
      </c>
    </row>
    <row r="866" spans="1:34" x14ac:dyDescent="0.25">
      <c r="A866" s="6" t="s">
        <v>2741</v>
      </c>
      <c r="B866" s="6" t="s">
        <v>2742</v>
      </c>
      <c r="C866" s="6" t="s">
        <v>9389</v>
      </c>
      <c r="D866" s="6" t="s">
        <v>9390</v>
      </c>
      <c r="E866" s="6" t="s">
        <v>3647</v>
      </c>
      <c r="F866" s="6" t="s">
        <v>3214</v>
      </c>
      <c r="G866" s="6" t="s">
        <v>72</v>
      </c>
      <c r="H866" s="6" t="s">
        <v>5368</v>
      </c>
      <c r="I866" s="6" t="s">
        <v>74</v>
      </c>
      <c r="J866" s="6" t="s">
        <v>9391</v>
      </c>
      <c r="K866" s="6" t="s">
        <v>3159</v>
      </c>
      <c r="L866" s="6" t="s">
        <v>3173</v>
      </c>
      <c r="M866" s="6" t="s">
        <v>3243</v>
      </c>
      <c r="N866" s="6" t="s">
        <v>3141</v>
      </c>
      <c r="O866" s="6" t="s">
        <v>3160</v>
      </c>
      <c r="P866" s="6" t="s">
        <v>6097</v>
      </c>
      <c r="Q866" s="6" t="s">
        <v>9392</v>
      </c>
      <c r="R866" s="6" t="s">
        <v>9393</v>
      </c>
      <c r="S866" s="6" t="s">
        <v>23</v>
      </c>
      <c r="T866" s="6"/>
      <c r="U866" s="6" t="s">
        <v>3159</v>
      </c>
      <c r="V866" s="6" t="s">
        <v>9394</v>
      </c>
      <c r="W866" s="6" t="s">
        <v>3150</v>
      </c>
      <c r="X866" s="6" t="s">
        <v>85</v>
      </c>
      <c r="Y866" s="6" t="s">
        <v>3141</v>
      </c>
      <c r="Z866" s="6" t="s">
        <v>194</v>
      </c>
      <c r="AA866" s="6" t="s">
        <v>3792</v>
      </c>
      <c r="AB866" s="6"/>
      <c r="AC866" s="6" t="s">
        <v>3141</v>
      </c>
      <c r="AD866" s="6" t="s">
        <v>3141</v>
      </c>
      <c r="AE866" s="6" t="s">
        <v>3153</v>
      </c>
      <c r="AF866" s="6" t="s">
        <v>9395</v>
      </c>
      <c r="AG866" s="6" t="s">
        <v>9396</v>
      </c>
      <c r="AH866" s="6" t="s">
        <v>79</v>
      </c>
    </row>
    <row r="867" spans="1:34" x14ac:dyDescent="0.25">
      <c r="A867" s="6" t="s">
        <v>2744</v>
      </c>
      <c r="B867" s="6" t="s">
        <v>189</v>
      </c>
      <c r="C867" s="6" t="s">
        <v>9397</v>
      </c>
      <c r="D867" s="6" t="s">
        <v>2745</v>
      </c>
      <c r="E867" s="6" t="s">
        <v>3235</v>
      </c>
      <c r="F867" s="6" t="s">
        <v>3358</v>
      </c>
      <c r="G867" s="6" t="s">
        <v>90</v>
      </c>
      <c r="H867" s="6" t="s">
        <v>166</v>
      </c>
      <c r="I867" s="6" t="s">
        <v>74</v>
      </c>
      <c r="J867" s="6" t="s">
        <v>9398</v>
      </c>
      <c r="K867" s="6" t="s">
        <v>3141</v>
      </c>
      <c r="L867" s="6" t="s">
        <v>3152</v>
      </c>
      <c r="M867" s="6" t="s">
        <v>3243</v>
      </c>
      <c r="N867" s="6" t="s">
        <v>3160</v>
      </c>
      <c r="O867" s="6" t="s">
        <v>3141</v>
      </c>
      <c r="P867" s="6"/>
      <c r="Q867" s="6" t="s">
        <v>9399</v>
      </c>
      <c r="R867" s="6" t="s">
        <v>9400</v>
      </c>
      <c r="S867" s="6" t="s">
        <v>22</v>
      </c>
      <c r="T867" s="6" t="s">
        <v>9401</v>
      </c>
      <c r="U867" s="6" t="s">
        <v>3141</v>
      </c>
      <c r="V867" s="6" t="s">
        <v>5979</v>
      </c>
      <c r="W867" s="6" t="s">
        <v>3755</v>
      </c>
      <c r="X867" s="6" t="s">
        <v>85</v>
      </c>
      <c r="Y867" s="6" t="s">
        <v>3140</v>
      </c>
      <c r="Z867" s="6" t="s">
        <v>78</v>
      </c>
      <c r="AA867" s="6" t="s">
        <v>3222</v>
      </c>
      <c r="AB867" s="6" t="s">
        <v>9402</v>
      </c>
      <c r="AC867" s="6" t="s">
        <v>3159</v>
      </c>
      <c r="AD867" s="6" t="s">
        <v>3173</v>
      </c>
      <c r="AE867" s="6" t="s">
        <v>3323</v>
      </c>
      <c r="AF867" s="6" t="s">
        <v>9403</v>
      </c>
      <c r="AG867" s="6" t="s">
        <v>9404</v>
      </c>
      <c r="AH867" s="6" t="s">
        <v>79</v>
      </c>
    </row>
    <row r="868" spans="1:34" x14ac:dyDescent="0.25">
      <c r="A868" s="6" t="s">
        <v>2746</v>
      </c>
      <c r="B868" s="6" t="s">
        <v>2747</v>
      </c>
      <c r="C868" s="6" t="s">
        <v>2748</v>
      </c>
      <c r="D868" s="6" t="s">
        <v>2749</v>
      </c>
      <c r="E868" s="6" t="s">
        <v>4190</v>
      </c>
      <c r="F868" s="6" t="s">
        <v>3214</v>
      </c>
      <c r="G868" s="6" t="s">
        <v>127</v>
      </c>
      <c r="H868" s="6" t="s">
        <v>73</v>
      </c>
      <c r="I868" s="6" t="s">
        <v>74</v>
      </c>
      <c r="J868" s="6" t="s">
        <v>9405</v>
      </c>
      <c r="K868" s="6" t="s">
        <v>3140</v>
      </c>
      <c r="L868" s="6" t="s">
        <v>3142</v>
      </c>
      <c r="M868" s="6" t="s">
        <v>3173</v>
      </c>
      <c r="N868" s="6" t="s">
        <v>3143</v>
      </c>
      <c r="O868" s="6" t="s">
        <v>3160</v>
      </c>
      <c r="P868" s="6" t="s">
        <v>6670</v>
      </c>
      <c r="Q868" s="6"/>
      <c r="R868" s="6" t="s">
        <v>9406</v>
      </c>
      <c r="S868" s="6" t="s">
        <v>20</v>
      </c>
      <c r="T868" s="6"/>
      <c r="U868" s="6" t="s">
        <v>3140</v>
      </c>
      <c r="V868" s="6" t="s">
        <v>9407</v>
      </c>
      <c r="W868" s="6" t="s">
        <v>3208</v>
      </c>
      <c r="X868" s="6" t="s">
        <v>77</v>
      </c>
      <c r="Y868" s="6" t="s">
        <v>3292</v>
      </c>
      <c r="Z868" s="6" t="s">
        <v>194</v>
      </c>
      <c r="AA868" s="6" t="s">
        <v>4873</v>
      </c>
      <c r="AB868" s="6" t="s">
        <v>9408</v>
      </c>
      <c r="AC868" s="6" t="s">
        <v>3141</v>
      </c>
      <c r="AD868" s="6" t="s">
        <v>3243</v>
      </c>
      <c r="AE868" s="6" t="s">
        <v>3136</v>
      </c>
      <c r="AF868" s="6"/>
      <c r="AG868" s="6" t="s">
        <v>9409</v>
      </c>
      <c r="AH868" s="6" t="s">
        <v>79</v>
      </c>
    </row>
    <row r="869" spans="1:34" x14ac:dyDescent="0.25">
      <c r="A869" s="6" t="s">
        <v>2750</v>
      </c>
      <c r="B869" s="6" t="s">
        <v>2751</v>
      </c>
      <c r="C869" s="6" t="s">
        <v>9410</v>
      </c>
      <c r="D869" s="6"/>
      <c r="E869" s="6" t="s">
        <v>4025</v>
      </c>
      <c r="F869" s="6" t="s">
        <v>3227</v>
      </c>
      <c r="G869" s="6" t="s">
        <v>120</v>
      </c>
      <c r="H869" s="6" t="s">
        <v>144</v>
      </c>
      <c r="I869" s="6" t="s">
        <v>92</v>
      </c>
      <c r="J869" s="6" t="s">
        <v>9411</v>
      </c>
      <c r="K869" s="6" t="s">
        <v>3159</v>
      </c>
      <c r="L869" s="6" t="s">
        <v>3188</v>
      </c>
      <c r="M869" s="6" t="s">
        <v>3160</v>
      </c>
      <c r="N869" s="6" t="s">
        <v>3141</v>
      </c>
      <c r="O869" s="6" t="s">
        <v>3152</v>
      </c>
      <c r="P869" s="6" t="s">
        <v>5867</v>
      </c>
      <c r="Q869" s="6" t="s">
        <v>9412</v>
      </c>
      <c r="R869" s="6" t="s">
        <v>9413</v>
      </c>
      <c r="S869" s="6" t="s">
        <v>23</v>
      </c>
      <c r="T869" s="6" t="s">
        <v>9414</v>
      </c>
      <c r="U869" s="6" t="s">
        <v>3192</v>
      </c>
      <c r="V869" s="6" t="s">
        <v>8405</v>
      </c>
      <c r="W869" s="6" t="s">
        <v>4176</v>
      </c>
      <c r="X869" s="6" t="s">
        <v>85</v>
      </c>
      <c r="Y869" s="6" t="s">
        <v>3141</v>
      </c>
      <c r="Z869" s="6" t="s">
        <v>78</v>
      </c>
      <c r="AA869" s="6" t="s">
        <v>3708</v>
      </c>
      <c r="AB869" s="6"/>
      <c r="AC869" s="6" t="s">
        <v>3141</v>
      </c>
      <c r="AD869" s="6" t="s">
        <v>3143</v>
      </c>
      <c r="AE869" s="6" t="s">
        <v>3513</v>
      </c>
      <c r="AF869" s="6" t="s">
        <v>9415</v>
      </c>
      <c r="AG869" s="6" t="s">
        <v>9416</v>
      </c>
      <c r="AH869" s="6" t="s">
        <v>4004</v>
      </c>
    </row>
    <row r="870" spans="1:34" x14ac:dyDescent="0.25">
      <c r="A870" s="6" t="s">
        <v>2752</v>
      </c>
      <c r="B870" s="6" t="s">
        <v>1253</v>
      </c>
      <c r="C870" s="6" t="s">
        <v>9417</v>
      </c>
      <c r="D870" s="6" t="s">
        <v>2753</v>
      </c>
      <c r="E870" s="6"/>
      <c r="F870" s="6" t="s">
        <v>3283</v>
      </c>
      <c r="G870" s="6" t="s">
        <v>115</v>
      </c>
      <c r="H870" s="6" t="s">
        <v>99</v>
      </c>
      <c r="I870" s="6" t="s">
        <v>74</v>
      </c>
      <c r="J870" s="6" t="s">
        <v>9418</v>
      </c>
      <c r="K870" s="6" t="s">
        <v>3141</v>
      </c>
      <c r="L870" s="6" t="s">
        <v>3143</v>
      </c>
      <c r="M870" s="6" t="s">
        <v>3141</v>
      </c>
      <c r="N870" s="6" t="s">
        <v>3243</v>
      </c>
      <c r="O870" s="6" t="s">
        <v>3160</v>
      </c>
      <c r="P870" s="6" t="s">
        <v>3806</v>
      </c>
      <c r="Q870" s="6" t="s">
        <v>3217</v>
      </c>
      <c r="R870" s="6" t="s">
        <v>9419</v>
      </c>
      <c r="S870" s="6" t="s">
        <v>3584</v>
      </c>
      <c r="T870" s="6" t="s">
        <v>9420</v>
      </c>
      <c r="U870" s="6" t="s">
        <v>3141</v>
      </c>
      <c r="V870" s="6" t="s">
        <v>5418</v>
      </c>
      <c r="W870" s="6" t="s">
        <v>5137</v>
      </c>
      <c r="X870" s="6" t="s">
        <v>85</v>
      </c>
      <c r="Y870" s="6" t="s">
        <v>3159</v>
      </c>
      <c r="Z870" s="6" t="s">
        <v>3263</v>
      </c>
      <c r="AA870" s="6" t="s">
        <v>4013</v>
      </c>
      <c r="AB870" s="6"/>
      <c r="AC870" s="6" t="s">
        <v>3141</v>
      </c>
      <c r="AD870" s="6" t="s">
        <v>3152</v>
      </c>
      <c r="AE870" s="6" t="s">
        <v>3293</v>
      </c>
      <c r="AF870" s="6"/>
      <c r="AG870" s="6" t="s">
        <v>4570</v>
      </c>
      <c r="AH870" s="6" t="s">
        <v>79</v>
      </c>
    </row>
    <row r="871" spans="1:34" x14ac:dyDescent="0.25">
      <c r="A871" s="6" t="s">
        <v>2754</v>
      </c>
      <c r="B871" s="6" t="s">
        <v>9421</v>
      </c>
      <c r="C871" s="6"/>
      <c r="D871" s="6"/>
      <c r="E871" s="6" t="s">
        <v>4542</v>
      </c>
      <c r="F871" s="6" t="s">
        <v>3214</v>
      </c>
      <c r="G871" s="6" t="s">
        <v>143</v>
      </c>
      <c r="H871" s="6" t="s">
        <v>132</v>
      </c>
      <c r="I871" s="6" t="s">
        <v>92</v>
      </c>
      <c r="J871" s="6"/>
      <c r="K871" s="6" t="s">
        <v>3140</v>
      </c>
      <c r="L871" s="6" t="s">
        <v>3188</v>
      </c>
      <c r="M871" s="6" t="s">
        <v>3141</v>
      </c>
      <c r="N871" s="6" t="s">
        <v>3243</v>
      </c>
      <c r="O871" s="6" t="s">
        <v>3142</v>
      </c>
      <c r="P871" s="6" t="s">
        <v>8134</v>
      </c>
      <c r="Q871" s="6" t="s">
        <v>9422</v>
      </c>
      <c r="R871" s="6" t="s">
        <v>9423</v>
      </c>
      <c r="S871" s="6" t="s">
        <v>23</v>
      </c>
      <c r="T871" s="6" t="s">
        <v>3217</v>
      </c>
      <c r="U871" s="6" t="s">
        <v>3141</v>
      </c>
      <c r="V871" s="6" t="s">
        <v>9424</v>
      </c>
      <c r="W871" s="6" t="s">
        <v>4227</v>
      </c>
      <c r="X871" s="6" t="s">
        <v>7767</v>
      </c>
      <c r="Y871" s="6" t="s">
        <v>3140</v>
      </c>
      <c r="Z871" s="6" t="s">
        <v>93</v>
      </c>
      <c r="AA871" s="6" t="s">
        <v>4529</v>
      </c>
      <c r="AB871" s="6" t="s">
        <v>9425</v>
      </c>
      <c r="AC871" s="6" t="s">
        <v>3141</v>
      </c>
      <c r="AD871" s="6" t="s">
        <v>3160</v>
      </c>
      <c r="AE871" s="6" t="s">
        <v>3428</v>
      </c>
      <c r="AF871" s="6" t="s">
        <v>9426</v>
      </c>
      <c r="AG871" s="6"/>
      <c r="AH871" s="6" t="s">
        <v>79</v>
      </c>
    </row>
    <row r="872" spans="1:34" x14ac:dyDescent="0.25">
      <c r="A872" s="6" t="s">
        <v>2756</v>
      </c>
      <c r="B872" s="6" t="s">
        <v>1837</v>
      </c>
      <c r="C872" s="6" t="s">
        <v>2757</v>
      </c>
      <c r="D872" s="6" t="s">
        <v>2758</v>
      </c>
      <c r="E872" s="6"/>
      <c r="F872" s="6" t="s">
        <v>89</v>
      </c>
      <c r="G872" s="6" t="s">
        <v>314</v>
      </c>
      <c r="H872" s="6" t="s">
        <v>103</v>
      </c>
      <c r="I872" s="6" t="s">
        <v>74</v>
      </c>
      <c r="J872" s="6" t="s">
        <v>9427</v>
      </c>
      <c r="K872" s="6" t="s">
        <v>3159</v>
      </c>
      <c r="L872" s="6" t="s">
        <v>3196</v>
      </c>
      <c r="M872" s="6" t="s">
        <v>75</v>
      </c>
      <c r="N872" s="6" t="s">
        <v>3152</v>
      </c>
      <c r="O872" s="6" t="s">
        <v>75</v>
      </c>
      <c r="P872" s="6" t="s">
        <v>9428</v>
      </c>
      <c r="Q872" s="6" t="s">
        <v>9429</v>
      </c>
      <c r="R872" s="6" t="s">
        <v>9430</v>
      </c>
      <c r="S872" s="6" t="s">
        <v>22</v>
      </c>
      <c r="T872" s="6" t="s">
        <v>9431</v>
      </c>
      <c r="U872" s="6" t="s">
        <v>3140</v>
      </c>
      <c r="V872" s="6" t="s">
        <v>9432</v>
      </c>
      <c r="W872" s="6" t="s">
        <v>3642</v>
      </c>
      <c r="X872" s="6" t="s">
        <v>85</v>
      </c>
      <c r="Y872" s="6" t="s">
        <v>3140</v>
      </c>
      <c r="Z872" s="6" t="s">
        <v>93</v>
      </c>
      <c r="AA872" s="6" t="s">
        <v>3364</v>
      </c>
      <c r="AB872" s="6"/>
      <c r="AC872" s="6" t="s">
        <v>3159</v>
      </c>
      <c r="AD872" s="6" t="s">
        <v>3143</v>
      </c>
      <c r="AE872" s="6" t="s">
        <v>3235</v>
      </c>
      <c r="AF872" s="6" t="s">
        <v>9433</v>
      </c>
      <c r="AG872" s="6" t="s">
        <v>5644</v>
      </c>
      <c r="AH872" s="6" t="s">
        <v>94</v>
      </c>
    </row>
    <row r="873" spans="1:34" x14ac:dyDescent="0.25">
      <c r="A873" s="6" t="s">
        <v>2759</v>
      </c>
      <c r="B873" s="6" t="s">
        <v>1483</v>
      </c>
      <c r="C873" s="6" t="s">
        <v>2760</v>
      </c>
      <c r="D873" s="6"/>
      <c r="E873" s="6" t="s">
        <v>3157</v>
      </c>
      <c r="F873" s="6" t="s">
        <v>89</v>
      </c>
      <c r="G873" s="6" t="s">
        <v>106</v>
      </c>
      <c r="H873" s="6" t="s">
        <v>132</v>
      </c>
      <c r="I873" s="6" t="s">
        <v>92</v>
      </c>
      <c r="J873" s="6" t="s">
        <v>9434</v>
      </c>
      <c r="K873" s="6" t="s">
        <v>3140</v>
      </c>
      <c r="L873" s="6" t="s">
        <v>3142</v>
      </c>
      <c r="M873" s="6" t="s">
        <v>3141</v>
      </c>
      <c r="N873" s="6" t="s">
        <v>3159</v>
      </c>
      <c r="O873" s="6" t="s">
        <v>3143</v>
      </c>
      <c r="P873" s="6" t="s">
        <v>3601</v>
      </c>
      <c r="Q873" s="6" t="s">
        <v>9435</v>
      </c>
      <c r="R873" s="6" t="s">
        <v>9436</v>
      </c>
      <c r="S873" s="6" t="s">
        <v>20</v>
      </c>
      <c r="T873" s="6" t="s">
        <v>9437</v>
      </c>
      <c r="U873" s="6" t="s">
        <v>3192</v>
      </c>
      <c r="V873" s="6" t="s">
        <v>4248</v>
      </c>
      <c r="W873" s="6" t="s">
        <v>4059</v>
      </c>
      <c r="X873" s="6" t="s">
        <v>161</v>
      </c>
      <c r="Y873" s="6" t="s">
        <v>3192</v>
      </c>
      <c r="Z873" s="6" t="s">
        <v>78</v>
      </c>
      <c r="AA873" s="6" t="s">
        <v>3783</v>
      </c>
      <c r="AB873" s="6"/>
      <c r="AC873" s="6" t="s">
        <v>3141</v>
      </c>
      <c r="AD873" s="6" t="s">
        <v>3143</v>
      </c>
      <c r="AE873" s="6" t="s">
        <v>3169</v>
      </c>
      <c r="AF873" s="6"/>
      <c r="AG873" s="6" t="s">
        <v>9438</v>
      </c>
      <c r="AH873" s="6" t="s">
        <v>79</v>
      </c>
    </row>
    <row r="874" spans="1:34" x14ac:dyDescent="0.25">
      <c r="A874" s="6" t="s">
        <v>2761</v>
      </c>
      <c r="B874" s="6" t="s">
        <v>2762</v>
      </c>
      <c r="C874" s="6" t="s">
        <v>9439</v>
      </c>
      <c r="D874" s="6" t="s">
        <v>2763</v>
      </c>
      <c r="E874" s="6" t="s">
        <v>3432</v>
      </c>
      <c r="F874" s="6" t="s">
        <v>3283</v>
      </c>
      <c r="G874" s="6" t="s">
        <v>131</v>
      </c>
      <c r="H874" s="6" t="s">
        <v>166</v>
      </c>
      <c r="I874" s="6" t="s">
        <v>74</v>
      </c>
      <c r="J874" s="6" t="s">
        <v>9440</v>
      </c>
      <c r="K874" s="6" t="s">
        <v>3140</v>
      </c>
      <c r="L874" s="6" t="s">
        <v>3173</v>
      </c>
      <c r="M874" s="6" t="s">
        <v>75</v>
      </c>
      <c r="N874" s="6" t="s">
        <v>3188</v>
      </c>
      <c r="O874" s="6" t="s">
        <v>75</v>
      </c>
      <c r="P874" s="6" t="s">
        <v>6450</v>
      </c>
      <c r="Q874" s="6" t="s">
        <v>9441</v>
      </c>
      <c r="R874" s="6" t="s">
        <v>9442</v>
      </c>
      <c r="S874" s="6" t="s">
        <v>22</v>
      </c>
      <c r="T874" s="6" t="s">
        <v>3217</v>
      </c>
      <c r="U874" s="6" t="s">
        <v>3141</v>
      </c>
      <c r="V874" s="6" t="s">
        <v>4840</v>
      </c>
      <c r="W874" s="6" t="s">
        <v>3477</v>
      </c>
      <c r="X874" s="6" t="s">
        <v>3918</v>
      </c>
      <c r="Y874" s="6" t="s">
        <v>3159</v>
      </c>
      <c r="Z874" s="6" t="s">
        <v>93</v>
      </c>
      <c r="AA874" s="6" t="s">
        <v>3966</v>
      </c>
      <c r="AB874" s="6" t="s">
        <v>9443</v>
      </c>
      <c r="AC874" s="6" t="s">
        <v>3141</v>
      </c>
      <c r="AD874" s="6" t="s">
        <v>3143</v>
      </c>
      <c r="AE874" s="6" t="s">
        <v>3235</v>
      </c>
      <c r="AF874" s="6" t="s">
        <v>9444</v>
      </c>
      <c r="AG874" s="6" t="s">
        <v>9445</v>
      </c>
      <c r="AH874" s="6" t="s">
        <v>79</v>
      </c>
    </row>
    <row r="875" spans="1:34" x14ac:dyDescent="0.25">
      <c r="A875" s="6" t="s">
        <v>2764</v>
      </c>
      <c r="B875" s="6" t="s">
        <v>2765</v>
      </c>
      <c r="C875" s="6" t="s">
        <v>2766</v>
      </c>
      <c r="D875" s="6" t="s">
        <v>9446</v>
      </c>
      <c r="E875" s="6" t="s">
        <v>3722</v>
      </c>
      <c r="F875" s="6" t="s">
        <v>3227</v>
      </c>
      <c r="G875" s="6" t="s">
        <v>226</v>
      </c>
      <c r="H875" s="6" t="s">
        <v>103</v>
      </c>
      <c r="I875" s="6" t="s">
        <v>74</v>
      </c>
      <c r="J875" s="6"/>
      <c r="K875" s="6" t="s">
        <v>3159</v>
      </c>
      <c r="L875" s="6" t="s">
        <v>3159</v>
      </c>
      <c r="M875" s="6" t="s">
        <v>75</v>
      </c>
      <c r="N875" s="6" t="s">
        <v>3141</v>
      </c>
      <c r="O875" s="6" t="s">
        <v>3243</v>
      </c>
      <c r="P875" s="6" t="s">
        <v>9447</v>
      </c>
      <c r="Q875" s="6" t="s">
        <v>3217</v>
      </c>
      <c r="R875" s="6" t="s">
        <v>9448</v>
      </c>
      <c r="S875" s="6" t="s">
        <v>20</v>
      </c>
      <c r="T875" s="6" t="s">
        <v>9449</v>
      </c>
      <c r="U875" s="6" t="s">
        <v>3159</v>
      </c>
      <c r="V875" s="6" t="s">
        <v>7031</v>
      </c>
      <c r="W875" s="6" t="s">
        <v>3965</v>
      </c>
      <c r="X875" s="6" t="s">
        <v>85</v>
      </c>
      <c r="Y875" s="6" t="s">
        <v>3159</v>
      </c>
      <c r="Z875" s="6" t="s">
        <v>93</v>
      </c>
      <c r="AA875" s="6" t="s">
        <v>4718</v>
      </c>
      <c r="AB875" s="6" t="s">
        <v>9450</v>
      </c>
      <c r="AC875" s="6" t="s">
        <v>3141</v>
      </c>
      <c r="AD875" s="6" t="s">
        <v>3152</v>
      </c>
      <c r="AE875" s="6" t="s">
        <v>3293</v>
      </c>
      <c r="AF875" s="6"/>
      <c r="AG875" s="6" t="s">
        <v>4444</v>
      </c>
      <c r="AH875" s="6" t="s">
        <v>79</v>
      </c>
    </row>
    <row r="876" spans="1:34" x14ac:dyDescent="0.25">
      <c r="A876" s="6" t="s">
        <v>2768</v>
      </c>
      <c r="B876" s="6" t="s">
        <v>307</v>
      </c>
      <c r="C876" s="6" t="s">
        <v>9451</v>
      </c>
      <c r="D876" s="6" t="s">
        <v>2769</v>
      </c>
      <c r="E876" s="6" t="s">
        <v>3309</v>
      </c>
      <c r="F876" s="6" t="s">
        <v>89</v>
      </c>
      <c r="G876" s="6" t="s">
        <v>120</v>
      </c>
      <c r="H876" s="6" t="s">
        <v>166</v>
      </c>
      <c r="I876" s="6" t="s">
        <v>74</v>
      </c>
      <c r="J876" s="6"/>
      <c r="K876" s="6" t="s">
        <v>3141</v>
      </c>
      <c r="L876" s="6" t="s">
        <v>3141</v>
      </c>
      <c r="M876" s="6" t="s">
        <v>75</v>
      </c>
      <c r="N876" s="6" t="s">
        <v>3152</v>
      </c>
      <c r="O876" s="6" t="s">
        <v>3141</v>
      </c>
      <c r="P876" s="6" t="s">
        <v>3940</v>
      </c>
      <c r="Q876" s="6" t="s">
        <v>9452</v>
      </c>
      <c r="R876" s="6" t="s">
        <v>9453</v>
      </c>
      <c r="S876" s="6" t="s">
        <v>21</v>
      </c>
      <c r="T876" s="6" t="s">
        <v>9454</v>
      </c>
      <c r="U876" s="6" t="s">
        <v>3140</v>
      </c>
      <c r="V876" s="6" t="s">
        <v>9455</v>
      </c>
      <c r="W876" s="6" t="s">
        <v>3468</v>
      </c>
      <c r="X876" s="6" t="s">
        <v>77</v>
      </c>
      <c r="Y876" s="6" t="s">
        <v>3292</v>
      </c>
      <c r="Z876" s="6" t="s">
        <v>78</v>
      </c>
      <c r="AA876" s="6" t="s">
        <v>3448</v>
      </c>
      <c r="AB876" s="6"/>
      <c r="AC876" s="6" t="s">
        <v>3141</v>
      </c>
      <c r="AD876" s="6" t="s">
        <v>3152</v>
      </c>
      <c r="AE876" s="6" t="s">
        <v>3235</v>
      </c>
      <c r="AF876" s="6"/>
      <c r="AG876" s="6" t="s">
        <v>5251</v>
      </c>
      <c r="AH876" s="6" t="s">
        <v>79</v>
      </c>
    </row>
    <row r="877" spans="1:34" x14ac:dyDescent="0.25">
      <c r="A877" s="6" t="s">
        <v>2770</v>
      </c>
      <c r="B877" s="6" t="s">
        <v>2771</v>
      </c>
      <c r="C877" s="6" t="s">
        <v>2772</v>
      </c>
      <c r="D877" s="6" t="s">
        <v>2773</v>
      </c>
      <c r="E877" s="6" t="s">
        <v>3357</v>
      </c>
      <c r="F877" s="6" t="s">
        <v>3283</v>
      </c>
      <c r="G877" s="6" t="s">
        <v>314</v>
      </c>
      <c r="H877" s="6" t="s">
        <v>91</v>
      </c>
      <c r="I877" s="6" t="s">
        <v>92</v>
      </c>
      <c r="J877" s="6" t="s">
        <v>9456</v>
      </c>
      <c r="K877" s="6" t="s">
        <v>3159</v>
      </c>
      <c r="L877" s="6" t="s">
        <v>3196</v>
      </c>
      <c r="M877" s="6" t="s">
        <v>3141</v>
      </c>
      <c r="N877" s="6" t="s">
        <v>75</v>
      </c>
      <c r="O877" s="6" t="s">
        <v>3160</v>
      </c>
      <c r="P877" s="6" t="s">
        <v>5462</v>
      </c>
      <c r="Q877" s="6" t="s">
        <v>3217</v>
      </c>
      <c r="R877" s="6" t="s">
        <v>9457</v>
      </c>
      <c r="S877" s="6" t="s">
        <v>21</v>
      </c>
      <c r="T877" s="6" t="s">
        <v>9458</v>
      </c>
      <c r="U877" s="6" t="s">
        <v>3292</v>
      </c>
      <c r="V877" s="6" t="s">
        <v>4493</v>
      </c>
      <c r="W877" s="6" t="s">
        <v>3884</v>
      </c>
      <c r="X877" s="6" t="s">
        <v>77</v>
      </c>
      <c r="Y877" s="6" t="s">
        <v>3159</v>
      </c>
      <c r="Z877" s="6" t="s">
        <v>93</v>
      </c>
      <c r="AA877" s="6" t="s">
        <v>3477</v>
      </c>
      <c r="AB877" s="6"/>
      <c r="AC877" s="6" t="s">
        <v>3159</v>
      </c>
      <c r="AD877" s="6" t="s">
        <v>3160</v>
      </c>
      <c r="AE877" s="6" t="s">
        <v>3293</v>
      </c>
      <c r="AF877" s="6"/>
      <c r="AG877" s="6" t="s">
        <v>9459</v>
      </c>
      <c r="AH877" s="6" t="s">
        <v>94</v>
      </c>
    </row>
    <row r="878" spans="1:34" x14ac:dyDescent="0.25">
      <c r="A878" s="6" t="s">
        <v>2774</v>
      </c>
      <c r="B878" s="6" t="s">
        <v>1608</v>
      </c>
      <c r="C878" s="6" t="s">
        <v>2775</v>
      </c>
      <c r="D878" s="6" t="s">
        <v>9460</v>
      </c>
      <c r="E878" s="6" t="s">
        <v>3323</v>
      </c>
      <c r="F878" s="6" t="s">
        <v>3369</v>
      </c>
      <c r="G878" s="6" t="s">
        <v>72</v>
      </c>
      <c r="H878" s="6" t="s">
        <v>84</v>
      </c>
      <c r="I878" s="6" t="s">
        <v>74</v>
      </c>
      <c r="J878" s="6" t="s">
        <v>9461</v>
      </c>
      <c r="K878" s="6" t="s">
        <v>3159</v>
      </c>
      <c r="L878" s="6" t="s">
        <v>3243</v>
      </c>
      <c r="M878" s="6" t="s">
        <v>3243</v>
      </c>
      <c r="N878" s="6" t="s">
        <v>76</v>
      </c>
      <c r="O878" s="6" t="s">
        <v>3160</v>
      </c>
      <c r="P878" s="6" t="s">
        <v>6450</v>
      </c>
      <c r="Q878" s="6" t="s">
        <v>3217</v>
      </c>
      <c r="R878" s="6" t="s">
        <v>9462</v>
      </c>
      <c r="S878" s="6" t="s">
        <v>20</v>
      </c>
      <c r="T878" s="6" t="s">
        <v>9463</v>
      </c>
      <c r="U878" s="6" t="s">
        <v>3140</v>
      </c>
      <c r="V878" s="6" t="s">
        <v>9464</v>
      </c>
      <c r="W878" s="6" t="s">
        <v>4568</v>
      </c>
      <c r="X878" s="6" t="s">
        <v>77</v>
      </c>
      <c r="Y878" s="6" t="s">
        <v>3140</v>
      </c>
      <c r="Z878" s="6" t="s">
        <v>78</v>
      </c>
      <c r="AA878" s="6" t="s">
        <v>7693</v>
      </c>
      <c r="AB878" s="6"/>
      <c r="AC878" s="6" t="s">
        <v>3141</v>
      </c>
      <c r="AD878" s="6" t="s">
        <v>3143</v>
      </c>
      <c r="AE878" s="6" t="s">
        <v>3235</v>
      </c>
      <c r="AF878" s="6"/>
      <c r="AG878" s="6" t="s">
        <v>9465</v>
      </c>
      <c r="AH878" s="6" t="s">
        <v>3334</v>
      </c>
    </row>
    <row r="879" spans="1:34" x14ac:dyDescent="0.25">
      <c r="A879" s="6" t="s">
        <v>2777</v>
      </c>
      <c r="B879" s="6" t="s">
        <v>2778</v>
      </c>
      <c r="C879" s="6"/>
      <c r="D879" s="6" t="s">
        <v>2779</v>
      </c>
      <c r="E879" s="6" t="s">
        <v>3843</v>
      </c>
      <c r="F879" s="6" t="s">
        <v>89</v>
      </c>
      <c r="G879" s="6" t="s">
        <v>106</v>
      </c>
      <c r="H879" s="6" t="s">
        <v>84</v>
      </c>
      <c r="I879" s="6" t="s">
        <v>74</v>
      </c>
      <c r="J879" s="6"/>
      <c r="K879" s="6" t="s">
        <v>3159</v>
      </c>
      <c r="L879" s="6" t="s">
        <v>3196</v>
      </c>
      <c r="M879" s="6" t="s">
        <v>3152</v>
      </c>
      <c r="N879" s="6" t="s">
        <v>75</v>
      </c>
      <c r="O879" s="6" t="s">
        <v>3143</v>
      </c>
      <c r="P879" s="6" t="s">
        <v>5044</v>
      </c>
      <c r="Q879" s="6" t="s">
        <v>3217</v>
      </c>
      <c r="R879" s="6" t="s">
        <v>9466</v>
      </c>
      <c r="S879" s="6" t="s">
        <v>20</v>
      </c>
      <c r="T879" s="6"/>
      <c r="U879" s="6" t="s">
        <v>3192</v>
      </c>
      <c r="V879" s="6" t="s">
        <v>6395</v>
      </c>
      <c r="W879" s="6" t="s">
        <v>3792</v>
      </c>
      <c r="X879" s="6" t="s">
        <v>85</v>
      </c>
      <c r="Y879" s="6" t="s">
        <v>3159</v>
      </c>
      <c r="Z879" s="6" t="s">
        <v>78</v>
      </c>
      <c r="AA879" s="6" t="s">
        <v>3195</v>
      </c>
      <c r="AB879" s="6"/>
      <c r="AC879" s="6" t="s">
        <v>3141</v>
      </c>
      <c r="AD879" s="6" t="s">
        <v>75</v>
      </c>
      <c r="AE879" s="6" t="s">
        <v>3136</v>
      </c>
      <c r="AF879" s="6"/>
      <c r="AG879" s="6" t="s">
        <v>9467</v>
      </c>
      <c r="AH879" s="6" t="s">
        <v>79</v>
      </c>
    </row>
    <row r="880" spans="1:34" x14ac:dyDescent="0.25">
      <c r="A880" s="6" t="s">
        <v>2780</v>
      </c>
      <c r="B880" s="6" t="s">
        <v>9468</v>
      </c>
      <c r="C880" s="6" t="s">
        <v>9469</v>
      </c>
      <c r="D880" s="6" t="s">
        <v>9470</v>
      </c>
      <c r="E880" s="6" t="s">
        <v>3647</v>
      </c>
      <c r="F880" s="6" t="s">
        <v>3283</v>
      </c>
      <c r="G880" s="6" t="s">
        <v>314</v>
      </c>
      <c r="H880" s="6" t="s">
        <v>144</v>
      </c>
      <c r="I880" s="6" t="s">
        <v>92</v>
      </c>
      <c r="J880" s="6"/>
      <c r="K880" s="6" t="s">
        <v>3159</v>
      </c>
      <c r="L880" s="6" t="s">
        <v>3188</v>
      </c>
      <c r="M880" s="6" t="s">
        <v>3141</v>
      </c>
      <c r="N880" s="6" t="s">
        <v>75</v>
      </c>
      <c r="O880" s="6" t="s">
        <v>75</v>
      </c>
      <c r="P880" s="6" t="s">
        <v>9471</v>
      </c>
      <c r="Q880" s="6" t="s">
        <v>9472</v>
      </c>
      <c r="R880" s="6" t="s">
        <v>9473</v>
      </c>
      <c r="S880" s="6" t="s">
        <v>20</v>
      </c>
      <c r="T880" s="6" t="s">
        <v>3217</v>
      </c>
      <c r="U880" s="6" t="s">
        <v>3159</v>
      </c>
      <c r="V880" s="6" t="s">
        <v>9474</v>
      </c>
      <c r="W880" s="6" t="s">
        <v>4050</v>
      </c>
      <c r="X880" s="6" t="s">
        <v>85</v>
      </c>
      <c r="Y880" s="6" t="s">
        <v>3292</v>
      </c>
      <c r="Z880" s="6" t="s">
        <v>194</v>
      </c>
      <c r="AA880" s="6" t="s">
        <v>9475</v>
      </c>
      <c r="AB880" s="6"/>
      <c r="AC880" s="6" t="s">
        <v>3159</v>
      </c>
      <c r="AD880" s="6" t="s">
        <v>3141</v>
      </c>
      <c r="AE880" s="6" t="s">
        <v>3235</v>
      </c>
      <c r="AF880" s="6"/>
      <c r="AG880" s="6" t="s">
        <v>9476</v>
      </c>
      <c r="AH880" s="6" t="s">
        <v>79</v>
      </c>
    </row>
    <row r="881" spans="1:34" x14ac:dyDescent="0.25">
      <c r="A881" s="6" t="s">
        <v>2783</v>
      </c>
      <c r="B881" s="6" t="s">
        <v>2784</v>
      </c>
      <c r="C881" s="6" t="s">
        <v>9477</v>
      </c>
      <c r="D881" s="6"/>
      <c r="E881" s="6" t="s">
        <v>3432</v>
      </c>
      <c r="F881" s="6" t="s">
        <v>71</v>
      </c>
      <c r="G881" s="6" t="s">
        <v>388</v>
      </c>
      <c r="H881" s="6" t="s">
        <v>144</v>
      </c>
      <c r="I881" s="6" t="s">
        <v>92</v>
      </c>
      <c r="J881" s="6" t="s">
        <v>9478</v>
      </c>
      <c r="K881" s="6" t="s">
        <v>3140</v>
      </c>
      <c r="L881" s="6" t="s">
        <v>3196</v>
      </c>
      <c r="M881" s="6" t="s">
        <v>3173</v>
      </c>
      <c r="N881" s="6" t="s">
        <v>3143</v>
      </c>
      <c r="O881" s="6" t="s">
        <v>3152</v>
      </c>
      <c r="P881" s="6" t="s">
        <v>5254</v>
      </c>
      <c r="Q881" s="6" t="s">
        <v>9479</v>
      </c>
      <c r="R881" s="6" t="s">
        <v>9480</v>
      </c>
      <c r="S881" s="6" t="s">
        <v>22</v>
      </c>
      <c r="T881" s="6"/>
      <c r="U881" s="6" t="s">
        <v>3159</v>
      </c>
      <c r="V881" s="6" t="s">
        <v>6787</v>
      </c>
      <c r="W881" s="6" t="s">
        <v>3208</v>
      </c>
      <c r="X881" s="6" t="s">
        <v>85</v>
      </c>
      <c r="Y881" s="6" t="s">
        <v>3140</v>
      </c>
      <c r="Z881" s="6" t="s">
        <v>93</v>
      </c>
      <c r="AA881" s="6" t="s">
        <v>3943</v>
      </c>
      <c r="AB881" s="6"/>
      <c r="AC881" s="6" t="s">
        <v>3159</v>
      </c>
      <c r="AD881" s="6" t="s">
        <v>76</v>
      </c>
      <c r="AE881" s="6" t="s">
        <v>3136</v>
      </c>
      <c r="AF881" s="6" t="s">
        <v>9481</v>
      </c>
      <c r="AG881" s="6"/>
      <c r="AH881" s="6" t="s">
        <v>79</v>
      </c>
    </row>
    <row r="882" spans="1:34" x14ac:dyDescent="0.25">
      <c r="A882" s="6" t="s">
        <v>2785</v>
      </c>
      <c r="B882" s="6" t="s">
        <v>2786</v>
      </c>
      <c r="C882" s="6" t="s">
        <v>9482</v>
      </c>
      <c r="D882" s="6" t="s">
        <v>9483</v>
      </c>
      <c r="E882" s="6" t="s">
        <v>3626</v>
      </c>
      <c r="F882" s="6" t="s">
        <v>71</v>
      </c>
      <c r="G882" s="6" t="s">
        <v>4329</v>
      </c>
      <c r="H882" s="6" t="s">
        <v>103</v>
      </c>
      <c r="I882" s="6" t="s">
        <v>74</v>
      </c>
      <c r="J882" s="6" t="s">
        <v>9484</v>
      </c>
      <c r="K882" s="6" t="s">
        <v>3159</v>
      </c>
      <c r="L882" s="6" t="s">
        <v>3196</v>
      </c>
      <c r="M882" s="6" t="s">
        <v>3152</v>
      </c>
      <c r="N882" s="6" t="s">
        <v>3152</v>
      </c>
      <c r="O882" s="6" t="s">
        <v>3160</v>
      </c>
      <c r="P882" s="6" t="s">
        <v>9485</v>
      </c>
      <c r="Q882" s="6" t="s">
        <v>9486</v>
      </c>
      <c r="R882" s="6" t="s">
        <v>9487</v>
      </c>
      <c r="S882" s="6" t="s">
        <v>23</v>
      </c>
      <c r="T882" s="6" t="s">
        <v>9488</v>
      </c>
      <c r="U882" s="6" t="s">
        <v>3159</v>
      </c>
      <c r="V882" s="6" t="s">
        <v>9489</v>
      </c>
      <c r="W882" s="6" t="s">
        <v>3523</v>
      </c>
      <c r="X882" s="6" t="s">
        <v>85</v>
      </c>
      <c r="Y882" s="6" t="s">
        <v>3140</v>
      </c>
      <c r="Z882" s="6" t="s">
        <v>78</v>
      </c>
      <c r="AA882" s="6" t="s">
        <v>3852</v>
      </c>
      <c r="AB882" s="6"/>
      <c r="AC882" s="6" t="s">
        <v>3159</v>
      </c>
      <c r="AD882" s="6" t="s">
        <v>3160</v>
      </c>
      <c r="AE882" s="6" t="s">
        <v>3428</v>
      </c>
      <c r="AF882" s="6" t="s">
        <v>9490</v>
      </c>
      <c r="AG882" s="6" t="s">
        <v>9491</v>
      </c>
      <c r="AH882" s="6" t="s">
        <v>79</v>
      </c>
    </row>
    <row r="883" spans="1:34" x14ac:dyDescent="0.25">
      <c r="A883" s="6" t="s">
        <v>2788</v>
      </c>
      <c r="B883" s="6" t="s">
        <v>269</v>
      </c>
      <c r="C883" s="6" t="s">
        <v>9492</v>
      </c>
      <c r="D883" s="6"/>
      <c r="E883" s="6" t="s">
        <v>3185</v>
      </c>
      <c r="F883" s="6" t="s">
        <v>3201</v>
      </c>
      <c r="G883" s="6" t="s">
        <v>72</v>
      </c>
      <c r="H883" s="6" t="s">
        <v>91</v>
      </c>
      <c r="I883" s="6" t="s">
        <v>92</v>
      </c>
      <c r="J883" s="6" t="s">
        <v>9493</v>
      </c>
      <c r="K883" s="6" t="s">
        <v>3159</v>
      </c>
      <c r="L883" s="6" t="s">
        <v>76</v>
      </c>
      <c r="M883" s="6" t="s">
        <v>3152</v>
      </c>
      <c r="N883" s="6" t="s">
        <v>3141</v>
      </c>
      <c r="O883" s="6" t="s">
        <v>3143</v>
      </c>
      <c r="P883" s="6" t="s">
        <v>4213</v>
      </c>
      <c r="Q883" s="6" t="s">
        <v>9494</v>
      </c>
      <c r="R883" s="6" t="s">
        <v>9495</v>
      </c>
      <c r="S883" s="6" t="s">
        <v>23</v>
      </c>
      <c r="T883" s="6" t="s">
        <v>9496</v>
      </c>
      <c r="U883" s="6" t="s">
        <v>3192</v>
      </c>
      <c r="V883" s="6" t="s">
        <v>9497</v>
      </c>
      <c r="W883" s="6" t="s">
        <v>5156</v>
      </c>
      <c r="X883" s="6" t="s">
        <v>77</v>
      </c>
      <c r="Y883" s="6" t="s">
        <v>3159</v>
      </c>
      <c r="Z883" s="6" t="s">
        <v>78</v>
      </c>
      <c r="AA883" s="6" t="s">
        <v>3672</v>
      </c>
      <c r="AB883" s="6"/>
      <c r="AC883" s="6" t="s">
        <v>3141</v>
      </c>
      <c r="AD883" s="6" t="s">
        <v>3152</v>
      </c>
      <c r="AE883" s="6" t="s">
        <v>3153</v>
      </c>
      <c r="AF883" s="6" t="s">
        <v>9498</v>
      </c>
      <c r="AG883" s="6" t="s">
        <v>9499</v>
      </c>
      <c r="AH883" s="6" t="s">
        <v>79</v>
      </c>
    </row>
    <row r="884" spans="1:34" x14ac:dyDescent="0.25">
      <c r="A884" s="6" t="s">
        <v>2789</v>
      </c>
      <c r="B884" s="6" t="s">
        <v>2790</v>
      </c>
      <c r="C884" s="6" t="s">
        <v>9500</v>
      </c>
      <c r="D884" s="6" t="s">
        <v>2791</v>
      </c>
      <c r="E884" s="6" t="s">
        <v>3254</v>
      </c>
      <c r="F884" s="6" t="s">
        <v>3283</v>
      </c>
      <c r="G884" s="6" t="s">
        <v>226</v>
      </c>
      <c r="H884" s="6" t="s">
        <v>103</v>
      </c>
      <c r="I884" s="6" t="s">
        <v>74</v>
      </c>
      <c r="J884" s="6"/>
      <c r="K884" s="6" t="s">
        <v>3159</v>
      </c>
      <c r="L884" s="6" t="s">
        <v>3143</v>
      </c>
      <c r="M884" s="6" t="s">
        <v>3196</v>
      </c>
      <c r="N884" s="6" t="s">
        <v>75</v>
      </c>
      <c r="O884" s="6" t="s">
        <v>3243</v>
      </c>
      <c r="P884" s="6" t="s">
        <v>6270</v>
      </c>
      <c r="Q884" s="6"/>
      <c r="R884" s="6" t="s">
        <v>9501</v>
      </c>
      <c r="S884" s="6" t="s">
        <v>22</v>
      </c>
      <c r="T884" s="6" t="s">
        <v>9502</v>
      </c>
      <c r="U884" s="6" t="s">
        <v>3394</v>
      </c>
      <c r="V884" s="6" t="s">
        <v>3447</v>
      </c>
      <c r="W884" s="6" t="s">
        <v>3730</v>
      </c>
      <c r="X884" s="6" t="s">
        <v>161</v>
      </c>
      <c r="Y884" s="6" t="s">
        <v>3159</v>
      </c>
      <c r="Z884" s="6" t="s">
        <v>93</v>
      </c>
      <c r="AA884" s="6" t="s">
        <v>4485</v>
      </c>
      <c r="AB884" s="6"/>
      <c r="AC884" s="6" t="s">
        <v>3141</v>
      </c>
      <c r="AD884" s="6" t="s">
        <v>3160</v>
      </c>
      <c r="AE884" s="6" t="s">
        <v>3622</v>
      </c>
      <c r="AF884" s="6" t="s">
        <v>9503</v>
      </c>
      <c r="AG884" s="6" t="s">
        <v>9504</v>
      </c>
      <c r="AH884" s="6" t="s">
        <v>79</v>
      </c>
    </row>
    <row r="885" spans="1:34" x14ac:dyDescent="0.25">
      <c r="A885" s="6" t="s">
        <v>2792</v>
      </c>
      <c r="B885" s="6" t="s">
        <v>2793</v>
      </c>
      <c r="C885" s="6" t="s">
        <v>9505</v>
      </c>
      <c r="D885" s="6" t="s">
        <v>9506</v>
      </c>
      <c r="E885" s="6" t="s">
        <v>3323</v>
      </c>
      <c r="F885" s="6" t="s">
        <v>3227</v>
      </c>
      <c r="G885" s="6" t="s">
        <v>106</v>
      </c>
      <c r="H885" s="6" t="s">
        <v>103</v>
      </c>
      <c r="I885" s="6" t="s">
        <v>74</v>
      </c>
      <c r="J885" s="6" t="s">
        <v>9507</v>
      </c>
      <c r="K885" s="6" t="s">
        <v>3141</v>
      </c>
      <c r="L885" s="6" t="s">
        <v>3152</v>
      </c>
      <c r="M885" s="6" t="s">
        <v>3243</v>
      </c>
      <c r="N885" s="6" t="s">
        <v>75</v>
      </c>
      <c r="O885" s="6" t="s">
        <v>3160</v>
      </c>
      <c r="P885" s="6" t="s">
        <v>9508</v>
      </c>
      <c r="Q885" s="6" t="s">
        <v>9509</v>
      </c>
      <c r="R885" s="6" t="s">
        <v>9510</v>
      </c>
      <c r="S885" s="6" t="s">
        <v>23</v>
      </c>
      <c r="T885" s="6" t="s">
        <v>9511</v>
      </c>
      <c r="U885" s="6" t="s">
        <v>3275</v>
      </c>
      <c r="V885" s="6" t="s">
        <v>3375</v>
      </c>
      <c r="W885" s="6" t="s">
        <v>4781</v>
      </c>
      <c r="X885" s="6" t="s">
        <v>85</v>
      </c>
      <c r="Y885" s="6" t="s">
        <v>3141</v>
      </c>
      <c r="Z885" s="6" t="s">
        <v>93</v>
      </c>
      <c r="AA885" s="6" t="s">
        <v>5604</v>
      </c>
      <c r="AB885" s="6" t="s">
        <v>9512</v>
      </c>
      <c r="AC885" s="6" t="s">
        <v>3159</v>
      </c>
      <c r="AD885" s="6" t="s">
        <v>3141</v>
      </c>
      <c r="AE885" s="6" t="s">
        <v>3513</v>
      </c>
      <c r="AF885" s="6" t="s">
        <v>9513</v>
      </c>
      <c r="AG885" s="6"/>
      <c r="AH885" s="6" t="s">
        <v>79</v>
      </c>
    </row>
    <row r="886" spans="1:34" x14ac:dyDescent="0.25">
      <c r="A886" s="6" t="s">
        <v>2795</v>
      </c>
      <c r="B886" s="6" t="s">
        <v>1524</v>
      </c>
      <c r="C886" s="6" t="s">
        <v>2796</v>
      </c>
      <c r="D886" s="6" t="s">
        <v>2797</v>
      </c>
      <c r="E886" s="6" t="s">
        <v>3357</v>
      </c>
      <c r="F886" s="6" t="s">
        <v>3137</v>
      </c>
      <c r="G886" s="6" t="s">
        <v>314</v>
      </c>
      <c r="H886" s="6" t="s">
        <v>84</v>
      </c>
      <c r="I886" s="6" t="s">
        <v>74</v>
      </c>
      <c r="J886" s="6"/>
      <c r="K886" s="6" t="s">
        <v>3140</v>
      </c>
      <c r="L886" s="6" t="s">
        <v>3188</v>
      </c>
      <c r="M886" s="6" t="s">
        <v>3143</v>
      </c>
      <c r="N886" s="6" t="s">
        <v>76</v>
      </c>
      <c r="O886" s="6" t="s">
        <v>3152</v>
      </c>
      <c r="P886" s="6" t="s">
        <v>3189</v>
      </c>
      <c r="Q886" s="6"/>
      <c r="R886" s="6" t="s">
        <v>9514</v>
      </c>
      <c r="S886" s="6" t="s">
        <v>22</v>
      </c>
      <c r="T886" s="6"/>
      <c r="U886" s="6" t="s">
        <v>3140</v>
      </c>
      <c r="V886" s="6" t="s">
        <v>3180</v>
      </c>
      <c r="W886" s="6" t="s">
        <v>4227</v>
      </c>
      <c r="X886" s="6" t="s">
        <v>77</v>
      </c>
      <c r="Y886" s="6" t="s">
        <v>3140</v>
      </c>
      <c r="Z886" s="6" t="s">
        <v>78</v>
      </c>
      <c r="AA886" s="6" t="s">
        <v>4176</v>
      </c>
      <c r="AB886" s="6" t="s">
        <v>9515</v>
      </c>
      <c r="AC886" s="6" t="s">
        <v>3159</v>
      </c>
      <c r="AD886" s="6" t="s">
        <v>3141</v>
      </c>
      <c r="AE886" s="6" t="s">
        <v>3279</v>
      </c>
      <c r="AF886" s="6" t="s">
        <v>9516</v>
      </c>
      <c r="AG886" s="6" t="s">
        <v>9517</v>
      </c>
      <c r="AH886" s="6" t="s">
        <v>79</v>
      </c>
    </row>
    <row r="887" spans="1:34" x14ac:dyDescent="0.25">
      <c r="A887" s="6" t="s">
        <v>2798</v>
      </c>
      <c r="B887" s="6" t="s">
        <v>2799</v>
      </c>
      <c r="C887" s="6" t="s">
        <v>9518</v>
      </c>
      <c r="D887" s="6" t="s">
        <v>9519</v>
      </c>
      <c r="E887" s="6" t="s">
        <v>3483</v>
      </c>
      <c r="F887" s="6" t="s">
        <v>71</v>
      </c>
      <c r="G887" s="6" t="s">
        <v>106</v>
      </c>
      <c r="H887" s="6" t="s">
        <v>103</v>
      </c>
      <c r="I887" s="6" t="s">
        <v>74</v>
      </c>
      <c r="J887" s="6" t="s">
        <v>9520</v>
      </c>
      <c r="K887" s="6" t="s">
        <v>3159</v>
      </c>
      <c r="L887" s="6" t="s">
        <v>76</v>
      </c>
      <c r="M887" s="6" t="s">
        <v>75</v>
      </c>
      <c r="N887" s="6" t="s">
        <v>3143</v>
      </c>
      <c r="O887" s="6" t="s">
        <v>3243</v>
      </c>
      <c r="P887" s="6" t="s">
        <v>9521</v>
      </c>
      <c r="Q887" s="6" t="s">
        <v>9522</v>
      </c>
      <c r="R887" s="6" t="s">
        <v>9523</v>
      </c>
      <c r="S887" s="6" t="s">
        <v>23</v>
      </c>
      <c r="T887" s="6" t="s">
        <v>9524</v>
      </c>
      <c r="U887" s="6" t="s">
        <v>3275</v>
      </c>
      <c r="V887" s="6" t="s">
        <v>9525</v>
      </c>
      <c r="W887" s="6" t="s">
        <v>3767</v>
      </c>
      <c r="X887" s="6" t="s">
        <v>77</v>
      </c>
      <c r="Y887" s="6" t="s">
        <v>3159</v>
      </c>
      <c r="Z887" s="6" t="s">
        <v>78</v>
      </c>
      <c r="AA887" s="6" t="s">
        <v>3531</v>
      </c>
      <c r="AB887" s="6" t="s">
        <v>9526</v>
      </c>
      <c r="AC887" s="6" t="s">
        <v>3140</v>
      </c>
      <c r="AD887" s="6" t="s">
        <v>75</v>
      </c>
      <c r="AE887" s="6" t="s">
        <v>3318</v>
      </c>
      <c r="AF887" s="6" t="s">
        <v>9527</v>
      </c>
      <c r="AG887" s="6" t="s">
        <v>9528</v>
      </c>
      <c r="AH887" s="6" t="s">
        <v>79</v>
      </c>
    </row>
    <row r="888" spans="1:34" x14ac:dyDescent="0.25">
      <c r="A888" s="6" t="s">
        <v>2801</v>
      </c>
      <c r="B888" s="6" t="s">
        <v>2802</v>
      </c>
      <c r="C888" s="6" t="s">
        <v>9529</v>
      </c>
      <c r="D888" s="6" t="s">
        <v>2803</v>
      </c>
      <c r="E888" s="6" t="s">
        <v>4025</v>
      </c>
      <c r="F888" s="6" t="s">
        <v>3358</v>
      </c>
      <c r="G888" s="6" t="s">
        <v>6202</v>
      </c>
      <c r="H888" s="6" t="s">
        <v>103</v>
      </c>
      <c r="I888" s="6" t="s">
        <v>74</v>
      </c>
      <c r="J888" s="6" t="s">
        <v>9530</v>
      </c>
      <c r="K888" s="6" t="s">
        <v>3140</v>
      </c>
      <c r="L888" s="6" t="s">
        <v>3188</v>
      </c>
      <c r="M888" s="6" t="s">
        <v>76</v>
      </c>
      <c r="N888" s="6" t="s">
        <v>3152</v>
      </c>
      <c r="O888" s="6" t="s">
        <v>3141</v>
      </c>
      <c r="P888" s="6" t="s">
        <v>5989</v>
      </c>
      <c r="Q888" s="6" t="s">
        <v>9531</v>
      </c>
      <c r="R888" s="6" t="s">
        <v>9532</v>
      </c>
      <c r="S888" s="6" t="s">
        <v>21</v>
      </c>
      <c r="T888" s="6" t="s">
        <v>9533</v>
      </c>
      <c r="U888" s="6" t="s">
        <v>3141</v>
      </c>
      <c r="V888" s="6" t="s">
        <v>3342</v>
      </c>
      <c r="W888" s="6" t="s">
        <v>5156</v>
      </c>
      <c r="X888" s="6" t="s">
        <v>3167</v>
      </c>
      <c r="Y888" s="6" t="s">
        <v>3159</v>
      </c>
      <c r="Z888" s="6" t="s">
        <v>3329</v>
      </c>
      <c r="AA888" s="6" t="s">
        <v>4644</v>
      </c>
      <c r="AB888" s="6"/>
      <c r="AC888" s="6" t="s">
        <v>3141</v>
      </c>
      <c r="AD888" s="6" t="s">
        <v>3160</v>
      </c>
      <c r="AE888" s="6" t="s">
        <v>3323</v>
      </c>
      <c r="AF888" s="6"/>
      <c r="AG888" s="6"/>
      <c r="AH888" s="6" t="s">
        <v>79</v>
      </c>
    </row>
    <row r="889" spans="1:34" x14ac:dyDescent="0.25">
      <c r="A889" s="6" t="s">
        <v>2804</v>
      </c>
      <c r="B889" s="6" t="s">
        <v>2805</v>
      </c>
      <c r="C889" s="6" t="s">
        <v>9534</v>
      </c>
      <c r="D889" s="6" t="s">
        <v>2806</v>
      </c>
      <c r="E889" s="6" t="s">
        <v>3843</v>
      </c>
      <c r="F889" s="6" t="s">
        <v>3227</v>
      </c>
      <c r="G889" s="6" t="s">
        <v>4543</v>
      </c>
      <c r="H889" s="6" t="s">
        <v>166</v>
      </c>
      <c r="I889" s="6" t="s">
        <v>74</v>
      </c>
      <c r="J889" s="6" t="s">
        <v>9535</v>
      </c>
      <c r="K889" s="6" t="s">
        <v>3159</v>
      </c>
      <c r="L889" s="6" t="s">
        <v>75</v>
      </c>
      <c r="M889" s="6" t="s">
        <v>3188</v>
      </c>
      <c r="N889" s="6" t="s">
        <v>3152</v>
      </c>
      <c r="O889" s="6" t="s">
        <v>3141</v>
      </c>
      <c r="P889" s="6" t="s">
        <v>9536</v>
      </c>
      <c r="Q889" s="6" t="s">
        <v>9537</v>
      </c>
      <c r="R889" s="6" t="s">
        <v>9538</v>
      </c>
      <c r="S889" s="6" t="s">
        <v>20</v>
      </c>
      <c r="T889" s="6" t="s">
        <v>9539</v>
      </c>
      <c r="U889" s="6" t="s">
        <v>3159</v>
      </c>
      <c r="V889" s="6" t="s">
        <v>8397</v>
      </c>
      <c r="W889" s="6" t="s">
        <v>3278</v>
      </c>
      <c r="X889" s="6" t="s">
        <v>77</v>
      </c>
      <c r="Y889" s="6" t="s">
        <v>3159</v>
      </c>
      <c r="Z889" s="6" t="s">
        <v>78</v>
      </c>
      <c r="AA889" s="6" t="s">
        <v>3195</v>
      </c>
      <c r="AB889" s="6" t="s">
        <v>9540</v>
      </c>
      <c r="AC889" s="6" t="s">
        <v>3141</v>
      </c>
      <c r="AD889" s="6" t="s">
        <v>75</v>
      </c>
      <c r="AE889" s="6" t="s">
        <v>3136</v>
      </c>
      <c r="AF889" s="6"/>
      <c r="AG889" s="6" t="s">
        <v>4032</v>
      </c>
      <c r="AH889" s="6" t="s">
        <v>79</v>
      </c>
    </row>
    <row r="890" spans="1:34" x14ac:dyDescent="0.25">
      <c r="A890" s="6" t="s">
        <v>2807</v>
      </c>
      <c r="B890" s="6" t="s">
        <v>2808</v>
      </c>
      <c r="C890" s="6" t="s">
        <v>9541</v>
      </c>
      <c r="D890" s="6" t="s">
        <v>2809</v>
      </c>
      <c r="E890" s="6" t="s">
        <v>3786</v>
      </c>
      <c r="F890" s="6" t="s">
        <v>3283</v>
      </c>
      <c r="G890" s="6" t="s">
        <v>4823</v>
      </c>
      <c r="H890" s="6" t="s">
        <v>84</v>
      </c>
      <c r="I890" s="6" t="s">
        <v>74</v>
      </c>
      <c r="J890" s="6" t="s">
        <v>9542</v>
      </c>
      <c r="K890" s="6" t="s">
        <v>3159</v>
      </c>
      <c r="L890" s="6" t="s">
        <v>3173</v>
      </c>
      <c r="M890" s="6" t="s">
        <v>3160</v>
      </c>
      <c r="N890" s="6" t="s">
        <v>3143</v>
      </c>
      <c r="O890" s="6" t="s">
        <v>3143</v>
      </c>
      <c r="P890" s="6" t="s">
        <v>7376</v>
      </c>
      <c r="Q890" s="6" t="s">
        <v>9543</v>
      </c>
      <c r="R890" s="6" t="s">
        <v>9544</v>
      </c>
      <c r="S890" s="6" t="s">
        <v>5782</v>
      </c>
      <c r="T890" s="6" t="s">
        <v>9545</v>
      </c>
      <c r="U890" s="6" t="s">
        <v>3140</v>
      </c>
      <c r="V890" s="6" t="s">
        <v>5652</v>
      </c>
      <c r="W890" s="6" t="s">
        <v>4654</v>
      </c>
      <c r="X890" s="6" t="s">
        <v>85</v>
      </c>
      <c r="Y890" s="6" t="s">
        <v>3292</v>
      </c>
      <c r="Z890" s="6" t="s">
        <v>78</v>
      </c>
      <c r="AA890" s="6" t="s">
        <v>8276</v>
      </c>
      <c r="AB890" s="6"/>
      <c r="AC890" s="6" t="s">
        <v>3159</v>
      </c>
      <c r="AD890" s="6" t="s">
        <v>3152</v>
      </c>
      <c r="AE890" s="6" t="s">
        <v>3323</v>
      </c>
      <c r="AF890" s="6" t="s">
        <v>9546</v>
      </c>
      <c r="AG890" s="6" t="s">
        <v>3450</v>
      </c>
      <c r="AH890" s="6" t="s">
        <v>3657</v>
      </c>
    </row>
    <row r="891" spans="1:34" x14ac:dyDescent="0.25">
      <c r="A891" s="6" t="s">
        <v>2810</v>
      </c>
      <c r="B891" s="6" t="s">
        <v>2811</v>
      </c>
      <c r="C891" s="6" t="s">
        <v>2812</v>
      </c>
      <c r="D891" s="6" t="s">
        <v>2813</v>
      </c>
      <c r="E891" s="6" t="s">
        <v>3323</v>
      </c>
      <c r="F891" s="6" t="s">
        <v>3283</v>
      </c>
      <c r="G891" s="6" t="s">
        <v>115</v>
      </c>
      <c r="H891" s="6" t="s">
        <v>99</v>
      </c>
      <c r="I891" s="6" t="s">
        <v>74</v>
      </c>
      <c r="J891" s="6" t="s">
        <v>9547</v>
      </c>
      <c r="K891" s="6" t="s">
        <v>3292</v>
      </c>
      <c r="L891" s="6" t="s">
        <v>3142</v>
      </c>
      <c r="M891" s="6" t="s">
        <v>3188</v>
      </c>
      <c r="N891" s="6" t="s">
        <v>3173</v>
      </c>
      <c r="O891" s="6" t="s">
        <v>3141</v>
      </c>
      <c r="P891" s="6" t="s">
        <v>9548</v>
      </c>
      <c r="Q891" s="6"/>
      <c r="R891" s="6" t="s">
        <v>9549</v>
      </c>
      <c r="S891" s="6" t="s">
        <v>20</v>
      </c>
      <c r="T891" s="6"/>
      <c r="U891" s="6" t="s">
        <v>3141</v>
      </c>
      <c r="V891" s="6" t="s">
        <v>9550</v>
      </c>
      <c r="W891" s="6" t="s">
        <v>4067</v>
      </c>
      <c r="X891" s="6" t="s">
        <v>85</v>
      </c>
      <c r="Y891" s="6" t="s">
        <v>3141</v>
      </c>
      <c r="Z891" s="6" t="s">
        <v>78</v>
      </c>
      <c r="AA891" s="6" t="s">
        <v>6870</v>
      </c>
      <c r="AB891" s="6" t="s">
        <v>9551</v>
      </c>
      <c r="AC891" s="6" t="s">
        <v>3140</v>
      </c>
      <c r="AD891" s="6" t="s">
        <v>3243</v>
      </c>
      <c r="AE891" s="6" t="s">
        <v>3136</v>
      </c>
      <c r="AF891" s="6"/>
      <c r="AG891" s="6" t="s">
        <v>9257</v>
      </c>
      <c r="AH891" s="6" t="s">
        <v>79</v>
      </c>
    </row>
    <row r="892" spans="1:34" x14ac:dyDescent="0.25">
      <c r="A892" s="6" t="s">
        <v>2814</v>
      </c>
      <c r="B892" s="6" t="s">
        <v>736</v>
      </c>
      <c r="C892" s="6" t="s">
        <v>9552</v>
      </c>
      <c r="D892" s="6" t="s">
        <v>2815</v>
      </c>
      <c r="E892" s="6" t="s">
        <v>4190</v>
      </c>
      <c r="F892" s="6" t="s">
        <v>3137</v>
      </c>
      <c r="G892" s="6" t="s">
        <v>6816</v>
      </c>
      <c r="H892" s="6" t="s">
        <v>5368</v>
      </c>
      <c r="I892" s="6" t="s">
        <v>74</v>
      </c>
      <c r="J892" s="6" t="s">
        <v>9553</v>
      </c>
      <c r="K892" s="6" t="s">
        <v>3159</v>
      </c>
      <c r="L892" s="6" t="s">
        <v>3243</v>
      </c>
      <c r="M892" s="6" t="s">
        <v>3160</v>
      </c>
      <c r="N892" s="6" t="s">
        <v>3243</v>
      </c>
      <c r="O892" s="6" t="s">
        <v>76</v>
      </c>
      <c r="P892" s="6" t="s">
        <v>8870</v>
      </c>
      <c r="Q892" s="6" t="s">
        <v>9554</v>
      </c>
      <c r="R892" s="6" t="s">
        <v>9555</v>
      </c>
      <c r="S892" s="6" t="s">
        <v>22</v>
      </c>
      <c r="T892" s="6" t="s">
        <v>9556</v>
      </c>
      <c r="U892" s="6" t="s">
        <v>3141</v>
      </c>
      <c r="V892" s="6" t="s">
        <v>9557</v>
      </c>
      <c r="W892" s="6" t="s">
        <v>3250</v>
      </c>
      <c r="X892" s="6" t="s">
        <v>77</v>
      </c>
      <c r="Y892" s="6" t="s">
        <v>3140</v>
      </c>
      <c r="Z892" s="6" t="s">
        <v>194</v>
      </c>
      <c r="AA892" s="6" t="s">
        <v>3375</v>
      </c>
      <c r="AB892" s="6" t="s">
        <v>9558</v>
      </c>
      <c r="AC892" s="6" t="s">
        <v>3159</v>
      </c>
      <c r="AD892" s="6" t="s">
        <v>3143</v>
      </c>
      <c r="AE892" s="6" t="s">
        <v>3279</v>
      </c>
      <c r="AF892" s="6" t="s">
        <v>9559</v>
      </c>
      <c r="AG892" s="6" t="s">
        <v>9560</v>
      </c>
      <c r="AH892" s="6" t="s">
        <v>79</v>
      </c>
    </row>
    <row r="893" spans="1:34" x14ac:dyDescent="0.25">
      <c r="A893" s="6" t="s">
        <v>2816</v>
      </c>
      <c r="B893" s="6" t="s">
        <v>2817</v>
      </c>
      <c r="C893" s="6"/>
      <c r="D893" s="6" t="s">
        <v>2818</v>
      </c>
      <c r="E893" s="6" t="s">
        <v>4828</v>
      </c>
      <c r="F893" s="6" t="s">
        <v>3358</v>
      </c>
      <c r="G893" s="6" t="s">
        <v>72</v>
      </c>
      <c r="H893" s="6" t="s">
        <v>144</v>
      </c>
      <c r="I893" s="6" t="s">
        <v>92</v>
      </c>
      <c r="J893" s="6" t="s">
        <v>9561</v>
      </c>
      <c r="K893" s="6" t="s">
        <v>3292</v>
      </c>
      <c r="L893" s="6" t="s">
        <v>3243</v>
      </c>
      <c r="M893" s="6" t="s">
        <v>3196</v>
      </c>
      <c r="N893" s="6" t="s">
        <v>76</v>
      </c>
      <c r="O893" s="6" t="s">
        <v>3142</v>
      </c>
      <c r="P893" s="6" t="s">
        <v>9562</v>
      </c>
      <c r="Q893" s="6" t="s">
        <v>9563</v>
      </c>
      <c r="R893" s="6" t="s">
        <v>9564</v>
      </c>
      <c r="S893" s="6" t="s">
        <v>22</v>
      </c>
      <c r="T893" s="6" t="s">
        <v>9565</v>
      </c>
      <c r="U893" s="6" t="s">
        <v>3141</v>
      </c>
      <c r="V893" s="6" t="s">
        <v>3603</v>
      </c>
      <c r="W893" s="6" t="s">
        <v>4873</v>
      </c>
      <c r="X893" s="6" t="s">
        <v>85</v>
      </c>
      <c r="Y893" s="6" t="s">
        <v>3140</v>
      </c>
      <c r="Z893" s="6" t="s">
        <v>194</v>
      </c>
      <c r="AA893" s="6" t="s">
        <v>3757</v>
      </c>
      <c r="AB893" s="6" t="s">
        <v>9566</v>
      </c>
      <c r="AC893" s="6" t="s">
        <v>3141</v>
      </c>
      <c r="AD893" s="6" t="s">
        <v>3243</v>
      </c>
      <c r="AE893" s="6" t="s">
        <v>3622</v>
      </c>
      <c r="AF893" s="6" t="s">
        <v>9567</v>
      </c>
      <c r="AG893" s="6"/>
      <c r="AH893" s="6" t="s">
        <v>79</v>
      </c>
    </row>
    <row r="894" spans="1:34" x14ac:dyDescent="0.25">
      <c r="A894" s="6" t="s">
        <v>2819</v>
      </c>
      <c r="B894" s="6" t="s">
        <v>2820</v>
      </c>
      <c r="C894" s="6" t="s">
        <v>9568</v>
      </c>
      <c r="D894" s="6" t="s">
        <v>9569</v>
      </c>
      <c r="E894" s="6"/>
      <c r="F894" s="6" t="s">
        <v>3214</v>
      </c>
      <c r="G894" s="6" t="s">
        <v>90</v>
      </c>
      <c r="H894" s="6" t="s">
        <v>144</v>
      </c>
      <c r="I894" s="6" t="s">
        <v>92</v>
      </c>
      <c r="J894" s="6" t="s">
        <v>9570</v>
      </c>
      <c r="K894" s="6" t="s">
        <v>3140</v>
      </c>
      <c r="L894" s="6" t="s">
        <v>3188</v>
      </c>
      <c r="M894" s="6" t="s">
        <v>76</v>
      </c>
      <c r="N894" s="6" t="s">
        <v>3152</v>
      </c>
      <c r="O894" s="6" t="s">
        <v>3141</v>
      </c>
      <c r="P894" s="6" t="s">
        <v>9571</v>
      </c>
      <c r="Q894" s="6" t="s">
        <v>9572</v>
      </c>
      <c r="R894" s="6" t="s">
        <v>9573</v>
      </c>
      <c r="S894" s="6" t="s">
        <v>23</v>
      </c>
      <c r="T894" s="6"/>
      <c r="U894" s="6" t="s">
        <v>3141</v>
      </c>
      <c r="V894" s="6" t="s">
        <v>8415</v>
      </c>
      <c r="W894" s="6" t="s">
        <v>3802</v>
      </c>
      <c r="X894" s="6" t="s">
        <v>85</v>
      </c>
      <c r="Y894" s="6" t="s">
        <v>3292</v>
      </c>
      <c r="Z894" s="6" t="s">
        <v>93</v>
      </c>
      <c r="AA894" s="6" t="s">
        <v>4049</v>
      </c>
      <c r="AB894" s="6" t="s">
        <v>9574</v>
      </c>
      <c r="AC894" s="6" t="s">
        <v>3159</v>
      </c>
      <c r="AD894" s="6" t="s">
        <v>3243</v>
      </c>
      <c r="AE894" s="6" t="s">
        <v>3318</v>
      </c>
      <c r="AF894" s="6" t="s">
        <v>9575</v>
      </c>
      <c r="AG894" s="6" t="s">
        <v>3441</v>
      </c>
      <c r="AH894" s="6" t="s">
        <v>79</v>
      </c>
    </row>
    <row r="895" spans="1:34" x14ac:dyDescent="0.25">
      <c r="A895" s="6" t="s">
        <v>2822</v>
      </c>
      <c r="B895" s="6" t="s">
        <v>2823</v>
      </c>
      <c r="C895" s="6"/>
      <c r="D895" s="6" t="s">
        <v>2824</v>
      </c>
      <c r="E895" s="6" t="s">
        <v>3505</v>
      </c>
      <c r="F895" s="6" t="s">
        <v>3358</v>
      </c>
      <c r="G895" s="6" t="s">
        <v>153</v>
      </c>
      <c r="H895" s="6" t="s">
        <v>132</v>
      </c>
      <c r="I895" s="6" t="s">
        <v>92</v>
      </c>
      <c r="J895" s="6" t="s">
        <v>3217</v>
      </c>
      <c r="K895" s="6" t="s">
        <v>3141</v>
      </c>
      <c r="L895" s="6" t="s">
        <v>3243</v>
      </c>
      <c r="M895" s="6" t="s">
        <v>3143</v>
      </c>
      <c r="N895" s="6" t="s">
        <v>75</v>
      </c>
      <c r="O895" s="6" t="s">
        <v>3143</v>
      </c>
      <c r="P895" s="6" t="s">
        <v>4792</v>
      </c>
      <c r="Q895" s="6" t="s">
        <v>9576</v>
      </c>
      <c r="R895" s="6" t="s">
        <v>9577</v>
      </c>
      <c r="S895" s="6" t="s">
        <v>23</v>
      </c>
      <c r="T895" s="6" t="s">
        <v>9578</v>
      </c>
      <c r="U895" s="6" t="s">
        <v>3141</v>
      </c>
      <c r="V895" s="6" t="s">
        <v>4840</v>
      </c>
      <c r="W895" s="6" t="s">
        <v>4610</v>
      </c>
      <c r="X895" s="6" t="s">
        <v>3918</v>
      </c>
      <c r="Y895" s="6" t="s">
        <v>3159</v>
      </c>
      <c r="Z895" s="6" t="s">
        <v>78</v>
      </c>
      <c r="AA895" s="6" t="s">
        <v>3791</v>
      </c>
      <c r="AB895" s="6"/>
      <c r="AC895" s="6" t="s">
        <v>3159</v>
      </c>
      <c r="AD895" s="6" t="s">
        <v>3160</v>
      </c>
      <c r="AE895" s="6" t="s">
        <v>3513</v>
      </c>
      <c r="AF895" s="6" t="s">
        <v>9579</v>
      </c>
      <c r="AG895" s="6" t="s">
        <v>9580</v>
      </c>
      <c r="AH895" s="6" t="s">
        <v>79</v>
      </c>
    </row>
    <row r="896" spans="1:34" x14ac:dyDescent="0.25">
      <c r="A896" s="6" t="s">
        <v>2825</v>
      </c>
      <c r="B896" s="6" t="s">
        <v>2826</v>
      </c>
      <c r="C896" s="6"/>
      <c r="D896" s="6" t="s">
        <v>2827</v>
      </c>
      <c r="E896" s="6" t="s">
        <v>3460</v>
      </c>
      <c r="F896" s="6" t="s">
        <v>3137</v>
      </c>
      <c r="G896" s="6" t="s">
        <v>106</v>
      </c>
      <c r="H896" s="6" t="s">
        <v>73</v>
      </c>
      <c r="I896" s="6" t="s">
        <v>74</v>
      </c>
      <c r="J896" s="6"/>
      <c r="K896" s="6" t="s">
        <v>3140</v>
      </c>
      <c r="L896" s="6" t="s">
        <v>3141</v>
      </c>
      <c r="M896" s="6" t="s">
        <v>76</v>
      </c>
      <c r="N896" s="6" t="s">
        <v>76</v>
      </c>
      <c r="O896" s="6" t="s">
        <v>75</v>
      </c>
      <c r="P896" s="6" t="s">
        <v>9581</v>
      </c>
      <c r="Q896" s="6" t="s">
        <v>9582</v>
      </c>
      <c r="R896" s="6" t="s">
        <v>9583</v>
      </c>
      <c r="S896" s="6" t="s">
        <v>22</v>
      </c>
      <c r="T896" s="6" t="s">
        <v>9584</v>
      </c>
      <c r="U896" s="6" t="s">
        <v>3141</v>
      </c>
      <c r="V896" s="6" t="s">
        <v>7319</v>
      </c>
      <c r="W896" s="6" t="s">
        <v>4568</v>
      </c>
      <c r="X896" s="6" t="s">
        <v>85</v>
      </c>
      <c r="Y896" s="6" t="s">
        <v>3140</v>
      </c>
      <c r="Z896" s="6" t="s">
        <v>93</v>
      </c>
      <c r="AA896" s="6" t="s">
        <v>3166</v>
      </c>
      <c r="AB896" s="6"/>
      <c r="AC896" s="6" t="s">
        <v>3140</v>
      </c>
      <c r="AD896" s="6" t="s">
        <v>3142</v>
      </c>
      <c r="AE896" s="6" t="s">
        <v>3279</v>
      </c>
      <c r="AF896" s="6" t="s">
        <v>9585</v>
      </c>
      <c r="AG896" s="6" t="s">
        <v>8631</v>
      </c>
      <c r="AH896" s="6" t="s">
        <v>79</v>
      </c>
    </row>
    <row r="897" spans="1:34" x14ac:dyDescent="0.25">
      <c r="A897" s="6" t="s">
        <v>2828</v>
      </c>
      <c r="B897" s="6" t="s">
        <v>2829</v>
      </c>
      <c r="C897" s="6" t="s">
        <v>2830</v>
      </c>
      <c r="D897" s="6" t="s">
        <v>2831</v>
      </c>
      <c r="E897" s="6" t="s">
        <v>4542</v>
      </c>
      <c r="F897" s="6" t="s">
        <v>3358</v>
      </c>
      <c r="G897" s="6" t="s">
        <v>106</v>
      </c>
      <c r="H897" s="6" t="s">
        <v>99</v>
      </c>
      <c r="I897" s="6" t="s">
        <v>74</v>
      </c>
      <c r="J897" s="6"/>
      <c r="K897" s="6" t="s">
        <v>3159</v>
      </c>
      <c r="L897" s="6" t="s">
        <v>75</v>
      </c>
      <c r="M897" s="6" t="s">
        <v>3196</v>
      </c>
      <c r="N897" s="6" t="s">
        <v>3160</v>
      </c>
      <c r="O897" s="6" t="s">
        <v>3160</v>
      </c>
      <c r="P897" s="6" t="s">
        <v>6337</v>
      </c>
      <c r="Q897" s="6" t="s">
        <v>9586</v>
      </c>
      <c r="R897" s="6" t="s">
        <v>9587</v>
      </c>
      <c r="S897" s="6" t="s">
        <v>23</v>
      </c>
      <c r="T897" s="6" t="s">
        <v>9588</v>
      </c>
      <c r="U897" s="6" t="s">
        <v>3192</v>
      </c>
      <c r="V897" s="6" t="s">
        <v>5146</v>
      </c>
      <c r="W897" s="6" t="s">
        <v>3965</v>
      </c>
      <c r="X897" s="6" t="s">
        <v>85</v>
      </c>
      <c r="Y897" s="6" t="s">
        <v>3140</v>
      </c>
      <c r="Z897" s="6" t="s">
        <v>78</v>
      </c>
      <c r="AA897" s="6" t="s">
        <v>9261</v>
      </c>
      <c r="AB897" s="6"/>
      <c r="AC897" s="6" t="s">
        <v>3141</v>
      </c>
      <c r="AD897" s="6" t="s">
        <v>3160</v>
      </c>
      <c r="AE897" s="6" t="s">
        <v>3318</v>
      </c>
      <c r="AF897" s="6" t="s">
        <v>9589</v>
      </c>
      <c r="AG897" s="6" t="s">
        <v>7776</v>
      </c>
      <c r="AH897" s="6" t="s">
        <v>79</v>
      </c>
    </row>
    <row r="898" spans="1:34" x14ac:dyDescent="0.25">
      <c r="A898" s="6" t="s">
        <v>2832</v>
      </c>
      <c r="B898" s="6" t="s">
        <v>1575</v>
      </c>
      <c r="C898" s="6" t="s">
        <v>2833</v>
      </c>
      <c r="D898" s="6" t="s">
        <v>2834</v>
      </c>
      <c r="E898" s="6" t="s">
        <v>4190</v>
      </c>
      <c r="F898" s="6" t="s">
        <v>3358</v>
      </c>
      <c r="G898" s="6" t="s">
        <v>226</v>
      </c>
      <c r="H898" s="6" t="s">
        <v>132</v>
      </c>
      <c r="I898" s="6" t="s">
        <v>92</v>
      </c>
      <c r="J898" s="6" t="s">
        <v>9590</v>
      </c>
      <c r="K898" s="6" t="s">
        <v>3140</v>
      </c>
      <c r="L898" s="6" t="s">
        <v>3173</v>
      </c>
      <c r="M898" s="6" t="s">
        <v>3159</v>
      </c>
      <c r="N898" s="6" t="s">
        <v>75</v>
      </c>
      <c r="O898" s="6" t="s">
        <v>3143</v>
      </c>
      <c r="P898" s="6" t="s">
        <v>4970</v>
      </c>
      <c r="Q898" s="6" t="s">
        <v>9591</v>
      </c>
      <c r="R898" s="6" t="s">
        <v>9592</v>
      </c>
      <c r="S898" s="6" t="s">
        <v>22</v>
      </c>
      <c r="T898" s="6" t="s">
        <v>9593</v>
      </c>
      <c r="U898" s="6" t="s">
        <v>3141</v>
      </c>
      <c r="V898" s="6" t="s">
        <v>9594</v>
      </c>
      <c r="W898" s="6" t="s">
        <v>3455</v>
      </c>
      <c r="X898" s="6" t="s">
        <v>161</v>
      </c>
      <c r="Y898" s="6" t="s">
        <v>3140</v>
      </c>
      <c r="Z898" s="6" t="s">
        <v>78</v>
      </c>
      <c r="AA898" s="6" t="s">
        <v>4618</v>
      </c>
      <c r="AB898" s="6"/>
      <c r="AC898" s="6" t="s">
        <v>3141</v>
      </c>
      <c r="AD898" s="6" t="s">
        <v>3143</v>
      </c>
      <c r="AE898" s="6" t="s">
        <v>3279</v>
      </c>
      <c r="AF898" s="6" t="s">
        <v>9595</v>
      </c>
      <c r="AG898" s="6" t="s">
        <v>9596</v>
      </c>
      <c r="AH898" s="6" t="s">
        <v>79</v>
      </c>
    </row>
    <row r="899" spans="1:34" x14ac:dyDescent="0.25">
      <c r="A899" s="6" t="s">
        <v>2835</v>
      </c>
      <c r="B899" s="6" t="s">
        <v>1011</v>
      </c>
      <c r="C899" s="6" t="s">
        <v>9597</v>
      </c>
      <c r="D899" s="6" t="s">
        <v>9598</v>
      </c>
      <c r="E899" s="6" t="s">
        <v>3226</v>
      </c>
      <c r="F899" s="6" t="s">
        <v>3283</v>
      </c>
      <c r="G899" s="6" t="s">
        <v>120</v>
      </c>
      <c r="H899" s="6" t="s">
        <v>91</v>
      </c>
      <c r="I899" s="6" t="s">
        <v>92</v>
      </c>
      <c r="J899" s="6" t="s">
        <v>9599</v>
      </c>
      <c r="K899" s="6" t="s">
        <v>3159</v>
      </c>
      <c r="L899" s="6" t="s">
        <v>3160</v>
      </c>
      <c r="M899" s="6" t="s">
        <v>3173</v>
      </c>
      <c r="N899" s="6" t="s">
        <v>75</v>
      </c>
      <c r="O899" s="6" t="s">
        <v>3160</v>
      </c>
      <c r="P899" s="6" t="s">
        <v>8141</v>
      </c>
      <c r="Q899" s="6" t="s">
        <v>9600</v>
      </c>
      <c r="R899" s="6" t="s">
        <v>9601</v>
      </c>
      <c r="S899" s="6" t="s">
        <v>20</v>
      </c>
      <c r="T899" s="6" t="s">
        <v>9602</v>
      </c>
      <c r="U899" s="6" t="s">
        <v>3159</v>
      </c>
      <c r="V899" s="6" t="s">
        <v>8677</v>
      </c>
      <c r="W899" s="6" t="s">
        <v>4684</v>
      </c>
      <c r="X899" s="6" t="s">
        <v>85</v>
      </c>
      <c r="Y899" s="6" t="s">
        <v>3159</v>
      </c>
      <c r="Z899" s="6" t="s">
        <v>78</v>
      </c>
      <c r="AA899" s="6" t="s">
        <v>4501</v>
      </c>
      <c r="AB899" s="6" t="s">
        <v>9603</v>
      </c>
      <c r="AC899" s="6" t="s">
        <v>3141</v>
      </c>
      <c r="AD899" s="6" t="s">
        <v>75</v>
      </c>
      <c r="AE899" s="6" t="s">
        <v>3169</v>
      </c>
      <c r="AF899" s="6"/>
      <c r="AG899" s="6" t="s">
        <v>9604</v>
      </c>
      <c r="AH899" s="6" t="s">
        <v>79</v>
      </c>
    </row>
    <row r="900" spans="1:34" x14ac:dyDescent="0.25">
      <c r="A900" s="6" t="s">
        <v>2837</v>
      </c>
      <c r="B900" s="6" t="s">
        <v>2480</v>
      </c>
      <c r="C900" s="6" t="s">
        <v>2838</v>
      </c>
      <c r="D900" s="6" t="s">
        <v>2839</v>
      </c>
      <c r="E900" s="6" t="s">
        <v>3471</v>
      </c>
      <c r="F900" s="6" t="s">
        <v>71</v>
      </c>
      <c r="G900" s="6" t="s">
        <v>226</v>
      </c>
      <c r="H900" s="6" t="s">
        <v>84</v>
      </c>
      <c r="I900" s="6" t="s">
        <v>74</v>
      </c>
      <c r="J900" s="6" t="s">
        <v>9605</v>
      </c>
      <c r="K900" s="6" t="s">
        <v>3159</v>
      </c>
      <c r="L900" s="6" t="s">
        <v>75</v>
      </c>
      <c r="M900" s="6" t="s">
        <v>76</v>
      </c>
      <c r="N900" s="6" t="s">
        <v>3160</v>
      </c>
      <c r="O900" s="6" t="s">
        <v>3160</v>
      </c>
      <c r="P900" s="6" t="s">
        <v>8411</v>
      </c>
      <c r="Q900" s="6" t="s">
        <v>9606</v>
      </c>
      <c r="R900" s="6" t="s">
        <v>9607</v>
      </c>
      <c r="S900" s="6" t="s">
        <v>23</v>
      </c>
      <c r="T900" s="6"/>
      <c r="U900" s="6" t="s">
        <v>3275</v>
      </c>
      <c r="V900" s="6" t="s">
        <v>5127</v>
      </c>
      <c r="W900" s="6" t="s">
        <v>3364</v>
      </c>
      <c r="X900" s="6" t="s">
        <v>77</v>
      </c>
      <c r="Y900" s="6" t="s">
        <v>3141</v>
      </c>
      <c r="Z900" s="6" t="s">
        <v>78</v>
      </c>
      <c r="AA900" s="6" t="s">
        <v>3365</v>
      </c>
      <c r="AB900" s="6"/>
      <c r="AC900" s="6" t="s">
        <v>3292</v>
      </c>
      <c r="AD900" s="6" t="s">
        <v>3152</v>
      </c>
      <c r="AE900" s="6" t="s">
        <v>3331</v>
      </c>
      <c r="AF900" s="6" t="s">
        <v>9608</v>
      </c>
      <c r="AG900" s="6" t="s">
        <v>3155</v>
      </c>
      <c r="AH900" s="6" t="s">
        <v>79</v>
      </c>
    </row>
    <row r="901" spans="1:34" x14ac:dyDescent="0.25">
      <c r="A901" s="6" t="s">
        <v>2840</v>
      </c>
      <c r="B901" s="6" t="s">
        <v>2357</v>
      </c>
      <c r="C901" s="6" t="s">
        <v>9609</v>
      </c>
      <c r="D901" s="6" t="s">
        <v>2841</v>
      </c>
      <c r="E901" s="6" t="s">
        <v>3420</v>
      </c>
      <c r="F901" s="6" t="s">
        <v>3369</v>
      </c>
      <c r="G901" s="6" t="s">
        <v>3370</v>
      </c>
      <c r="H901" s="6" t="s">
        <v>73</v>
      </c>
      <c r="I901" s="6" t="s">
        <v>74</v>
      </c>
      <c r="J901" s="6" t="s">
        <v>9610</v>
      </c>
      <c r="K901" s="6" t="s">
        <v>3140</v>
      </c>
      <c r="L901" s="6" t="s">
        <v>3188</v>
      </c>
      <c r="M901" s="6" t="s">
        <v>3159</v>
      </c>
      <c r="N901" s="6" t="s">
        <v>75</v>
      </c>
      <c r="O901" s="6" t="s">
        <v>3160</v>
      </c>
      <c r="P901" s="6" t="s">
        <v>3582</v>
      </c>
      <c r="Q901" s="6" t="s">
        <v>9611</v>
      </c>
      <c r="R901" s="6" t="s">
        <v>9612</v>
      </c>
      <c r="S901" s="6" t="s">
        <v>20</v>
      </c>
      <c r="T901" s="6" t="s">
        <v>3217</v>
      </c>
      <c r="U901" s="6" t="s">
        <v>3141</v>
      </c>
      <c r="V901" s="6" t="s">
        <v>9613</v>
      </c>
      <c r="W901" s="6" t="s">
        <v>3550</v>
      </c>
      <c r="X901" s="6" t="s">
        <v>77</v>
      </c>
      <c r="Y901" s="6" t="s">
        <v>3140</v>
      </c>
      <c r="Z901" s="6" t="s">
        <v>78</v>
      </c>
      <c r="AA901" s="6" t="s">
        <v>3642</v>
      </c>
      <c r="AB901" s="6" t="s">
        <v>9614</v>
      </c>
      <c r="AC901" s="6" t="s">
        <v>3159</v>
      </c>
      <c r="AD901" s="6" t="s">
        <v>75</v>
      </c>
      <c r="AE901" s="6" t="s">
        <v>3293</v>
      </c>
      <c r="AF901" s="6"/>
      <c r="AG901" s="6" t="s">
        <v>9615</v>
      </c>
      <c r="AH901" s="6" t="s">
        <v>3334</v>
      </c>
    </row>
    <row r="902" spans="1:34" x14ac:dyDescent="0.25">
      <c r="A902" s="6" t="s">
        <v>2842</v>
      </c>
      <c r="B902" s="6" t="s">
        <v>2843</v>
      </c>
      <c r="C902" s="6" t="s">
        <v>9616</v>
      </c>
      <c r="D902" s="6" t="s">
        <v>9617</v>
      </c>
      <c r="E902" s="6"/>
      <c r="F902" s="6" t="s">
        <v>3283</v>
      </c>
      <c r="G902" s="6" t="s">
        <v>153</v>
      </c>
      <c r="H902" s="6" t="s">
        <v>84</v>
      </c>
      <c r="I902" s="6" t="s">
        <v>74</v>
      </c>
      <c r="J902" s="6" t="s">
        <v>9618</v>
      </c>
      <c r="K902" s="6" t="s">
        <v>3141</v>
      </c>
      <c r="L902" s="6" t="s">
        <v>3160</v>
      </c>
      <c r="M902" s="6" t="s">
        <v>3141</v>
      </c>
      <c r="N902" s="6" t="s">
        <v>3141</v>
      </c>
      <c r="O902" s="6" t="s">
        <v>3152</v>
      </c>
      <c r="P902" s="6" t="s">
        <v>5497</v>
      </c>
      <c r="Q902" s="6" t="s">
        <v>9619</v>
      </c>
      <c r="R902" s="6" t="s">
        <v>9620</v>
      </c>
      <c r="S902" s="6" t="s">
        <v>20</v>
      </c>
      <c r="T902" s="6" t="s">
        <v>9621</v>
      </c>
      <c r="U902" s="6" t="s">
        <v>3394</v>
      </c>
      <c r="V902" s="6" t="s">
        <v>9622</v>
      </c>
      <c r="W902" s="6" t="s">
        <v>3291</v>
      </c>
      <c r="X902" s="6" t="s">
        <v>85</v>
      </c>
      <c r="Y902" s="6" t="s">
        <v>3140</v>
      </c>
      <c r="Z902" s="6" t="s">
        <v>78</v>
      </c>
      <c r="AA902" s="6" t="s">
        <v>5273</v>
      </c>
      <c r="AB902" s="6" t="s">
        <v>9623</v>
      </c>
      <c r="AC902" s="6" t="s">
        <v>3141</v>
      </c>
      <c r="AD902" s="6" t="s">
        <v>3143</v>
      </c>
      <c r="AE902" s="6" t="s">
        <v>3293</v>
      </c>
      <c r="AF902" s="6"/>
      <c r="AG902" s="6" t="s">
        <v>4775</v>
      </c>
      <c r="AH902" s="6" t="s">
        <v>79</v>
      </c>
    </row>
    <row r="903" spans="1:34" x14ac:dyDescent="0.25">
      <c r="A903" s="6" t="s">
        <v>2845</v>
      </c>
      <c r="B903" s="6" t="s">
        <v>2846</v>
      </c>
      <c r="C903" s="6" t="s">
        <v>9624</v>
      </c>
      <c r="D903" s="6" t="s">
        <v>9625</v>
      </c>
      <c r="E903" s="6" t="s">
        <v>3136</v>
      </c>
      <c r="F903" s="6" t="s">
        <v>3214</v>
      </c>
      <c r="G903" s="6" t="s">
        <v>72</v>
      </c>
      <c r="H903" s="6" t="s">
        <v>103</v>
      </c>
      <c r="I903" s="6" t="s">
        <v>74</v>
      </c>
      <c r="J903" s="6" t="s">
        <v>9626</v>
      </c>
      <c r="K903" s="6" t="s">
        <v>3292</v>
      </c>
      <c r="L903" s="6" t="s">
        <v>76</v>
      </c>
      <c r="M903" s="6" t="s">
        <v>3173</v>
      </c>
      <c r="N903" s="6" t="s">
        <v>3142</v>
      </c>
      <c r="O903" s="6" t="s">
        <v>75</v>
      </c>
      <c r="P903" s="6" t="s">
        <v>9627</v>
      </c>
      <c r="Q903" s="6" t="s">
        <v>9628</v>
      </c>
      <c r="R903" s="6" t="s">
        <v>9629</v>
      </c>
      <c r="S903" s="6" t="s">
        <v>23</v>
      </c>
      <c r="T903" s="6"/>
      <c r="U903" s="6" t="s">
        <v>3292</v>
      </c>
      <c r="V903" s="6" t="s">
        <v>9630</v>
      </c>
      <c r="W903" s="6" t="s">
        <v>3468</v>
      </c>
      <c r="X903" s="6" t="s">
        <v>77</v>
      </c>
      <c r="Y903" s="6" t="s">
        <v>3140</v>
      </c>
      <c r="Z903" s="6" t="s">
        <v>78</v>
      </c>
      <c r="AA903" s="6" t="s">
        <v>4494</v>
      </c>
      <c r="AB903" s="6"/>
      <c r="AC903" s="6" t="s">
        <v>3159</v>
      </c>
      <c r="AD903" s="6" t="s">
        <v>3160</v>
      </c>
      <c r="AE903" s="6" t="s">
        <v>3428</v>
      </c>
      <c r="AF903" s="6" t="s">
        <v>9631</v>
      </c>
      <c r="AG903" s="6" t="s">
        <v>9632</v>
      </c>
      <c r="AH903" s="6" t="s">
        <v>79</v>
      </c>
    </row>
    <row r="904" spans="1:34" x14ac:dyDescent="0.25">
      <c r="A904" s="6" t="s">
        <v>2848</v>
      </c>
      <c r="B904" s="6" t="s">
        <v>2849</v>
      </c>
      <c r="C904" s="6" t="s">
        <v>2850</v>
      </c>
      <c r="D904" s="6" t="s">
        <v>2851</v>
      </c>
      <c r="E904" s="6" t="s">
        <v>3570</v>
      </c>
      <c r="F904" s="6" t="s">
        <v>3358</v>
      </c>
      <c r="G904" s="6" t="s">
        <v>115</v>
      </c>
      <c r="H904" s="6" t="s">
        <v>84</v>
      </c>
      <c r="I904" s="6" t="s">
        <v>74</v>
      </c>
      <c r="J904" s="6" t="s">
        <v>9633</v>
      </c>
      <c r="K904" s="6" t="s">
        <v>3159</v>
      </c>
      <c r="L904" s="6" t="s">
        <v>75</v>
      </c>
      <c r="M904" s="6" t="s">
        <v>3243</v>
      </c>
      <c r="N904" s="6" t="s">
        <v>3142</v>
      </c>
      <c r="O904" s="6" t="s">
        <v>3243</v>
      </c>
      <c r="P904" s="6" t="s">
        <v>9634</v>
      </c>
      <c r="Q904" s="6" t="s">
        <v>9635</v>
      </c>
      <c r="R904" s="6" t="s">
        <v>9636</v>
      </c>
      <c r="S904" s="6" t="s">
        <v>20</v>
      </c>
      <c r="T904" s="6" t="s">
        <v>9637</v>
      </c>
      <c r="U904" s="6" t="s">
        <v>3141</v>
      </c>
      <c r="V904" s="6" t="s">
        <v>9638</v>
      </c>
      <c r="W904" s="6" t="s">
        <v>4161</v>
      </c>
      <c r="X904" s="6" t="s">
        <v>77</v>
      </c>
      <c r="Y904" s="6" t="s">
        <v>3141</v>
      </c>
      <c r="Z904" s="6" t="s">
        <v>78</v>
      </c>
      <c r="AA904" s="6" t="s">
        <v>3233</v>
      </c>
      <c r="AB904" s="6"/>
      <c r="AC904" s="6" t="s">
        <v>3159</v>
      </c>
      <c r="AD904" s="6" t="s">
        <v>3160</v>
      </c>
      <c r="AE904" s="6" t="s">
        <v>3293</v>
      </c>
      <c r="AF904" s="6"/>
      <c r="AG904" s="6" t="s">
        <v>9639</v>
      </c>
      <c r="AH904" s="6" t="s">
        <v>79</v>
      </c>
    </row>
    <row r="905" spans="1:34" x14ac:dyDescent="0.25">
      <c r="A905" s="6" t="s">
        <v>2852</v>
      </c>
      <c r="B905" s="6" t="s">
        <v>2853</v>
      </c>
      <c r="C905" s="6" t="s">
        <v>2854</v>
      </c>
      <c r="D905" s="6" t="s">
        <v>2855</v>
      </c>
      <c r="E905" s="6" t="s">
        <v>3483</v>
      </c>
      <c r="F905" s="6" t="s">
        <v>3201</v>
      </c>
      <c r="G905" s="6" t="s">
        <v>120</v>
      </c>
      <c r="H905" s="6" t="s">
        <v>107</v>
      </c>
      <c r="I905" s="6" t="s">
        <v>92</v>
      </c>
      <c r="J905" s="6" t="s">
        <v>9640</v>
      </c>
      <c r="K905" s="6" t="s">
        <v>3159</v>
      </c>
      <c r="L905" s="6" t="s">
        <v>3142</v>
      </c>
      <c r="M905" s="6" t="s">
        <v>3160</v>
      </c>
      <c r="N905" s="6" t="s">
        <v>3143</v>
      </c>
      <c r="O905" s="6" t="s">
        <v>3141</v>
      </c>
      <c r="P905" s="6" t="s">
        <v>9641</v>
      </c>
      <c r="Q905" s="6"/>
      <c r="R905" s="6" t="s">
        <v>9642</v>
      </c>
      <c r="S905" s="6" t="s">
        <v>22</v>
      </c>
      <c r="T905" s="6" t="s">
        <v>9643</v>
      </c>
      <c r="U905" s="6" t="s">
        <v>3141</v>
      </c>
      <c r="V905" s="6" t="s">
        <v>4568</v>
      </c>
      <c r="W905" s="6" t="s">
        <v>3776</v>
      </c>
      <c r="X905" s="6" t="s">
        <v>85</v>
      </c>
      <c r="Y905" s="6" t="s">
        <v>3141</v>
      </c>
      <c r="Z905" s="6" t="s">
        <v>93</v>
      </c>
      <c r="AA905" s="6" t="s">
        <v>7404</v>
      </c>
      <c r="AB905" s="6" t="s">
        <v>9644</v>
      </c>
      <c r="AC905" s="6" t="s">
        <v>3141</v>
      </c>
      <c r="AD905" s="6" t="s">
        <v>3243</v>
      </c>
      <c r="AE905" s="6" t="s">
        <v>3210</v>
      </c>
      <c r="AF905" s="6" t="s">
        <v>9645</v>
      </c>
      <c r="AG905" s="6" t="s">
        <v>9646</v>
      </c>
      <c r="AH905" s="6" t="s">
        <v>79</v>
      </c>
    </row>
    <row r="906" spans="1:34" x14ac:dyDescent="0.25">
      <c r="A906" s="6" t="s">
        <v>2856</v>
      </c>
      <c r="B906" s="6" t="s">
        <v>2857</v>
      </c>
      <c r="C906" s="6"/>
      <c r="D906" s="6" t="s">
        <v>2858</v>
      </c>
      <c r="E906" s="6" t="s">
        <v>3843</v>
      </c>
      <c r="F906" s="6" t="s">
        <v>3214</v>
      </c>
      <c r="G906" s="6" t="s">
        <v>215</v>
      </c>
      <c r="H906" s="6" t="s">
        <v>91</v>
      </c>
      <c r="I906" s="6" t="s">
        <v>92</v>
      </c>
      <c r="J906" s="6"/>
      <c r="K906" s="6" t="s">
        <v>3159</v>
      </c>
      <c r="L906" s="6" t="s">
        <v>76</v>
      </c>
      <c r="M906" s="6" t="s">
        <v>3143</v>
      </c>
      <c r="N906" s="6" t="s">
        <v>75</v>
      </c>
      <c r="O906" s="6" t="s">
        <v>3160</v>
      </c>
      <c r="P906" s="6" t="s">
        <v>5767</v>
      </c>
      <c r="Q906" s="6" t="s">
        <v>9647</v>
      </c>
      <c r="R906" s="6" t="s">
        <v>9648</v>
      </c>
      <c r="S906" s="6" t="s">
        <v>21</v>
      </c>
      <c r="T906" s="6" t="s">
        <v>9649</v>
      </c>
      <c r="U906" s="6" t="s">
        <v>3141</v>
      </c>
      <c r="V906" s="6" t="s">
        <v>4343</v>
      </c>
      <c r="W906" s="6" t="s">
        <v>3847</v>
      </c>
      <c r="X906" s="6" t="s">
        <v>3290</v>
      </c>
      <c r="Y906" s="6" t="s">
        <v>3141</v>
      </c>
      <c r="Z906" s="6" t="s">
        <v>78</v>
      </c>
      <c r="AA906" s="6" t="s">
        <v>3195</v>
      </c>
      <c r="AB906" s="6"/>
      <c r="AC906" s="6" t="s">
        <v>3159</v>
      </c>
      <c r="AD906" s="6" t="s">
        <v>3143</v>
      </c>
      <c r="AE906" s="6" t="s">
        <v>3279</v>
      </c>
      <c r="AF906" s="6"/>
      <c r="AG906" s="6" t="s">
        <v>7349</v>
      </c>
      <c r="AH906" s="6" t="s">
        <v>79</v>
      </c>
    </row>
    <row r="907" spans="1:34" x14ac:dyDescent="0.25">
      <c r="A907" s="6" t="s">
        <v>2859</v>
      </c>
      <c r="B907" s="6" t="s">
        <v>2860</v>
      </c>
      <c r="C907" s="6" t="s">
        <v>9650</v>
      </c>
      <c r="D907" s="6" t="s">
        <v>9651</v>
      </c>
      <c r="E907" s="6" t="s">
        <v>3185</v>
      </c>
      <c r="F907" s="6" t="s">
        <v>3283</v>
      </c>
      <c r="G907" s="6" t="s">
        <v>143</v>
      </c>
      <c r="H907" s="6" t="s">
        <v>144</v>
      </c>
      <c r="I907" s="6" t="s">
        <v>92</v>
      </c>
      <c r="J907" s="6" t="s">
        <v>9652</v>
      </c>
      <c r="K907" s="6" t="s">
        <v>3141</v>
      </c>
      <c r="L907" s="6" t="s">
        <v>3141</v>
      </c>
      <c r="M907" s="6" t="s">
        <v>3160</v>
      </c>
      <c r="N907" s="6" t="s">
        <v>3243</v>
      </c>
      <c r="O907" s="6" t="s">
        <v>3152</v>
      </c>
      <c r="P907" s="6" t="s">
        <v>6512</v>
      </c>
      <c r="Q907" s="6" t="s">
        <v>9653</v>
      </c>
      <c r="R907" s="6" t="s">
        <v>9654</v>
      </c>
      <c r="S907" s="6" t="s">
        <v>3584</v>
      </c>
      <c r="T907" s="6"/>
      <c r="U907" s="6" t="s">
        <v>3141</v>
      </c>
      <c r="V907" s="6" t="s">
        <v>9655</v>
      </c>
      <c r="W907" s="6" t="s">
        <v>4398</v>
      </c>
      <c r="X907" s="6" t="s">
        <v>3290</v>
      </c>
      <c r="Y907" s="6" t="s">
        <v>3159</v>
      </c>
      <c r="Z907" s="6" t="s">
        <v>4344</v>
      </c>
      <c r="AA907" s="6" t="s">
        <v>3416</v>
      </c>
      <c r="AB907" s="6"/>
      <c r="AC907" s="6" t="s">
        <v>3159</v>
      </c>
      <c r="AD907" s="6" t="s">
        <v>76</v>
      </c>
      <c r="AE907" s="6" t="s">
        <v>3235</v>
      </c>
      <c r="AF907" s="6"/>
      <c r="AG907" s="6" t="s">
        <v>9656</v>
      </c>
      <c r="AH907" s="6" t="s">
        <v>79</v>
      </c>
    </row>
    <row r="908" spans="1:34" x14ac:dyDescent="0.25">
      <c r="A908" s="6" t="s">
        <v>2862</v>
      </c>
      <c r="B908" s="6" t="s">
        <v>872</v>
      </c>
      <c r="C908" s="6" t="s">
        <v>2863</v>
      </c>
      <c r="D908" s="6" t="s">
        <v>2864</v>
      </c>
      <c r="E908" s="6" t="s">
        <v>3432</v>
      </c>
      <c r="F908" s="6" t="s">
        <v>3369</v>
      </c>
      <c r="G908" s="6" t="s">
        <v>153</v>
      </c>
      <c r="H908" s="6" t="s">
        <v>84</v>
      </c>
      <c r="I908" s="6" t="s">
        <v>74</v>
      </c>
      <c r="J908" s="6" t="s">
        <v>9657</v>
      </c>
      <c r="K908" s="6" t="s">
        <v>3159</v>
      </c>
      <c r="L908" s="6" t="s">
        <v>3196</v>
      </c>
      <c r="M908" s="6" t="s">
        <v>3141</v>
      </c>
      <c r="N908" s="6" t="s">
        <v>3243</v>
      </c>
      <c r="O908" s="6" t="s">
        <v>3152</v>
      </c>
      <c r="P908" s="6" t="s">
        <v>4455</v>
      </c>
      <c r="Q908" s="6" t="s">
        <v>9658</v>
      </c>
      <c r="R908" s="6" t="s">
        <v>9659</v>
      </c>
      <c r="S908" s="6" t="s">
        <v>21</v>
      </c>
      <c r="T908" s="6" t="s">
        <v>9660</v>
      </c>
      <c r="U908" s="6" t="s">
        <v>3141</v>
      </c>
      <c r="V908" s="6" t="s">
        <v>7369</v>
      </c>
      <c r="W908" s="6" t="s">
        <v>3987</v>
      </c>
      <c r="X908" s="6" t="s">
        <v>85</v>
      </c>
      <c r="Y908" s="6" t="s">
        <v>3292</v>
      </c>
      <c r="Z908" s="6" t="s">
        <v>93</v>
      </c>
      <c r="AA908" s="6" t="s">
        <v>9661</v>
      </c>
      <c r="AB908" s="6"/>
      <c r="AC908" s="6" t="s">
        <v>3159</v>
      </c>
      <c r="AD908" s="6" t="s">
        <v>3143</v>
      </c>
      <c r="AE908" s="6" t="s">
        <v>3279</v>
      </c>
      <c r="AF908" s="6"/>
      <c r="AG908" s="6" t="s">
        <v>7211</v>
      </c>
      <c r="AH908" s="6" t="s">
        <v>79</v>
      </c>
    </row>
    <row r="909" spans="1:34" x14ac:dyDescent="0.25">
      <c r="A909" s="6" t="s">
        <v>2865</v>
      </c>
      <c r="B909" s="6" t="s">
        <v>2866</v>
      </c>
      <c r="C909" s="6" t="s">
        <v>2867</v>
      </c>
      <c r="D909" s="6" t="s">
        <v>2868</v>
      </c>
      <c r="E909" s="6" t="s">
        <v>3157</v>
      </c>
      <c r="F909" s="6" t="s">
        <v>3358</v>
      </c>
      <c r="G909" s="6" t="s">
        <v>174</v>
      </c>
      <c r="H909" s="6" t="s">
        <v>73</v>
      </c>
      <c r="I909" s="6" t="s">
        <v>74</v>
      </c>
      <c r="J909" s="6" t="s">
        <v>3217</v>
      </c>
      <c r="K909" s="6" t="s">
        <v>3159</v>
      </c>
      <c r="L909" s="6" t="s">
        <v>3196</v>
      </c>
      <c r="M909" s="6" t="s">
        <v>3143</v>
      </c>
      <c r="N909" s="6" t="s">
        <v>3243</v>
      </c>
      <c r="O909" s="6" t="s">
        <v>3141</v>
      </c>
      <c r="P909" s="6" t="s">
        <v>3348</v>
      </c>
      <c r="Q909" s="6" t="s">
        <v>9662</v>
      </c>
      <c r="R909" s="6" t="s">
        <v>9663</v>
      </c>
      <c r="S909" s="6" t="s">
        <v>23</v>
      </c>
      <c r="T909" s="6" t="s">
        <v>9664</v>
      </c>
      <c r="U909" s="6" t="s">
        <v>3141</v>
      </c>
      <c r="V909" s="6" t="s">
        <v>3928</v>
      </c>
      <c r="W909" s="6" t="s">
        <v>3894</v>
      </c>
      <c r="X909" s="6" t="s">
        <v>85</v>
      </c>
      <c r="Y909" s="6" t="s">
        <v>3292</v>
      </c>
      <c r="Z909" s="6" t="s">
        <v>78</v>
      </c>
      <c r="AA909" s="6" t="s">
        <v>3316</v>
      </c>
      <c r="AB909" s="6"/>
      <c r="AC909" s="6" t="s">
        <v>3159</v>
      </c>
      <c r="AD909" s="6" t="s">
        <v>3160</v>
      </c>
      <c r="AE909" s="6" t="s">
        <v>3331</v>
      </c>
      <c r="AF909" s="6" t="s">
        <v>9665</v>
      </c>
      <c r="AG909" s="6" t="s">
        <v>8926</v>
      </c>
      <c r="AH909" s="6" t="s">
        <v>79</v>
      </c>
    </row>
    <row r="910" spans="1:34" x14ac:dyDescent="0.25">
      <c r="A910" s="6" t="s">
        <v>2869</v>
      </c>
      <c r="B910" s="6" t="s">
        <v>2327</v>
      </c>
      <c r="C910" s="6" t="s">
        <v>2870</v>
      </c>
      <c r="D910" s="6"/>
      <c r="E910" s="6" t="s">
        <v>3970</v>
      </c>
      <c r="F910" s="6" t="s">
        <v>3214</v>
      </c>
      <c r="G910" s="6" t="s">
        <v>98</v>
      </c>
      <c r="H910" s="6" t="s">
        <v>132</v>
      </c>
      <c r="I910" s="6" t="s">
        <v>92</v>
      </c>
      <c r="J910" s="6"/>
      <c r="K910" s="6" t="s">
        <v>3140</v>
      </c>
      <c r="L910" s="6" t="s">
        <v>3196</v>
      </c>
      <c r="M910" s="6" t="s">
        <v>3160</v>
      </c>
      <c r="N910" s="6" t="s">
        <v>3141</v>
      </c>
      <c r="O910" s="6" t="s">
        <v>3159</v>
      </c>
      <c r="P910" s="6" t="s">
        <v>4697</v>
      </c>
      <c r="Q910" s="6"/>
      <c r="R910" s="6" t="s">
        <v>9666</v>
      </c>
      <c r="S910" s="6" t="s">
        <v>21</v>
      </c>
      <c r="T910" s="6" t="s">
        <v>9667</v>
      </c>
      <c r="U910" s="6" t="s">
        <v>3292</v>
      </c>
      <c r="V910" s="6" t="s">
        <v>9668</v>
      </c>
      <c r="W910" s="6" t="s">
        <v>3928</v>
      </c>
      <c r="X910" s="6" t="s">
        <v>85</v>
      </c>
      <c r="Y910" s="6" t="s">
        <v>3159</v>
      </c>
      <c r="Z910" s="6" t="s">
        <v>78</v>
      </c>
      <c r="AA910" s="6" t="s">
        <v>4563</v>
      </c>
      <c r="AB910" s="6"/>
      <c r="AC910" s="6" t="s">
        <v>3141</v>
      </c>
      <c r="AD910" s="6" t="s">
        <v>3160</v>
      </c>
      <c r="AE910" s="6" t="s">
        <v>3279</v>
      </c>
      <c r="AF910" s="6"/>
      <c r="AG910" s="6" t="s">
        <v>9669</v>
      </c>
      <c r="AH910" s="6" t="s">
        <v>94</v>
      </c>
    </row>
    <row r="911" spans="1:34" x14ac:dyDescent="0.25">
      <c r="A911" s="6" t="s">
        <v>2871</v>
      </c>
      <c r="B911" s="6" t="s">
        <v>2395</v>
      </c>
      <c r="C911" s="6" t="s">
        <v>9670</v>
      </c>
      <c r="D911" s="6" t="s">
        <v>2872</v>
      </c>
      <c r="E911" s="6" t="s">
        <v>4828</v>
      </c>
      <c r="F911" s="6" t="s">
        <v>3227</v>
      </c>
      <c r="G911" s="6" t="s">
        <v>72</v>
      </c>
      <c r="H911" s="6" t="s">
        <v>91</v>
      </c>
      <c r="I911" s="6" t="s">
        <v>92</v>
      </c>
      <c r="J911" s="6"/>
      <c r="K911" s="6" t="s">
        <v>3140</v>
      </c>
      <c r="L911" s="6" t="s">
        <v>3142</v>
      </c>
      <c r="M911" s="6" t="s">
        <v>3152</v>
      </c>
      <c r="N911" s="6" t="s">
        <v>3141</v>
      </c>
      <c r="O911" s="6" t="s">
        <v>3159</v>
      </c>
      <c r="P911" s="6" t="s">
        <v>9447</v>
      </c>
      <c r="Q911" s="6" t="s">
        <v>9671</v>
      </c>
      <c r="R911" s="6" t="s">
        <v>9672</v>
      </c>
      <c r="S911" s="6" t="s">
        <v>22</v>
      </c>
      <c r="T911" s="6"/>
      <c r="U911" s="6" t="s">
        <v>3159</v>
      </c>
      <c r="V911" s="6" t="s">
        <v>7473</v>
      </c>
      <c r="W911" s="6" t="s">
        <v>3289</v>
      </c>
      <c r="X911" s="6" t="s">
        <v>85</v>
      </c>
      <c r="Y911" s="6" t="s">
        <v>3292</v>
      </c>
      <c r="Z911" s="6" t="s">
        <v>78</v>
      </c>
      <c r="AA911" s="6" t="s">
        <v>5249</v>
      </c>
      <c r="AB911" s="6"/>
      <c r="AC911" s="6" t="s">
        <v>3141</v>
      </c>
      <c r="AD911" s="6" t="s">
        <v>3243</v>
      </c>
      <c r="AE911" s="6" t="s">
        <v>3279</v>
      </c>
      <c r="AF911" s="6" t="s">
        <v>9673</v>
      </c>
      <c r="AG911" s="6" t="s">
        <v>9674</v>
      </c>
      <c r="AH911" s="6" t="s">
        <v>94</v>
      </c>
    </row>
    <row r="912" spans="1:34" x14ac:dyDescent="0.25">
      <c r="A912" s="6" t="s">
        <v>2873</v>
      </c>
      <c r="B912" s="6" t="s">
        <v>2874</v>
      </c>
      <c r="C912" s="6" t="s">
        <v>2875</v>
      </c>
      <c r="D912" s="6" t="s">
        <v>2876</v>
      </c>
      <c r="E912" s="6" t="s">
        <v>3843</v>
      </c>
      <c r="F912" s="6" t="s">
        <v>3214</v>
      </c>
      <c r="G912" s="6" t="s">
        <v>98</v>
      </c>
      <c r="H912" s="6" t="s">
        <v>103</v>
      </c>
      <c r="I912" s="6" t="s">
        <v>74</v>
      </c>
      <c r="J912" s="6" t="s">
        <v>9675</v>
      </c>
      <c r="K912" s="6" t="s">
        <v>3159</v>
      </c>
      <c r="L912" s="6" t="s">
        <v>3141</v>
      </c>
      <c r="M912" s="6" t="s">
        <v>3243</v>
      </c>
      <c r="N912" s="6" t="s">
        <v>3160</v>
      </c>
      <c r="O912" s="6" t="s">
        <v>3196</v>
      </c>
      <c r="P912" s="6" t="s">
        <v>3750</v>
      </c>
      <c r="Q912" s="6" t="s">
        <v>9676</v>
      </c>
      <c r="R912" s="6" t="s">
        <v>9677</v>
      </c>
      <c r="S912" s="6" t="s">
        <v>22</v>
      </c>
      <c r="T912" s="6" t="s">
        <v>9678</v>
      </c>
      <c r="U912" s="6" t="s">
        <v>3141</v>
      </c>
      <c r="V912" s="6" t="s">
        <v>9679</v>
      </c>
      <c r="W912" s="6" t="s">
        <v>3364</v>
      </c>
      <c r="X912" s="6" t="s">
        <v>77</v>
      </c>
      <c r="Y912" s="6" t="s">
        <v>3192</v>
      </c>
      <c r="Z912" s="6" t="s">
        <v>93</v>
      </c>
      <c r="AA912" s="6" t="s">
        <v>3195</v>
      </c>
      <c r="AB912" s="6"/>
      <c r="AC912" s="6" t="s">
        <v>3141</v>
      </c>
      <c r="AD912" s="6" t="s">
        <v>3243</v>
      </c>
      <c r="AE912" s="6" t="s">
        <v>3622</v>
      </c>
      <c r="AF912" s="6" t="s">
        <v>9680</v>
      </c>
      <c r="AG912" s="6" t="s">
        <v>9681</v>
      </c>
      <c r="AH912" s="6" t="s">
        <v>79</v>
      </c>
    </row>
    <row r="913" spans="1:34" x14ac:dyDescent="0.25">
      <c r="A913" s="6" t="s">
        <v>2877</v>
      </c>
      <c r="B913" s="6" t="s">
        <v>2878</v>
      </c>
      <c r="C913" s="6" t="s">
        <v>9682</v>
      </c>
      <c r="D913" s="6" t="s">
        <v>9683</v>
      </c>
      <c r="E913" s="6"/>
      <c r="F913" s="6" t="s">
        <v>71</v>
      </c>
      <c r="G913" s="6" t="s">
        <v>120</v>
      </c>
      <c r="H913" s="6" t="s">
        <v>103</v>
      </c>
      <c r="I913" s="6" t="s">
        <v>74</v>
      </c>
      <c r="J913" s="6"/>
      <c r="K913" s="6" t="s">
        <v>3141</v>
      </c>
      <c r="L913" s="6" t="s">
        <v>3160</v>
      </c>
      <c r="M913" s="6" t="s">
        <v>75</v>
      </c>
      <c r="N913" s="6" t="s">
        <v>3160</v>
      </c>
      <c r="O913" s="6" t="s">
        <v>3143</v>
      </c>
      <c r="P913" s="6" t="s">
        <v>7909</v>
      </c>
      <c r="Q913" s="6" t="s">
        <v>9684</v>
      </c>
      <c r="R913" s="6" t="s">
        <v>9685</v>
      </c>
      <c r="S913" s="6" t="s">
        <v>23</v>
      </c>
      <c r="T913" s="6" t="s">
        <v>9686</v>
      </c>
      <c r="U913" s="6" t="s">
        <v>3275</v>
      </c>
      <c r="V913" s="6" t="s">
        <v>3697</v>
      </c>
      <c r="W913" s="6" t="s">
        <v>5032</v>
      </c>
      <c r="X913" s="6" t="s">
        <v>77</v>
      </c>
      <c r="Y913" s="6" t="s">
        <v>3141</v>
      </c>
      <c r="Z913" s="6" t="s">
        <v>93</v>
      </c>
      <c r="AA913" s="6" t="s">
        <v>7766</v>
      </c>
      <c r="AB913" s="6"/>
      <c r="AC913" s="6" t="s">
        <v>3159</v>
      </c>
      <c r="AD913" s="6" t="s">
        <v>3152</v>
      </c>
      <c r="AE913" s="6" t="s">
        <v>3513</v>
      </c>
      <c r="AF913" s="6" t="s">
        <v>9687</v>
      </c>
      <c r="AG913" s="6" t="s">
        <v>9688</v>
      </c>
      <c r="AH913" s="6" t="s">
        <v>79</v>
      </c>
    </row>
    <row r="914" spans="1:34" x14ac:dyDescent="0.25">
      <c r="A914" s="6" t="s">
        <v>2880</v>
      </c>
      <c r="B914" s="6" t="s">
        <v>2881</v>
      </c>
      <c r="C914" s="6" t="s">
        <v>2882</v>
      </c>
      <c r="D914" s="6" t="s">
        <v>2883</v>
      </c>
      <c r="E914" s="6" t="s">
        <v>3136</v>
      </c>
      <c r="F914" s="6" t="s">
        <v>3269</v>
      </c>
      <c r="G914" s="6" t="s">
        <v>98</v>
      </c>
      <c r="H914" s="6" t="s">
        <v>144</v>
      </c>
      <c r="I914" s="6" t="s">
        <v>92</v>
      </c>
      <c r="J914" s="6" t="s">
        <v>9689</v>
      </c>
      <c r="K914" s="6" t="s">
        <v>3140</v>
      </c>
      <c r="L914" s="6" t="s">
        <v>3142</v>
      </c>
      <c r="M914" s="6" t="s">
        <v>3159</v>
      </c>
      <c r="N914" s="6" t="s">
        <v>3152</v>
      </c>
      <c r="O914" s="6" t="s">
        <v>75</v>
      </c>
      <c r="P914" s="6" t="s">
        <v>6168</v>
      </c>
      <c r="Q914" s="6" t="s">
        <v>9690</v>
      </c>
      <c r="R914" s="6" t="s">
        <v>9691</v>
      </c>
      <c r="S914" s="6" t="s">
        <v>22</v>
      </c>
      <c r="T914" s="6" t="s">
        <v>9692</v>
      </c>
      <c r="U914" s="6" t="s">
        <v>3141</v>
      </c>
      <c r="V914" s="6" t="s">
        <v>3853</v>
      </c>
      <c r="W914" s="6" t="s">
        <v>3501</v>
      </c>
      <c r="X914" s="6" t="s">
        <v>4030</v>
      </c>
      <c r="Y914" s="6" t="s">
        <v>3140</v>
      </c>
      <c r="Z914" s="6" t="s">
        <v>78</v>
      </c>
      <c r="AA914" s="6" t="s">
        <v>3415</v>
      </c>
      <c r="AB914" s="6"/>
      <c r="AC914" s="6" t="s">
        <v>3141</v>
      </c>
      <c r="AD914" s="6" t="s">
        <v>3196</v>
      </c>
      <c r="AE914" s="6" t="s">
        <v>3235</v>
      </c>
      <c r="AF914" s="6" t="s">
        <v>9693</v>
      </c>
      <c r="AG914" s="6" t="s">
        <v>9694</v>
      </c>
      <c r="AH914" s="6" t="s">
        <v>79</v>
      </c>
    </row>
    <row r="915" spans="1:34" x14ac:dyDescent="0.25">
      <c r="A915" s="6" t="s">
        <v>2884</v>
      </c>
      <c r="B915" s="6" t="s">
        <v>2885</v>
      </c>
      <c r="C915" s="6" t="s">
        <v>9695</v>
      </c>
      <c r="D915" s="6" t="s">
        <v>2886</v>
      </c>
      <c r="E915" s="6" t="s">
        <v>3282</v>
      </c>
      <c r="F915" s="6" t="s">
        <v>3201</v>
      </c>
      <c r="G915" s="6" t="s">
        <v>174</v>
      </c>
      <c r="H915" s="6" t="s">
        <v>132</v>
      </c>
      <c r="I915" s="6" t="s">
        <v>92</v>
      </c>
      <c r="J915" s="6" t="s">
        <v>9696</v>
      </c>
      <c r="K915" s="6" t="s">
        <v>3159</v>
      </c>
      <c r="L915" s="6" t="s">
        <v>3159</v>
      </c>
      <c r="M915" s="6" t="s">
        <v>3243</v>
      </c>
      <c r="N915" s="6" t="s">
        <v>3152</v>
      </c>
      <c r="O915" s="6" t="s">
        <v>3160</v>
      </c>
      <c r="P915" s="6" t="s">
        <v>3914</v>
      </c>
      <c r="Q915" s="6" t="s">
        <v>9697</v>
      </c>
      <c r="R915" s="6" t="s">
        <v>9698</v>
      </c>
      <c r="S915" s="6" t="s">
        <v>23</v>
      </c>
      <c r="T915" s="6" t="s">
        <v>9699</v>
      </c>
      <c r="U915" s="6" t="s">
        <v>3141</v>
      </c>
      <c r="V915" s="6" t="s">
        <v>9700</v>
      </c>
      <c r="W915" s="6" t="s">
        <v>3994</v>
      </c>
      <c r="X915" s="6" t="s">
        <v>77</v>
      </c>
      <c r="Y915" s="6" t="s">
        <v>3141</v>
      </c>
      <c r="Z915" s="6" t="s">
        <v>93</v>
      </c>
      <c r="AA915" s="6" t="s">
        <v>3149</v>
      </c>
      <c r="AB915" s="6" t="s">
        <v>9701</v>
      </c>
      <c r="AC915" s="6" t="s">
        <v>3292</v>
      </c>
      <c r="AD915" s="6" t="s">
        <v>3152</v>
      </c>
      <c r="AE915" s="6" t="s">
        <v>3513</v>
      </c>
      <c r="AF915" s="6" t="s">
        <v>9702</v>
      </c>
      <c r="AG915" s="6" t="s">
        <v>9703</v>
      </c>
      <c r="AH915" s="6" t="s">
        <v>79</v>
      </c>
    </row>
    <row r="916" spans="1:34" x14ac:dyDescent="0.25">
      <c r="A916" s="6" t="s">
        <v>2887</v>
      </c>
      <c r="B916" s="6" t="s">
        <v>1543</v>
      </c>
      <c r="C916" s="6" t="s">
        <v>9704</v>
      </c>
      <c r="D916" s="6" t="s">
        <v>9705</v>
      </c>
      <c r="E916" s="6" t="s">
        <v>3460</v>
      </c>
      <c r="F916" s="6" t="s">
        <v>3201</v>
      </c>
      <c r="G916" s="6" t="s">
        <v>83</v>
      </c>
      <c r="H916" s="6" t="s">
        <v>166</v>
      </c>
      <c r="I916" s="6" t="s">
        <v>74</v>
      </c>
      <c r="J916" s="6" t="s">
        <v>9706</v>
      </c>
      <c r="K916" s="6" t="s">
        <v>3140</v>
      </c>
      <c r="L916" s="6" t="s">
        <v>3159</v>
      </c>
      <c r="M916" s="6" t="s">
        <v>3173</v>
      </c>
      <c r="N916" s="6" t="s">
        <v>3160</v>
      </c>
      <c r="O916" s="6" t="s">
        <v>3143</v>
      </c>
      <c r="P916" s="6" t="s">
        <v>5696</v>
      </c>
      <c r="Q916" s="6" t="s">
        <v>9707</v>
      </c>
      <c r="R916" s="6" t="s">
        <v>9708</v>
      </c>
      <c r="S916" s="6" t="s">
        <v>23</v>
      </c>
      <c r="T916" s="6"/>
      <c r="U916" s="6" t="s">
        <v>3141</v>
      </c>
      <c r="V916" s="6" t="s">
        <v>9709</v>
      </c>
      <c r="W916" s="6" t="s">
        <v>4014</v>
      </c>
      <c r="X916" s="6" t="s">
        <v>77</v>
      </c>
      <c r="Y916" s="6" t="s">
        <v>3140</v>
      </c>
      <c r="Z916" s="6" t="s">
        <v>93</v>
      </c>
      <c r="AA916" s="6" t="s">
        <v>4161</v>
      </c>
      <c r="AB916" s="6" t="s">
        <v>9710</v>
      </c>
      <c r="AC916" s="6" t="s">
        <v>3141</v>
      </c>
      <c r="AD916" s="6" t="s">
        <v>3160</v>
      </c>
      <c r="AE916" s="6" t="s">
        <v>3331</v>
      </c>
      <c r="AF916" s="6" t="s">
        <v>9711</v>
      </c>
      <c r="AG916" s="6" t="s">
        <v>9712</v>
      </c>
      <c r="AH916" s="6" t="s">
        <v>79</v>
      </c>
    </row>
    <row r="917" spans="1:34" x14ac:dyDescent="0.25">
      <c r="A917" s="6" t="s">
        <v>2889</v>
      </c>
      <c r="B917" s="6" t="s">
        <v>2890</v>
      </c>
      <c r="C917" s="6" t="s">
        <v>9713</v>
      </c>
      <c r="D917" s="6" t="s">
        <v>9714</v>
      </c>
      <c r="E917" s="6" t="s">
        <v>3185</v>
      </c>
      <c r="F917" s="6" t="s">
        <v>71</v>
      </c>
      <c r="G917" s="6" t="s">
        <v>83</v>
      </c>
      <c r="H917" s="6" t="s">
        <v>103</v>
      </c>
      <c r="I917" s="6" t="s">
        <v>74</v>
      </c>
      <c r="J917" s="6" t="s">
        <v>9715</v>
      </c>
      <c r="K917" s="6" t="s">
        <v>3159</v>
      </c>
      <c r="L917" s="6" t="s">
        <v>3188</v>
      </c>
      <c r="M917" s="6" t="s">
        <v>3243</v>
      </c>
      <c r="N917" s="6" t="s">
        <v>3160</v>
      </c>
      <c r="O917" s="6" t="s">
        <v>3141</v>
      </c>
      <c r="P917" s="6" t="s">
        <v>5377</v>
      </c>
      <c r="Q917" s="6" t="s">
        <v>9716</v>
      </c>
      <c r="R917" s="6" t="s">
        <v>9717</v>
      </c>
      <c r="S917" s="6" t="s">
        <v>21</v>
      </c>
      <c r="T917" s="6" t="s">
        <v>9718</v>
      </c>
      <c r="U917" s="6" t="s">
        <v>3159</v>
      </c>
      <c r="V917" s="6" t="s">
        <v>9345</v>
      </c>
      <c r="W917" s="6" t="s">
        <v>4919</v>
      </c>
      <c r="X917" s="6" t="s">
        <v>77</v>
      </c>
      <c r="Y917" s="6" t="s">
        <v>3159</v>
      </c>
      <c r="Z917" s="6" t="s">
        <v>194</v>
      </c>
      <c r="AA917" s="6" t="s">
        <v>3691</v>
      </c>
      <c r="AB917" s="6"/>
      <c r="AC917" s="6" t="s">
        <v>3141</v>
      </c>
      <c r="AD917" s="6" t="s">
        <v>3143</v>
      </c>
      <c r="AE917" s="6" t="s">
        <v>3279</v>
      </c>
      <c r="AF917" s="6"/>
      <c r="AG917" s="6" t="s">
        <v>9719</v>
      </c>
      <c r="AH917" s="6" t="s">
        <v>79</v>
      </c>
    </row>
    <row r="918" spans="1:34" x14ac:dyDescent="0.25">
      <c r="A918" s="6" t="s">
        <v>2892</v>
      </c>
      <c r="B918" s="6" t="s">
        <v>185</v>
      </c>
      <c r="C918" s="6" t="s">
        <v>2893</v>
      </c>
      <c r="D918" s="6" t="s">
        <v>9720</v>
      </c>
      <c r="E918" s="6" t="s">
        <v>3240</v>
      </c>
      <c r="F918" s="6" t="s">
        <v>3137</v>
      </c>
      <c r="G918" s="6" t="s">
        <v>417</v>
      </c>
      <c r="H918" s="6" t="s">
        <v>103</v>
      </c>
      <c r="I918" s="6" t="s">
        <v>74</v>
      </c>
      <c r="J918" s="6" t="s">
        <v>9721</v>
      </c>
      <c r="K918" s="6" t="s">
        <v>3159</v>
      </c>
      <c r="L918" s="6" t="s">
        <v>3173</v>
      </c>
      <c r="M918" s="6" t="s">
        <v>3143</v>
      </c>
      <c r="N918" s="6" t="s">
        <v>75</v>
      </c>
      <c r="O918" s="6" t="s">
        <v>3141</v>
      </c>
      <c r="P918" s="6" t="s">
        <v>4985</v>
      </c>
      <c r="Q918" s="6" t="s">
        <v>9722</v>
      </c>
      <c r="R918" s="6" t="s">
        <v>9723</v>
      </c>
      <c r="S918" s="6" t="s">
        <v>21</v>
      </c>
      <c r="T918" s="6" t="s">
        <v>9724</v>
      </c>
      <c r="U918" s="6" t="s">
        <v>3141</v>
      </c>
      <c r="V918" s="6" t="s">
        <v>6505</v>
      </c>
      <c r="W918" s="6" t="s">
        <v>4014</v>
      </c>
      <c r="X918" s="6" t="s">
        <v>85</v>
      </c>
      <c r="Y918" s="6" t="s">
        <v>3292</v>
      </c>
      <c r="Z918" s="6" t="s">
        <v>78</v>
      </c>
      <c r="AA918" s="6" t="s">
        <v>3291</v>
      </c>
      <c r="AB918" s="6" t="s">
        <v>9725</v>
      </c>
      <c r="AC918" s="6" t="s">
        <v>3292</v>
      </c>
      <c r="AD918" s="6" t="s">
        <v>3143</v>
      </c>
      <c r="AE918" s="6" t="s">
        <v>3279</v>
      </c>
      <c r="AF918" s="6"/>
      <c r="AG918" s="6" t="s">
        <v>3731</v>
      </c>
      <c r="AH918" s="6" t="s">
        <v>79</v>
      </c>
    </row>
    <row r="919" spans="1:34" x14ac:dyDescent="0.25">
      <c r="A919" s="6" t="s">
        <v>2895</v>
      </c>
      <c r="B919" s="6" t="s">
        <v>2194</v>
      </c>
      <c r="C919" s="6" t="s">
        <v>9726</v>
      </c>
      <c r="D919" s="6" t="s">
        <v>2896</v>
      </c>
      <c r="E919" s="6" t="s">
        <v>3626</v>
      </c>
      <c r="F919" s="6" t="s">
        <v>71</v>
      </c>
      <c r="G919" s="6" t="s">
        <v>5825</v>
      </c>
      <c r="H919" s="6" t="s">
        <v>84</v>
      </c>
      <c r="I919" s="6" t="s">
        <v>74</v>
      </c>
      <c r="J919" s="6" t="s">
        <v>9727</v>
      </c>
      <c r="K919" s="6" t="s">
        <v>3159</v>
      </c>
      <c r="L919" s="6" t="s">
        <v>3143</v>
      </c>
      <c r="M919" s="6" t="s">
        <v>3173</v>
      </c>
      <c r="N919" s="6" t="s">
        <v>3152</v>
      </c>
      <c r="O919" s="6" t="s">
        <v>3160</v>
      </c>
      <c r="P919" s="6" t="s">
        <v>5957</v>
      </c>
      <c r="Q919" s="6" t="s">
        <v>9728</v>
      </c>
      <c r="R919" s="6" t="s">
        <v>9729</v>
      </c>
      <c r="S919" s="6" t="s">
        <v>23</v>
      </c>
      <c r="T919" s="6" t="s">
        <v>9730</v>
      </c>
      <c r="U919" s="6" t="s">
        <v>3159</v>
      </c>
      <c r="V919" s="6" t="s">
        <v>6610</v>
      </c>
      <c r="W919" s="6" t="s">
        <v>3767</v>
      </c>
      <c r="X919" s="6" t="s">
        <v>77</v>
      </c>
      <c r="Y919" s="6" t="s">
        <v>3159</v>
      </c>
      <c r="Z919" s="6" t="s">
        <v>93</v>
      </c>
      <c r="AA919" s="6" t="s">
        <v>4896</v>
      </c>
      <c r="AB919" s="6"/>
      <c r="AC919" s="6" t="s">
        <v>3140</v>
      </c>
      <c r="AD919" s="6" t="s">
        <v>3143</v>
      </c>
      <c r="AE919" s="6" t="s">
        <v>3318</v>
      </c>
      <c r="AF919" s="6" t="s">
        <v>9731</v>
      </c>
      <c r="AG919" s="6" t="s">
        <v>9732</v>
      </c>
      <c r="AH919" s="6" t="s">
        <v>79</v>
      </c>
    </row>
    <row r="920" spans="1:34" x14ac:dyDescent="0.25">
      <c r="A920" s="6" t="s">
        <v>2897</v>
      </c>
      <c r="B920" s="6" t="s">
        <v>2898</v>
      </c>
      <c r="C920" s="6" t="s">
        <v>9733</v>
      </c>
      <c r="D920" s="6" t="s">
        <v>2899</v>
      </c>
      <c r="E920" s="6" t="s">
        <v>3970</v>
      </c>
      <c r="F920" s="6" t="s">
        <v>89</v>
      </c>
      <c r="G920" s="6" t="s">
        <v>115</v>
      </c>
      <c r="H920" s="6" t="s">
        <v>99</v>
      </c>
      <c r="I920" s="6" t="s">
        <v>74</v>
      </c>
      <c r="J920" s="6" t="s">
        <v>9734</v>
      </c>
      <c r="K920" s="6" t="s">
        <v>3159</v>
      </c>
      <c r="L920" s="6" t="s">
        <v>3160</v>
      </c>
      <c r="M920" s="6" t="s">
        <v>75</v>
      </c>
      <c r="N920" s="6" t="s">
        <v>3141</v>
      </c>
      <c r="O920" s="6" t="s">
        <v>76</v>
      </c>
      <c r="P920" s="6" t="s">
        <v>6940</v>
      </c>
      <c r="Q920" s="6" t="s">
        <v>9735</v>
      </c>
      <c r="R920" s="6" t="s">
        <v>9736</v>
      </c>
      <c r="S920" s="6" t="s">
        <v>23</v>
      </c>
      <c r="T920" s="6" t="s">
        <v>9737</v>
      </c>
      <c r="U920" s="6" t="s">
        <v>3159</v>
      </c>
      <c r="V920" s="6" t="s">
        <v>4676</v>
      </c>
      <c r="W920" s="6" t="s">
        <v>5137</v>
      </c>
      <c r="X920" s="6" t="s">
        <v>85</v>
      </c>
      <c r="Y920" s="6" t="s">
        <v>3140</v>
      </c>
      <c r="Z920" s="6" t="s">
        <v>194</v>
      </c>
      <c r="AA920" s="6" t="s">
        <v>3603</v>
      </c>
      <c r="AB920" s="6" t="s">
        <v>9738</v>
      </c>
      <c r="AC920" s="6" t="s">
        <v>3141</v>
      </c>
      <c r="AD920" s="6" t="s">
        <v>3160</v>
      </c>
      <c r="AE920" s="6" t="s">
        <v>3331</v>
      </c>
      <c r="AF920" s="6" t="s">
        <v>9739</v>
      </c>
      <c r="AG920" s="6" t="s">
        <v>9740</v>
      </c>
      <c r="AH920" s="6" t="s">
        <v>79</v>
      </c>
    </row>
    <row r="921" spans="1:34" x14ac:dyDescent="0.25">
      <c r="A921" s="6" t="s">
        <v>2900</v>
      </c>
      <c r="B921" s="6" t="s">
        <v>2510</v>
      </c>
      <c r="C921" s="6" t="s">
        <v>9741</v>
      </c>
      <c r="D921" s="6" t="s">
        <v>2901</v>
      </c>
      <c r="E921" s="6" t="s">
        <v>3420</v>
      </c>
      <c r="F921" s="6" t="s">
        <v>3283</v>
      </c>
      <c r="G921" s="6" t="s">
        <v>9742</v>
      </c>
      <c r="H921" s="6" t="s">
        <v>103</v>
      </c>
      <c r="I921" s="6" t="s">
        <v>74</v>
      </c>
      <c r="J921" s="6" t="s">
        <v>9743</v>
      </c>
      <c r="K921" s="6" t="s">
        <v>3140</v>
      </c>
      <c r="L921" s="6" t="s">
        <v>3173</v>
      </c>
      <c r="M921" s="6" t="s">
        <v>76</v>
      </c>
      <c r="N921" s="6" t="s">
        <v>3152</v>
      </c>
      <c r="O921" s="6" t="s">
        <v>3143</v>
      </c>
      <c r="P921" s="6" t="s">
        <v>8827</v>
      </c>
      <c r="Q921" s="6"/>
      <c r="R921" s="6" t="s">
        <v>9744</v>
      </c>
      <c r="S921" s="6" t="s">
        <v>22</v>
      </c>
      <c r="T921" s="6" t="s">
        <v>9745</v>
      </c>
      <c r="U921" s="6" t="s">
        <v>3141</v>
      </c>
      <c r="V921" s="6" t="s">
        <v>9746</v>
      </c>
      <c r="W921" s="6" t="s">
        <v>3477</v>
      </c>
      <c r="X921" s="6" t="s">
        <v>85</v>
      </c>
      <c r="Y921" s="6" t="s">
        <v>3140</v>
      </c>
      <c r="Z921" s="6" t="s">
        <v>93</v>
      </c>
      <c r="AA921" s="6" t="s">
        <v>7693</v>
      </c>
      <c r="AB921" s="6"/>
      <c r="AC921" s="6" t="s">
        <v>3141</v>
      </c>
      <c r="AD921" s="6" t="s">
        <v>75</v>
      </c>
      <c r="AE921" s="6" t="s">
        <v>3136</v>
      </c>
      <c r="AF921" s="6" t="s">
        <v>9747</v>
      </c>
      <c r="AG921" s="6" t="s">
        <v>9748</v>
      </c>
      <c r="AH921" s="6" t="s">
        <v>79</v>
      </c>
    </row>
    <row r="922" spans="1:34" x14ac:dyDescent="0.25">
      <c r="A922" s="6" t="s">
        <v>2902</v>
      </c>
      <c r="B922" s="6" t="s">
        <v>1661</v>
      </c>
      <c r="C922" s="6" t="s">
        <v>9749</v>
      </c>
      <c r="D922" s="6"/>
      <c r="E922" s="6" t="s">
        <v>3240</v>
      </c>
      <c r="F922" s="6" t="s">
        <v>3358</v>
      </c>
      <c r="G922" s="6" t="s">
        <v>83</v>
      </c>
      <c r="H922" s="6" t="s">
        <v>91</v>
      </c>
      <c r="I922" s="6" t="s">
        <v>92</v>
      </c>
      <c r="J922" s="6" t="s">
        <v>9750</v>
      </c>
      <c r="K922" s="6" t="s">
        <v>3141</v>
      </c>
      <c r="L922" s="6" t="s">
        <v>3160</v>
      </c>
      <c r="M922" s="6" t="s">
        <v>3141</v>
      </c>
      <c r="N922" s="6" t="s">
        <v>3152</v>
      </c>
      <c r="O922" s="6" t="s">
        <v>3160</v>
      </c>
      <c r="P922" s="6"/>
      <c r="Q922" s="6"/>
      <c r="R922" s="6" t="s">
        <v>9751</v>
      </c>
      <c r="S922" s="6" t="s">
        <v>3859</v>
      </c>
      <c r="T922" s="6" t="s">
        <v>9752</v>
      </c>
      <c r="U922" s="6" t="s">
        <v>3192</v>
      </c>
      <c r="V922" s="6" t="s">
        <v>3342</v>
      </c>
      <c r="W922" s="6" t="s">
        <v>3490</v>
      </c>
      <c r="X922" s="6" t="s">
        <v>85</v>
      </c>
      <c r="Y922" s="6" t="s">
        <v>3292</v>
      </c>
      <c r="Z922" s="6" t="s">
        <v>93</v>
      </c>
      <c r="AA922" s="6" t="s">
        <v>4441</v>
      </c>
      <c r="AB922" s="6"/>
      <c r="AC922" s="6" t="s">
        <v>3141</v>
      </c>
      <c r="AD922" s="6" t="s">
        <v>3152</v>
      </c>
      <c r="AE922" s="6" t="s">
        <v>3622</v>
      </c>
      <c r="AF922" s="6" t="s">
        <v>9753</v>
      </c>
      <c r="AG922" s="6" t="s">
        <v>9754</v>
      </c>
      <c r="AH922" s="6" t="s">
        <v>79</v>
      </c>
    </row>
    <row r="923" spans="1:34" x14ac:dyDescent="0.25">
      <c r="A923" s="6" t="s">
        <v>2903</v>
      </c>
      <c r="B923" s="6" t="s">
        <v>2649</v>
      </c>
      <c r="C923" s="6" t="s">
        <v>9755</v>
      </c>
      <c r="D923" s="6" t="s">
        <v>2904</v>
      </c>
      <c r="E923" s="6" t="s">
        <v>3279</v>
      </c>
      <c r="F923" s="6" t="s">
        <v>3214</v>
      </c>
      <c r="G923" s="6" t="s">
        <v>417</v>
      </c>
      <c r="H923" s="6" t="s">
        <v>4620</v>
      </c>
      <c r="I923" s="6" t="s">
        <v>74</v>
      </c>
      <c r="J923" s="6" t="s">
        <v>9756</v>
      </c>
      <c r="K923" s="6" t="s">
        <v>3141</v>
      </c>
      <c r="L923" s="6" t="s">
        <v>3243</v>
      </c>
      <c r="M923" s="6" t="s">
        <v>75</v>
      </c>
      <c r="N923" s="6" t="s">
        <v>3143</v>
      </c>
      <c r="O923" s="6" t="s">
        <v>3243</v>
      </c>
      <c r="P923" s="6" t="s">
        <v>5326</v>
      </c>
      <c r="Q923" s="6" t="s">
        <v>9757</v>
      </c>
      <c r="R923" s="6" t="s">
        <v>9758</v>
      </c>
      <c r="S923" s="6" t="s">
        <v>22</v>
      </c>
      <c r="T923" s="6" t="s">
        <v>3217</v>
      </c>
      <c r="U923" s="6" t="s">
        <v>3141</v>
      </c>
      <c r="V923" s="6" t="s">
        <v>9759</v>
      </c>
      <c r="W923" s="6" t="s">
        <v>5038</v>
      </c>
      <c r="X923" s="6" t="s">
        <v>85</v>
      </c>
      <c r="Y923" s="6" t="s">
        <v>3140</v>
      </c>
      <c r="Z923" s="6" t="s">
        <v>78</v>
      </c>
      <c r="AA923" s="6" t="s">
        <v>7404</v>
      </c>
      <c r="AB923" s="6"/>
      <c r="AC923" s="6" t="s">
        <v>3159</v>
      </c>
      <c r="AD923" s="6" t="s">
        <v>3160</v>
      </c>
      <c r="AE923" s="6" t="s">
        <v>3622</v>
      </c>
      <c r="AF923" s="6" t="s">
        <v>9760</v>
      </c>
      <c r="AG923" s="6" t="s">
        <v>9091</v>
      </c>
      <c r="AH923" s="6" t="s">
        <v>79</v>
      </c>
    </row>
    <row r="924" spans="1:34" x14ac:dyDescent="0.25">
      <c r="A924" s="6"/>
      <c r="B924" s="6" t="s">
        <v>1674</v>
      </c>
      <c r="C924" s="6" t="s">
        <v>9761</v>
      </c>
      <c r="D924" s="6" t="s">
        <v>2906</v>
      </c>
      <c r="E924" s="6" t="s">
        <v>3213</v>
      </c>
      <c r="F924" s="6" t="s">
        <v>3358</v>
      </c>
      <c r="G924" s="6" t="s">
        <v>153</v>
      </c>
      <c r="H924" s="6" t="s">
        <v>166</v>
      </c>
      <c r="I924" s="6" t="s">
        <v>74</v>
      </c>
      <c r="J924" s="6" t="s">
        <v>9762</v>
      </c>
      <c r="K924" s="6" t="s">
        <v>3140</v>
      </c>
      <c r="L924" s="6" t="s">
        <v>3173</v>
      </c>
      <c r="M924" s="6" t="s">
        <v>3173</v>
      </c>
      <c r="N924" s="6" t="s">
        <v>3243</v>
      </c>
      <c r="O924" s="6" t="s">
        <v>3160</v>
      </c>
      <c r="P924" s="6" t="s">
        <v>4985</v>
      </c>
      <c r="Q924" s="6" t="s">
        <v>9763</v>
      </c>
      <c r="R924" s="6" t="s">
        <v>9764</v>
      </c>
      <c r="S924" s="6" t="s">
        <v>22</v>
      </c>
      <c r="T924" s="6"/>
      <c r="U924" s="6" t="s">
        <v>3159</v>
      </c>
      <c r="V924" s="6" t="s">
        <v>9394</v>
      </c>
      <c r="W924" s="6" t="s">
        <v>4135</v>
      </c>
      <c r="X924" s="6" t="s">
        <v>85</v>
      </c>
      <c r="Y924" s="6" t="s">
        <v>3141</v>
      </c>
      <c r="Z924" s="6" t="s">
        <v>93</v>
      </c>
      <c r="AA924" s="6" t="s">
        <v>3894</v>
      </c>
      <c r="AB924" s="6"/>
      <c r="AC924" s="6" t="s">
        <v>3141</v>
      </c>
      <c r="AD924" s="6" t="s">
        <v>76</v>
      </c>
      <c r="AE924" s="6" t="s">
        <v>3136</v>
      </c>
      <c r="AF924" s="6" t="s">
        <v>9765</v>
      </c>
      <c r="AG924" s="6" t="s">
        <v>9766</v>
      </c>
      <c r="AH924" s="6" t="s">
        <v>79</v>
      </c>
    </row>
    <row r="925" spans="1:34" x14ac:dyDescent="0.25">
      <c r="A925" s="6" t="s">
        <v>2907</v>
      </c>
      <c r="B925" s="6" t="s">
        <v>2908</v>
      </c>
      <c r="C925" s="6" t="s">
        <v>9767</v>
      </c>
      <c r="D925" s="6" t="s">
        <v>2909</v>
      </c>
      <c r="E925" s="6" t="s">
        <v>3170</v>
      </c>
      <c r="F925" s="6" t="s">
        <v>89</v>
      </c>
      <c r="G925" s="6" t="s">
        <v>143</v>
      </c>
      <c r="H925" s="6" t="s">
        <v>73</v>
      </c>
      <c r="I925" s="6" t="s">
        <v>74</v>
      </c>
      <c r="J925" s="6"/>
      <c r="K925" s="6" t="s">
        <v>3140</v>
      </c>
      <c r="L925" s="6" t="s">
        <v>3173</v>
      </c>
      <c r="M925" s="6" t="s">
        <v>3143</v>
      </c>
      <c r="N925" s="6" t="s">
        <v>3143</v>
      </c>
      <c r="O925" s="6" t="s">
        <v>3142</v>
      </c>
      <c r="P925" s="6" t="s">
        <v>9536</v>
      </c>
      <c r="Q925" s="6"/>
      <c r="R925" s="6" t="s">
        <v>9768</v>
      </c>
      <c r="S925" s="6" t="s">
        <v>23</v>
      </c>
      <c r="T925" s="6"/>
      <c r="U925" s="6" t="s">
        <v>3141</v>
      </c>
      <c r="V925" s="6" t="s">
        <v>9769</v>
      </c>
      <c r="W925" s="6" t="s">
        <v>3550</v>
      </c>
      <c r="X925" s="6" t="s">
        <v>77</v>
      </c>
      <c r="Y925" s="6" t="s">
        <v>3159</v>
      </c>
      <c r="Z925" s="6" t="s">
        <v>78</v>
      </c>
      <c r="AA925" s="6" t="s">
        <v>3194</v>
      </c>
      <c r="AB925" s="6" t="s">
        <v>9770</v>
      </c>
      <c r="AC925" s="6" t="s">
        <v>3141</v>
      </c>
      <c r="AD925" s="6" t="s">
        <v>75</v>
      </c>
      <c r="AE925" s="6" t="s">
        <v>3153</v>
      </c>
      <c r="AF925" s="6" t="s">
        <v>9771</v>
      </c>
      <c r="AG925" s="6" t="s">
        <v>7016</v>
      </c>
      <c r="AH925" s="6" t="s">
        <v>79</v>
      </c>
    </row>
    <row r="926" spans="1:34" x14ac:dyDescent="0.25">
      <c r="A926" s="6" t="s">
        <v>2910</v>
      </c>
      <c r="B926" s="6" t="s">
        <v>2911</v>
      </c>
      <c r="C926" s="6" t="s">
        <v>2912</v>
      </c>
      <c r="D926" s="6" t="s">
        <v>2913</v>
      </c>
      <c r="E926" s="6"/>
      <c r="F926" s="6" t="s">
        <v>3137</v>
      </c>
      <c r="G926" s="6" t="s">
        <v>72</v>
      </c>
      <c r="H926" s="6" t="s">
        <v>84</v>
      </c>
      <c r="I926" s="6" t="s">
        <v>74</v>
      </c>
      <c r="J926" s="6"/>
      <c r="K926" s="6" t="s">
        <v>3292</v>
      </c>
      <c r="L926" s="6" t="s">
        <v>3159</v>
      </c>
      <c r="M926" s="6" t="s">
        <v>3188</v>
      </c>
      <c r="N926" s="6" t="s">
        <v>3243</v>
      </c>
      <c r="O926" s="6" t="s">
        <v>3159</v>
      </c>
      <c r="P926" s="6" t="s">
        <v>4302</v>
      </c>
      <c r="Q926" s="6" t="s">
        <v>9772</v>
      </c>
      <c r="R926" s="6" t="s">
        <v>9773</v>
      </c>
      <c r="S926" s="6" t="s">
        <v>22</v>
      </c>
      <c r="T926" s="6" t="s">
        <v>9774</v>
      </c>
      <c r="U926" s="6" t="s">
        <v>3159</v>
      </c>
      <c r="V926" s="6" t="s">
        <v>7311</v>
      </c>
      <c r="W926" s="6" t="s">
        <v>3884</v>
      </c>
      <c r="X926" s="6" t="s">
        <v>77</v>
      </c>
      <c r="Y926" s="6" t="s">
        <v>3141</v>
      </c>
      <c r="Z926" s="6" t="s">
        <v>78</v>
      </c>
      <c r="AA926" s="6" t="s">
        <v>3691</v>
      </c>
      <c r="AB926" s="6"/>
      <c r="AC926" s="6" t="s">
        <v>3292</v>
      </c>
      <c r="AD926" s="6" t="s">
        <v>3143</v>
      </c>
      <c r="AE926" s="6" t="s">
        <v>3235</v>
      </c>
      <c r="AF926" s="6" t="s">
        <v>9775</v>
      </c>
      <c r="AG926" s="6" t="s">
        <v>9776</v>
      </c>
      <c r="AH926" s="6" t="s">
        <v>79</v>
      </c>
    </row>
    <row r="927" spans="1:34" x14ac:dyDescent="0.25">
      <c r="A927" s="6" t="s">
        <v>2914</v>
      </c>
      <c r="B927" s="6" t="s">
        <v>2915</v>
      </c>
      <c r="C927" s="6" t="s">
        <v>2916</v>
      </c>
      <c r="D927" s="6" t="s">
        <v>2917</v>
      </c>
      <c r="E927" s="6" t="s">
        <v>3323</v>
      </c>
      <c r="F927" s="6" t="s">
        <v>3283</v>
      </c>
      <c r="G927" s="6" t="s">
        <v>139</v>
      </c>
      <c r="H927" s="6" t="s">
        <v>103</v>
      </c>
      <c r="I927" s="6" t="s">
        <v>74</v>
      </c>
      <c r="J927" s="6" t="s">
        <v>9777</v>
      </c>
      <c r="K927" s="6" t="s">
        <v>3159</v>
      </c>
      <c r="L927" s="6" t="s">
        <v>3160</v>
      </c>
      <c r="M927" s="6" t="s">
        <v>3243</v>
      </c>
      <c r="N927" s="6" t="s">
        <v>3152</v>
      </c>
      <c r="O927" s="6" t="s">
        <v>3196</v>
      </c>
      <c r="P927" s="6" t="s">
        <v>9006</v>
      </c>
      <c r="Q927" s="6" t="s">
        <v>9778</v>
      </c>
      <c r="R927" s="6" t="s">
        <v>9779</v>
      </c>
      <c r="S927" s="6" t="s">
        <v>21</v>
      </c>
      <c r="T927" s="6" t="s">
        <v>9780</v>
      </c>
      <c r="U927" s="6" t="s">
        <v>3159</v>
      </c>
      <c r="V927" s="6" t="s">
        <v>4669</v>
      </c>
      <c r="W927" s="6" t="s">
        <v>3405</v>
      </c>
      <c r="X927" s="6" t="s">
        <v>85</v>
      </c>
      <c r="Y927" s="6" t="s">
        <v>3292</v>
      </c>
      <c r="Z927" s="6" t="s">
        <v>3329</v>
      </c>
      <c r="AA927" s="6" t="s">
        <v>8419</v>
      </c>
      <c r="AB927" s="6" t="s">
        <v>9781</v>
      </c>
      <c r="AC927" s="6" t="s">
        <v>3159</v>
      </c>
      <c r="AD927" s="6" t="s">
        <v>3141</v>
      </c>
      <c r="AE927" s="6" t="s">
        <v>3136</v>
      </c>
      <c r="AF927" s="6"/>
      <c r="AG927" s="6" t="s">
        <v>9782</v>
      </c>
      <c r="AH927" s="6" t="s">
        <v>3494</v>
      </c>
    </row>
    <row r="928" spans="1:34" x14ac:dyDescent="0.25">
      <c r="A928" s="6" t="s">
        <v>2918</v>
      </c>
      <c r="B928" s="6" t="s">
        <v>2919</v>
      </c>
      <c r="C928" s="6" t="s">
        <v>9783</v>
      </c>
      <c r="D928" s="6" t="s">
        <v>2920</v>
      </c>
      <c r="E928" s="6" t="s">
        <v>3279</v>
      </c>
      <c r="F928" s="6" t="s">
        <v>3283</v>
      </c>
      <c r="G928" s="6" t="s">
        <v>226</v>
      </c>
      <c r="H928" s="6" t="s">
        <v>166</v>
      </c>
      <c r="I928" s="6" t="s">
        <v>74</v>
      </c>
      <c r="J928" s="6" t="s">
        <v>9784</v>
      </c>
      <c r="K928" s="6" t="s">
        <v>3159</v>
      </c>
      <c r="L928" s="6" t="s">
        <v>76</v>
      </c>
      <c r="M928" s="6" t="s">
        <v>3152</v>
      </c>
      <c r="N928" s="6" t="s">
        <v>3152</v>
      </c>
      <c r="O928" s="6" t="s">
        <v>3243</v>
      </c>
      <c r="P928" s="6" t="s">
        <v>7205</v>
      </c>
      <c r="Q928" s="6" t="s">
        <v>9785</v>
      </c>
      <c r="R928" s="6" t="s">
        <v>9786</v>
      </c>
      <c r="S928" s="6" t="s">
        <v>23</v>
      </c>
      <c r="T928" s="6"/>
      <c r="U928" s="6" t="s">
        <v>3192</v>
      </c>
      <c r="V928" s="6" t="s">
        <v>9787</v>
      </c>
      <c r="W928" s="6" t="s">
        <v>3621</v>
      </c>
      <c r="X928" s="6" t="s">
        <v>77</v>
      </c>
      <c r="Y928" s="6" t="s">
        <v>3159</v>
      </c>
      <c r="Z928" s="6" t="s">
        <v>3614</v>
      </c>
      <c r="AA928" s="6" t="s">
        <v>3811</v>
      </c>
      <c r="AB928" s="6"/>
      <c r="AC928" s="6" t="s">
        <v>3159</v>
      </c>
      <c r="AD928" s="6" t="s">
        <v>3243</v>
      </c>
      <c r="AE928" s="6" t="s">
        <v>3513</v>
      </c>
      <c r="AF928" s="6" t="s">
        <v>9788</v>
      </c>
      <c r="AG928" s="6" t="s">
        <v>9789</v>
      </c>
      <c r="AH928" s="6" t="s">
        <v>3334</v>
      </c>
    </row>
    <row r="929" spans="1:34" x14ac:dyDescent="0.25">
      <c r="A929" s="6" t="s">
        <v>2921</v>
      </c>
      <c r="B929" s="6" t="s">
        <v>124</v>
      </c>
      <c r="C929" s="6" t="s">
        <v>2922</v>
      </c>
      <c r="D929" s="6" t="s">
        <v>9790</v>
      </c>
      <c r="E929" s="6" t="s">
        <v>3357</v>
      </c>
      <c r="F929" s="6" t="s">
        <v>3201</v>
      </c>
      <c r="G929" s="6" t="s">
        <v>314</v>
      </c>
      <c r="H929" s="6" t="s">
        <v>144</v>
      </c>
      <c r="I929" s="6" t="s">
        <v>92</v>
      </c>
      <c r="J929" s="6" t="s">
        <v>9791</v>
      </c>
      <c r="K929" s="6" t="s">
        <v>3159</v>
      </c>
      <c r="L929" s="6" t="s">
        <v>3243</v>
      </c>
      <c r="M929" s="6" t="s">
        <v>3152</v>
      </c>
      <c r="N929" s="6" t="s">
        <v>3159</v>
      </c>
      <c r="O929" s="6" t="s">
        <v>75</v>
      </c>
      <c r="P929" s="6" t="s">
        <v>9792</v>
      </c>
      <c r="Q929" s="6" t="s">
        <v>9793</v>
      </c>
      <c r="R929" s="6" t="s">
        <v>9794</v>
      </c>
      <c r="S929" s="6" t="s">
        <v>3412</v>
      </c>
      <c r="T929" s="6" t="s">
        <v>9795</v>
      </c>
      <c r="U929" s="6" t="s">
        <v>3159</v>
      </c>
      <c r="V929" s="6" t="s">
        <v>7685</v>
      </c>
      <c r="W929" s="6" t="s">
        <v>3181</v>
      </c>
      <c r="X929" s="6" t="s">
        <v>77</v>
      </c>
      <c r="Y929" s="6" t="s">
        <v>3140</v>
      </c>
      <c r="Z929" s="6" t="s">
        <v>78</v>
      </c>
      <c r="AA929" s="6" t="s">
        <v>4194</v>
      </c>
      <c r="AB929" s="6"/>
      <c r="AC929" s="6" t="s">
        <v>3141</v>
      </c>
      <c r="AD929" s="6" t="s">
        <v>3243</v>
      </c>
      <c r="AE929" s="6" t="s">
        <v>3136</v>
      </c>
      <c r="AF929" s="6"/>
      <c r="AG929" s="6" t="s">
        <v>9796</v>
      </c>
      <c r="AH929" s="6" t="s">
        <v>79</v>
      </c>
    </row>
    <row r="930" spans="1:34" x14ac:dyDescent="0.25">
      <c r="A930" s="6" t="s">
        <v>2924</v>
      </c>
      <c r="B930" s="6" t="s">
        <v>785</v>
      </c>
      <c r="C930" s="6"/>
      <c r="D930" s="6" t="s">
        <v>2925</v>
      </c>
      <c r="E930" s="6" t="s">
        <v>4687</v>
      </c>
      <c r="F930" s="6" t="s">
        <v>3283</v>
      </c>
      <c r="G930" s="6" t="s">
        <v>153</v>
      </c>
      <c r="H930" s="6" t="s">
        <v>107</v>
      </c>
      <c r="I930" s="6" t="s">
        <v>92</v>
      </c>
      <c r="J930" s="6" t="s">
        <v>3217</v>
      </c>
      <c r="K930" s="6" t="s">
        <v>3140</v>
      </c>
      <c r="L930" s="6" t="s">
        <v>3159</v>
      </c>
      <c r="M930" s="6" t="s">
        <v>3196</v>
      </c>
      <c r="N930" s="6" t="s">
        <v>3143</v>
      </c>
      <c r="O930" s="6" t="s">
        <v>75</v>
      </c>
      <c r="P930" s="6" t="s">
        <v>3434</v>
      </c>
      <c r="Q930" s="6" t="s">
        <v>9797</v>
      </c>
      <c r="R930" s="6" t="s">
        <v>9798</v>
      </c>
      <c r="S930" s="6" t="s">
        <v>20</v>
      </c>
      <c r="T930" s="6" t="s">
        <v>9799</v>
      </c>
      <c r="U930" s="6" t="s">
        <v>3140</v>
      </c>
      <c r="V930" s="6" t="s">
        <v>4795</v>
      </c>
      <c r="W930" s="6" t="s">
        <v>3233</v>
      </c>
      <c r="X930" s="6" t="s">
        <v>77</v>
      </c>
      <c r="Y930" s="6" t="s">
        <v>3159</v>
      </c>
      <c r="Z930" s="6" t="s">
        <v>78</v>
      </c>
      <c r="AA930" s="6" t="s">
        <v>3747</v>
      </c>
      <c r="AB930" s="6"/>
      <c r="AC930" s="6" t="s">
        <v>3141</v>
      </c>
      <c r="AD930" s="6" t="s">
        <v>3141</v>
      </c>
      <c r="AE930" s="6" t="s">
        <v>3293</v>
      </c>
      <c r="AF930" s="6"/>
      <c r="AG930" s="6" t="s">
        <v>6012</v>
      </c>
      <c r="AH930" s="6" t="s">
        <v>79</v>
      </c>
    </row>
    <row r="931" spans="1:34" x14ac:dyDescent="0.25">
      <c r="A931" s="6" t="s">
        <v>2926</v>
      </c>
      <c r="B931" s="6" t="s">
        <v>1996</v>
      </c>
      <c r="C931" s="6" t="s">
        <v>9800</v>
      </c>
      <c r="D931" s="6" t="s">
        <v>2927</v>
      </c>
      <c r="E931" s="6" t="s">
        <v>3200</v>
      </c>
      <c r="F931" s="6" t="s">
        <v>3214</v>
      </c>
      <c r="G931" s="6" t="s">
        <v>139</v>
      </c>
      <c r="H931" s="6" t="s">
        <v>5348</v>
      </c>
      <c r="I931" s="6" t="s">
        <v>74</v>
      </c>
      <c r="J931" s="6"/>
      <c r="K931" s="6" t="s">
        <v>3159</v>
      </c>
      <c r="L931" s="6" t="s">
        <v>75</v>
      </c>
      <c r="M931" s="6" t="s">
        <v>3143</v>
      </c>
      <c r="N931" s="6" t="s">
        <v>3173</v>
      </c>
      <c r="O931" s="6" t="s">
        <v>3141</v>
      </c>
      <c r="P931" s="6" t="s">
        <v>9801</v>
      </c>
      <c r="Q931" s="6" t="s">
        <v>3217</v>
      </c>
      <c r="R931" s="6" t="s">
        <v>9802</v>
      </c>
      <c r="S931" s="6" t="s">
        <v>22</v>
      </c>
      <c r="T931" s="6" t="s">
        <v>9803</v>
      </c>
      <c r="U931" s="6" t="s">
        <v>3141</v>
      </c>
      <c r="V931" s="6" t="s">
        <v>6681</v>
      </c>
      <c r="W931" s="6" t="s">
        <v>3943</v>
      </c>
      <c r="X931" s="6" t="s">
        <v>77</v>
      </c>
      <c r="Y931" s="6" t="s">
        <v>3159</v>
      </c>
      <c r="Z931" s="6" t="s">
        <v>78</v>
      </c>
      <c r="AA931" s="6" t="s">
        <v>9804</v>
      </c>
      <c r="AB931" s="6"/>
      <c r="AC931" s="6" t="s">
        <v>3140</v>
      </c>
      <c r="AD931" s="6" t="s">
        <v>3152</v>
      </c>
      <c r="AE931" s="6" t="s">
        <v>3279</v>
      </c>
      <c r="AF931" s="6" t="s">
        <v>9805</v>
      </c>
      <c r="AG931" s="6" t="s">
        <v>9806</v>
      </c>
      <c r="AH931" s="6" t="s">
        <v>79</v>
      </c>
    </row>
    <row r="932" spans="1:34" x14ac:dyDescent="0.25">
      <c r="A932" s="6" t="s">
        <v>2928</v>
      </c>
      <c r="B932" s="6" t="s">
        <v>2094</v>
      </c>
      <c r="C932" s="6" t="s">
        <v>9807</v>
      </c>
      <c r="D932" s="6" t="s">
        <v>2929</v>
      </c>
      <c r="E932" s="6" t="s">
        <v>3460</v>
      </c>
      <c r="F932" s="6" t="s">
        <v>3201</v>
      </c>
      <c r="G932" s="6" t="s">
        <v>131</v>
      </c>
      <c r="H932" s="6" t="s">
        <v>73</v>
      </c>
      <c r="I932" s="6" t="s">
        <v>74</v>
      </c>
      <c r="J932" s="6" t="s">
        <v>9808</v>
      </c>
      <c r="K932" s="6" t="s">
        <v>3159</v>
      </c>
      <c r="L932" s="6" t="s">
        <v>3142</v>
      </c>
      <c r="M932" s="6" t="s">
        <v>3243</v>
      </c>
      <c r="N932" s="6" t="s">
        <v>3143</v>
      </c>
      <c r="O932" s="6" t="s">
        <v>3143</v>
      </c>
      <c r="P932" s="6" t="s">
        <v>6906</v>
      </c>
      <c r="Q932" s="6" t="s">
        <v>9809</v>
      </c>
      <c r="R932" s="6" t="s">
        <v>9810</v>
      </c>
      <c r="S932" s="6" t="s">
        <v>21</v>
      </c>
      <c r="T932" s="6" t="s">
        <v>9811</v>
      </c>
      <c r="U932" s="6" t="s">
        <v>3159</v>
      </c>
      <c r="V932" s="6" t="s">
        <v>3927</v>
      </c>
      <c r="W932" s="6" t="s">
        <v>3330</v>
      </c>
      <c r="X932" s="6" t="s">
        <v>77</v>
      </c>
      <c r="Y932" s="6" t="s">
        <v>3141</v>
      </c>
      <c r="Z932" s="6" t="s">
        <v>93</v>
      </c>
      <c r="AA932" s="6" t="s">
        <v>3316</v>
      </c>
      <c r="AB932" s="6"/>
      <c r="AC932" s="6" t="s">
        <v>3141</v>
      </c>
      <c r="AD932" s="6" t="s">
        <v>3160</v>
      </c>
      <c r="AE932" s="6" t="s">
        <v>3293</v>
      </c>
      <c r="AF932" s="6"/>
      <c r="AG932" s="6" t="s">
        <v>9812</v>
      </c>
      <c r="AH932" s="6" t="s">
        <v>79</v>
      </c>
    </row>
    <row r="933" spans="1:34" x14ac:dyDescent="0.25">
      <c r="A933" s="6" t="s">
        <v>2930</v>
      </c>
      <c r="B933" s="6" t="s">
        <v>2931</v>
      </c>
      <c r="C933" s="6" t="s">
        <v>9813</v>
      </c>
      <c r="D933" s="6" t="s">
        <v>2932</v>
      </c>
      <c r="E933" s="6" t="s">
        <v>3296</v>
      </c>
      <c r="F933" s="6" t="s">
        <v>3358</v>
      </c>
      <c r="G933" s="6" t="s">
        <v>106</v>
      </c>
      <c r="H933" s="6" t="s">
        <v>84</v>
      </c>
      <c r="I933" s="6" t="s">
        <v>74</v>
      </c>
      <c r="J933" s="6" t="s">
        <v>9814</v>
      </c>
      <c r="K933" s="6" t="s">
        <v>3140</v>
      </c>
      <c r="L933" s="6" t="s">
        <v>3143</v>
      </c>
      <c r="M933" s="6" t="s">
        <v>3196</v>
      </c>
      <c r="N933" s="6" t="s">
        <v>76</v>
      </c>
      <c r="O933" s="6" t="s">
        <v>3243</v>
      </c>
      <c r="P933" s="6" t="s">
        <v>7763</v>
      </c>
      <c r="Q933" s="6" t="s">
        <v>9815</v>
      </c>
      <c r="R933" s="6" t="s">
        <v>9816</v>
      </c>
      <c r="S933" s="6" t="s">
        <v>22</v>
      </c>
      <c r="T933" s="6" t="s">
        <v>9817</v>
      </c>
      <c r="U933" s="6" t="s">
        <v>3141</v>
      </c>
      <c r="V933" s="6" t="s">
        <v>5614</v>
      </c>
      <c r="W933" s="6" t="s">
        <v>4610</v>
      </c>
      <c r="X933" s="6" t="s">
        <v>85</v>
      </c>
      <c r="Y933" s="6" t="s">
        <v>3192</v>
      </c>
      <c r="Z933" s="6" t="s">
        <v>93</v>
      </c>
      <c r="AA933" s="6" t="s">
        <v>4464</v>
      </c>
      <c r="AB933" s="6" t="s">
        <v>9818</v>
      </c>
      <c r="AC933" s="6" t="s">
        <v>3140</v>
      </c>
      <c r="AD933" s="6" t="s">
        <v>3243</v>
      </c>
      <c r="AE933" s="6" t="s">
        <v>3210</v>
      </c>
      <c r="AF933" s="6" t="s">
        <v>9819</v>
      </c>
      <c r="AG933" s="6" t="s">
        <v>9820</v>
      </c>
      <c r="AH933" s="6" t="s">
        <v>79</v>
      </c>
    </row>
    <row r="934" spans="1:34" x14ac:dyDescent="0.25">
      <c r="A934" s="6" t="s">
        <v>2933</v>
      </c>
      <c r="B934" s="6" t="s">
        <v>2934</v>
      </c>
      <c r="C934" s="6"/>
      <c r="D934" s="6" t="s">
        <v>2935</v>
      </c>
      <c r="E934" s="6" t="s">
        <v>3213</v>
      </c>
      <c r="F934" s="6" t="s">
        <v>89</v>
      </c>
      <c r="G934" s="6" t="s">
        <v>139</v>
      </c>
      <c r="H934" s="6" t="s">
        <v>99</v>
      </c>
      <c r="I934" s="6" t="s">
        <v>74</v>
      </c>
      <c r="J934" s="6" t="s">
        <v>9821</v>
      </c>
      <c r="K934" s="6" t="s">
        <v>3159</v>
      </c>
      <c r="L934" s="6" t="s">
        <v>3142</v>
      </c>
      <c r="M934" s="6" t="s">
        <v>3143</v>
      </c>
      <c r="N934" s="6" t="s">
        <v>3160</v>
      </c>
      <c r="O934" s="6" t="s">
        <v>75</v>
      </c>
      <c r="P934" s="6" t="s">
        <v>4402</v>
      </c>
      <c r="Q934" s="6"/>
      <c r="R934" s="6" t="s">
        <v>9822</v>
      </c>
      <c r="S934" s="6" t="s">
        <v>20</v>
      </c>
      <c r="T934" s="6" t="s">
        <v>9823</v>
      </c>
      <c r="U934" s="6" t="s">
        <v>3159</v>
      </c>
      <c r="V934" s="6" t="s">
        <v>4413</v>
      </c>
      <c r="W934" s="6" t="s">
        <v>4441</v>
      </c>
      <c r="X934" s="6" t="s">
        <v>77</v>
      </c>
      <c r="Y934" s="6" t="s">
        <v>3140</v>
      </c>
      <c r="Z934" s="6" t="s">
        <v>78</v>
      </c>
      <c r="AA934" s="6" t="s">
        <v>3683</v>
      </c>
      <c r="AB934" s="6"/>
      <c r="AC934" s="6" t="s">
        <v>3159</v>
      </c>
      <c r="AD934" s="6" t="s">
        <v>3141</v>
      </c>
      <c r="AE934" s="6" t="s">
        <v>3136</v>
      </c>
      <c r="AF934" s="6"/>
      <c r="AG934" s="6" t="s">
        <v>9824</v>
      </c>
      <c r="AH934" s="6" t="s">
        <v>94</v>
      </c>
    </row>
    <row r="935" spans="1:34" x14ac:dyDescent="0.25">
      <c r="A935" s="6" t="s">
        <v>2936</v>
      </c>
      <c r="B935" s="6" t="s">
        <v>943</v>
      </c>
      <c r="C935" s="6" t="s">
        <v>2937</v>
      </c>
      <c r="D935" s="6" t="s">
        <v>9825</v>
      </c>
      <c r="E935" s="6" t="s">
        <v>3323</v>
      </c>
      <c r="F935" s="6" t="s">
        <v>3369</v>
      </c>
      <c r="G935" s="6" t="s">
        <v>388</v>
      </c>
      <c r="H935" s="6" t="s">
        <v>103</v>
      </c>
      <c r="I935" s="6" t="s">
        <v>74</v>
      </c>
      <c r="J935" s="6" t="s">
        <v>9826</v>
      </c>
      <c r="K935" s="6" t="s">
        <v>3140</v>
      </c>
      <c r="L935" s="6" t="s">
        <v>3142</v>
      </c>
      <c r="M935" s="6" t="s">
        <v>3160</v>
      </c>
      <c r="N935" s="6" t="s">
        <v>3142</v>
      </c>
      <c r="O935" s="6" t="s">
        <v>3160</v>
      </c>
      <c r="P935" s="6" t="s">
        <v>9827</v>
      </c>
      <c r="Q935" s="6" t="s">
        <v>9828</v>
      </c>
      <c r="R935" s="6" t="s">
        <v>9829</v>
      </c>
      <c r="S935" s="6" t="s">
        <v>23</v>
      </c>
      <c r="T935" s="6" t="s">
        <v>9830</v>
      </c>
      <c r="U935" s="6" t="s">
        <v>3141</v>
      </c>
      <c r="V935" s="6" t="s">
        <v>4676</v>
      </c>
      <c r="W935" s="6" t="s">
        <v>3718</v>
      </c>
      <c r="X935" s="6" t="s">
        <v>3353</v>
      </c>
      <c r="Y935" s="6" t="s">
        <v>3192</v>
      </c>
      <c r="Z935" s="6" t="s">
        <v>78</v>
      </c>
      <c r="AA935" s="6" t="s">
        <v>3344</v>
      </c>
      <c r="AB935" s="6"/>
      <c r="AC935" s="6" t="s">
        <v>3140</v>
      </c>
      <c r="AD935" s="6" t="s">
        <v>3142</v>
      </c>
      <c r="AE935" s="6" t="s">
        <v>3513</v>
      </c>
      <c r="AF935" s="6" t="s">
        <v>9831</v>
      </c>
      <c r="AG935" s="6" t="s">
        <v>9832</v>
      </c>
      <c r="AH935" s="6" t="s">
        <v>79</v>
      </c>
    </row>
    <row r="936" spans="1:34" x14ac:dyDescent="0.25">
      <c r="A936" s="6" t="s">
        <v>2939</v>
      </c>
      <c r="B936" s="6" t="s">
        <v>2180</v>
      </c>
      <c r="C936" s="6" t="s">
        <v>9833</v>
      </c>
      <c r="D936" s="6" t="s">
        <v>9834</v>
      </c>
      <c r="E936" s="6" t="s">
        <v>3921</v>
      </c>
      <c r="F936" s="6" t="s">
        <v>3283</v>
      </c>
      <c r="G936" s="6" t="s">
        <v>314</v>
      </c>
      <c r="H936" s="6" t="s">
        <v>166</v>
      </c>
      <c r="I936" s="6" t="s">
        <v>74</v>
      </c>
      <c r="J936" s="6" t="s">
        <v>3217</v>
      </c>
      <c r="K936" s="6" t="s">
        <v>3140</v>
      </c>
      <c r="L936" s="6" t="s">
        <v>3173</v>
      </c>
      <c r="M936" s="6" t="s">
        <v>75</v>
      </c>
      <c r="N936" s="6" t="s">
        <v>3188</v>
      </c>
      <c r="O936" s="6" t="s">
        <v>75</v>
      </c>
      <c r="P936" s="6" t="s">
        <v>3378</v>
      </c>
      <c r="Q936" s="6" t="s">
        <v>9835</v>
      </c>
      <c r="R936" s="6" t="s">
        <v>9836</v>
      </c>
      <c r="S936" s="6" t="s">
        <v>21</v>
      </c>
      <c r="T936" s="6" t="s">
        <v>9837</v>
      </c>
      <c r="U936" s="6" t="s">
        <v>3159</v>
      </c>
      <c r="V936" s="6" t="s">
        <v>5214</v>
      </c>
      <c r="W936" s="6" t="s">
        <v>3405</v>
      </c>
      <c r="X936" s="6" t="s">
        <v>77</v>
      </c>
      <c r="Y936" s="6" t="s">
        <v>3141</v>
      </c>
      <c r="Z936" s="6" t="s">
        <v>93</v>
      </c>
      <c r="AA936" s="6" t="s">
        <v>3455</v>
      </c>
      <c r="AB936" s="6"/>
      <c r="AC936" s="6" t="s">
        <v>3141</v>
      </c>
      <c r="AD936" s="6" t="s">
        <v>3143</v>
      </c>
      <c r="AE936" s="6" t="s">
        <v>3323</v>
      </c>
      <c r="AF936" s="6"/>
      <c r="AG936" s="6" t="s">
        <v>4163</v>
      </c>
      <c r="AH936" s="6" t="s">
        <v>79</v>
      </c>
    </row>
    <row r="937" spans="1:34" x14ac:dyDescent="0.25">
      <c r="A937" s="6" t="s">
        <v>2941</v>
      </c>
      <c r="B937" s="6" t="s">
        <v>2122</v>
      </c>
      <c r="C937" s="6" t="s">
        <v>9838</v>
      </c>
      <c r="D937" s="6" t="s">
        <v>2942</v>
      </c>
      <c r="E937" s="6" t="s">
        <v>3357</v>
      </c>
      <c r="F937" s="6" t="s">
        <v>3269</v>
      </c>
      <c r="G937" s="6" t="s">
        <v>72</v>
      </c>
      <c r="H937" s="6" t="s">
        <v>4704</v>
      </c>
      <c r="I937" s="6" t="s">
        <v>92</v>
      </c>
      <c r="J937" s="6" t="s">
        <v>9839</v>
      </c>
      <c r="K937" s="6" t="s">
        <v>3159</v>
      </c>
      <c r="L937" s="6" t="s">
        <v>3152</v>
      </c>
      <c r="M937" s="6" t="s">
        <v>3159</v>
      </c>
      <c r="N937" s="6" t="s">
        <v>75</v>
      </c>
      <c r="O937" s="6" t="s">
        <v>75</v>
      </c>
      <c r="P937" s="6" t="s">
        <v>8749</v>
      </c>
      <c r="Q937" s="6" t="s">
        <v>9840</v>
      </c>
      <c r="R937" s="6" t="s">
        <v>9841</v>
      </c>
      <c r="S937" s="6" t="s">
        <v>3671</v>
      </c>
      <c r="T937" s="6"/>
      <c r="U937" s="6" t="s">
        <v>3159</v>
      </c>
      <c r="V937" s="6" t="s">
        <v>9842</v>
      </c>
      <c r="W937" s="6" t="s">
        <v>3718</v>
      </c>
      <c r="X937" s="6" t="s">
        <v>77</v>
      </c>
      <c r="Y937" s="6" t="s">
        <v>3292</v>
      </c>
      <c r="Z937" s="6" t="s">
        <v>3343</v>
      </c>
      <c r="AA937" s="6" t="s">
        <v>3439</v>
      </c>
      <c r="AB937" s="6" t="s">
        <v>9843</v>
      </c>
      <c r="AC937" s="6" t="s">
        <v>3159</v>
      </c>
      <c r="AD937" s="6" t="s">
        <v>3143</v>
      </c>
      <c r="AE937" s="6" t="s">
        <v>3513</v>
      </c>
      <c r="AF937" s="6" t="s">
        <v>9844</v>
      </c>
      <c r="AG937" s="6" t="s">
        <v>9845</v>
      </c>
      <c r="AH937" s="6" t="s">
        <v>79</v>
      </c>
    </row>
    <row r="938" spans="1:34" x14ac:dyDescent="0.25">
      <c r="A938" s="6" t="s">
        <v>2943</v>
      </c>
      <c r="B938" s="6" t="s">
        <v>129</v>
      </c>
      <c r="C938" s="6" t="s">
        <v>9846</v>
      </c>
      <c r="D938" s="6" t="s">
        <v>2944</v>
      </c>
      <c r="E938" s="6" t="s">
        <v>3157</v>
      </c>
      <c r="F938" s="6" t="s">
        <v>3358</v>
      </c>
      <c r="G938" s="6" t="s">
        <v>5716</v>
      </c>
      <c r="H938" s="6" t="s">
        <v>84</v>
      </c>
      <c r="I938" s="6" t="s">
        <v>74</v>
      </c>
      <c r="J938" s="6" t="s">
        <v>9847</v>
      </c>
      <c r="K938" s="6" t="s">
        <v>3141</v>
      </c>
      <c r="L938" s="6" t="s">
        <v>3243</v>
      </c>
      <c r="M938" s="6" t="s">
        <v>3243</v>
      </c>
      <c r="N938" s="6" t="s">
        <v>3141</v>
      </c>
      <c r="O938" s="6" t="s">
        <v>3160</v>
      </c>
      <c r="P938" s="6" t="s">
        <v>5610</v>
      </c>
      <c r="Q938" s="6" t="s">
        <v>9848</v>
      </c>
      <c r="R938" s="6" t="s">
        <v>9849</v>
      </c>
      <c r="S938" s="6" t="s">
        <v>21</v>
      </c>
      <c r="T938" s="6" t="s">
        <v>9850</v>
      </c>
      <c r="U938" s="6" t="s">
        <v>3141</v>
      </c>
      <c r="V938" s="6" t="s">
        <v>4390</v>
      </c>
      <c r="W938" s="6" t="s">
        <v>3755</v>
      </c>
      <c r="X938" s="6" t="s">
        <v>77</v>
      </c>
      <c r="Y938" s="6" t="s">
        <v>3141</v>
      </c>
      <c r="Z938" s="6" t="s">
        <v>78</v>
      </c>
      <c r="AA938" s="6" t="s">
        <v>3249</v>
      </c>
      <c r="AB938" s="6"/>
      <c r="AC938" s="6" t="s">
        <v>3159</v>
      </c>
      <c r="AD938" s="6" t="s">
        <v>3141</v>
      </c>
      <c r="AE938" s="6" t="s">
        <v>3293</v>
      </c>
      <c r="AF938" s="6"/>
      <c r="AG938" s="6" t="s">
        <v>9851</v>
      </c>
      <c r="AH938" s="6" t="s">
        <v>79</v>
      </c>
    </row>
    <row r="939" spans="1:34" x14ac:dyDescent="0.25">
      <c r="A939" s="6" t="s">
        <v>2945</v>
      </c>
      <c r="B939" s="6" t="s">
        <v>9852</v>
      </c>
      <c r="C939" s="6" t="s">
        <v>9853</v>
      </c>
      <c r="D939" s="6" t="s">
        <v>2947</v>
      </c>
      <c r="E939" s="6" t="s">
        <v>3786</v>
      </c>
      <c r="F939" s="6" t="s">
        <v>71</v>
      </c>
      <c r="G939" s="6" t="s">
        <v>139</v>
      </c>
      <c r="H939" s="6" t="s">
        <v>144</v>
      </c>
      <c r="I939" s="6" t="s">
        <v>92</v>
      </c>
      <c r="J939" s="6" t="s">
        <v>9854</v>
      </c>
      <c r="K939" s="6" t="s">
        <v>3140</v>
      </c>
      <c r="L939" s="6" t="s">
        <v>3159</v>
      </c>
      <c r="M939" s="6" t="s">
        <v>3160</v>
      </c>
      <c r="N939" s="6" t="s">
        <v>3143</v>
      </c>
      <c r="O939" s="6" t="s">
        <v>3159</v>
      </c>
      <c r="P939" s="6" t="s">
        <v>8393</v>
      </c>
      <c r="Q939" s="6"/>
      <c r="R939" s="6" t="s">
        <v>9855</v>
      </c>
      <c r="S939" s="6" t="s">
        <v>20</v>
      </c>
      <c r="T939" s="6" t="s">
        <v>9856</v>
      </c>
      <c r="U939" s="6" t="s">
        <v>3192</v>
      </c>
      <c r="V939" s="6" t="s">
        <v>9857</v>
      </c>
      <c r="W939" s="6" t="s">
        <v>4441</v>
      </c>
      <c r="X939" s="6" t="s">
        <v>85</v>
      </c>
      <c r="Y939" s="6" t="s">
        <v>3140</v>
      </c>
      <c r="Z939" s="6" t="s">
        <v>78</v>
      </c>
      <c r="AA939" s="6" t="s">
        <v>5273</v>
      </c>
      <c r="AB939" s="6" t="s">
        <v>9858</v>
      </c>
      <c r="AC939" s="6" t="s">
        <v>3292</v>
      </c>
      <c r="AD939" s="6" t="s">
        <v>3243</v>
      </c>
      <c r="AE939" s="6" t="s">
        <v>3293</v>
      </c>
      <c r="AF939" s="6"/>
      <c r="AG939" s="6" t="s">
        <v>8601</v>
      </c>
      <c r="AH939" s="6" t="s">
        <v>79</v>
      </c>
    </row>
    <row r="940" spans="1:34" x14ac:dyDescent="0.25">
      <c r="A940" s="6" t="s">
        <v>2948</v>
      </c>
      <c r="B940" s="6" t="s">
        <v>9859</v>
      </c>
      <c r="C940" s="6" t="s">
        <v>9860</v>
      </c>
      <c r="D940" s="6" t="s">
        <v>2949</v>
      </c>
      <c r="E940" s="6" t="s">
        <v>3677</v>
      </c>
      <c r="F940" s="6" t="s">
        <v>3137</v>
      </c>
      <c r="G940" s="6" t="s">
        <v>139</v>
      </c>
      <c r="H940" s="6" t="s">
        <v>84</v>
      </c>
      <c r="I940" s="6" t="s">
        <v>74</v>
      </c>
      <c r="J940" s="6" t="s">
        <v>9861</v>
      </c>
      <c r="K940" s="6" t="s">
        <v>3159</v>
      </c>
      <c r="L940" s="6" t="s">
        <v>3160</v>
      </c>
      <c r="M940" s="6" t="s">
        <v>3141</v>
      </c>
      <c r="N940" s="6" t="s">
        <v>3243</v>
      </c>
      <c r="O940" s="6" t="s">
        <v>3173</v>
      </c>
      <c r="P940" s="6" t="s">
        <v>3889</v>
      </c>
      <c r="Q940" s="6" t="s">
        <v>9862</v>
      </c>
      <c r="R940" s="6" t="s">
        <v>9863</v>
      </c>
      <c r="S940" s="6" t="s">
        <v>23</v>
      </c>
      <c r="T940" s="6" t="s">
        <v>9864</v>
      </c>
      <c r="U940" s="6" t="s">
        <v>3141</v>
      </c>
      <c r="V940" s="6" t="s">
        <v>3531</v>
      </c>
      <c r="W940" s="6" t="s">
        <v>3415</v>
      </c>
      <c r="X940" s="6" t="s">
        <v>85</v>
      </c>
      <c r="Y940" s="6" t="s">
        <v>3141</v>
      </c>
      <c r="Z940" s="6" t="s">
        <v>194</v>
      </c>
      <c r="AA940" s="6" t="s">
        <v>3683</v>
      </c>
      <c r="AB940" s="6" t="s">
        <v>9865</v>
      </c>
      <c r="AC940" s="6" t="s">
        <v>3159</v>
      </c>
      <c r="AD940" s="6" t="s">
        <v>3142</v>
      </c>
      <c r="AE940" s="6" t="s">
        <v>3331</v>
      </c>
      <c r="AF940" s="6" t="s">
        <v>9866</v>
      </c>
      <c r="AG940" s="6"/>
      <c r="AH940" s="6" t="s">
        <v>79</v>
      </c>
    </row>
    <row r="941" spans="1:34" x14ac:dyDescent="0.25">
      <c r="A941" s="6" t="s">
        <v>2950</v>
      </c>
      <c r="B941" s="6" t="s">
        <v>2762</v>
      </c>
      <c r="C941" s="6"/>
      <c r="D941" s="6" t="s">
        <v>2951</v>
      </c>
      <c r="E941" s="6" t="s">
        <v>4358</v>
      </c>
      <c r="F941" s="6" t="s">
        <v>71</v>
      </c>
      <c r="G941" s="6" t="s">
        <v>98</v>
      </c>
      <c r="H941" s="6" t="s">
        <v>99</v>
      </c>
      <c r="I941" s="6" t="s">
        <v>74</v>
      </c>
      <c r="J941" s="6" t="s">
        <v>9867</v>
      </c>
      <c r="K941" s="6" t="s">
        <v>3292</v>
      </c>
      <c r="L941" s="6" t="s">
        <v>3196</v>
      </c>
      <c r="M941" s="6" t="s">
        <v>3160</v>
      </c>
      <c r="N941" s="6" t="s">
        <v>3159</v>
      </c>
      <c r="O941" s="6" t="s">
        <v>3159</v>
      </c>
      <c r="P941" s="6" t="s">
        <v>8323</v>
      </c>
      <c r="Q941" s="6" t="s">
        <v>9868</v>
      </c>
      <c r="R941" s="6" t="s">
        <v>9869</v>
      </c>
      <c r="S941" s="6" t="s">
        <v>20</v>
      </c>
      <c r="T941" s="6" t="s">
        <v>9870</v>
      </c>
      <c r="U941" s="6" t="s">
        <v>3159</v>
      </c>
      <c r="V941" s="6" t="s">
        <v>4390</v>
      </c>
      <c r="W941" s="6" t="s">
        <v>5046</v>
      </c>
      <c r="X941" s="6" t="s">
        <v>77</v>
      </c>
      <c r="Y941" s="6" t="s">
        <v>3141</v>
      </c>
      <c r="Z941" s="6" t="s">
        <v>78</v>
      </c>
      <c r="AA941" s="6" t="s">
        <v>3180</v>
      </c>
      <c r="AB941" s="6"/>
      <c r="AC941" s="6" t="s">
        <v>3141</v>
      </c>
      <c r="AD941" s="6" t="s">
        <v>3141</v>
      </c>
      <c r="AE941" s="6" t="s">
        <v>3293</v>
      </c>
      <c r="AF941" s="6"/>
      <c r="AG941" s="6"/>
      <c r="AH941" s="6" t="s">
        <v>79</v>
      </c>
    </row>
    <row r="942" spans="1:34" x14ac:dyDescent="0.25">
      <c r="A942" s="6" t="s">
        <v>2952</v>
      </c>
      <c r="B942" s="6" t="s">
        <v>2843</v>
      </c>
      <c r="C942" s="6"/>
      <c r="D942" s="6" t="s">
        <v>9871</v>
      </c>
      <c r="E942" s="6" t="s">
        <v>3677</v>
      </c>
      <c r="F942" s="6" t="s">
        <v>3201</v>
      </c>
      <c r="G942" s="6" t="s">
        <v>215</v>
      </c>
      <c r="H942" s="6" t="s">
        <v>107</v>
      </c>
      <c r="I942" s="6" t="s">
        <v>92</v>
      </c>
      <c r="J942" s="6" t="s">
        <v>9872</v>
      </c>
      <c r="K942" s="6" t="s">
        <v>3141</v>
      </c>
      <c r="L942" s="6" t="s">
        <v>3243</v>
      </c>
      <c r="M942" s="6" t="s">
        <v>3143</v>
      </c>
      <c r="N942" s="6" t="s">
        <v>75</v>
      </c>
      <c r="O942" s="6" t="s">
        <v>3152</v>
      </c>
      <c r="P942" s="6" t="s">
        <v>9873</v>
      </c>
      <c r="Q942" s="6" t="s">
        <v>3217</v>
      </c>
      <c r="R942" s="6" t="s">
        <v>9874</v>
      </c>
      <c r="S942" s="6" t="s">
        <v>22</v>
      </c>
      <c r="T942" s="6"/>
      <c r="U942" s="6" t="s">
        <v>3141</v>
      </c>
      <c r="V942" s="6" t="s">
        <v>3194</v>
      </c>
      <c r="W942" s="6" t="s">
        <v>4176</v>
      </c>
      <c r="X942" s="6" t="s">
        <v>77</v>
      </c>
      <c r="Y942" s="6" t="s">
        <v>3159</v>
      </c>
      <c r="Z942" s="6" t="s">
        <v>78</v>
      </c>
      <c r="AA942" s="6" t="s">
        <v>3291</v>
      </c>
      <c r="AB942" s="6"/>
      <c r="AC942" s="6" t="s">
        <v>3141</v>
      </c>
      <c r="AD942" s="6" t="s">
        <v>3152</v>
      </c>
      <c r="AE942" s="6" t="s">
        <v>3235</v>
      </c>
      <c r="AF942" s="6" t="s">
        <v>9875</v>
      </c>
      <c r="AG942" s="6" t="s">
        <v>9876</v>
      </c>
      <c r="AH942" s="6" t="s">
        <v>79</v>
      </c>
    </row>
    <row r="943" spans="1:34" x14ac:dyDescent="0.25">
      <c r="A943" s="6" t="s">
        <v>2954</v>
      </c>
      <c r="B943" s="6" t="s">
        <v>2955</v>
      </c>
      <c r="C943" s="6" t="s">
        <v>2956</v>
      </c>
      <c r="D943" s="6"/>
      <c r="E943" s="6" t="s">
        <v>3471</v>
      </c>
      <c r="F943" s="6" t="s">
        <v>3358</v>
      </c>
      <c r="G943" s="6" t="s">
        <v>417</v>
      </c>
      <c r="H943" s="6" t="s">
        <v>144</v>
      </c>
      <c r="I943" s="6" t="s">
        <v>92</v>
      </c>
      <c r="J943" s="6"/>
      <c r="K943" s="6" t="s">
        <v>3159</v>
      </c>
      <c r="L943" s="6" t="s">
        <v>3142</v>
      </c>
      <c r="M943" s="6" t="s">
        <v>3141</v>
      </c>
      <c r="N943" s="6" t="s">
        <v>75</v>
      </c>
      <c r="O943" s="6" t="s">
        <v>3141</v>
      </c>
      <c r="P943" s="6" t="s">
        <v>4505</v>
      </c>
      <c r="Q943" s="6" t="s">
        <v>9877</v>
      </c>
      <c r="R943" s="6" t="s">
        <v>9878</v>
      </c>
      <c r="S943" s="6" t="s">
        <v>22</v>
      </c>
      <c r="T943" s="6" t="s">
        <v>9879</v>
      </c>
      <c r="U943" s="6" t="s">
        <v>3141</v>
      </c>
      <c r="V943" s="6" t="s">
        <v>3811</v>
      </c>
      <c r="W943" s="6" t="s">
        <v>3150</v>
      </c>
      <c r="X943" s="6" t="s">
        <v>85</v>
      </c>
      <c r="Y943" s="6" t="s">
        <v>3192</v>
      </c>
      <c r="Z943" s="6" t="s">
        <v>78</v>
      </c>
      <c r="AA943" s="6" t="s">
        <v>3531</v>
      </c>
      <c r="AB943" s="6"/>
      <c r="AC943" s="6" t="s">
        <v>3141</v>
      </c>
      <c r="AD943" s="6" t="s">
        <v>3160</v>
      </c>
      <c r="AE943" s="6" t="s">
        <v>3622</v>
      </c>
      <c r="AF943" s="6" t="s">
        <v>9880</v>
      </c>
      <c r="AG943" s="6"/>
      <c r="AH943" s="6" t="s">
        <v>79</v>
      </c>
    </row>
    <row r="944" spans="1:34" x14ac:dyDescent="0.25">
      <c r="A944" s="6" t="s">
        <v>2957</v>
      </c>
      <c r="B944" s="6" t="s">
        <v>2958</v>
      </c>
      <c r="C944" s="6"/>
      <c r="D944" s="6" t="s">
        <v>9881</v>
      </c>
      <c r="E944" s="6" t="s">
        <v>3722</v>
      </c>
      <c r="F944" s="6" t="s">
        <v>3358</v>
      </c>
      <c r="G944" s="6" t="s">
        <v>131</v>
      </c>
      <c r="H944" s="6" t="s">
        <v>73</v>
      </c>
      <c r="I944" s="6" t="s">
        <v>74</v>
      </c>
      <c r="J944" s="6" t="s">
        <v>9882</v>
      </c>
      <c r="K944" s="6" t="s">
        <v>3140</v>
      </c>
      <c r="L944" s="6" t="s">
        <v>75</v>
      </c>
      <c r="M944" s="6" t="s">
        <v>3142</v>
      </c>
      <c r="N944" s="6" t="s">
        <v>3196</v>
      </c>
      <c r="O944" s="6" t="s">
        <v>3243</v>
      </c>
      <c r="P944" s="6" t="s">
        <v>3990</v>
      </c>
      <c r="Q944" s="6" t="s">
        <v>3217</v>
      </c>
      <c r="R944" s="6" t="s">
        <v>9883</v>
      </c>
      <c r="S944" s="6" t="s">
        <v>20</v>
      </c>
      <c r="T944" s="6" t="s">
        <v>9884</v>
      </c>
      <c r="U944" s="6" t="s">
        <v>3159</v>
      </c>
      <c r="V944" s="6" t="s">
        <v>4365</v>
      </c>
      <c r="W944" s="6" t="s">
        <v>3830</v>
      </c>
      <c r="X944" s="6" t="s">
        <v>85</v>
      </c>
      <c r="Y944" s="6" t="s">
        <v>3159</v>
      </c>
      <c r="Z944" s="6" t="s">
        <v>78</v>
      </c>
      <c r="AA944" s="6" t="s">
        <v>6333</v>
      </c>
      <c r="AB944" s="6"/>
      <c r="AC944" s="6" t="s">
        <v>3292</v>
      </c>
      <c r="AD944" s="6" t="s">
        <v>3152</v>
      </c>
      <c r="AE944" s="6" t="s">
        <v>3136</v>
      </c>
      <c r="AF944" s="6"/>
      <c r="AG944" s="6" t="s">
        <v>9885</v>
      </c>
      <c r="AH944" s="6" t="s">
        <v>79</v>
      </c>
    </row>
    <row r="945" spans="1:34" x14ac:dyDescent="0.25">
      <c r="A945" s="6" t="s">
        <v>2960</v>
      </c>
      <c r="B945" s="6" t="s">
        <v>2961</v>
      </c>
      <c r="C945" s="6" t="s">
        <v>2962</v>
      </c>
      <c r="D945" s="6" t="s">
        <v>2963</v>
      </c>
      <c r="E945" s="6" t="s">
        <v>3279</v>
      </c>
      <c r="F945" s="6" t="s">
        <v>3358</v>
      </c>
      <c r="G945" s="6" t="s">
        <v>215</v>
      </c>
      <c r="H945" s="6" t="s">
        <v>144</v>
      </c>
      <c r="I945" s="6" t="s">
        <v>92</v>
      </c>
      <c r="J945" s="6" t="s">
        <v>9886</v>
      </c>
      <c r="K945" s="6" t="s">
        <v>3159</v>
      </c>
      <c r="L945" s="6" t="s">
        <v>3160</v>
      </c>
      <c r="M945" s="6" t="s">
        <v>3196</v>
      </c>
      <c r="N945" s="6" t="s">
        <v>3143</v>
      </c>
      <c r="O945" s="6" t="s">
        <v>3243</v>
      </c>
      <c r="P945" s="6" t="s">
        <v>9887</v>
      </c>
      <c r="Q945" s="6" t="s">
        <v>9888</v>
      </c>
      <c r="R945" s="6" t="s">
        <v>9889</v>
      </c>
      <c r="S945" s="6" t="s">
        <v>23</v>
      </c>
      <c r="T945" s="6" t="s">
        <v>9890</v>
      </c>
      <c r="U945" s="6" t="s">
        <v>3394</v>
      </c>
      <c r="V945" s="6" t="s">
        <v>3812</v>
      </c>
      <c r="W945" s="6" t="s">
        <v>4013</v>
      </c>
      <c r="X945" s="6" t="s">
        <v>77</v>
      </c>
      <c r="Y945" s="6" t="s">
        <v>3140</v>
      </c>
      <c r="Z945" s="6" t="s">
        <v>78</v>
      </c>
      <c r="AA945" s="6" t="s">
        <v>3541</v>
      </c>
      <c r="AB945" s="6" t="s">
        <v>9891</v>
      </c>
      <c r="AC945" s="6" t="s">
        <v>3292</v>
      </c>
      <c r="AD945" s="6" t="s">
        <v>3142</v>
      </c>
      <c r="AE945" s="6" t="s">
        <v>3153</v>
      </c>
      <c r="AF945" s="6" t="s">
        <v>9892</v>
      </c>
      <c r="AG945" s="6" t="s">
        <v>5260</v>
      </c>
      <c r="AH945" s="6" t="s">
        <v>79</v>
      </c>
    </row>
    <row r="946" spans="1:34" x14ac:dyDescent="0.25">
      <c r="A946" s="6" t="s">
        <v>2964</v>
      </c>
      <c r="B946" s="6" t="s">
        <v>818</v>
      </c>
      <c r="C946" s="6"/>
      <c r="D946" s="6" t="s">
        <v>9893</v>
      </c>
      <c r="E946" s="6" t="s">
        <v>3703</v>
      </c>
      <c r="F946" s="6" t="s">
        <v>3283</v>
      </c>
      <c r="G946" s="6" t="s">
        <v>5716</v>
      </c>
      <c r="H946" s="6" t="s">
        <v>103</v>
      </c>
      <c r="I946" s="6" t="s">
        <v>74</v>
      </c>
      <c r="J946" s="6" t="s">
        <v>9894</v>
      </c>
      <c r="K946" s="6" t="s">
        <v>3159</v>
      </c>
      <c r="L946" s="6" t="s">
        <v>75</v>
      </c>
      <c r="M946" s="6" t="s">
        <v>3142</v>
      </c>
      <c r="N946" s="6" t="s">
        <v>75</v>
      </c>
      <c r="O946" s="6" t="s">
        <v>75</v>
      </c>
      <c r="P946" s="6" t="s">
        <v>5957</v>
      </c>
      <c r="Q946" s="6" t="s">
        <v>9895</v>
      </c>
      <c r="R946" s="6" t="s">
        <v>9896</v>
      </c>
      <c r="S946" s="6" t="s">
        <v>20</v>
      </c>
      <c r="T946" s="6" t="s">
        <v>9897</v>
      </c>
      <c r="U946" s="6" t="s">
        <v>3141</v>
      </c>
      <c r="V946" s="6" t="s">
        <v>3364</v>
      </c>
      <c r="W946" s="6" t="s">
        <v>3478</v>
      </c>
      <c r="X946" s="6" t="s">
        <v>85</v>
      </c>
      <c r="Y946" s="6" t="s">
        <v>3140</v>
      </c>
      <c r="Z946" s="6" t="s">
        <v>194</v>
      </c>
      <c r="AA946" s="6" t="s">
        <v>3550</v>
      </c>
      <c r="AB946" s="6" t="s">
        <v>9898</v>
      </c>
      <c r="AC946" s="6" t="s">
        <v>3141</v>
      </c>
      <c r="AD946" s="6" t="s">
        <v>3160</v>
      </c>
      <c r="AE946" s="6" t="s">
        <v>3136</v>
      </c>
      <c r="AF946" s="6"/>
      <c r="AG946" s="6" t="s">
        <v>5823</v>
      </c>
      <c r="AH946" s="6" t="s">
        <v>79</v>
      </c>
    </row>
    <row r="947" spans="1:34" x14ac:dyDescent="0.25">
      <c r="A947" s="6" t="s">
        <v>2966</v>
      </c>
      <c r="B947" s="6" t="s">
        <v>2967</v>
      </c>
      <c r="C947" s="6"/>
      <c r="D947" s="6" t="s">
        <v>2968</v>
      </c>
      <c r="E947" s="6" t="s">
        <v>3722</v>
      </c>
      <c r="F947" s="6" t="s">
        <v>3201</v>
      </c>
      <c r="G947" s="6" t="s">
        <v>127</v>
      </c>
      <c r="H947" s="6" t="s">
        <v>91</v>
      </c>
      <c r="I947" s="6" t="s">
        <v>92</v>
      </c>
      <c r="J947" s="6"/>
      <c r="K947" s="6" t="s">
        <v>3140</v>
      </c>
      <c r="L947" s="6" t="s">
        <v>76</v>
      </c>
      <c r="M947" s="6" t="s">
        <v>3196</v>
      </c>
      <c r="N947" s="6" t="s">
        <v>3143</v>
      </c>
      <c r="O947" s="6" t="s">
        <v>3141</v>
      </c>
      <c r="P947" s="6" t="s">
        <v>9899</v>
      </c>
      <c r="Q947" s="6" t="s">
        <v>9900</v>
      </c>
      <c r="R947" s="6" t="s">
        <v>9901</v>
      </c>
      <c r="S947" s="6" t="s">
        <v>21</v>
      </c>
      <c r="T947" s="6"/>
      <c r="U947" s="6" t="s">
        <v>3141</v>
      </c>
      <c r="V947" s="6" t="s">
        <v>5741</v>
      </c>
      <c r="W947" s="6" t="s">
        <v>5017</v>
      </c>
      <c r="X947" s="6" t="s">
        <v>85</v>
      </c>
      <c r="Y947" s="6" t="s">
        <v>3141</v>
      </c>
      <c r="Z947" s="6" t="s">
        <v>194</v>
      </c>
      <c r="AA947" s="6" t="s">
        <v>3642</v>
      </c>
      <c r="AB947" s="6" t="s">
        <v>9902</v>
      </c>
      <c r="AC947" s="6" t="s">
        <v>3141</v>
      </c>
      <c r="AD947" s="6" t="s">
        <v>3188</v>
      </c>
      <c r="AE947" s="6" t="s">
        <v>3293</v>
      </c>
      <c r="AF947" s="6"/>
      <c r="AG947" s="6" t="s">
        <v>9903</v>
      </c>
      <c r="AH947" s="6" t="s">
        <v>79</v>
      </c>
    </row>
    <row r="948" spans="1:34" x14ac:dyDescent="0.25">
      <c r="A948" s="6" t="s">
        <v>2969</v>
      </c>
      <c r="B948" s="6" t="s">
        <v>2970</v>
      </c>
      <c r="C948" s="6" t="s">
        <v>9904</v>
      </c>
      <c r="D948" s="6"/>
      <c r="E948" s="6" t="s">
        <v>3268</v>
      </c>
      <c r="F948" s="6" t="s">
        <v>3201</v>
      </c>
      <c r="G948" s="6" t="s">
        <v>120</v>
      </c>
      <c r="H948" s="6" t="s">
        <v>107</v>
      </c>
      <c r="I948" s="6" t="s">
        <v>92</v>
      </c>
      <c r="J948" s="6" t="s">
        <v>9905</v>
      </c>
      <c r="K948" s="6" t="s">
        <v>3141</v>
      </c>
      <c r="L948" s="6" t="s">
        <v>3143</v>
      </c>
      <c r="M948" s="6" t="s">
        <v>75</v>
      </c>
      <c r="N948" s="6" t="s">
        <v>3152</v>
      </c>
      <c r="O948" s="6" t="s">
        <v>3160</v>
      </c>
      <c r="P948" s="6" t="s">
        <v>7301</v>
      </c>
      <c r="Q948" s="6" t="s">
        <v>9906</v>
      </c>
      <c r="R948" s="6" t="s">
        <v>9907</v>
      </c>
      <c r="S948" s="6" t="s">
        <v>21</v>
      </c>
      <c r="T948" s="6" t="s">
        <v>9908</v>
      </c>
      <c r="U948" s="6" t="s">
        <v>3141</v>
      </c>
      <c r="V948" s="6" t="s">
        <v>9909</v>
      </c>
      <c r="W948" s="6" t="s">
        <v>4290</v>
      </c>
      <c r="X948" s="6" t="s">
        <v>77</v>
      </c>
      <c r="Y948" s="6" t="s">
        <v>3141</v>
      </c>
      <c r="Z948" s="6" t="s">
        <v>93</v>
      </c>
      <c r="AA948" s="6" t="s">
        <v>3448</v>
      </c>
      <c r="AB948" s="6"/>
      <c r="AC948" s="6" t="s">
        <v>3159</v>
      </c>
      <c r="AD948" s="6" t="s">
        <v>3152</v>
      </c>
      <c r="AE948" s="6" t="s">
        <v>3323</v>
      </c>
      <c r="AF948" s="6"/>
      <c r="AG948" s="6" t="s">
        <v>9910</v>
      </c>
      <c r="AH948" s="6" t="s">
        <v>79</v>
      </c>
    </row>
    <row r="949" spans="1:34" x14ac:dyDescent="0.25">
      <c r="A949" s="6" t="s">
        <v>2971</v>
      </c>
      <c r="B949" s="6" t="s">
        <v>2972</v>
      </c>
      <c r="C949" s="6" t="s">
        <v>9911</v>
      </c>
      <c r="D949" s="6" t="s">
        <v>2973</v>
      </c>
      <c r="E949" s="6" t="s">
        <v>4190</v>
      </c>
      <c r="F949" s="6" t="s">
        <v>89</v>
      </c>
      <c r="G949" s="6" t="s">
        <v>314</v>
      </c>
      <c r="H949" s="6" t="s">
        <v>73</v>
      </c>
      <c r="I949" s="6" t="s">
        <v>74</v>
      </c>
      <c r="J949" s="6"/>
      <c r="K949" s="6" t="s">
        <v>3141</v>
      </c>
      <c r="L949" s="6" t="s">
        <v>3152</v>
      </c>
      <c r="M949" s="6" t="s">
        <v>3152</v>
      </c>
      <c r="N949" s="6" t="s">
        <v>3152</v>
      </c>
      <c r="O949" s="6" t="s">
        <v>3143</v>
      </c>
      <c r="P949" s="6" t="s">
        <v>9000</v>
      </c>
      <c r="Q949" s="6" t="s">
        <v>9912</v>
      </c>
      <c r="R949" s="6" t="s">
        <v>9913</v>
      </c>
      <c r="S949" s="6" t="s">
        <v>7464</v>
      </c>
      <c r="T949" s="6" t="s">
        <v>9914</v>
      </c>
      <c r="U949" s="6" t="s">
        <v>3141</v>
      </c>
      <c r="V949" s="6" t="s">
        <v>4787</v>
      </c>
      <c r="W949" s="6" t="s">
        <v>3862</v>
      </c>
      <c r="X949" s="6" t="s">
        <v>3918</v>
      </c>
      <c r="Y949" s="6" t="s">
        <v>3140</v>
      </c>
      <c r="Z949" s="6" t="s">
        <v>78</v>
      </c>
      <c r="AA949" s="6" t="s">
        <v>3278</v>
      </c>
      <c r="AB949" s="6"/>
      <c r="AC949" s="6" t="s">
        <v>3159</v>
      </c>
      <c r="AD949" s="6" t="s">
        <v>3152</v>
      </c>
      <c r="AE949" s="6" t="s">
        <v>3323</v>
      </c>
      <c r="AF949" s="6" t="s">
        <v>9915</v>
      </c>
      <c r="AG949" s="6" t="s">
        <v>8087</v>
      </c>
      <c r="AH949" s="6" t="s">
        <v>79</v>
      </c>
    </row>
    <row r="950" spans="1:34" x14ac:dyDescent="0.25">
      <c r="A950" s="6" t="s">
        <v>2974</v>
      </c>
      <c r="B950" s="6" t="s">
        <v>211</v>
      </c>
      <c r="C950" s="6" t="s">
        <v>2975</v>
      </c>
      <c r="D950" s="6" t="s">
        <v>9916</v>
      </c>
      <c r="E950" s="6" t="s">
        <v>3677</v>
      </c>
      <c r="F950" s="6" t="s">
        <v>71</v>
      </c>
      <c r="G950" s="6" t="s">
        <v>388</v>
      </c>
      <c r="H950" s="6" t="s">
        <v>99</v>
      </c>
      <c r="I950" s="6" t="s">
        <v>74</v>
      </c>
      <c r="J950" s="6" t="s">
        <v>9917</v>
      </c>
      <c r="K950" s="6" t="s">
        <v>3141</v>
      </c>
      <c r="L950" s="6" t="s">
        <v>3143</v>
      </c>
      <c r="M950" s="6" t="s">
        <v>3243</v>
      </c>
      <c r="N950" s="6" t="s">
        <v>3143</v>
      </c>
      <c r="O950" s="6" t="s">
        <v>75</v>
      </c>
      <c r="P950" s="6" t="s">
        <v>6798</v>
      </c>
      <c r="Q950" s="6" t="s">
        <v>9918</v>
      </c>
      <c r="R950" s="6" t="s">
        <v>9919</v>
      </c>
      <c r="S950" s="6" t="s">
        <v>20</v>
      </c>
      <c r="T950" s="6" t="s">
        <v>3217</v>
      </c>
      <c r="U950" s="6" t="s">
        <v>3292</v>
      </c>
      <c r="V950" s="6" t="s">
        <v>6681</v>
      </c>
      <c r="W950" s="6" t="s">
        <v>4176</v>
      </c>
      <c r="X950" s="6" t="s">
        <v>85</v>
      </c>
      <c r="Y950" s="6" t="s">
        <v>3141</v>
      </c>
      <c r="Z950" s="6" t="s">
        <v>93</v>
      </c>
      <c r="AA950" s="6" t="s">
        <v>3195</v>
      </c>
      <c r="AB950" s="6"/>
      <c r="AC950" s="6" t="s">
        <v>3141</v>
      </c>
      <c r="AD950" s="6" t="s">
        <v>3152</v>
      </c>
      <c r="AE950" s="6" t="s">
        <v>3235</v>
      </c>
      <c r="AF950" s="6"/>
      <c r="AG950" s="6"/>
      <c r="AH950" s="6" t="s">
        <v>79</v>
      </c>
    </row>
    <row r="951" spans="1:34" x14ac:dyDescent="0.25">
      <c r="A951" s="6" t="s">
        <v>2977</v>
      </c>
      <c r="B951" s="6" t="s">
        <v>2978</v>
      </c>
      <c r="C951" s="6" t="s">
        <v>9920</v>
      </c>
      <c r="D951" s="6" t="s">
        <v>9921</v>
      </c>
      <c r="E951" s="6" t="s">
        <v>4542</v>
      </c>
      <c r="F951" s="6" t="s">
        <v>3358</v>
      </c>
      <c r="G951" s="6" t="s">
        <v>98</v>
      </c>
      <c r="H951" s="6" t="s">
        <v>99</v>
      </c>
      <c r="I951" s="6" t="s">
        <v>74</v>
      </c>
      <c r="J951" s="6" t="s">
        <v>9922</v>
      </c>
      <c r="K951" s="6" t="s">
        <v>3140</v>
      </c>
      <c r="L951" s="6" t="s">
        <v>3173</v>
      </c>
      <c r="M951" s="6" t="s">
        <v>3142</v>
      </c>
      <c r="N951" s="6" t="s">
        <v>3160</v>
      </c>
      <c r="O951" s="6" t="s">
        <v>75</v>
      </c>
      <c r="P951" s="6" t="s">
        <v>3649</v>
      </c>
      <c r="Q951" s="6" t="s">
        <v>9923</v>
      </c>
      <c r="R951" s="6" t="s">
        <v>9924</v>
      </c>
      <c r="S951" s="6" t="s">
        <v>21</v>
      </c>
      <c r="T951" s="6" t="s">
        <v>9925</v>
      </c>
      <c r="U951" s="6" t="s">
        <v>3141</v>
      </c>
      <c r="V951" s="6" t="s">
        <v>4381</v>
      </c>
      <c r="W951" s="6" t="s">
        <v>4485</v>
      </c>
      <c r="X951" s="6" t="s">
        <v>3167</v>
      </c>
      <c r="Y951" s="6" t="s">
        <v>3140</v>
      </c>
      <c r="Z951" s="6" t="s">
        <v>78</v>
      </c>
      <c r="AA951" s="6" t="s">
        <v>3852</v>
      </c>
      <c r="AB951" s="6"/>
      <c r="AC951" s="6" t="s">
        <v>3159</v>
      </c>
      <c r="AD951" s="6" t="s">
        <v>3160</v>
      </c>
      <c r="AE951" s="6" t="s">
        <v>3279</v>
      </c>
      <c r="AF951" s="6"/>
      <c r="AG951" s="6"/>
      <c r="AH951" s="6" t="s">
        <v>79</v>
      </c>
    </row>
    <row r="952" spans="1:34" x14ac:dyDescent="0.25">
      <c r="A952" s="6" t="s">
        <v>2980</v>
      </c>
      <c r="B952" s="6" t="s">
        <v>2981</v>
      </c>
      <c r="C952" s="6"/>
      <c r="D952" s="6" t="s">
        <v>2982</v>
      </c>
      <c r="E952" s="6" t="s">
        <v>3170</v>
      </c>
      <c r="F952" s="6" t="s">
        <v>3358</v>
      </c>
      <c r="G952" s="6" t="s">
        <v>174</v>
      </c>
      <c r="H952" s="6" t="s">
        <v>84</v>
      </c>
      <c r="I952" s="6" t="s">
        <v>74</v>
      </c>
      <c r="J952" s="6"/>
      <c r="K952" s="6" t="s">
        <v>3141</v>
      </c>
      <c r="L952" s="6" t="s">
        <v>3243</v>
      </c>
      <c r="M952" s="6" t="s">
        <v>3160</v>
      </c>
      <c r="N952" s="6" t="s">
        <v>3152</v>
      </c>
      <c r="O952" s="6" t="s">
        <v>3152</v>
      </c>
      <c r="P952" s="6" t="s">
        <v>3572</v>
      </c>
      <c r="Q952" s="6" t="s">
        <v>9926</v>
      </c>
      <c r="R952" s="6" t="s">
        <v>9927</v>
      </c>
      <c r="S952" s="6" t="s">
        <v>22</v>
      </c>
      <c r="T952" s="6" t="s">
        <v>9928</v>
      </c>
      <c r="U952" s="6" t="s">
        <v>3292</v>
      </c>
      <c r="V952" s="6" t="s">
        <v>4048</v>
      </c>
      <c r="W952" s="6" t="s">
        <v>3478</v>
      </c>
      <c r="X952" s="6" t="s">
        <v>85</v>
      </c>
      <c r="Y952" s="6" t="s">
        <v>3159</v>
      </c>
      <c r="Z952" s="6" t="s">
        <v>93</v>
      </c>
      <c r="AA952" s="6" t="s">
        <v>3747</v>
      </c>
      <c r="AB952" s="6" t="s">
        <v>9929</v>
      </c>
      <c r="AC952" s="6" t="s">
        <v>3141</v>
      </c>
      <c r="AD952" s="6" t="s">
        <v>3143</v>
      </c>
      <c r="AE952" s="6" t="s">
        <v>3622</v>
      </c>
      <c r="AF952" s="6" t="s">
        <v>9930</v>
      </c>
      <c r="AG952" s="6" t="s">
        <v>9931</v>
      </c>
      <c r="AH952" s="6" t="s">
        <v>94</v>
      </c>
    </row>
    <row r="953" spans="1:34" x14ac:dyDescent="0.25">
      <c r="A953" s="6" t="s">
        <v>2983</v>
      </c>
      <c r="B953" s="6" t="s">
        <v>2984</v>
      </c>
      <c r="C953" s="6" t="s">
        <v>9932</v>
      </c>
      <c r="D953" s="6" t="s">
        <v>2985</v>
      </c>
      <c r="E953" s="6" t="s">
        <v>4828</v>
      </c>
      <c r="F953" s="6" t="s">
        <v>3283</v>
      </c>
      <c r="G953" s="6" t="s">
        <v>127</v>
      </c>
      <c r="H953" s="6" t="s">
        <v>91</v>
      </c>
      <c r="I953" s="6" t="s">
        <v>92</v>
      </c>
      <c r="J953" s="6" t="s">
        <v>9933</v>
      </c>
      <c r="K953" s="6" t="s">
        <v>3140</v>
      </c>
      <c r="L953" s="6" t="s">
        <v>3159</v>
      </c>
      <c r="M953" s="6" t="s">
        <v>3152</v>
      </c>
      <c r="N953" s="6" t="s">
        <v>76</v>
      </c>
      <c r="O953" s="6" t="s">
        <v>3152</v>
      </c>
      <c r="P953" s="6" t="s">
        <v>5443</v>
      </c>
      <c r="Q953" s="6" t="s">
        <v>3217</v>
      </c>
      <c r="R953" s="6" t="s">
        <v>9934</v>
      </c>
      <c r="S953" s="6" t="s">
        <v>23</v>
      </c>
      <c r="T953" s="6" t="s">
        <v>9935</v>
      </c>
      <c r="U953" s="6" t="s">
        <v>3140</v>
      </c>
      <c r="V953" s="6" t="s">
        <v>9936</v>
      </c>
      <c r="W953" s="6" t="s">
        <v>3792</v>
      </c>
      <c r="X953" s="6" t="s">
        <v>7767</v>
      </c>
      <c r="Y953" s="6" t="s">
        <v>3141</v>
      </c>
      <c r="Z953" s="6" t="s">
        <v>93</v>
      </c>
      <c r="AA953" s="6" t="s">
        <v>4933</v>
      </c>
      <c r="AB953" s="6"/>
      <c r="AC953" s="6" t="s">
        <v>3141</v>
      </c>
      <c r="AD953" s="6" t="s">
        <v>3141</v>
      </c>
      <c r="AE953" s="6" t="s">
        <v>3318</v>
      </c>
      <c r="AF953" s="6" t="s">
        <v>9937</v>
      </c>
      <c r="AG953" s="6" t="s">
        <v>3551</v>
      </c>
      <c r="AH953" s="6" t="s">
        <v>79</v>
      </c>
    </row>
    <row r="954" spans="1:34" x14ac:dyDescent="0.25">
      <c r="A954" s="6" t="s">
        <v>2986</v>
      </c>
      <c r="B954" s="6" t="s">
        <v>1099</v>
      </c>
      <c r="C954" s="6" t="s">
        <v>9938</v>
      </c>
      <c r="D954" s="6" t="s">
        <v>2987</v>
      </c>
      <c r="E954" s="6" t="s">
        <v>3268</v>
      </c>
      <c r="F954" s="6" t="s">
        <v>89</v>
      </c>
      <c r="G954" s="6" t="s">
        <v>388</v>
      </c>
      <c r="H954" s="6" t="s">
        <v>99</v>
      </c>
      <c r="I954" s="6" t="s">
        <v>74</v>
      </c>
      <c r="J954" s="6" t="s">
        <v>9939</v>
      </c>
      <c r="K954" s="6" t="s">
        <v>3159</v>
      </c>
      <c r="L954" s="6" t="s">
        <v>3142</v>
      </c>
      <c r="M954" s="6" t="s">
        <v>3141</v>
      </c>
      <c r="N954" s="6" t="s">
        <v>75</v>
      </c>
      <c r="O954" s="6" t="s">
        <v>3143</v>
      </c>
      <c r="P954" s="6" t="s">
        <v>9521</v>
      </c>
      <c r="Q954" s="6" t="s">
        <v>9940</v>
      </c>
      <c r="R954" s="6" t="s">
        <v>9941</v>
      </c>
      <c r="S954" s="6" t="s">
        <v>23</v>
      </c>
      <c r="T954" s="6" t="s">
        <v>9942</v>
      </c>
      <c r="U954" s="6" t="s">
        <v>3141</v>
      </c>
      <c r="V954" s="6" t="s">
        <v>3766</v>
      </c>
      <c r="W954" s="6" t="s">
        <v>3873</v>
      </c>
      <c r="X954" s="6" t="s">
        <v>77</v>
      </c>
      <c r="Y954" s="6" t="s">
        <v>3141</v>
      </c>
      <c r="Z954" s="6" t="s">
        <v>78</v>
      </c>
      <c r="AA954" s="6" t="s">
        <v>5032</v>
      </c>
      <c r="AB954" s="6"/>
      <c r="AC954" s="6" t="s">
        <v>3141</v>
      </c>
      <c r="AD954" s="6" t="s">
        <v>3188</v>
      </c>
      <c r="AE954" s="6" t="s">
        <v>3513</v>
      </c>
      <c r="AF954" s="6" t="s">
        <v>9943</v>
      </c>
      <c r="AG954" s="6" t="s">
        <v>6416</v>
      </c>
      <c r="AH954" s="6" t="s">
        <v>79</v>
      </c>
    </row>
    <row r="955" spans="1:34" x14ac:dyDescent="0.25">
      <c r="A955" s="6" t="s">
        <v>2988</v>
      </c>
      <c r="B955" s="6" t="s">
        <v>9944</v>
      </c>
      <c r="C955" s="6" t="s">
        <v>9945</v>
      </c>
      <c r="D955" s="6" t="s">
        <v>2990</v>
      </c>
      <c r="E955" s="6" t="s">
        <v>3970</v>
      </c>
      <c r="F955" s="6" t="s">
        <v>3283</v>
      </c>
      <c r="G955" s="6" t="s">
        <v>131</v>
      </c>
      <c r="H955" s="6" t="s">
        <v>132</v>
      </c>
      <c r="I955" s="6" t="s">
        <v>92</v>
      </c>
      <c r="J955" s="6" t="s">
        <v>9946</v>
      </c>
      <c r="K955" s="6" t="s">
        <v>3159</v>
      </c>
      <c r="L955" s="6" t="s">
        <v>76</v>
      </c>
      <c r="M955" s="6" t="s">
        <v>3152</v>
      </c>
      <c r="N955" s="6" t="s">
        <v>3243</v>
      </c>
      <c r="O955" s="6" t="s">
        <v>3152</v>
      </c>
      <c r="P955" s="6" t="s">
        <v>6350</v>
      </c>
      <c r="Q955" s="6"/>
      <c r="R955" s="6" t="s">
        <v>9947</v>
      </c>
      <c r="S955" s="6" t="s">
        <v>21</v>
      </c>
      <c r="T955" s="6" t="s">
        <v>9948</v>
      </c>
      <c r="U955" s="6" t="s">
        <v>3141</v>
      </c>
      <c r="V955" s="6" t="s">
        <v>9949</v>
      </c>
      <c r="W955" s="6" t="s">
        <v>3811</v>
      </c>
      <c r="X955" s="6" t="s">
        <v>85</v>
      </c>
      <c r="Y955" s="6" t="s">
        <v>3141</v>
      </c>
      <c r="Z955" s="6" t="s">
        <v>78</v>
      </c>
      <c r="AA955" s="6" t="s">
        <v>4764</v>
      </c>
      <c r="AB955" s="6" t="s">
        <v>9950</v>
      </c>
      <c r="AC955" s="6" t="s">
        <v>3141</v>
      </c>
      <c r="AD955" s="6" t="s">
        <v>3243</v>
      </c>
      <c r="AE955" s="6" t="s">
        <v>3323</v>
      </c>
      <c r="AF955" s="6"/>
      <c r="AG955" s="6" t="s">
        <v>6700</v>
      </c>
      <c r="AH955" s="6" t="s">
        <v>79</v>
      </c>
    </row>
    <row r="956" spans="1:34" x14ac:dyDescent="0.25">
      <c r="A956" s="6" t="s">
        <v>2991</v>
      </c>
      <c r="B956" s="6" t="s">
        <v>2992</v>
      </c>
      <c r="C956" s="6" t="s">
        <v>9951</v>
      </c>
      <c r="D956" s="6" t="s">
        <v>9952</v>
      </c>
      <c r="E956" s="6" t="s">
        <v>3483</v>
      </c>
      <c r="F956" s="6" t="s">
        <v>3227</v>
      </c>
      <c r="G956" s="6" t="s">
        <v>388</v>
      </c>
      <c r="H956" s="6" t="s">
        <v>99</v>
      </c>
      <c r="I956" s="6" t="s">
        <v>74</v>
      </c>
      <c r="J956" s="6"/>
      <c r="K956" s="6" t="s">
        <v>3159</v>
      </c>
      <c r="L956" s="6" t="s">
        <v>3188</v>
      </c>
      <c r="M956" s="6" t="s">
        <v>3160</v>
      </c>
      <c r="N956" s="6" t="s">
        <v>3141</v>
      </c>
      <c r="O956" s="6" t="s">
        <v>3152</v>
      </c>
      <c r="P956" s="6" t="s">
        <v>6652</v>
      </c>
      <c r="Q956" s="6" t="s">
        <v>3217</v>
      </c>
      <c r="R956" s="6" t="s">
        <v>9953</v>
      </c>
      <c r="S956" s="6" t="s">
        <v>20</v>
      </c>
      <c r="T956" s="6" t="s">
        <v>9954</v>
      </c>
      <c r="U956" s="6" t="s">
        <v>3192</v>
      </c>
      <c r="V956" s="6" t="s">
        <v>3365</v>
      </c>
      <c r="W956" s="6" t="s">
        <v>3277</v>
      </c>
      <c r="X956" s="6" t="s">
        <v>3353</v>
      </c>
      <c r="Y956" s="6" t="s">
        <v>3140</v>
      </c>
      <c r="Z956" s="6" t="s">
        <v>3664</v>
      </c>
      <c r="AA956" s="6" t="s">
        <v>3954</v>
      </c>
      <c r="AB956" s="6"/>
      <c r="AC956" s="6" t="s">
        <v>3141</v>
      </c>
      <c r="AD956" s="6" t="s">
        <v>3243</v>
      </c>
      <c r="AE956" s="6" t="s">
        <v>3293</v>
      </c>
      <c r="AF956" s="6"/>
      <c r="AG956" s="6" t="s">
        <v>6424</v>
      </c>
      <c r="AH956" s="6" t="s">
        <v>79</v>
      </c>
    </row>
    <row r="957" spans="1:34" x14ac:dyDescent="0.25">
      <c r="A957" s="6" t="s">
        <v>2994</v>
      </c>
      <c r="B957" s="6" t="s">
        <v>947</v>
      </c>
      <c r="C957" s="6" t="s">
        <v>9955</v>
      </c>
      <c r="D957" s="6" t="s">
        <v>2995</v>
      </c>
      <c r="E957" s="6" t="s">
        <v>3703</v>
      </c>
      <c r="F957" s="6" t="s">
        <v>3201</v>
      </c>
      <c r="G957" s="6" t="s">
        <v>314</v>
      </c>
      <c r="H957" s="6" t="s">
        <v>91</v>
      </c>
      <c r="I957" s="6" t="s">
        <v>92</v>
      </c>
      <c r="J957" s="6" t="s">
        <v>9956</v>
      </c>
      <c r="K957" s="6" t="s">
        <v>3140</v>
      </c>
      <c r="L957" s="6" t="s">
        <v>3243</v>
      </c>
      <c r="M957" s="6" t="s">
        <v>3196</v>
      </c>
      <c r="N957" s="6" t="s">
        <v>3143</v>
      </c>
      <c r="O957" s="6" t="s">
        <v>3196</v>
      </c>
      <c r="P957" s="6" t="s">
        <v>6270</v>
      </c>
      <c r="Q957" s="6"/>
      <c r="R957" s="6" t="s">
        <v>9957</v>
      </c>
      <c r="S957" s="6" t="s">
        <v>22</v>
      </c>
      <c r="T957" s="6" t="s">
        <v>9958</v>
      </c>
      <c r="U957" s="6" t="s">
        <v>3159</v>
      </c>
      <c r="V957" s="6" t="s">
        <v>8655</v>
      </c>
      <c r="W957" s="6" t="s">
        <v>3194</v>
      </c>
      <c r="X957" s="6" t="s">
        <v>85</v>
      </c>
      <c r="Y957" s="6" t="s">
        <v>3192</v>
      </c>
      <c r="Z957" s="6" t="s">
        <v>78</v>
      </c>
      <c r="AA957" s="6" t="s">
        <v>4764</v>
      </c>
      <c r="AB957" s="6"/>
      <c r="AC957" s="6" t="s">
        <v>3159</v>
      </c>
      <c r="AD957" s="6" t="s">
        <v>75</v>
      </c>
      <c r="AE957" s="6" t="s">
        <v>3323</v>
      </c>
      <c r="AF957" s="6" t="s">
        <v>9959</v>
      </c>
      <c r="AG957" s="6" t="s">
        <v>9960</v>
      </c>
      <c r="AH957" s="6" t="s">
        <v>79</v>
      </c>
    </row>
    <row r="958" spans="1:34" x14ac:dyDescent="0.25">
      <c r="A958" s="6" t="s">
        <v>2996</v>
      </c>
      <c r="B958" s="6" t="s">
        <v>9961</v>
      </c>
      <c r="C958" s="6" t="s">
        <v>2998</v>
      </c>
      <c r="D958" s="6" t="s">
        <v>2999</v>
      </c>
      <c r="E958" s="6" t="s">
        <v>3843</v>
      </c>
      <c r="F958" s="6" t="s">
        <v>3283</v>
      </c>
      <c r="G958" s="6" t="s">
        <v>388</v>
      </c>
      <c r="H958" s="6" t="s">
        <v>166</v>
      </c>
      <c r="I958" s="6" t="s">
        <v>74</v>
      </c>
      <c r="J958" s="6" t="s">
        <v>9962</v>
      </c>
      <c r="K958" s="6" t="s">
        <v>3292</v>
      </c>
      <c r="L958" s="6" t="s">
        <v>3142</v>
      </c>
      <c r="M958" s="6" t="s">
        <v>3160</v>
      </c>
      <c r="N958" s="6" t="s">
        <v>3159</v>
      </c>
      <c r="O958" s="6" t="s">
        <v>3142</v>
      </c>
      <c r="P958" s="6" t="s">
        <v>9963</v>
      </c>
      <c r="Q958" s="6" t="s">
        <v>9964</v>
      </c>
      <c r="R958" s="6" t="s">
        <v>9965</v>
      </c>
      <c r="S958" s="6" t="s">
        <v>23</v>
      </c>
      <c r="T958" s="6"/>
      <c r="U958" s="6" t="s">
        <v>3141</v>
      </c>
      <c r="V958" s="6" t="s">
        <v>4076</v>
      </c>
      <c r="W958" s="6" t="s">
        <v>3691</v>
      </c>
      <c r="X958" s="6" t="s">
        <v>77</v>
      </c>
      <c r="Y958" s="6" t="s">
        <v>3140</v>
      </c>
      <c r="Z958" s="6" t="s">
        <v>3263</v>
      </c>
      <c r="AA958" s="6" t="s">
        <v>3195</v>
      </c>
      <c r="AB958" s="6"/>
      <c r="AC958" s="6" t="s">
        <v>3141</v>
      </c>
      <c r="AD958" s="6" t="s">
        <v>75</v>
      </c>
      <c r="AE958" s="6" t="s">
        <v>3428</v>
      </c>
      <c r="AF958" s="6" t="s">
        <v>9966</v>
      </c>
      <c r="AG958" s="6" t="s">
        <v>9967</v>
      </c>
      <c r="AH958" s="6" t="s">
        <v>79</v>
      </c>
    </row>
    <row r="959" spans="1:34" x14ac:dyDescent="0.25">
      <c r="A959" s="6" t="s">
        <v>3000</v>
      </c>
      <c r="B959" s="6" t="s">
        <v>3001</v>
      </c>
      <c r="C959" s="6" t="s">
        <v>3002</v>
      </c>
      <c r="D959" s="6" t="s">
        <v>3003</v>
      </c>
      <c r="E959" s="6" t="s">
        <v>4358</v>
      </c>
      <c r="F959" s="6" t="s">
        <v>3269</v>
      </c>
      <c r="G959" s="6" t="s">
        <v>139</v>
      </c>
      <c r="H959" s="6" t="s">
        <v>103</v>
      </c>
      <c r="I959" s="6" t="s">
        <v>74</v>
      </c>
      <c r="J959" s="6" t="s">
        <v>9968</v>
      </c>
      <c r="K959" s="6" t="s">
        <v>3140</v>
      </c>
      <c r="L959" s="6" t="s">
        <v>3173</v>
      </c>
      <c r="M959" s="6" t="s">
        <v>3159</v>
      </c>
      <c r="N959" s="6" t="s">
        <v>3152</v>
      </c>
      <c r="O959" s="6" t="s">
        <v>3141</v>
      </c>
      <c r="P959" s="6" t="s">
        <v>9641</v>
      </c>
      <c r="Q959" s="6" t="s">
        <v>9969</v>
      </c>
      <c r="R959" s="6" t="s">
        <v>9970</v>
      </c>
      <c r="S959" s="6" t="s">
        <v>3219</v>
      </c>
      <c r="T959" s="6" t="s">
        <v>9971</v>
      </c>
      <c r="U959" s="6" t="s">
        <v>3140</v>
      </c>
      <c r="V959" s="6" t="s">
        <v>6876</v>
      </c>
      <c r="W959" s="6" t="s">
        <v>3477</v>
      </c>
      <c r="X959" s="6" t="s">
        <v>85</v>
      </c>
      <c r="Y959" s="6" t="s">
        <v>3159</v>
      </c>
      <c r="Z959" s="6" t="s">
        <v>78</v>
      </c>
      <c r="AA959" s="6" t="s">
        <v>3987</v>
      </c>
      <c r="AB959" s="6" t="s">
        <v>9972</v>
      </c>
      <c r="AC959" s="6" t="s">
        <v>3292</v>
      </c>
      <c r="AD959" s="6" t="s">
        <v>3142</v>
      </c>
      <c r="AE959" s="6" t="s">
        <v>3235</v>
      </c>
      <c r="AF959" s="6"/>
      <c r="AG959" s="6" t="s">
        <v>9973</v>
      </c>
      <c r="AH959" s="6" t="s">
        <v>79</v>
      </c>
    </row>
    <row r="960" spans="1:34" x14ac:dyDescent="0.25">
      <c r="A960" s="6" t="s">
        <v>3004</v>
      </c>
      <c r="B960" s="6" t="s">
        <v>855</v>
      </c>
      <c r="C960" s="6" t="s">
        <v>9974</v>
      </c>
      <c r="D960" s="6" t="s">
        <v>9975</v>
      </c>
      <c r="E960" s="6" t="s">
        <v>3136</v>
      </c>
      <c r="F960" s="6" t="s">
        <v>3227</v>
      </c>
      <c r="G960" s="6" t="s">
        <v>215</v>
      </c>
      <c r="H960" s="6" t="s">
        <v>166</v>
      </c>
      <c r="I960" s="6" t="s">
        <v>74</v>
      </c>
      <c r="J960" s="6" t="s">
        <v>9976</v>
      </c>
      <c r="K960" s="6" t="s">
        <v>3159</v>
      </c>
      <c r="L960" s="6" t="s">
        <v>76</v>
      </c>
      <c r="M960" s="6" t="s">
        <v>3152</v>
      </c>
      <c r="N960" s="6" t="s">
        <v>75</v>
      </c>
      <c r="O960" s="6" t="s">
        <v>3141</v>
      </c>
      <c r="P960" s="6" t="s">
        <v>3337</v>
      </c>
      <c r="Q960" s="6" t="s">
        <v>9977</v>
      </c>
      <c r="R960" s="6" t="s">
        <v>9978</v>
      </c>
      <c r="S960" s="6" t="s">
        <v>20</v>
      </c>
      <c r="T960" s="6" t="s">
        <v>9979</v>
      </c>
      <c r="U960" s="6" t="s">
        <v>3141</v>
      </c>
      <c r="V960" s="6" t="s">
        <v>9980</v>
      </c>
      <c r="W960" s="6" t="s">
        <v>4919</v>
      </c>
      <c r="X960" s="6" t="s">
        <v>85</v>
      </c>
      <c r="Y960" s="6" t="s">
        <v>3140</v>
      </c>
      <c r="Z960" s="6" t="s">
        <v>78</v>
      </c>
      <c r="AA960" s="6" t="s">
        <v>3404</v>
      </c>
      <c r="AB960" s="6"/>
      <c r="AC960" s="6" t="s">
        <v>3141</v>
      </c>
      <c r="AD960" s="6" t="s">
        <v>75</v>
      </c>
      <c r="AE960" s="6" t="s">
        <v>3136</v>
      </c>
      <c r="AF960" s="6"/>
      <c r="AG960" s="6" t="s">
        <v>9981</v>
      </c>
      <c r="AH960" s="6" t="s">
        <v>79</v>
      </c>
    </row>
    <row r="961" spans="1:34" x14ac:dyDescent="0.25">
      <c r="A961" s="6" t="s">
        <v>3006</v>
      </c>
      <c r="B961" s="6" t="s">
        <v>1099</v>
      </c>
      <c r="C961" s="6" t="s">
        <v>3007</v>
      </c>
      <c r="D961" s="6" t="s">
        <v>3008</v>
      </c>
      <c r="E961" s="6" t="s">
        <v>3136</v>
      </c>
      <c r="F961" s="6" t="s">
        <v>71</v>
      </c>
      <c r="G961" s="6" t="s">
        <v>215</v>
      </c>
      <c r="H961" s="6" t="s">
        <v>103</v>
      </c>
      <c r="I961" s="6" t="s">
        <v>74</v>
      </c>
      <c r="J961" s="6"/>
      <c r="K961" s="6" t="s">
        <v>3159</v>
      </c>
      <c r="L961" s="6" t="s">
        <v>3159</v>
      </c>
      <c r="M961" s="6" t="s">
        <v>3152</v>
      </c>
      <c r="N961" s="6" t="s">
        <v>3160</v>
      </c>
      <c r="O961" s="6" t="s">
        <v>75</v>
      </c>
      <c r="P961" s="6" t="s">
        <v>6399</v>
      </c>
      <c r="Q961" s="6"/>
      <c r="R961" s="6" t="s">
        <v>9982</v>
      </c>
      <c r="S961" s="6" t="s">
        <v>21</v>
      </c>
      <c r="T961" s="6" t="s">
        <v>3217</v>
      </c>
      <c r="U961" s="6" t="s">
        <v>3159</v>
      </c>
      <c r="V961" s="6" t="s">
        <v>4265</v>
      </c>
      <c r="W961" s="6" t="s">
        <v>3166</v>
      </c>
      <c r="X961" s="6" t="s">
        <v>77</v>
      </c>
      <c r="Y961" s="6" t="s">
        <v>3192</v>
      </c>
      <c r="Z961" s="6" t="s">
        <v>93</v>
      </c>
      <c r="AA961" s="6" t="s">
        <v>5002</v>
      </c>
      <c r="AB961" s="6"/>
      <c r="AC961" s="6" t="s">
        <v>3140</v>
      </c>
      <c r="AD961" s="6" t="s">
        <v>75</v>
      </c>
      <c r="AE961" s="6" t="s">
        <v>3136</v>
      </c>
      <c r="AF961" s="6"/>
      <c r="AG961" s="6" t="s">
        <v>5775</v>
      </c>
      <c r="AH961" s="6" t="s">
        <v>79</v>
      </c>
    </row>
    <row r="962" spans="1:34" x14ac:dyDescent="0.25">
      <c r="A962" s="6" t="s">
        <v>3009</v>
      </c>
      <c r="B962" s="6" t="s">
        <v>3010</v>
      </c>
      <c r="C962" s="6" t="s">
        <v>3011</v>
      </c>
      <c r="D962" s="6" t="s">
        <v>3012</v>
      </c>
      <c r="E962" s="6" t="s">
        <v>3254</v>
      </c>
      <c r="F962" s="6" t="s">
        <v>3358</v>
      </c>
      <c r="G962" s="6" t="s">
        <v>388</v>
      </c>
      <c r="H962" s="6" t="s">
        <v>107</v>
      </c>
      <c r="I962" s="6" t="s">
        <v>92</v>
      </c>
      <c r="J962" s="6" t="s">
        <v>9983</v>
      </c>
      <c r="K962" s="6" t="s">
        <v>3159</v>
      </c>
      <c r="L962" s="6" t="s">
        <v>3196</v>
      </c>
      <c r="M962" s="6" t="s">
        <v>3143</v>
      </c>
      <c r="N962" s="6" t="s">
        <v>3160</v>
      </c>
      <c r="O962" s="6" t="s">
        <v>75</v>
      </c>
      <c r="P962" s="6" t="s">
        <v>5726</v>
      </c>
      <c r="Q962" s="6" t="s">
        <v>9984</v>
      </c>
      <c r="R962" s="6" t="s">
        <v>9985</v>
      </c>
      <c r="S962" s="6" t="s">
        <v>22</v>
      </c>
      <c r="T962" s="6" t="s">
        <v>9986</v>
      </c>
      <c r="U962" s="6" t="s">
        <v>3141</v>
      </c>
      <c r="V962" s="6" t="s">
        <v>6402</v>
      </c>
      <c r="W962" s="6" t="s">
        <v>4108</v>
      </c>
      <c r="X962" s="6" t="s">
        <v>161</v>
      </c>
      <c r="Y962" s="6" t="s">
        <v>3292</v>
      </c>
      <c r="Z962" s="6" t="s">
        <v>194</v>
      </c>
      <c r="AA962" s="6" t="s">
        <v>3404</v>
      </c>
      <c r="AB962" s="6"/>
      <c r="AC962" s="6" t="s">
        <v>3141</v>
      </c>
      <c r="AD962" s="6" t="s">
        <v>3143</v>
      </c>
      <c r="AE962" s="6" t="s">
        <v>3279</v>
      </c>
      <c r="AF962" s="6" t="s">
        <v>9987</v>
      </c>
      <c r="AG962" s="6" t="s">
        <v>9988</v>
      </c>
      <c r="AH962" s="6" t="s">
        <v>79</v>
      </c>
    </row>
    <row r="963" spans="1:34" x14ac:dyDescent="0.25">
      <c r="A963" s="6" t="s">
        <v>3013</v>
      </c>
      <c r="B963" s="6" t="s">
        <v>3014</v>
      </c>
      <c r="C963" s="6" t="s">
        <v>9989</v>
      </c>
      <c r="D963" s="6" t="s">
        <v>3015</v>
      </c>
      <c r="E963" s="6" t="s">
        <v>3200</v>
      </c>
      <c r="F963" s="6" t="s">
        <v>3227</v>
      </c>
      <c r="G963" s="6" t="s">
        <v>3171</v>
      </c>
      <c r="H963" s="6" t="s">
        <v>166</v>
      </c>
      <c r="I963" s="6" t="s">
        <v>74</v>
      </c>
      <c r="J963" s="6" t="s">
        <v>9990</v>
      </c>
      <c r="K963" s="6" t="s">
        <v>3140</v>
      </c>
      <c r="L963" s="6" t="s">
        <v>76</v>
      </c>
      <c r="M963" s="6" t="s">
        <v>3143</v>
      </c>
      <c r="N963" s="6" t="s">
        <v>3152</v>
      </c>
      <c r="O963" s="6" t="s">
        <v>3196</v>
      </c>
      <c r="P963" s="6" t="s">
        <v>5211</v>
      </c>
      <c r="Q963" s="6"/>
      <c r="R963" s="6" t="s">
        <v>9991</v>
      </c>
      <c r="S963" s="6" t="s">
        <v>21</v>
      </c>
      <c r="T963" s="6" t="s">
        <v>9992</v>
      </c>
      <c r="U963" s="6" t="s">
        <v>3140</v>
      </c>
      <c r="V963" s="6" t="s">
        <v>6743</v>
      </c>
      <c r="W963" s="6" t="s">
        <v>3150</v>
      </c>
      <c r="X963" s="6" t="s">
        <v>77</v>
      </c>
      <c r="Y963" s="6" t="s">
        <v>3140</v>
      </c>
      <c r="Z963" s="6" t="s">
        <v>93</v>
      </c>
      <c r="AA963" s="6" t="s">
        <v>6971</v>
      </c>
      <c r="AB963" s="6"/>
      <c r="AC963" s="6" t="s">
        <v>3159</v>
      </c>
      <c r="AD963" s="6" t="s">
        <v>3243</v>
      </c>
      <c r="AE963" s="6" t="s">
        <v>3323</v>
      </c>
      <c r="AF963" s="6"/>
      <c r="AG963" s="6" t="s">
        <v>3418</v>
      </c>
      <c r="AH963" s="6" t="s">
        <v>79</v>
      </c>
    </row>
    <row r="964" spans="1:34" x14ac:dyDescent="0.25">
      <c r="A964" s="6" t="s">
        <v>3016</v>
      </c>
      <c r="B964" s="6" t="s">
        <v>3017</v>
      </c>
      <c r="C964" s="6" t="s">
        <v>9993</v>
      </c>
      <c r="D964" s="6"/>
      <c r="E964" s="6" t="s">
        <v>3235</v>
      </c>
      <c r="F964" s="6" t="s">
        <v>3283</v>
      </c>
      <c r="G964" s="6" t="s">
        <v>388</v>
      </c>
      <c r="H964" s="6" t="s">
        <v>144</v>
      </c>
      <c r="I964" s="6" t="s">
        <v>92</v>
      </c>
      <c r="J964" s="6"/>
      <c r="K964" s="6" t="s">
        <v>3141</v>
      </c>
      <c r="L964" s="6" t="s">
        <v>3143</v>
      </c>
      <c r="M964" s="6" t="s">
        <v>75</v>
      </c>
      <c r="N964" s="6" t="s">
        <v>3152</v>
      </c>
      <c r="O964" s="6" t="s">
        <v>3160</v>
      </c>
      <c r="P964" s="6" t="s">
        <v>5575</v>
      </c>
      <c r="Q964" s="6" t="s">
        <v>9994</v>
      </c>
      <c r="R964" s="6" t="s">
        <v>9995</v>
      </c>
      <c r="S964" s="6" t="s">
        <v>23</v>
      </c>
      <c r="T964" s="6" t="s">
        <v>9996</v>
      </c>
      <c r="U964" s="6" t="s">
        <v>3140</v>
      </c>
      <c r="V964" s="6" t="s">
        <v>4076</v>
      </c>
      <c r="W964" s="6" t="s">
        <v>3194</v>
      </c>
      <c r="X964" s="6" t="s">
        <v>77</v>
      </c>
      <c r="Y964" s="6" t="s">
        <v>3192</v>
      </c>
      <c r="Z964" s="6" t="s">
        <v>93</v>
      </c>
      <c r="AA964" s="6" t="s">
        <v>4050</v>
      </c>
      <c r="AB964" s="6" t="s">
        <v>9997</v>
      </c>
      <c r="AC964" s="6" t="s">
        <v>3159</v>
      </c>
      <c r="AD964" s="6" t="s">
        <v>3141</v>
      </c>
      <c r="AE964" s="6" t="s">
        <v>3331</v>
      </c>
      <c r="AF964" s="6" t="s">
        <v>9998</v>
      </c>
      <c r="AG964" s="6" t="s">
        <v>8940</v>
      </c>
      <c r="AH964" s="6" t="s">
        <v>79</v>
      </c>
    </row>
    <row r="965" spans="1:34" x14ac:dyDescent="0.25">
      <c r="A965" s="6" t="s">
        <v>3018</v>
      </c>
      <c r="B965" s="6" t="s">
        <v>9999</v>
      </c>
      <c r="C965" s="6" t="s">
        <v>10000</v>
      </c>
      <c r="D965" s="6" t="s">
        <v>3020</v>
      </c>
      <c r="E965" s="6" t="s">
        <v>3282</v>
      </c>
      <c r="F965" s="6" t="s">
        <v>3227</v>
      </c>
      <c r="G965" s="6" t="s">
        <v>417</v>
      </c>
      <c r="H965" s="6" t="s">
        <v>84</v>
      </c>
      <c r="I965" s="6" t="s">
        <v>74</v>
      </c>
      <c r="J965" s="6" t="s">
        <v>10001</v>
      </c>
      <c r="K965" s="6" t="s">
        <v>3140</v>
      </c>
      <c r="L965" s="6" t="s">
        <v>3159</v>
      </c>
      <c r="M965" s="6" t="s">
        <v>3141</v>
      </c>
      <c r="N965" s="6" t="s">
        <v>3142</v>
      </c>
      <c r="O965" s="6" t="s">
        <v>3141</v>
      </c>
      <c r="P965" s="6" t="s">
        <v>10002</v>
      </c>
      <c r="Q965" s="6" t="s">
        <v>10003</v>
      </c>
      <c r="R965" s="6" t="s">
        <v>10004</v>
      </c>
      <c r="S965" s="6" t="s">
        <v>23</v>
      </c>
      <c r="T965" s="6" t="s">
        <v>10005</v>
      </c>
      <c r="U965" s="6" t="s">
        <v>3292</v>
      </c>
      <c r="V965" s="6" t="s">
        <v>4528</v>
      </c>
      <c r="W965" s="6" t="s">
        <v>3894</v>
      </c>
      <c r="X965" s="6" t="s">
        <v>85</v>
      </c>
      <c r="Y965" s="6" t="s">
        <v>3159</v>
      </c>
      <c r="Z965" s="6" t="s">
        <v>78</v>
      </c>
      <c r="AA965" s="6" t="s">
        <v>3374</v>
      </c>
      <c r="AB965" s="6"/>
      <c r="AC965" s="6" t="s">
        <v>3141</v>
      </c>
      <c r="AD965" s="6" t="s">
        <v>3160</v>
      </c>
      <c r="AE965" s="6" t="s">
        <v>3153</v>
      </c>
      <c r="AF965" s="6" t="s">
        <v>10006</v>
      </c>
      <c r="AG965" s="6"/>
      <c r="AH965" s="6" t="s">
        <v>79</v>
      </c>
    </row>
    <row r="966" spans="1:34" x14ac:dyDescent="0.25">
      <c r="A966" s="6" t="s">
        <v>3021</v>
      </c>
      <c r="B966" s="6" t="s">
        <v>228</v>
      </c>
      <c r="C966" s="6" t="s">
        <v>3022</v>
      </c>
      <c r="D966" s="6" t="s">
        <v>3023</v>
      </c>
      <c r="E966" s="6" t="s">
        <v>3420</v>
      </c>
      <c r="F966" s="6" t="s">
        <v>71</v>
      </c>
      <c r="G966" s="6" t="s">
        <v>417</v>
      </c>
      <c r="H966" s="6" t="s">
        <v>99</v>
      </c>
      <c r="I966" s="6" t="s">
        <v>74</v>
      </c>
      <c r="J966" s="6" t="s">
        <v>10007</v>
      </c>
      <c r="K966" s="6" t="s">
        <v>3159</v>
      </c>
      <c r="L966" s="6" t="s">
        <v>3188</v>
      </c>
      <c r="M966" s="6" t="s">
        <v>3152</v>
      </c>
      <c r="N966" s="6" t="s">
        <v>3160</v>
      </c>
      <c r="O966" s="6" t="s">
        <v>3152</v>
      </c>
      <c r="P966" s="6" t="s">
        <v>4745</v>
      </c>
      <c r="Q966" s="6" t="s">
        <v>3217</v>
      </c>
      <c r="R966" s="6" t="s">
        <v>10008</v>
      </c>
      <c r="S966" s="6" t="s">
        <v>20</v>
      </c>
      <c r="T966" s="6" t="s">
        <v>10009</v>
      </c>
      <c r="U966" s="6" t="s">
        <v>3159</v>
      </c>
      <c r="V966" s="6" t="s">
        <v>5093</v>
      </c>
      <c r="W966" s="6" t="s">
        <v>3541</v>
      </c>
      <c r="X966" s="6" t="s">
        <v>6949</v>
      </c>
      <c r="Y966" s="6" t="s">
        <v>3140</v>
      </c>
      <c r="Z966" s="6" t="s">
        <v>93</v>
      </c>
      <c r="AA966" s="6" t="s">
        <v>4840</v>
      </c>
      <c r="AB966" s="6" t="s">
        <v>10010</v>
      </c>
      <c r="AC966" s="6" t="s">
        <v>3159</v>
      </c>
      <c r="AD966" s="6" t="s">
        <v>3160</v>
      </c>
      <c r="AE966" s="6" t="s">
        <v>3136</v>
      </c>
      <c r="AF966" s="6"/>
      <c r="AG966" s="6" t="s">
        <v>10011</v>
      </c>
      <c r="AH966" s="6" t="s">
        <v>94</v>
      </c>
    </row>
    <row r="967" spans="1:34" x14ac:dyDescent="0.25">
      <c r="A967" s="6" t="s">
        <v>3024</v>
      </c>
      <c r="B967" s="6" t="s">
        <v>3025</v>
      </c>
      <c r="C967" s="6"/>
      <c r="D967" s="6" t="s">
        <v>10012</v>
      </c>
      <c r="E967" s="6" t="s">
        <v>3570</v>
      </c>
      <c r="F967" s="6" t="s">
        <v>3137</v>
      </c>
      <c r="G967" s="6" t="s">
        <v>6790</v>
      </c>
      <c r="H967" s="6" t="s">
        <v>107</v>
      </c>
      <c r="I967" s="6" t="s">
        <v>92</v>
      </c>
      <c r="J967" s="6" t="s">
        <v>10013</v>
      </c>
      <c r="K967" s="6" t="s">
        <v>3140</v>
      </c>
      <c r="L967" s="6" t="s">
        <v>3159</v>
      </c>
      <c r="M967" s="6" t="s">
        <v>3243</v>
      </c>
      <c r="N967" s="6" t="s">
        <v>3196</v>
      </c>
      <c r="O967" s="6" t="s">
        <v>3160</v>
      </c>
      <c r="P967" s="6" t="s">
        <v>6204</v>
      </c>
      <c r="Q967" s="6" t="s">
        <v>10014</v>
      </c>
      <c r="R967" s="6" t="s">
        <v>10015</v>
      </c>
      <c r="S967" s="6" t="s">
        <v>21</v>
      </c>
      <c r="T967" s="6" t="s">
        <v>10016</v>
      </c>
      <c r="U967" s="6" t="s">
        <v>3141</v>
      </c>
      <c r="V967" s="6" t="s">
        <v>5264</v>
      </c>
      <c r="W967" s="6" t="s">
        <v>3642</v>
      </c>
      <c r="X967" s="6" t="s">
        <v>85</v>
      </c>
      <c r="Y967" s="6" t="s">
        <v>3140</v>
      </c>
      <c r="Z967" s="6" t="s">
        <v>93</v>
      </c>
      <c r="AA967" s="6" t="s">
        <v>3222</v>
      </c>
      <c r="AB967" s="6" t="s">
        <v>10017</v>
      </c>
      <c r="AC967" s="6" t="s">
        <v>3292</v>
      </c>
      <c r="AD967" s="6" t="s">
        <v>3152</v>
      </c>
      <c r="AE967" s="6" t="s">
        <v>3279</v>
      </c>
      <c r="AF967" s="6"/>
      <c r="AG967" s="6" t="s">
        <v>10018</v>
      </c>
      <c r="AH967" s="6" t="s">
        <v>79</v>
      </c>
    </row>
    <row r="968" spans="1:34" x14ac:dyDescent="0.25">
      <c r="A968" s="6" t="s">
        <v>3027</v>
      </c>
      <c r="B968" s="6" t="s">
        <v>3028</v>
      </c>
      <c r="C968" s="6" t="s">
        <v>3029</v>
      </c>
      <c r="D968" s="6" t="s">
        <v>3030</v>
      </c>
      <c r="E968" s="6" t="s">
        <v>3185</v>
      </c>
      <c r="F968" s="6" t="s">
        <v>3283</v>
      </c>
      <c r="G968" s="6" t="s">
        <v>417</v>
      </c>
      <c r="H968" s="6" t="s">
        <v>132</v>
      </c>
      <c r="I968" s="6" t="s">
        <v>92</v>
      </c>
      <c r="J968" s="6" t="s">
        <v>10019</v>
      </c>
      <c r="K968" s="6" t="s">
        <v>3292</v>
      </c>
      <c r="L968" s="6" t="s">
        <v>3152</v>
      </c>
      <c r="M968" s="6" t="s">
        <v>3188</v>
      </c>
      <c r="N968" s="6" t="s">
        <v>3159</v>
      </c>
      <c r="O968" s="6" t="s">
        <v>76</v>
      </c>
      <c r="P968" s="6" t="s">
        <v>6128</v>
      </c>
      <c r="Q968" s="6" t="s">
        <v>3217</v>
      </c>
      <c r="R968" s="6" t="s">
        <v>10020</v>
      </c>
      <c r="S968" s="6" t="s">
        <v>22</v>
      </c>
      <c r="T968" s="6" t="s">
        <v>10021</v>
      </c>
      <c r="U968" s="6" t="s">
        <v>3292</v>
      </c>
      <c r="V968" s="6" t="s">
        <v>9980</v>
      </c>
      <c r="W968" s="6" t="s">
        <v>3289</v>
      </c>
      <c r="X968" s="6" t="s">
        <v>85</v>
      </c>
      <c r="Y968" s="6" t="s">
        <v>3159</v>
      </c>
      <c r="Z968" s="6" t="s">
        <v>78</v>
      </c>
      <c r="AA968" s="6" t="s">
        <v>3588</v>
      </c>
      <c r="AB968" s="6"/>
      <c r="AC968" s="6" t="s">
        <v>3141</v>
      </c>
      <c r="AD968" s="6" t="s">
        <v>3196</v>
      </c>
      <c r="AE968" s="6" t="s">
        <v>3235</v>
      </c>
      <c r="AF968" s="6" t="s">
        <v>10022</v>
      </c>
      <c r="AG968" s="6" t="s">
        <v>10023</v>
      </c>
      <c r="AH968" s="6" t="s">
        <v>79</v>
      </c>
    </row>
    <row r="969" spans="1:34" x14ac:dyDescent="0.25">
      <c r="A969" s="6" t="s">
        <v>3031</v>
      </c>
      <c r="B969" s="6" t="s">
        <v>10024</v>
      </c>
      <c r="C969" s="6" t="s">
        <v>10025</v>
      </c>
      <c r="D969" s="6" t="s">
        <v>10026</v>
      </c>
      <c r="E969" s="6" t="s">
        <v>4190</v>
      </c>
      <c r="F969" s="6" t="s">
        <v>3214</v>
      </c>
      <c r="G969" s="6" t="s">
        <v>215</v>
      </c>
      <c r="H969" s="6" t="s">
        <v>107</v>
      </c>
      <c r="I969" s="6" t="s">
        <v>92</v>
      </c>
      <c r="J969" s="6"/>
      <c r="K969" s="6" t="s">
        <v>3140</v>
      </c>
      <c r="L969" s="6" t="s">
        <v>3142</v>
      </c>
      <c r="M969" s="6" t="s">
        <v>3196</v>
      </c>
      <c r="N969" s="6" t="s">
        <v>75</v>
      </c>
      <c r="O969" s="6" t="s">
        <v>3141</v>
      </c>
      <c r="P969" s="6" t="s">
        <v>4035</v>
      </c>
      <c r="Q969" s="6"/>
      <c r="R969" s="6" t="s">
        <v>10027</v>
      </c>
      <c r="S969" s="6" t="s">
        <v>23</v>
      </c>
      <c r="T969" s="6" t="s">
        <v>10028</v>
      </c>
      <c r="U969" s="6" t="s">
        <v>3140</v>
      </c>
      <c r="V969" s="6" t="s">
        <v>7877</v>
      </c>
      <c r="W969" s="6" t="s">
        <v>3467</v>
      </c>
      <c r="X969" s="6" t="s">
        <v>85</v>
      </c>
      <c r="Y969" s="6" t="s">
        <v>3159</v>
      </c>
      <c r="Z969" s="6" t="s">
        <v>3329</v>
      </c>
      <c r="AA969" s="6" t="s">
        <v>4407</v>
      </c>
      <c r="AB969" s="6" t="s">
        <v>10029</v>
      </c>
      <c r="AC969" s="6" t="s">
        <v>3292</v>
      </c>
      <c r="AD969" s="6" t="s">
        <v>3141</v>
      </c>
      <c r="AE969" s="6" t="s">
        <v>3513</v>
      </c>
      <c r="AF969" s="6" t="s">
        <v>10030</v>
      </c>
      <c r="AG969" s="6" t="s">
        <v>10031</v>
      </c>
      <c r="AH969" s="6" t="s">
        <v>79</v>
      </c>
    </row>
    <row r="970" spans="1:34" x14ac:dyDescent="0.25">
      <c r="A970" s="6" t="s">
        <v>3034</v>
      </c>
      <c r="B970" s="6" t="s">
        <v>1919</v>
      </c>
      <c r="C970" s="6" t="s">
        <v>10032</v>
      </c>
      <c r="D970" s="6"/>
      <c r="E970" s="6" t="s">
        <v>4190</v>
      </c>
      <c r="F970" s="6" t="s">
        <v>3227</v>
      </c>
      <c r="G970" s="6" t="s">
        <v>106</v>
      </c>
      <c r="H970" s="6" t="s">
        <v>103</v>
      </c>
      <c r="I970" s="6" t="s">
        <v>74</v>
      </c>
      <c r="J970" s="6" t="s">
        <v>10033</v>
      </c>
      <c r="K970" s="6" t="s">
        <v>3159</v>
      </c>
      <c r="L970" s="6" t="s">
        <v>3141</v>
      </c>
      <c r="M970" s="6" t="s">
        <v>3188</v>
      </c>
      <c r="N970" s="6" t="s">
        <v>75</v>
      </c>
      <c r="O970" s="6" t="s">
        <v>3160</v>
      </c>
      <c r="P970" s="6" t="s">
        <v>10034</v>
      </c>
      <c r="Q970" s="6"/>
      <c r="R970" s="6" t="s">
        <v>10035</v>
      </c>
      <c r="S970" s="6" t="s">
        <v>23</v>
      </c>
      <c r="T970" s="6" t="s">
        <v>10036</v>
      </c>
      <c r="U970" s="6" t="s">
        <v>3140</v>
      </c>
      <c r="V970" s="6" t="s">
        <v>10037</v>
      </c>
      <c r="W970" s="6" t="s">
        <v>4354</v>
      </c>
      <c r="X970" s="6" t="s">
        <v>77</v>
      </c>
      <c r="Y970" s="6" t="s">
        <v>3141</v>
      </c>
      <c r="Z970" s="6" t="s">
        <v>93</v>
      </c>
      <c r="AA970" s="6" t="s">
        <v>3943</v>
      </c>
      <c r="AB970" s="6"/>
      <c r="AC970" s="6" t="s">
        <v>3141</v>
      </c>
      <c r="AD970" s="6" t="s">
        <v>75</v>
      </c>
      <c r="AE970" s="6" t="s">
        <v>3513</v>
      </c>
      <c r="AF970" s="6" t="s">
        <v>10038</v>
      </c>
      <c r="AG970" s="6" t="s">
        <v>10039</v>
      </c>
      <c r="AH970" s="6" t="s">
        <v>79</v>
      </c>
    </row>
    <row r="971" spans="1:34" x14ac:dyDescent="0.25">
      <c r="A971" s="6" t="s">
        <v>3035</v>
      </c>
      <c r="B971" s="6" t="s">
        <v>117</v>
      </c>
      <c r="C971" s="6"/>
      <c r="D971" s="6" t="s">
        <v>3036</v>
      </c>
      <c r="E971" s="6" t="s">
        <v>4828</v>
      </c>
      <c r="F971" s="6" t="s">
        <v>3201</v>
      </c>
      <c r="G971" s="6" t="s">
        <v>72</v>
      </c>
      <c r="H971" s="6" t="s">
        <v>99</v>
      </c>
      <c r="I971" s="6" t="s">
        <v>74</v>
      </c>
      <c r="J971" s="6"/>
      <c r="K971" s="6" t="s">
        <v>3140</v>
      </c>
      <c r="L971" s="6" t="s">
        <v>3196</v>
      </c>
      <c r="M971" s="6" t="s">
        <v>3143</v>
      </c>
      <c r="N971" s="6" t="s">
        <v>3142</v>
      </c>
      <c r="O971" s="6" t="s">
        <v>3152</v>
      </c>
      <c r="P971" s="6" t="s">
        <v>3981</v>
      </c>
      <c r="Q971" s="6" t="s">
        <v>10040</v>
      </c>
      <c r="R971" s="6" t="s">
        <v>10041</v>
      </c>
      <c r="S971" s="6" t="s">
        <v>20</v>
      </c>
      <c r="T971" s="6" t="s">
        <v>10042</v>
      </c>
      <c r="U971" s="6" t="s">
        <v>3141</v>
      </c>
      <c r="V971" s="6" t="s">
        <v>4635</v>
      </c>
      <c r="W971" s="6" t="s">
        <v>3289</v>
      </c>
      <c r="X971" s="6" t="s">
        <v>77</v>
      </c>
      <c r="Y971" s="6" t="s">
        <v>3292</v>
      </c>
      <c r="Z971" s="6" t="s">
        <v>78</v>
      </c>
      <c r="AA971" s="6" t="s">
        <v>7289</v>
      </c>
      <c r="AB971" s="6"/>
      <c r="AC971" s="6" t="s">
        <v>3159</v>
      </c>
      <c r="AD971" s="6" t="s">
        <v>3243</v>
      </c>
      <c r="AE971" s="6" t="s">
        <v>3293</v>
      </c>
      <c r="AF971" s="6"/>
      <c r="AG971" s="6" t="s">
        <v>6153</v>
      </c>
      <c r="AH971" s="6" t="s">
        <v>79</v>
      </c>
    </row>
    <row r="972" spans="1:34" x14ac:dyDescent="0.25">
      <c r="A972" s="6" t="s">
        <v>3037</v>
      </c>
      <c r="B972" s="6" t="s">
        <v>368</v>
      </c>
      <c r="C972" s="6" t="s">
        <v>10043</v>
      </c>
      <c r="D972" s="6" t="s">
        <v>3038</v>
      </c>
      <c r="E972" s="6" t="s">
        <v>4542</v>
      </c>
      <c r="F972" s="6" t="s">
        <v>3201</v>
      </c>
      <c r="G972" s="6" t="s">
        <v>115</v>
      </c>
      <c r="H972" s="6" t="s">
        <v>132</v>
      </c>
      <c r="I972" s="6" t="s">
        <v>92</v>
      </c>
      <c r="J972" s="6" t="s">
        <v>10044</v>
      </c>
      <c r="K972" s="6" t="s">
        <v>3159</v>
      </c>
      <c r="L972" s="6" t="s">
        <v>3196</v>
      </c>
      <c r="M972" s="6" t="s">
        <v>3243</v>
      </c>
      <c r="N972" s="6" t="s">
        <v>3141</v>
      </c>
      <c r="O972" s="6" t="s">
        <v>3141</v>
      </c>
      <c r="P972" s="6" t="s">
        <v>9471</v>
      </c>
      <c r="Q972" s="6" t="s">
        <v>10045</v>
      </c>
      <c r="R972" s="6" t="s">
        <v>10046</v>
      </c>
      <c r="S972" s="6" t="s">
        <v>20</v>
      </c>
      <c r="T972" s="6" t="s">
        <v>3217</v>
      </c>
      <c r="U972" s="6" t="s">
        <v>3159</v>
      </c>
      <c r="V972" s="6" t="s">
        <v>10047</v>
      </c>
      <c r="W972" s="6" t="s">
        <v>3375</v>
      </c>
      <c r="X972" s="6" t="s">
        <v>77</v>
      </c>
      <c r="Y972" s="6" t="s">
        <v>3141</v>
      </c>
      <c r="Z972" s="6" t="s">
        <v>78</v>
      </c>
      <c r="AA972" s="6" t="s">
        <v>5002</v>
      </c>
      <c r="AB972" s="6" t="s">
        <v>10048</v>
      </c>
      <c r="AC972" s="6" t="s">
        <v>3141</v>
      </c>
      <c r="AD972" s="6" t="s">
        <v>3143</v>
      </c>
      <c r="AE972" s="6" t="s">
        <v>3293</v>
      </c>
      <c r="AF972" s="6"/>
      <c r="AG972" s="6" t="s">
        <v>10049</v>
      </c>
      <c r="AH972" s="6" t="s">
        <v>79</v>
      </c>
    </row>
    <row r="973" spans="1:34" x14ac:dyDescent="0.25">
      <c r="A973" s="6" t="s">
        <v>3039</v>
      </c>
      <c r="B973" s="6" t="s">
        <v>1956</v>
      </c>
      <c r="C973" s="6" t="s">
        <v>10050</v>
      </c>
      <c r="D973" s="6" t="s">
        <v>3040</v>
      </c>
      <c r="E973" s="6" t="s">
        <v>4025</v>
      </c>
      <c r="F973" s="6" t="s">
        <v>89</v>
      </c>
      <c r="G973" s="6" t="s">
        <v>98</v>
      </c>
      <c r="H973" s="6" t="s">
        <v>107</v>
      </c>
      <c r="I973" s="6" t="s">
        <v>92</v>
      </c>
      <c r="J973" s="6" t="s">
        <v>10051</v>
      </c>
      <c r="K973" s="6" t="s">
        <v>3159</v>
      </c>
      <c r="L973" s="6" t="s">
        <v>76</v>
      </c>
      <c r="M973" s="6" t="s">
        <v>75</v>
      </c>
      <c r="N973" s="6" t="s">
        <v>3143</v>
      </c>
      <c r="O973" s="6" t="s">
        <v>3243</v>
      </c>
      <c r="P973" s="6" t="s">
        <v>4213</v>
      </c>
      <c r="Q973" s="6" t="s">
        <v>10052</v>
      </c>
      <c r="R973" s="6" t="s">
        <v>10053</v>
      </c>
      <c r="S973" s="6" t="s">
        <v>5691</v>
      </c>
      <c r="T973" s="6" t="s">
        <v>10054</v>
      </c>
      <c r="U973" s="6" t="s">
        <v>3141</v>
      </c>
      <c r="V973" s="6" t="s">
        <v>6558</v>
      </c>
      <c r="W973" s="6" t="s">
        <v>3478</v>
      </c>
      <c r="X973" s="6" t="s">
        <v>85</v>
      </c>
      <c r="Y973" s="6" t="s">
        <v>3140</v>
      </c>
      <c r="Z973" s="6" t="s">
        <v>93</v>
      </c>
      <c r="AA973" s="6" t="s">
        <v>9769</v>
      </c>
      <c r="AB973" s="6"/>
      <c r="AC973" s="6" t="s">
        <v>3141</v>
      </c>
      <c r="AD973" s="6" t="s">
        <v>3196</v>
      </c>
      <c r="AE973" s="6" t="s">
        <v>3323</v>
      </c>
      <c r="AF973" s="6"/>
      <c r="AG973" s="6" t="s">
        <v>4821</v>
      </c>
      <c r="AH973" s="6" t="s">
        <v>79</v>
      </c>
    </row>
    <row r="974" spans="1:34" x14ac:dyDescent="0.25">
      <c r="A974" s="6" t="s">
        <v>3041</v>
      </c>
      <c r="B974" s="6" t="s">
        <v>3042</v>
      </c>
      <c r="C974" s="6" t="s">
        <v>10055</v>
      </c>
      <c r="D974" s="6"/>
      <c r="E974" s="6" t="s">
        <v>3647</v>
      </c>
      <c r="F974" s="6" t="s">
        <v>3201</v>
      </c>
      <c r="G974" s="6" t="s">
        <v>72</v>
      </c>
      <c r="H974" s="6" t="s">
        <v>84</v>
      </c>
      <c r="I974" s="6" t="s">
        <v>74</v>
      </c>
      <c r="J974" s="6" t="s">
        <v>10056</v>
      </c>
      <c r="K974" s="6" t="s">
        <v>3159</v>
      </c>
      <c r="L974" s="6" t="s">
        <v>3196</v>
      </c>
      <c r="M974" s="6" t="s">
        <v>75</v>
      </c>
      <c r="N974" s="6" t="s">
        <v>3152</v>
      </c>
      <c r="O974" s="6" t="s">
        <v>3152</v>
      </c>
      <c r="P974" s="6" t="s">
        <v>4276</v>
      </c>
      <c r="Q974" s="6" t="s">
        <v>3217</v>
      </c>
      <c r="R974" s="6" t="s">
        <v>10057</v>
      </c>
      <c r="S974" s="6" t="s">
        <v>23</v>
      </c>
      <c r="T974" s="6" t="s">
        <v>10058</v>
      </c>
      <c r="U974" s="6" t="s">
        <v>3140</v>
      </c>
      <c r="V974" s="6" t="s">
        <v>4381</v>
      </c>
      <c r="W974" s="6" t="s">
        <v>4643</v>
      </c>
      <c r="X974" s="6" t="s">
        <v>85</v>
      </c>
      <c r="Y974" s="6" t="s">
        <v>3159</v>
      </c>
      <c r="Z974" s="6" t="s">
        <v>78</v>
      </c>
      <c r="AA974" s="6" t="s">
        <v>6333</v>
      </c>
      <c r="AB974" s="6"/>
      <c r="AC974" s="6" t="s">
        <v>3141</v>
      </c>
      <c r="AD974" s="6" t="s">
        <v>3152</v>
      </c>
      <c r="AE974" s="6" t="s">
        <v>3318</v>
      </c>
      <c r="AF974" s="6" t="s">
        <v>10059</v>
      </c>
      <c r="AG974" s="6" t="s">
        <v>7673</v>
      </c>
      <c r="AH974" s="6" t="s">
        <v>4004</v>
      </c>
    </row>
    <row r="975" spans="1:34" x14ac:dyDescent="0.25">
      <c r="A975" s="6" t="s">
        <v>3043</v>
      </c>
      <c r="B975" s="6" t="s">
        <v>10060</v>
      </c>
      <c r="C975" s="6" t="s">
        <v>10061</v>
      </c>
      <c r="D975" s="6" t="s">
        <v>10062</v>
      </c>
      <c r="E975" s="6" t="s">
        <v>3570</v>
      </c>
      <c r="F975" s="6" t="s">
        <v>3283</v>
      </c>
      <c r="G975" s="6" t="s">
        <v>417</v>
      </c>
      <c r="H975" s="6" t="s">
        <v>107</v>
      </c>
      <c r="I975" s="6" t="s">
        <v>92</v>
      </c>
      <c r="J975" s="6" t="s">
        <v>10063</v>
      </c>
      <c r="K975" s="6" t="s">
        <v>3159</v>
      </c>
      <c r="L975" s="6" t="s">
        <v>3141</v>
      </c>
      <c r="M975" s="6" t="s">
        <v>3159</v>
      </c>
      <c r="N975" s="6" t="s">
        <v>3143</v>
      </c>
      <c r="O975" s="6" t="s">
        <v>3143</v>
      </c>
      <c r="P975" s="6" t="s">
        <v>10064</v>
      </c>
      <c r="Q975" s="6" t="s">
        <v>10065</v>
      </c>
      <c r="R975" s="6" t="s">
        <v>10066</v>
      </c>
      <c r="S975" s="6" t="s">
        <v>22</v>
      </c>
      <c r="T975" s="6" t="s">
        <v>3217</v>
      </c>
      <c r="U975" s="6" t="s">
        <v>3141</v>
      </c>
      <c r="V975" s="6" t="s">
        <v>5038</v>
      </c>
      <c r="W975" s="6" t="s">
        <v>3642</v>
      </c>
      <c r="X975" s="6" t="s">
        <v>85</v>
      </c>
      <c r="Y975" s="6" t="s">
        <v>3192</v>
      </c>
      <c r="Z975" s="6" t="s">
        <v>4344</v>
      </c>
      <c r="AA975" s="6" t="s">
        <v>3811</v>
      </c>
      <c r="AB975" s="6" t="s">
        <v>10067</v>
      </c>
      <c r="AC975" s="6" t="s">
        <v>3141</v>
      </c>
      <c r="AD975" s="6" t="s">
        <v>3160</v>
      </c>
      <c r="AE975" s="6" t="s">
        <v>3235</v>
      </c>
      <c r="AF975" s="6" t="s">
        <v>10068</v>
      </c>
      <c r="AG975" s="6" t="s">
        <v>4788</v>
      </c>
      <c r="AH975" s="6" t="s">
        <v>79</v>
      </c>
    </row>
    <row r="976" spans="1:34" x14ac:dyDescent="0.25">
      <c r="A976" s="6" t="s">
        <v>3045</v>
      </c>
      <c r="B976" s="6" t="s">
        <v>211</v>
      </c>
      <c r="C976" s="6" t="s">
        <v>10069</v>
      </c>
      <c r="D976" s="6" t="s">
        <v>3046</v>
      </c>
      <c r="E976" s="6" t="s">
        <v>3703</v>
      </c>
      <c r="F976" s="6" t="s">
        <v>89</v>
      </c>
      <c r="G976" s="6" t="s">
        <v>153</v>
      </c>
      <c r="H976" s="6" t="s">
        <v>99</v>
      </c>
      <c r="I976" s="6" t="s">
        <v>74</v>
      </c>
      <c r="J976" s="6" t="s">
        <v>10070</v>
      </c>
      <c r="K976" s="6" t="s">
        <v>3140</v>
      </c>
      <c r="L976" s="6" t="s">
        <v>3159</v>
      </c>
      <c r="M976" s="6" t="s">
        <v>3188</v>
      </c>
      <c r="N976" s="6" t="s">
        <v>3243</v>
      </c>
      <c r="O976" s="6" t="s">
        <v>3160</v>
      </c>
      <c r="P976" s="6" t="s">
        <v>5548</v>
      </c>
      <c r="Q976" s="6"/>
      <c r="R976" s="6" t="s">
        <v>10071</v>
      </c>
      <c r="S976" s="6" t="s">
        <v>22</v>
      </c>
      <c r="T976" s="6" t="s">
        <v>10072</v>
      </c>
      <c r="U976" s="6" t="s">
        <v>3141</v>
      </c>
      <c r="V976" s="6" t="s">
        <v>6332</v>
      </c>
      <c r="W976" s="6" t="s">
        <v>3404</v>
      </c>
      <c r="X976" s="6" t="s">
        <v>85</v>
      </c>
      <c r="Y976" s="6" t="s">
        <v>3141</v>
      </c>
      <c r="Z976" s="6" t="s">
        <v>93</v>
      </c>
      <c r="AA976" s="6" t="s">
        <v>3289</v>
      </c>
      <c r="AB976" s="6"/>
      <c r="AC976" s="6" t="s">
        <v>3141</v>
      </c>
      <c r="AD976" s="6" t="s">
        <v>3188</v>
      </c>
      <c r="AE976" s="6" t="s">
        <v>3622</v>
      </c>
      <c r="AF976" s="6" t="s">
        <v>10073</v>
      </c>
      <c r="AG976" s="6" t="s">
        <v>8954</v>
      </c>
      <c r="AH976" s="6" t="s">
        <v>79</v>
      </c>
    </row>
    <row r="977" spans="1:34" x14ac:dyDescent="0.25">
      <c r="A977" s="6" t="s">
        <v>3047</v>
      </c>
      <c r="B977" s="6" t="s">
        <v>3048</v>
      </c>
      <c r="C977" s="6" t="s">
        <v>10074</v>
      </c>
      <c r="D977" s="6" t="s">
        <v>10075</v>
      </c>
      <c r="E977" s="6" t="s">
        <v>3254</v>
      </c>
      <c r="F977" s="6" t="s">
        <v>3227</v>
      </c>
      <c r="G977" s="6" t="s">
        <v>4320</v>
      </c>
      <c r="H977" s="6" t="s">
        <v>166</v>
      </c>
      <c r="I977" s="6" t="s">
        <v>74</v>
      </c>
      <c r="J977" s="6"/>
      <c r="K977" s="6" t="s">
        <v>3292</v>
      </c>
      <c r="L977" s="6" t="s">
        <v>76</v>
      </c>
      <c r="M977" s="6" t="s">
        <v>3143</v>
      </c>
      <c r="N977" s="6" t="s">
        <v>3159</v>
      </c>
      <c r="O977" s="6" t="s">
        <v>3142</v>
      </c>
      <c r="P977" s="6" t="s">
        <v>7301</v>
      </c>
      <c r="Q977" s="6" t="s">
        <v>10076</v>
      </c>
      <c r="R977" s="6" t="s">
        <v>10077</v>
      </c>
      <c r="S977" s="6" t="s">
        <v>23</v>
      </c>
      <c r="T977" s="6" t="s">
        <v>10078</v>
      </c>
      <c r="U977" s="6" t="s">
        <v>3192</v>
      </c>
      <c r="V977" s="6" t="s">
        <v>3862</v>
      </c>
      <c r="W977" s="6" t="s">
        <v>3490</v>
      </c>
      <c r="X977" s="6" t="s">
        <v>85</v>
      </c>
      <c r="Y977" s="6" t="s">
        <v>3140</v>
      </c>
      <c r="Z977" s="6" t="s">
        <v>93</v>
      </c>
      <c r="AA977" s="6" t="s">
        <v>3683</v>
      </c>
      <c r="AB977" s="6"/>
      <c r="AC977" s="6" t="s">
        <v>3141</v>
      </c>
      <c r="AD977" s="6" t="s">
        <v>3141</v>
      </c>
      <c r="AE977" s="6" t="s">
        <v>3331</v>
      </c>
      <c r="AF977" s="6" t="s">
        <v>10079</v>
      </c>
      <c r="AG977" s="6" t="s">
        <v>10080</v>
      </c>
      <c r="AH977" s="6" t="s">
        <v>79</v>
      </c>
    </row>
    <row r="978" spans="1:34" x14ac:dyDescent="0.25">
      <c r="A978" s="6" t="s">
        <v>3050</v>
      </c>
      <c r="B978" s="6" t="s">
        <v>10081</v>
      </c>
      <c r="C978" s="6" t="s">
        <v>3052</v>
      </c>
      <c r="D978" s="6"/>
      <c r="E978" s="6" t="s">
        <v>3309</v>
      </c>
      <c r="F978" s="6" t="s">
        <v>89</v>
      </c>
      <c r="G978" s="6" t="s">
        <v>174</v>
      </c>
      <c r="H978" s="6" t="s">
        <v>73</v>
      </c>
      <c r="I978" s="6" t="s">
        <v>74</v>
      </c>
      <c r="J978" s="6"/>
      <c r="K978" s="6" t="s">
        <v>3292</v>
      </c>
      <c r="L978" s="6" t="s">
        <v>3173</v>
      </c>
      <c r="M978" s="6" t="s">
        <v>3159</v>
      </c>
      <c r="N978" s="6" t="s">
        <v>3173</v>
      </c>
      <c r="O978" s="6" t="s">
        <v>3141</v>
      </c>
      <c r="P978" s="6" t="s">
        <v>3331</v>
      </c>
      <c r="Q978" s="6" t="s">
        <v>10082</v>
      </c>
      <c r="R978" s="6" t="s">
        <v>10083</v>
      </c>
      <c r="S978" s="6" t="s">
        <v>20</v>
      </c>
      <c r="T978" s="6"/>
      <c r="U978" s="6" t="s">
        <v>3141</v>
      </c>
      <c r="V978" s="6" t="s">
        <v>10084</v>
      </c>
      <c r="W978" s="6" t="s">
        <v>3166</v>
      </c>
      <c r="X978" s="6" t="s">
        <v>77</v>
      </c>
      <c r="Y978" s="6" t="s">
        <v>3141</v>
      </c>
      <c r="Z978" s="6" t="s">
        <v>78</v>
      </c>
      <c r="AA978" s="6" t="s">
        <v>3221</v>
      </c>
      <c r="AB978" s="6" t="s">
        <v>10085</v>
      </c>
      <c r="AC978" s="6" t="s">
        <v>3159</v>
      </c>
      <c r="AD978" s="6" t="s">
        <v>3142</v>
      </c>
      <c r="AE978" s="6" t="s">
        <v>3169</v>
      </c>
      <c r="AF978" s="6"/>
      <c r="AG978" s="6" t="s">
        <v>10086</v>
      </c>
      <c r="AH978" s="6" t="s">
        <v>79</v>
      </c>
    </row>
    <row r="979" spans="1:34" x14ac:dyDescent="0.25">
      <c r="A979" s="6" t="s">
        <v>3053</v>
      </c>
      <c r="B979" s="6" t="s">
        <v>1818</v>
      </c>
      <c r="C979" s="6" t="s">
        <v>10087</v>
      </c>
      <c r="D979" s="6" t="s">
        <v>3054</v>
      </c>
      <c r="E979" s="6" t="s">
        <v>3323</v>
      </c>
      <c r="F979" s="6" t="s">
        <v>3227</v>
      </c>
      <c r="G979" s="6" t="s">
        <v>106</v>
      </c>
      <c r="H979" s="6" t="s">
        <v>107</v>
      </c>
      <c r="I979" s="6" t="s">
        <v>92</v>
      </c>
      <c r="J979" s="6" t="s">
        <v>3217</v>
      </c>
      <c r="K979" s="6" t="s">
        <v>3141</v>
      </c>
      <c r="L979" s="6" t="s">
        <v>3152</v>
      </c>
      <c r="M979" s="6" t="s">
        <v>3160</v>
      </c>
      <c r="N979" s="6" t="s">
        <v>75</v>
      </c>
      <c r="O979" s="6" t="s">
        <v>3141</v>
      </c>
      <c r="P979" s="6" t="s">
        <v>9107</v>
      </c>
      <c r="Q979" s="6" t="s">
        <v>10088</v>
      </c>
      <c r="R979" s="6" t="s">
        <v>10089</v>
      </c>
      <c r="S979" s="6" t="s">
        <v>23</v>
      </c>
      <c r="T979" s="6"/>
      <c r="U979" s="6" t="s">
        <v>3159</v>
      </c>
      <c r="V979" s="6" t="s">
        <v>10090</v>
      </c>
      <c r="W979" s="6" t="s">
        <v>3342</v>
      </c>
      <c r="X979" s="6" t="s">
        <v>85</v>
      </c>
      <c r="Y979" s="6" t="s">
        <v>3292</v>
      </c>
      <c r="Z979" s="6" t="s">
        <v>78</v>
      </c>
      <c r="AA979" s="6" t="s">
        <v>4441</v>
      </c>
      <c r="AB979" s="6"/>
      <c r="AC979" s="6" t="s">
        <v>3159</v>
      </c>
      <c r="AD979" s="6" t="s">
        <v>3243</v>
      </c>
      <c r="AE979" s="6" t="s">
        <v>3153</v>
      </c>
      <c r="AF979" s="6" t="s">
        <v>10091</v>
      </c>
      <c r="AG979" s="6" t="s">
        <v>9416</v>
      </c>
      <c r="AH979" s="6" t="s">
        <v>79</v>
      </c>
    </row>
    <row r="980" spans="1:34" x14ac:dyDescent="0.25">
      <c r="A980" s="6" t="s">
        <v>3055</v>
      </c>
      <c r="B980" s="6" t="s">
        <v>3056</v>
      </c>
      <c r="C980" s="6" t="s">
        <v>10092</v>
      </c>
      <c r="D980" s="6" t="s">
        <v>3057</v>
      </c>
      <c r="E980" s="6" t="s">
        <v>3460</v>
      </c>
      <c r="F980" s="6" t="s">
        <v>3227</v>
      </c>
      <c r="G980" s="6" t="s">
        <v>143</v>
      </c>
      <c r="H980" s="6" t="s">
        <v>166</v>
      </c>
      <c r="I980" s="6" t="s">
        <v>74</v>
      </c>
      <c r="J980" s="6" t="s">
        <v>10093</v>
      </c>
      <c r="K980" s="6" t="s">
        <v>3140</v>
      </c>
      <c r="L980" s="6" t="s">
        <v>3196</v>
      </c>
      <c r="M980" s="6" t="s">
        <v>3160</v>
      </c>
      <c r="N980" s="6" t="s">
        <v>76</v>
      </c>
      <c r="O980" s="6" t="s">
        <v>3143</v>
      </c>
      <c r="P980" s="6" t="s">
        <v>10094</v>
      </c>
      <c r="Q980" s="6" t="s">
        <v>10095</v>
      </c>
      <c r="R980" s="6" t="s">
        <v>10096</v>
      </c>
      <c r="S980" s="6" t="s">
        <v>23</v>
      </c>
      <c r="T980" s="6" t="s">
        <v>10097</v>
      </c>
      <c r="U980" s="6" t="s">
        <v>3159</v>
      </c>
      <c r="V980" s="6" t="s">
        <v>5603</v>
      </c>
      <c r="W980" s="6" t="s">
        <v>3316</v>
      </c>
      <c r="X980" s="6" t="s">
        <v>85</v>
      </c>
      <c r="Y980" s="6" t="s">
        <v>3141</v>
      </c>
      <c r="Z980" s="6" t="s">
        <v>3895</v>
      </c>
      <c r="AA980" s="6" t="s">
        <v>3477</v>
      </c>
      <c r="AB980" s="6"/>
      <c r="AC980" s="6" t="s">
        <v>3140</v>
      </c>
      <c r="AD980" s="6" t="s">
        <v>75</v>
      </c>
      <c r="AE980" s="6" t="s">
        <v>3331</v>
      </c>
      <c r="AF980" s="6" t="s">
        <v>10098</v>
      </c>
      <c r="AG980" s="6" t="s">
        <v>10099</v>
      </c>
      <c r="AH980" s="6" t="s">
        <v>79</v>
      </c>
    </row>
    <row r="981" spans="1:34" x14ac:dyDescent="0.25">
      <c r="A981" s="6" t="s">
        <v>3058</v>
      </c>
      <c r="B981" s="6" t="s">
        <v>1124</v>
      </c>
      <c r="C981" s="6"/>
      <c r="D981" s="6" t="s">
        <v>10100</v>
      </c>
      <c r="E981" s="6" t="s">
        <v>3213</v>
      </c>
      <c r="F981" s="6" t="s">
        <v>3201</v>
      </c>
      <c r="G981" s="6" t="s">
        <v>314</v>
      </c>
      <c r="H981" s="6" t="s">
        <v>144</v>
      </c>
      <c r="I981" s="6" t="s">
        <v>92</v>
      </c>
      <c r="J981" s="6" t="s">
        <v>10101</v>
      </c>
      <c r="K981" s="6" t="s">
        <v>3292</v>
      </c>
      <c r="L981" s="6" t="s">
        <v>3173</v>
      </c>
      <c r="M981" s="6" t="s">
        <v>3143</v>
      </c>
      <c r="N981" s="6" t="s">
        <v>3188</v>
      </c>
      <c r="O981" s="6" t="s">
        <v>3159</v>
      </c>
      <c r="P981" s="6" t="s">
        <v>4606</v>
      </c>
      <c r="Q981" s="6" t="s">
        <v>10102</v>
      </c>
      <c r="R981" s="6" t="s">
        <v>10103</v>
      </c>
      <c r="S981" s="6" t="s">
        <v>22</v>
      </c>
      <c r="T981" s="6" t="s">
        <v>10104</v>
      </c>
      <c r="U981" s="6" t="s">
        <v>3140</v>
      </c>
      <c r="V981" s="6" t="s">
        <v>8677</v>
      </c>
      <c r="W981" s="6" t="s">
        <v>3954</v>
      </c>
      <c r="X981" s="6" t="s">
        <v>85</v>
      </c>
      <c r="Y981" s="6" t="s">
        <v>3140</v>
      </c>
      <c r="Z981" s="6" t="s">
        <v>93</v>
      </c>
      <c r="AA981" s="6" t="s">
        <v>3587</v>
      </c>
      <c r="AB981" s="6" t="s">
        <v>10105</v>
      </c>
      <c r="AC981" s="6" t="s">
        <v>3141</v>
      </c>
      <c r="AD981" s="6" t="s">
        <v>3188</v>
      </c>
      <c r="AE981" s="6" t="s">
        <v>3622</v>
      </c>
      <c r="AF981" s="6" t="s">
        <v>10106</v>
      </c>
      <c r="AG981" s="6" t="s">
        <v>10107</v>
      </c>
      <c r="AH981" s="6" t="s">
        <v>79</v>
      </c>
    </row>
    <row r="982" spans="1:34" x14ac:dyDescent="0.25">
      <c r="A982" s="6" t="s">
        <v>3060</v>
      </c>
      <c r="B982" s="6" t="s">
        <v>3061</v>
      </c>
      <c r="C982" s="6" t="s">
        <v>10108</v>
      </c>
      <c r="D982" s="6"/>
      <c r="E982" s="6" t="s">
        <v>3722</v>
      </c>
      <c r="F982" s="6" t="s">
        <v>71</v>
      </c>
      <c r="G982" s="6" t="s">
        <v>4543</v>
      </c>
      <c r="H982" s="6" t="s">
        <v>84</v>
      </c>
      <c r="I982" s="6" t="s">
        <v>74</v>
      </c>
      <c r="J982" s="6" t="s">
        <v>10109</v>
      </c>
      <c r="K982" s="6" t="s">
        <v>3141</v>
      </c>
      <c r="L982" s="6" t="s">
        <v>75</v>
      </c>
      <c r="M982" s="6" t="s">
        <v>75</v>
      </c>
      <c r="N982" s="6" t="s">
        <v>3143</v>
      </c>
      <c r="O982" s="6" t="s">
        <v>3243</v>
      </c>
      <c r="P982" s="6" t="s">
        <v>4339</v>
      </c>
      <c r="Q982" s="6" t="s">
        <v>10110</v>
      </c>
      <c r="R982" s="6" t="s">
        <v>10111</v>
      </c>
      <c r="S982" s="6" t="s">
        <v>20</v>
      </c>
      <c r="T982" s="6" t="s">
        <v>10112</v>
      </c>
      <c r="U982" s="6" t="s">
        <v>3141</v>
      </c>
      <c r="V982" s="6" t="s">
        <v>7369</v>
      </c>
      <c r="W982" s="6" t="s">
        <v>3277</v>
      </c>
      <c r="X982" s="6" t="s">
        <v>3918</v>
      </c>
      <c r="Y982" s="6" t="s">
        <v>3141</v>
      </c>
      <c r="Z982" s="6" t="s">
        <v>93</v>
      </c>
      <c r="AA982" s="6" t="s">
        <v>3907</v>
      </c>
      <c r="AB982" s="6" t="s">
        <v>10113</v>
      </c>
      <c r="AC982" s="6" t="s">
        <v>3292</v>
      </c>
      <c r="AD982" s="6" t="s">
        <v>3243</v>
      </c>
      <c r="AE982" s="6" t="s">
        <v>3293</v>
      </c>
      <c r="AF982" s="6"/>
      <c r="AG982" s="6" t="s">
        <v>10114</v>
      </c>
      <c r="AH982" s="6" t="s">
        <v>79</v>
      </c>
    </row>
    <row r="983" spans="1:34" x14ac:dyDescent="0.25">
      <c r="A983" s="6" t="s">
        <v>3062</v>
      </c>
      <c r="B983" s="6" t="s">
        <v>3063</v>
      </c>
      <c r="C983" s="6" t="s">
        <v>10115</v>
      </c>
      <c r="D983" s="6" t="s">
        <v>3064</v>
      </c>
      <c r="E983" s="6" t="s">
        <v>3323</v>
      </c>
      <c r="F983" s="6" t="s">
        <v>89</v>
      </c>
      <c r="G983" s="6" t="s">
        <v>72</v>
      </c>
      <c r="H983" s="6" t="s">
        <v>166</v>
      </c>
      <c r="I983" s="6" t="s">
        <v>74</v>
      </c>
      <c r="J983" s="6" t="s">
        <v>10116</v>
      </c>
      <c r="K983" s="6" t="s">
        <v>3159</v>
      </c>
      <c r="L983" s="6" t="s">
        <v>3160</v>
      </c>
      <c r="M983" s="6" t="s">
        <v>3188</v>
      </c>
      <c r="N983" s="6" t="s">
        <v>3141</v>
      </c>
      <c r="O983" s="6" t="s">
        <v>75</v>
      </c>
      <c r="P983" s="6" t="s">
        <v>8433</v>
      </c>
      <c r="Q983" s="6" t="s">
        <v>10117</v>
      </c>
      <c r="R983" s="6" t="s">
        <v>10118</v>
      </c>
      <c r="S983" s="6" t="s">
        <v>20</v>
      </c>
      <c r="T983" s="6" t="s">
        <v>10119</v>
      </c>
      <c r="U983" s="6" t="s">
        <v>3159</v>
      </c>
      <c r="V983" s="6" t="s">
        <v>3975</v>
      </c>
      <c r="W983" s="6" t="s">
        <v>5017</v>
      </c>
      <c r="X983" s="6" t="s">
        <v>77</v>
      </c>
      <c r="Y983" s="6" t="s">
        <v>3159</v>
      </c>
      <c r="Z983" s="6" t="s">
        <v>93</v>
      </c>
      <c r="AA983" s="6" t="s">
        <v>7153</v>
      </c>
      <c r="AB983" s="6"/>
      <c r="AC983" s="6" t="s">
        <v>3141</v>
      </c>
      <c r="AD983" s="6" t="s">
        <v>3160</v>
      </c>
      <c r="AE983" s="6" t="s">
        <v>3235</v>
      </c>
      <c r="AF983" s="6"/>
      <c r="AG983" s="6" t="s">
        <v>4945</v>
      </c>
      <c r="AH983" s="6" t="s">
        <v>79</v>
      </c>
    </row>
    <row r="984" spans="1:34" x14ac:dyDescent="0.25">
      <c r="A984" s="6" t="s">
        <v>3065</v>
      </c>
      <c r="B984" s="6" t="s">
        <v>10120</v>
      </c>
      <c r="C984" s="6" t="s">
        <v>10121</v>
      </c>
      <c r="D984" s="6" t="s">
        <v>3067</v>
      </c>
      <c r="E984" s="6" t="s">
        <v>4190</v>
      </c>
      <c r="F984" s="6" t="s">
        <v>3227</v>
      </c>
      <c r="G984" s="6" t="s">
        <v>98</v>
      </c>
      <c r="H984" s="6" t="s">
        <v>73</v>
      </c>
      <c r="I984" s="6" t="s">
        <v>74</v>
      </c>
      <c r="J984" s="6"/>
      <c r="K984" s="6" t="s">
        <v>3159</v>
      </c>
      <c r="L984" s="6" t="s">
        <v>3188</v>
      </c>
      <c r="M984" s="6" t="s">
        <v>3160</v>
      </c>
      <c r="N984" s="6" t="s">
        <v>3243</v>
      </c>
      <c r="O984" s="6" t="s">
        <v>3160</v>
      </c>
      <c r="P984" s="6" t="s">
        <v>8474</v>
      </c>
      <c r="Q984" s="6" t="s">
        <v>10122</v>
      </c>
      <c r="R984" s="6" t="s">
        <v>10123</v>
      </c>
      <c r="S984" s="6" t="s">
        <v>3177</v>
      </c>
      <c r="T984" s="6" t="s">
        <v>10124</v>
      </c>
      <c r="U984" s="6" t="s">
        <v>3141</v>
      </c>
      <c r="V984" s="6" t="s">
        <v>8918</v>
      </c>
      <c r="W984" s="6" t="s">
        <v>3330</v>
      </c>
      <c r="X984" s="6" t="s">
        <v>77</v>
      </c>
      <c r="Y984" s="6" t="s">
        <v>3140</v>
      </c>
      <c r="Z984" s="6" t="s">
        <v>93</v>
      </c>
      <c r="AA984" s="6" t="s">
        <v>3730</v>
      </c>
      <c r="AB984" s="6"/>
      <c r="AC984" s="6" t="s">
        <v>3141</v>
      </c>
      <c r="AD984" s="6" t="s">
        <v>75</v>
      </c>
      <c r="AE984" s="6" t="s">
        <v>3136</v>
      </c>
      <c r="AF984" s="6"/>
      <c r="AG984" s="6" t="s">
        <v>10125</v>
      </c>
      <c r="AH984" s="6" t="s">
        <v>79</v>
      </c>
    </row>
    <row r="985" spans="1:34" x14ac:dyDescent="0.25">
      <c r="A985" s="6" t="s">
        <v>3068</v>
      </c>
      <c r="B985" s="6" t="s">
        <v>555</v>
      </c>
      <c r="C985" s="6" t="s">
        <v>10126</v>
      </c>
      <c r="D985" s="6" t="s">
        <v>3069</v>
      </c>
      <c r="E985" s="6"/>
      <c r="F985" s="6" t="s">
        <v>3137</v>
      </c>
      <c r="G985" s="6" t="s">
        <v>215</v>
      </c>
      <c r="H985" s="6" t="s">
        <v>166</v>
      </c>
      <c r="I985" s="6" t="s">
        <v>74</v>
      </c>
      <c r="J985" s="6" t="s">
        <v>10127</v>
      </c>
      <c r="K985" s="6" t="s">
        <v>3159</v>
      </c>
      <c r="L985" s="6" t="s">
        <v>75</v>
      </c>
      <c r="M985" s="6" t="s">
        <v>3160</v>
      </c>
      <c r="N985" s="6" t="s">
        <v>3142</v>
      </c>
      <c r="O985" s="6" t="s">
        <v>3160</v>
      </c>
      <c r="P985" s="6" t="s">
        <v>9562</v>
      </c>
      <c r="Q985" s="6" t="s">
        <v>10128</v>
      </c>
      <c r="R985" s="6" t="s">
        <v>10129</v>
      </c>
      <c r="S985" s="6" t="s">
        <v>7464</v>
      </c>
      <c r="T985" s="6" t="s">
        <v>10130</v>
      </c>
      <c r="U985" s="6" t="s">
        <v>3141</v>
      </c>
      <c r="V985" s="6" t="s">
        <v>3564</v>
      </c>
      <c r="W985" s="6" t="s">
        <v>5002</v>
      </c>
      <c r="X985" s="6" t="s">
        <v>85</v>
      </c>
      <c r="Y985" s="6" t="s">
        <v>3140</v>
      </c>
      <c r="Z985" s="6" t="s">
        <v>78</v>
      </c>
      <c r="AA985" s="6" t="s">
        <v>4873</v>
      </c>
      <c r="AB985" s="6" t="s">
        <v>10131</v>
      </c>
      <c r="AC985" s="6" t="s">
        <v>3141</v>
      </c>
      <c r="AD985" s="6" t="s">
        <v>3143</v>
      </c>
      <c r="AE985" s="6" t="s">
        <v>3210</v>
      </c>
      <c r="AF985" s="6" t="s">
        <v>10132</v>
      </c>
      <c r="AG985" s="6"/>
      <c r="AH985" s="6" t="s">
        <v>79</v>
      </c>
    </row>
    <row r="986" spans="1:34" x14ac:dyDescent="0.25">
      <c r="A986" s="6" t="s">
        <v>3070</v>
      </c>
      <c r="B986" s="6" t="s">
        <v>3071</v>
      </c>
      <c r="C986" s="6" t="s">
        <v>3072</v>
      </c>
      <c r="D986" s="6" t="s">
        <v>10133</v>
      </c>
      <c r="E986" s="6" t="s">
        <v>3296</v>
      </c>
      <c r="F986" s="6" t="s">
        <v>3283</v>
      </c>
      <c r="G986" s="6" t="s">
        <v>120</v>
      </c>
      <c r="H986" s="6" t="s">
        <v>103</v>
      </c>
      <c r="I986" s="6" t="s">
        <v>74</v>
      </c>
      <c r="J986" s="6" t="s">
        <v>3217</v>
      </c>
      <c r="K986" s="6" t="s">
        <v>3141</v>
      </c>
      <c r="L986" s="6" t="s">
        <v>75</v>
      </c>
      <c r="M986" s="6" t="s">
        <v>3243</v>
      </c>
      <c r="N986" s="6" t="s">
        <v>3141</v>
      </c>
      <c r="O986" s="6" t="s">
        <v>75</v>
      </c>
      <c r="P986" s="6" t="s">
        <v>3462</v>
      </c>
      <c r="Q986" s="6" t="s">
        <v>10134</v>
      </c>
      <c r="R986" s="6" t="s">
        <v>10135</v>
      </c>
      <c r="S986" s="6" t="s">
        <v>23</v>
      </c>
      <c r="T986" s="6" t="s">
        <v>10136</v>
      </c>
      <c r="U986" s="6" t="s">
        <v>3140</v>
      </c>
      <c r="V986" s="6" t="s">
        <v>10137</v>
      </c>
      <c r="W986" s="6" t="s">
        <v>4067</v>
      </c>
      <c r="X986" s="6" t="s">
        <v>85</v>
      </c>
      <c r="Y986" s="6" t="s">
        <v>3159</v>
      </c>
      <c r="Z986" s="6" t="s">
        <v>78</v>
      </c>
      <c r="AA986" s="6" t="s">
        <v>5002</v>
      </c>
      <c r="AB986" s="6" t="s">
        <v>10138</v>
      </c>
      <c r="AC986" s="6" t="s">
        <v>3159</v>
      </c>
      <c r="AD986" s="6" t="s">
        <v>3243</v>
      </c>
      <c r="AE986" s="6" t="s">
        <v>3428</v>
      </c>
      <c r="AF986" s="6" t="s">
        <v>10139</v>
      </c>
      <c r="AG986" s="6" t="s">
        <v>10140</v>
      </c>
      <c r="AH986" s="6" t="s">
        <v>94</v>
      </c>
    </row>
    <row r="987" spans="1:34" x14ac:dyDescent="0.25">
      <c r="A987" s="6" t="s">
        <v>3074</v>
      </c>
      <c r="B987" s="6" t="s">
        <v>10141</v>
      </c>
      <c r="C987" s="6" t="s">
        <v>3076</v>
      </c>
      <c r="D987" s="6" t="s">
        <v>3077</v>
      </c>
      <c r="E987" s="6" t="s">
        <v>3268</v>
      </c>
      <c r="F987" s="6" t="s">
        <v>3227</v>
      </c>
      <c r="G987" s="6" t="s">
        <v>98</v>
      </c>
      <c r="H987" s="6" t="s">
        <v>84</v>
      </c>
      <c r="I987" s="6" t="s">
        <v>74</v>
      </c>
      <c r="J987" s="6"/>
      <c r="K987" s="6" t="s">
        <v>3159</v>
      </c>
      <c r="L987" s="6" t="s">
        <v>3159</v>
      </c>
      <c r="M987" s="6" t="s">
        <v>3141</v>
      </c>
      <c r="N987" s="6" t="s">
        <v>3141</v>
      </c>
      <c r="O987" s="6" t="s">
        <v>3160</v>
      </c>
      <c r="P987" s="6" t="s">
        <v>4181</v>
      </c>
      <c r="Q987" s="6"/>
      <c r="R987" s="6" t="s">
        <v>10142</v>
      </c>
      <c r="S987" s="6" t="s">
        <v>21</v>
      </c>
      <c r="T987" s="6" t="s">
        <v>10143</v>
      </c>
      <c r="U987" s="6" t="s">
        <v>3140</v>
      </c>
      <c r="V987" s="6" t="s">
        <v>8670</v>
      </c>
      <c r="W987" s="6" t="s">
        <v>3467</v>
      </c>
      <c r="X987" s="6" t="s">
        <v>85</v>
      </c>
      <c r="Y987" s="6" t="s">
        <v>3159</v>
      </c>
      <c r="Z987" s="6" t="s">
        <v>93</v>
      </c>
      <c r="AA987" s="6" t="s">
        <v>4398</v>
      </c>
      <c r="AB987" s="6"/>
      <c r="AC987" s="6" t="s">
        <v>3141</v>
      </c>
      <c r="AD987" s="6" t="s">
        <v>3141</v>
      </c>
      <c r="AE987" s="6" t="s">
        <v>3136</v>
      </c>
      <c r="AF987" s="6"/>
      <c r="AG987" s="6" t="s">
        <v>10144</v>
      </c>
      <c r="AH987" s="6" t="s">
        <v>79</v>
      </c>
    </row>
    <row r="988" spans="1:34" x14ac:dyDescent="0.25">
      <c r="A988" s="6" t="s">
        <v>3078</v>
      </c>
      <c r="B988" s="6" t="s">
        <v>3079</v>
      </c>
      <c r="C988" s="6" t="s">
        <v>10145</v>
      </c>
      <c r="D988" s="6" t="s">
        <v>3080</v>
      </c>
      <c r="E988" s="6" t="s">
        <v>3170</v>
      </c>
      <c r="F988" s="6" t="s">
        <v>89</v>
      </c>
      <c r="G988" s="6" t="s">
        <v>174</v>
      </c>
      <c r="H988" s="6" t="s">
        <v>103</v>
      </c>
      <c r="I988" s="6" t="s">
        <v>74</v>
      </c>
      <c r="J988" s="6" t="s">
        <v>3217</v>
      </c>
      <c r="K988" s="6" t="s">
        <v>3140</v>
      </c>
      <c r="L988" s="6" t="s">
        <v>3196</v>
      </c>
      <c r="M988" s="6" t="s">
        <v>3143</v>
      </c>
      <c r="N988" s="6" t="s">
        <v>76</v>
      </c>
      <c r="O988" s="6" t="s">
        <v>3143</v>
      </c>
      <c r="P988" s="6" t="s">
        <v>10146</v>
      </c>
      <c r="Q988" s="6"/>
      <c r="R988" s="6" t="s">
        <v>10147</v>
      </c>
      <c r="S988" s="6" t="s">
        <v>20</v>
      </c>
      <c r="T988" s="6" t="s">
        <v>10148</v>
      </c>
      <c r="U988" s="6" t="s">
        <v>3275</v>
      </c>
      <c r="V988" s="6" t="s">
        <v>4808</v>
      </c>
      <c r="W988" s="6" t="s">
        <v>3439</v>
      </c>
      <c r="X988" s="6" t="s">
        <v>3167</v>
      </c>
      <c r="Y988" s="6" t="s">
        <v>3141</v>
      </c>
      <c r="Z988" s="6" t="s">
        <v>194</v>
      </c>
      <c r="AA988" s="6" t="s">
        <v>3344</v>
      </c>
      <c r="AB988" s="6"/>
      <c r="AC988" s="6" t="s">
        <v>3141</v>
      </c>
      <c r="AD988" s="6" t="s">
        <v>3188</v>
      </c>
      <c r="AE988" s="6" t="s">
        <v>3235</v>
      </c>
      <c r="AF988" s="6"/>
      <c r="AG988" s="6" t="s">
        <v>3450</v>
      </c>
      <c r="AH988" s="6" t="s">
        <v>79</v>
      </c>
    </row>
    <row r="989" spans="1:34" x14ac:dyDescent="0.25">
      <c r="A989" s="6" t="s">
        <v>3081</v>
      </c>
      <c r="B989" s="6" t="s">
        <v>1804</v>
      </c>
      <c r="C989" s="6" t="s">
        <v>10149</v>
      </c>
      <c r="D989" s="6" t="s">
        <v>3082</v>
      </c>
      <c r="E989" s="6" t="s">
        <v>4358</v>
      </c>
      <c r="F989" s="6" t="s">
        <v>3283</v>
      </c>
      <c r="G989" s="6" t="s">
        <v>90</v>
      </c>
      <c r="H989" s="6" t="s">
        <v>103</v>
      </c>
      <c r="I989" s="6" t="s">
        <v>74</v>
      </c>
      <c r="J989" s="6"/>
      <c r="K989" s="6" t="s">
        <v>3292</v>
      </c>
      <c r="L989" s="6" t="s">
        <v>76</v>
      </c>
      <c r="M989" s="6" t="s">
        <v>3173</v>
      </c>
      <c r="N989" s="6" t="s">
        <v>3173</v>
      </c>
      <c r="O989" s="6" t="s">
        <v>3143</v>
      </c>
      <c r="P989" s="6" t="s">
        <v>9899</v>
      </c>
      <c r="Q989" s="6" t="s">
        <v>10150</v>
      </c>
      <c r="R989" s="6" t="s">
        <v>10151</v>
      </c>
      <c r="S989" s="6" t="s">
        <v>20</v>
      </c>
      <c r="T989" s="6" t="s">
        <v>10152</v>
      </c>
      <c r="U989" s="6" t="s">
        <v>3140</v>
      </c>
      <c r="V989" s="6" t="s">
        <v>4795</v>
      </c>
      <c r="W989" s="6" t="s">
        <v>3416</v>
      </c>
      <c r="X989" s="6" t="s">
        <v>85</v>
      </c>
      <c r="Y989" s="6" t="s">
        <v>3141</v>
      </c>
      <c r="Z989" s="6" t="s">
        <v>93</v>
      </c>
      <c r="AA989" s="6" t="s">
        <v>9804</v>
      </c>
      <c r="AB989" s="6"/>
      <c r="AC989" s="6" t="s">
        <v>3292</v>
      </c>
      <c r="AD989" s="6" t="s">
        <v>3160</v>
      </c>
      <c r="AE989" s="6" t="s">
        <v>3136</v>
      </c>
      <c r="AF989" s="6"/>
      <c r="AG989" s="6" t="s">
        <v>9476</v>
      </c>
      <c r="AH989" s="6" t="s">
        <v>79</v>
      </c>
    </row>
    <row r="990" spans="1:34" x14ac:dyDescent="0.25">
      <c r="A990" s="6" t="s">
        <v>3083</v>
      </c>
      <c r="B990" s="6" t="s">
        <v>3084</v>
      </c>
      <c r="C990" s="6" t="s">
        <v>10153</v>
      </c>
      <c r="D990" s="6" t="s">
        <v>3085</v>
      </c>
      <c r="E990" s="6" t="s">
        <v>4155</v>
      </c>
      <c r="F990" s="6" t="s">
        <v>89</v>
      </c>
      <c r="G990" s="6" t="s">
        <v>72</v>
      </c>
      <c r="H990" s="6" t="s">
        <v>144</v>
      </c>
      <c r="I990" s="6" t="s">
        <v>92</v>
      </c>
      <c r="J990" s="6" t="s">
        <v>10154</v>
      </c>
      <c r="K990" s="6" t="s">
        <v>3159</v>
      </c>
      <c r="L990" s="6" t="s">
        <v>3160</v>
      </c>
      <c r="M990" s="6" t="s">
        <v>3141</v>
      </c>
      <c r="N990" s="6" t="s">
        <v>3160</v>
      </c>
      <c r="O990" s="6" t="s">
        <v>3173</v>
      </c>
      <c r="P990" s="6" t="s">
        <v>7158</v>
      </c>
      <c r="Q990" s="6" t="s">
        <v>10155</v>
      </c>
      <c r="R990" s="6" t="s">
        <v>10156</v>
      </c>
      <c r="S990" s="6" t="s">
        <v>23</v>
      </c>
      <c r="T990" s="6"/>
      <c r="U990" s="6" t="s">
        <v>3141</v>
      </c>
      <c r="V990" s="6" t="s">
        <v>10157</v>
      </c>
      <c r="W990" s="6" t="s">
        <v>3792</v>
      </c>
      <c r="X990" s="6" t="s">
        <v>161</v>
      </c>
      <c r="Y990" s="6" t="s">
        <v>3141</v>
      </c>
      <c r="Z990" s="6" t="s">
        <v>78</v>
      </c>
      <c r="AA990" s="6" t="s">
        <v>3776</v>
      </c>
      <c r="AB990" s="6"/>
      <c r="AC990" s="6" t="s">
        <v>3141</v>
      </c>
      <c r="AD990" s="6" t="s">
        <v>3141</v>
      </c>
      <c r="AE990" s="6" t="s">
        <v>3153</v>
      </c>
      <c r="AF990" s="6" t="s">
        <v>10158</v>
      </c>
      <c r="AG990" s="6" t="s">
        <v>10159</v>
      </c>
      <c r="AH990" s="6" t="s">
        <v>79</v>
      </c>
    </row>
    <row r="991" spans="1:34" x14ac:dyDescent="0.25">
      <c r="A991" s="6" t="s">
        <v>3086</v>
      </c>
      <c r="B991" s="6" t="s">
        <v>2169</v>
      </c>
      <c r="C991" s="6" t="s">
        <v>3087</v>
      </c>
      <c r="D991" s="6" t="s">
        <v>10160</v>
      </c>
      <c r="E991" s="6" t="s">
        <v>3483</v>
      </c>
      <c r="F991" s="6" t="s">
        <v>3358</v>
      </c>
      <c r="G991" s="6" t="s">
        <v>90</v>
      </c>
      <c r="H991" s="6" t="s">
        <v>84</v>
      </c>
      <c r="I991" s="6" t="s">
        <v>74</v>
      </c>
      <c r="J991" s="6"/>
      <c r="K991" s="6" t="s">
        <v>3159</v>
      </c>
      <c r="L991" s="6" t="s">
        <v>3159</v>
      </c>
      <c r="M991" s="6" t="s">
        <v>75</v>
      </c>
      <c r="N991" s="6" t="s">
        <v>75</v>
      </c>
      <c r="O991" s="6" t="s">
        <v>3143</v>
      </c>
      <c r="P991" s="6" t="s">
        <v>4597</v>
      </c>
      <c r="Q991" s="6" t="s">
        <v>10161</v>
      </c>
      <c r="R991" s="6" t="s">
        <v>10162</v>
      </c>
      <c r="S991" s="6" t="s">
        <v>21</v>
      </c>
      <c r="T991" s="6" t="s">
        <v>10163</v>
      </c>
      <c r="U991" s="6" t="s">
        <v>3159</v>
      </c>
      <c r="V991" s="6" t="s">
        <v>9700</v>
      </c>
      <c r="W991" s="6" t="s">
        <v>3490</v>
      </c>
      <c r="X991" s="6" t="s">
        <v>85</v>
      </c>
      <c r="Y991" s="6" t="s">
        <v>3292</v>
      </c>
      <c r="Z991" s="6" t="s">
        <v>78</v>
      </c>
      <c r="AA991" s="6" t="s">
        <v>3708</v>
      </c>
      <c r="AB991" s="6" t="s">
        <v>10164</v>
      </c>
      <c r="AC991" s="6" t="s">
        <v>3141</v>
      </c>
      <c r="AD991" s="6" t="s">
        <v>3160</v>
      </c>
      <c r="AE991" s="6" t="s">
        <v>3235</v>
      </c>
      <c r="AF991" s="6"/>
      <c r="AG991" s="6" t="s">
        <v>3930</v>
      </c>
      <c r="AH991" s="6" t="s">
        <v>79</v>
      </c>
    </row>
    <row r="992" spans="1:34" x14ac:dyDescent="0.25">
      <c r="A992" s="6" t="s">
        <v>3089</v>
      </c>
      <c r="B992" s="6" t="s">
        <v>3090</v>
      </c>
      <c r="C992" s="6" t="s">
        <v>3091</v>
      </c>
      <c r="D992" s="6" t="s">
        <v>10165</v>
      </c>
      <c r="E992" s="6" t="s">
        <v>3388</v>
      </c>
      <c r="F992" s="6" t="s">
        <v>71</v>
      </c>
      <c r="G992" s="6" t="s">
        <v>417</v>
      </c>
      <c r="H992" s="6" t="s">
        <v>107</v>
      </c>
      <c r="I992" s="6" t="s">
        <v>92</v>
      </c>
      <c r="J992" s="6" t="s">
        <v>10166</v>
      </c>
      <c r="K992" s="6" t="s">
        <v>3140</v>
      </c>
      <c r="L992" s="6" t="s">
        <v>76</v>
      </c>
      <c r="M992" s="6" t="s">
        <v>76</v>
      </c>
      <c r="N992" s="6" t="s">
        <v>75</v>
      </c>
      <c r="O992" s="6" t="s">
        <v>3143</v>
      </c>
      <c r="P992" s="6" t="s">
        <v>3844</v>
      </c>
      <c r="Q992" s="6" t="s">
        <v>10167</v>
      </c>
      <c r="R992" s="6" t="s">
        <v>10168</v>
      </c>
      <c r="S992" s="6" t="s">
        <v>23</v>
      </c>
      <c r="T992" s="6" t="s">
        <v>3217</v>
      </c>
      <c r="U992" s="6" t="s">
        <v>3292</v>
      </c>
      <c r="V992" s="6" t="s">
        <v>5836</v>
      </c>
      <c r="W992" s="6" t="s">
        <v>3149</v>
      </c>
      <c r="X992" s="6" t="s">
        <v>85</v>
      </c>
      <c r="Y992" s="6" t="s">
        <v>3140</v>
      </c>
      <c r="Z992" s="6" t="s">
        <v>93</v>
      </c>
      <c r="AA992" s="6" t="s">
        <v>5258</v>
      </c>
      <c r="AB992" s="6" t="s">
        <v>10169</v>
      </c>
      <c r="AC992" s="6" t="s">
        <v>3141</v>
      </c>
      <c r="AD992" s="6" t="s">
        <v>3173</v>
      </c>
      <c r="AE992" s="6" t="s">
        <v>3318</v>
      </c>
      <c r="AF992" s="6" t="s">
        <v>10170</v>
      </c>
      <c r="AG992" s="6" t="s">
        <v>5056</v>
      </c>
      <c r="AH992" s="6" t="s">
        <v>79</v>
      </c>
    </row>
    <row r="993" spans="1:34" x14ac:dyDescent="0.25">
      <c r="A993" s="6" t="s">
        <v>3093</v>
      </c>
      <c r="B993" s="6" t="s">
        <v>155</v>
      </c>
      <c r="C993" s="6" t="s">
        <v>10171</v>
      </c>
      <c r="D993" s="6" t="s">
        <v>3094</v>
      </c>
      <c r="E993" s="6" t="s">
        <v>4155</v>
      </c>
      <c r="F993" s="6" t="s">
        <v>3283</v>
      </c>
      <c r="G993" s="6" t="s">
        <v>120</v>
      </c>
      <c r="H993" s="6" t="s">
        <v>132</v>
      </c>
      <c r="I993" s="6" t="s">
        <v>92</v>
      </c>
      <c r="J993" s="6"/>
      <c r="K993" s="6" t="s">
        <v>3159</v>
      </c>
      <c r="L993" s="6" t="s">
        <v>3159</v>
      </c>
      <c r="M993" s="6" t="s">
        <v>3160</v>
      </c>
      <c r="N993" s="6" t="s">
        <v>3243</v>
      </c>
      <c r="O993" s="6" t="s">
        <v>3143</v>
      </c>
      <c r="P993" s="6" t="s">
        <v>5704</v>
      </c>
      <c r="Q993" s="6" t="s">
        <v>10172</v>
      </c>
      <c r="R993" s="6" t="s">
        <v>10173</v>
      </c>
      <c r="S993" s="6" t="s">
        <v>23</v>
      </c>
      <c r="T993" s="6"/>
      <c r="U993" s="6" t="s">
        <v>3141</v>
      </c>
      <c r="V993" s="6" t="s">
        <v>5346</v>
      </c>
      <c r="W993" s="6" t="s">
        <v>3884</v>
      </c>
      <c r="X993" s="6" t="s">
        <v>85</v>
      </c>
      <c r="Y993" s="6" t="s">
        <v>3140</v>
      </c>
      <c r="Z993" s="6" t="s">
        <v>93</v>
      </c>
      <c r="AA993" s="6" t="s">
        <v>3221</v>
      </c>
      <c r="AB993" s="6"/>
      <c r="AC993" s="6" t="s">
        <v>3141</v>
      </c>
      <c r="AD993" s="6" t="s">
        <v>3141</v>
      </c>
      <c r="AE993" s="6" t="s">
        <v>3318</v>
      </c>
      <c r="AF993" s="6" t="s">
        <v>10174</v>
      </c>
      <c r="AG993" s="6" t="s">
        <v>7548</v>
      </c>
      <c r="AH993" s="6" t="s">
        <v>79</v>
      </c>
    </row>
    <row r="994" spans="1:34" x14ac:dyDescent="0.25">
      <c r="A994" s="6" t="s">
        <v>3095</v>
      </c>
      <c r="B994" s="6" t="s">
        <v>380</v>
      </c>
      <c r="C994" s="6"/>
      <c r="D994" s="6" t="s">
        <v>3096</v>
      </c>
      <c r="E994" s="6" t="s">
        <v>3432</v>
      </c>
      <c r="F994" s="6" t="s">
        <v>71</v>
      </c>
      <c r="G994" s="6" t="s">
        <v>139</v>
      </c>
      <c r="H994" s="6" t="s">
        <v>91</v>
      </c>
      <c r="I994" s="6" t="s">
        <v>92</v>
      </c>
      <c r="J994" s="6" t="s">
        <v>10175</v>
      </c>
      <c r="K994" s="6" t="s">
        <v>3159</v>
      </c>
      <c r="L994" s="6" t="s">
        <v>3159</v>
      </c>
      <c r="M994" s="6" t="s">
        <v>3152</v>
      </c>
      <c r="N994" s="6" t="s">
        <v>3143</v>
      </c>
      <c r="O994" s="6" t="s">
        <v>3160</v>
      </c>
      <c r="P994" s="6" t="s">
        <v>3750</v>
      </c>
      <c r="Q994" s="6" t="s">
        <v>3217</v>
      </c>
      <c r="R994" s="6" t="s">
        <v>10176</v>
      </c>
      <c r="S994" s="6" t="s">
        <v>20</v>
      </c>
      <c r="T994" s="6" t="s">
        <v>10177</v>
      </c>
      <c r="U994" s="6" t="s">
        <v>3192</v>
      </c>
      <c r="V994" s="6" t="s">
        <v>8129</v>
      </c>
      <c r="W994" s="6" t="s">
        <v>4610</v>
      </c>
      <c r="X994" s="6" t="s">
        <v>85</v>
      </c>
      <c r="Y994" s="6" t="s">
        <v>3140</v>
      </c>
      <c r="Z994" s="6" t="s">
        <v>194</v>
      </c>
      <c r="AA994" s="6" t="s">
        <v>3728</v>
      </c>
      <c r="AB994" s="6" t="s">
        <v>10178</v>
      </c>
      <c r="AC994" s="6" t="s">
        <v>3140</v>
      </c>
      <c r="AD994" s="6" t="s">
        <v>3141</v>
      </c>
      <c r="AE994" s="6" t="s">
        <v>3136</v>
      </c>
      <c r="AF994" s="6"/>
      <c r="AG994" s="6" t="s">
        <v>3557</v>
      </c>
      <c r="AH994" s="6" t="s">
        <v>79</v>
      </c>
    </row>
    <row r="995" spans="1:34" x14ac:dyDescent="0.25">
      <c r="A995" s="6" t="s">
        <v>3097</v>
      </c>
      <c r="B995" s="6" t="s">
        <v>3098</v>
      </c>
      <c r="C995" s="6" t="s">
        <v>3099</v>
      </c>
      <c r="D995" s="6" t="s">
        <v>3100</v>
      </c>
      <c r="E995" s="6" t="s">
        <v>3647</v>
      </c>
      <c r="F995" s="6" t="s">
        <v>3214</v>
      </c>
      <c r="G995" s="6" t="s">
        <v>120</v>
      </c>
      <c r="H995" s="6" t="s">
        <v>103</v>
      </c>
      <c r="I995" s="6" t="s">
        <v>74</v>
      </c>
      <c r="J995" s="6" t="s">
        <v>10179</v>
      </c>
      <c r="K995" s="6" t="s">
        <v>3159</v>
      </c>
      <c r="L995" s="6" t="s">
        <v>3142</v>
      </c>
      <c r="M995" s="6" t="s">
        <v>3160</v>
      </c>
      <c r="N995" s="6" t="s">
        <v>3243</v>
      </c>
      <c r="O995" s="6" t="s">
        <v>3152</v>
      </c>
      <c r="P995" s="6" t="s">
        <v>8008</v>
      </c>
      <c r="Q995" s="6" t="s">
        <v>10180</v>
      </c>
      <c r="R995" s="6" t="s">
        <v>10181</v>
      </c>
      <c r="S995" s="6" t="s">
        <v>22</v>
      </c>
      <c r="T995" s="6"/>
      <c r="U995" s="6" t="s">
        <v>3141</v>
      </c>
      <c r="V995" s="6" t="s">
        <v>4528</v>
      </c>
      <c r="W995" s="6" t="s">
        <v>3208</v>
      </c>
      <c r="X995" s="6" t="s">
        <v>161</v>
      </c>
      <c r="Y995" s="6" t="s">
        <v>3141</v>
      </c>
      <c r="Z995" s="6" t="s">
        <v>78</v>
      </c>
      <c r="AA995" s="6" t="s">
        <v>9769</v>
      </c>
      <c r="AB995" s="6" t="s">
        <v>10182</v>
      </c>
      <c r="AC995" s="6" t="s">
        <v>3141</v>
      </c>
      <c r="AD995" s="6" t="s">
        <v>3143</v>
      </c>
      <c r="AE995" s="6" t="s">
        <v>3235</v>
      </c>
      <c r="AF995" s="6" t="s">
        <v>10183</v>
      </c>
      <c r="AG995" s="6" t="s">
        <v>10184</v>
      </c>
      <c r="AH995" s="6" t="s">
        <v>79</v>
      </c>
    </row>
    <row r="996" spans="1:34" x14ac:dyDescent="0.25">
      <c r="A996" s="6" t="s">
        <v>3101</v>
      </c>
      <c r="B996" s="6" t="s">
        <v>1945</v>
      </c>
      <c r="C996" s="6" t="s">
        <v>10185</v>
      </c>
      <c r="D996" s="6" t="s">
        <v>3102</v>
      </c>
      <c r="E996" s="6" t="s">
        <v>3346</v>
      </c>
      <c r="F996" s="6" t="s">
        <v>71</v>
      </c>
      <c r="G996" s="6" t="s">
        <v>106</v>
      </c>
      <c r="H996" s="6" t="s">
        <v>132</v>
      </c>
      <c r="I996" s="6" t="s">
        <v>92</v>
      </c>
      <c r="J996" s="6"/>
      <c r="K996" s="6" t="s">
        <v>3140</v>
      </c>
      <c r="L996" s="6" t="s">
        <v>3173</v>
      </c>
      <c r="M996" s="6" t="s">
        <v>75</v>
      </c>
      <c r="N996" s="6" t="s">
        <v>3243</v>
      </c>
      <c r="O996" s="6" t="s">
        <v>3196</v>
      </c>
      <c r="P996" s="6" t="s">
        <v>10186</v>
      </c>
      <c r="Q996" s="6" t="s">
        <v>10187</v>
      </c>
      <c r="R996" s="6" t="s">
        <v>10188</v>
      </c>
      <c r="S996" s="6" t="s">
        <v>21</v>
      </c>
      <c r="T996" s="6"/>
      <c r="U996" s="6" t="s">
        <v>3140</v>
      </c>
      <c r="V996" s="6" t="s">
        <v>5185</v>
      </c>
      <c r="W996" s="6" t="s">
        <v>4441</v>
      </c>
      <c r="X996" s="6" t="s">
        <v>77</v>
      </c>
      <c r="Y996" s="6" t="s">
        <v>3140</v>
      </c>
      <c r="Z996" s="6" t="s">
        <v>93</v>
      </c>
      <c r="AA996" s="6" t="s">
        <v>3404</v>
      </c>
      <c r="AB996" s="6"/>
      <c r="AC996" s="6" t="s">
        <v>3141</v>
      </c>
      <c r="AD996" s="6" t="s">
        <v>3143</v>
      </c>
      <c r="AE996" s="6" t="s">
        <v>3136</v>
      </c>
      <c r="AF996" s="6"/>
      <c r="AG996" s="6" t="s">
        <v>10189</v>
      </c>
      <c r="AH996" s="6" t="s">
        <v>79</v>
      </c>
    </row>
    <row r="997" spans="1:34" x14ac:dyDescent="0.25">
      <c r="A997" s="6" t="s">
        <v>3103</v>
      </c>
      <c r="B997" s="6" t="s">
        <v>3104</v>
      </c>
      <c r="C997" s="6" t="s">
        <v>3105</v>
      </c>
      <c r="D997" s="6" t="s">
        <v>10190</v>
      </c>
      <c r="E997" s="6" t="s">
        <v>3626</v>
      </c>
      <c r="F997" s="6" t="s">
        <v>89</v>
      </c>
      <c r="G997" s="6" t="s">
        <v>215</v>
      </c>
      <c r="H997" s="6" t="s">
        <v>107</v>
      </c>
      <c r="I997" s="6" t="s">
        <v>92</v>
      </c>
      <c r="J997" s="6" t="s">
        <v>10191</v>
      </c>
      <c r="K997" s="6" t="s">
        <v>3159</v>
      </c>
      <c r="L997" s="6" t="s">
        <v>3159</v>
      </c>
      <c r="M997" s="6" t="s">
        <v>3141</v>
      </c>
      <c r="N997" s="6" t="s">
        <v>75</v>
      </c>
      <c r="O997" s="6" t="s">
        <v>3160</v>
      </c>
      <c r="P997" s="6" t="s">
        <v>7763</v>
      </c>
      <c r="Q997" s="6" t="s">
        <v>10192</v>
      </c>
      <c r="R997" s="6" t="s">
        <v>10193</v>
      </c>
      <c r="S997" s="6" t="s">
        <v>22</v>
      </c>
      <c r="T997" s="6" t="s">
        <v>10194</v>
      </c>
      <c r="U997" s="6" t="s">
        <v>3141</v>
      </c>
      <c r="V997" s="6" t="s">
        <v>8615</v>
      </c>
      <c r="W997" s="6" t="s">
        <v>3249</v>
      </c>
      <c r="X997" s="6" t="s">
        <v>3918</v>
      </c>
      <c r="Y997" s="6" t="s">
        <v>3159</v>
      </c>
      <c r="Z997" s="6" t="s">
        <v>194</v>
      </c>
      <c r="AA997" s="6" t="s">
        <v>3683</v>
      </c>
      <c r="AB997" s="6"/>
      <c r="AC997" s="6" t="s">
        <v>3159</v>
      </c>
      <c r="AD997" s="6" t="s">
        <v>76</v>
      </c>
      <c r="AE997" s="6" t="s">
        <v>3323</v>
      </c>
      <c r="AF997" s="6" t="s">
        <v>10195</v>
      </c>
      <c r="AG997" s="6" t="s">
        <v>10196</v>
      </c>
      <c r="AH997" s="6" t="s">
        <v>79</v>
      </c>
    </row>
    <row r="998" spans="1:34" x14ac:dyDescent="0.25">
      <c r="A998" s="6" t="s">
        <v>3107</v>
      </c>
      <c r="B998" s="6" t="s">
        <v>3048</v>
      </c>
      <c r="C998" s="6" t="s">
        <v>3108</v>
      </c>
      <c r="D998" s="6" t="s">
        <v>3109</v>
      </c>
      <c r="E998" s="6" t="s">
        <v>4155</v>
      </c>
      <c r="F998" s="6" t="s">
        <v>3201</v>
      </c>
      <c r="G998" s="6" t="s">
        <v>83</v>
      </c>
      <c r="H998" s="6" t="s">
        <v>166</v>
      </c>
      <c r="I998" s="6" t="s">
        <v>74</v>
      </c>
      <c r="J998" s="6" t="s">
        <v>10197</v>
      </c>
      <c r="K998" s="6" t="s">
        <v>3141</v>
      </c>
      <c r="L998" s="6" t="s">
        <v>3141</v>
      </c>
      <c r="M998" s="6" t="s">
        <v>3160</v>
      </c>
      <c r="N998" s="6" t="s">
        <v>75</v>
      </c>
      <c r="O998" s="6" t="s">
        <v>3143</v>
      </c>
      <c r="P998" s="6" t="s">
        <v>6065</v>
      </c>
      <c r="Q998" s="6" t="s">
        <v>10198</v>
      </c>
      <c r="R998" s="6" t="s">
        <v>10199</v>
      </c>
      <c r="S998" s="6" t="s">
        <v>20</v>
      </c>
      <c r="T998" s="6" t="s">
        <v>10200</v>
      </c>
      <c r="U998" s="6" t="s">
        <v>3275</v>
      </c>
      <c r="V998" s="6" t="s">
        <v>10201</v>
      </c>
      <c r="W998" s="6" t="s">
        <v>5231</v>
      </c>
      <c r="X998" s="6" t="s">
        <v>85</v>
      </c>
      <c r="Y998" s="6" t="s">
        <v>3292</v>
      </c>
      <c r="Z998" s="6" t="s">
        <v>93</v>
      </c>
      <c r="AA998" s="6" t="s">
        <v>5002</v>
      </c>
      <c r="AB998" s="6" t="s">
        <v>10202</v>
      </c>
      <c r="AC998" s="6" t="s">
        <v>3141</v>
      </c>
      <c r="AD998" s="6" t="s">
        <v>3159</v>
      </c>
      <c r="AE998" s="6" t="s">
        <v>3293</v>
      </c>
      <c r="AF998" s="6"/>
      <c r="AG998" s="6" t="s">
        <v>10023</v>
      </c>
      <c r="AH998" s="6" t="s">
        <v>79</v>
      </c>
    </row>
    <row r="999" spans="1:34" x14ac:dyDescent="0.25">
      <c r="A999" s="6" t="s">
        <v>3110</v>
      </c>
      <c r="B999" s="6" t="s">
        <v>10203</v>
      </c>
      <c r="C999" s="6" t="s">
        <v>3111</v>
      </c>
      <c r="D999" s="6" t="s">
        <v>10204</v>
      </c>
      <c r="E999" s="6" t="s">
        <v>3647</v>
      </c>
      <c r="F999" s="6" t="s">
        <v>3214</v>
      </c>
      <c r="G999" s="6" t="s">
        <v>115</v>
      </c>
      <c r="H999" s="6" t="s">
        <v>73</v>
      </c>
      <c r="I999" s="6" t="s">
        <v>74</v>
      </c>
      <c r="J999" s="6" t="s">
        <v>10205</v>
      </c>
      <c r="K999" s="6" t="s">
        <v>3159</v>
      </c>
      <c r="L999" s="6" t="s">
        <v>3196</v>
      </c>
      <c r="M999" s="6" t="s">
        <v>75</v>
      </c>
      <c r="N999" s="6" t="s">
        <v>3143</v>
      </c>
      <c r="O999" s="6" t="s">
        <v>3143</v>
      </c>
      <c r="P999" s="6" t="s">
        <v>5951</v>
      </c>
      <c r="Q999" s="6" t="s">
        <v>10206</v>
      </c>
      <c r="R999" s="6" t="s">
        <v>10207</v>
      </c>
      <c r="S999" s="6" t="s">
        <v>20</v>
      </c>
      <c r="T999" s="6" t="s">
        <v>3217</v>
      </c>
      <c r="U999" s="6" t="s">
        <v>3159</v>
      </c>
      <c r="V999" s="6" t="s">
        <v>4413</v>
      </c>
      <c r="W999" s="6" t="s">
        <v>4126</v>
      </c>
      <c r="X999" s="6" t="s">
        <v>77</v>
      </c>
      <c r="Y999" s="6" t="s">
        <v>3141</v>
      </c>
      <c r="Z999" s="6" t="s">
        <v>3895</v>
      </c>
      <c r="AA999" s="6" t="s">
        <v>6706</v>
      </c>
      <c r="AB999" s="6"/>
      <c r="AC999" s="6" t="s">
        <v>3159</v>
      </c>
      <c r="AD999" s="6" t="s">
        <v>3141</v>
      </c>
      <c r="AE999" s="6" t="s">
        <v>3169</v>
      </c>
      <c r="AF999" s="6"/>
      <c r="AG999" s="6" t="s">
        <v>9981</v>
      </c>
      <c r="AH999" s="6" t="s">
        <v>79</v>
      </c>
    </row>
    <row r="1000" spans="1:34" x14ac:dyDescent="0.25">
      <c r="A1000" s="6" t="s">
        <v>3113</v>
      </c>
      <c r="B1000" s="6" t="s">
        <v>10208</v>
      </c>
      <c r="C1000" s="6" t="s">
        <v>10209</v>
      </c>
      <c r="D1000" s="6" t="s">
        <v>10210</v>
      </c>
      <c r="E1000" s="6" t="s">
        <v>3240</v>
      </c>
      <c r="F1000" s="6" t="s">
        <v>3358</v>
      </c>
      <c r="G1000" s="6" t="s">
        <v>83</v>
      </c>
      <c r="H1000" s="6" t="s">
        <v>144</v>
      </c>
      <c r="I1000" s="6" t="s">
        <v>92</v>
      </c>
      <c r="J1000" s="6" t="s">
        <v>10211</v>
      </c>
      <c r="K1000" s="6" t="s">
        <v>3141</v>
      </c>
      <c r="L1000" s="6" t="s">
        <v>75</v>
      </c>
      <c r="M1000" s="6" t="s">
        <v>75</v>
      </c>
      <c r="N1000" s="6" t="s">
        <v>75</v>
      </c>
      <c r="O1000" s="6" t="s">
        <v>75</v>
      </c>
      <c r="P1000" s="6" t="s">
        <v>5566</v>
      </c>
      <c r="Q1000" s="6" t="s">
        <v>3217</v>
      </c>
      <c r="R1000" s="6" t="s">
        <v>10212</v>
      </c>
      <c r="S1000" s="6" t="s">
        <v>20</v>
      </c>
      <c r="T1000" s="6" t="s">
        <v>10213</v>
      </c>
      <c r="U1000" s="6" t="s">
        <v>3159</v>
      </c>
      <c r="V1000" s="6" t="s">
        <v>6036</v>
      </c>
      <c r="W1000" s="6" t="s">
        <v>4290</v>
      </c>
      <c r="X1000" s="6" t="s">
        <v>85</v>
      </c>
      <c r="Y1000" s="6" t="s">
        <v>3141</v>
      </c>
      <c r="Z1000" s="6" t="s">
        <v>78</v>
      </c>
      <c r="AA1000" s="6" t="s">
        <v>3180</v>
      </c>
      <c r="AB1000" s="6"/>
      <c r="AC1000" s="6" t="s">
        <v>3159</v>
      </c>
      <c r="AD1000" s="6" t="s">
        <v>3141</v>
      </c>
      <c r="AE1000" s="6" t="s">
        <v>3169</v>
      </c>
      <c r="AF1000" s="6"/>
      <c r="AG1000" s="6" t="s">
        <v>10214</v>
      </c>
      <c r="AH1000" s="6" t="s">
        <v>3494</v>
      </c>
    </row>
    <row r="1001" spans="1:34" x14ac:dyDescent="0.25">
      <c r="A1001" s="6" t="s">
        <v>3116</v>
      </c>
      <c r="B1001" s="6" t="s">
        <v>1247</v>
      </c>
      <c r="C1001" s="6" t="s">
        <v>10215</v>
      </c>
      <c r="D1001" s="6" t="s">
        <v>10216</v>
      </c>
      <c r="E1001" s="6" t="s">
        <v>3235</v>
      </c>
      <c r="F1001" s="6" t="s">
        <v>89</v>
      </c>
      <c r="G1001" s="6" t="s">
        <v>3255</v>
      </c>
      <c r="H1001" s="6" t="s">
        <v>107</v>
      </c>
      <c r="I1001" s="6" t="s">
        <v>92</v>
      </c>
      <c r="J1001" s="6"/>
      <c r="K1001" s="6" t="s">
        <v>3159</v>
      </c>
      <c r="L1001" s="6" t="s">
        <v>3196</v>
      </c>
      <c r="M1001" s="6" t="s">
        <v>3143</v>
      </c>
      <c r="N1001" s="6" t="s">
        <v>75</v>
      </c>
      <c r="O1001" s="6" t="s">
        <v>3160</v>
      </c>
      <c r="P1001" s="6" t="s">
        <v>10217</v>
      </c>
      <c r="Q1001" s="6" t="s">
        <v>3217</v>
      </c>
      <c r="R1001" s="6" t="s">
        <v>10218</v>
      </c>
      <c r="S1001" s="6" t="s">
        <v>23</v>
      </c>
      <c r="T1001" s="6" t="s">
        <v>10219</v>
      </c>
      <c r="U1001" s="6" t="s">
        <v>3141</v>
      </c>
      <c r="V1001" s="6" t="s">
        <v>7311</v>
      </c>
      <c r="W1001" s="6" t="s">
        <v>3683</v>
      </c>
      <c r="X1001" s="6" t="s">
        <v>85</v>
      </c>
      <c r="Y1001" s="6" t="s">
        <v>3141</v>
      </c>
      <c r="Z1001" s="6" t="s">
        <v>3664</v>
      </c>
      <c r="AA1001" s="6" t="s">
        <v>3250</v>
      </c>
      <c r="AB1001" s="6"/>
      <c r="AC1001" s="6" t="s">
        <v>3141</v>
      </c>
      <c r="AD1001" s="6" t="s">
        <v>75</v>
      </c>
      <c r="AE1001" s="6" t="s">
        <v>3318</v>
      </c>
      <c r="AF1001" s="6" t="s">
        <v>10220</v>
      </c>
      <c r="AG1001" s="6" t="s">
        <v>4236</v>
      </c>
      <c r="AH1001" s="6" t="s">
        <v>94</v>
      </c>
    </row>
    <row r="1002" spans="1:34" x14ac:dyDescent="0.25">
      <c r="A1002" s="6" t="s">
        <v>1187</v>
      </c>
      <c r="B1002" s="6" t="s">
        <v>1188</v>
      </c>
      <c r="C1002" s="6" t="s">
        <v>5981</v>
      </c>
      <c r="D1002" s="6" t="s">
        <v>1189</v>
      </c>
      <c r="E1002" s="6" t="s">
        <v>3200</v>
      </c>
      <c r="F1002" s="6" t="s">
        <v>3137</v>
      </c>
      <c r="G1002" s="6" t="s">
        <v>314</v>
      </c>
      <c r="H1002" s="6" t="s">
        <v>144</v>
      </c>
      <c r="I1002" s="6" t="s">
        <v>92</v>
      </c>
      <c r="J1002" s="6"/>
      <c r="K1002" s="6" t="s">
        <v>3159</v>
      </c>
      <c r="L1002" s="6" t="s">
        <v>3142</v>
      </c>
      <c r="M1002" s="6" t="s">
        <v>75</v>
      </c>
      <c r="N1002" s="6" t="s">
        <v>3143</v>
      </c>
      <c r="O1002" s="6" t="s">
        <v>3143</v>
      </c>
      <c r="P1002" s="6" t="s">
        <v>5982</v>
      </c>
      <c r="Q1002" s="6"/>
      <c r="R1002" s="6" t="s">
        <v>5983</v>
      </c>
      <c r="S1002" s="6" t="s">
        <v>21</v>
      </c>
      <c r="T1002" s="6" t="s">
        <v>5984</v>
      </c>
      <c r="U1002" s="6" t="s">
        <v>3141</v>
      </c>
      <c r="V1002" s="6" t="s">
        <v>4674</v>
      </c>
      <c r="W1002" s="6" t="s">
        <v>3456</v>
      </c>
      <c r="X1002" s="6" t="s">
        <v>85</v>
      </c>
      <c r="Y1002" s="6" t="s">
        <v>3140</v>
      </c>
      <c r="Z1002" s="6" t="s">
        <v>194</v>
      </c>
      <c r="AA1002" s="6" t="s">
        <v>4707</v>
      </c>
      <c r="AB1002" s="6"/>
      <c r="AC1002" s="6" t="s">
        <v>3141</v>
      </c>
      <c r="AD1002" s="6" t="s">
        <v>3159</v>
      </c>
      <c r="AE1002" s="6" t="s">
        <v>3235</v>
      </c>
      <c r="AF1002" s="6"/>
      <c r="AG1002" s="6" t="s">
        <v>5985</v>
      </c>
      <c r="AH1002" s="6" t="s">
        <v>4004</v>
      </c>
    </row>
    <row r="1003" spans="1:34" x14ac:dyDescent="0.25">
      <c r="A1003" s="6" t="s">
        <v>2350</v>
      </c>
      <c r="B1003" s="6" t="s">
        <v>2351</v>
      </c>
      <c r="C1003" s="6" t="s">
        <v>8534</v>
      </c>
      <c r="D1003" s="6" t="s">
        <v>8535</v>
      </c>
      <c r="E1003" s="6" t="s">
        <v>3843</v>
      </c>
      <c r="F1003" s="6" t="s">
        <v>3214</v>
      </c>
      <c r="G1003" s="6" t="s">
        <v>131</v>
      </c>
      <c r="H1003" s="6" t="s">
        <v>84</v>
      </c>
      <c r="I1003" s="6" t="s">
        <v>74</v>
      </c>
      <c r="J1003" s="6" t="s">
        <v>8536</v>
      </c>
      <c r="K1003" s="6" t="s">
        <v>3159</v>
      </c>
      <c r="L1003" s="6" t="s">
        <v>3188</v>
      </c>
      <c r="M1003" s="6" t="s">
        <v>3243</v>
      </c>
      <c r="N1003" s="6" t="s">
        <v>3143</v>
      </c>
      <c r="O1003" s="6" t="s">
        <v>3243</v>
      </c>
      <c r="P1003" s="6" t="s">
        <v>8537</v>
      </c>
      <c r="Q1003" s="6"/>
      <c r="R1003" s="6" t="s">
        <v>8538</v>
      </c>
      <c r="S1003" s="6" t="s">
        <v>22</v>
      </c>
      <c r="T1003" s="6" t="s">
        <v>8539</v>
      </c>
      <c r="U1003" s="6" t="s">
        <v>3141</v>
      </c>
      <c r="V1003" s="6" t="s">
        <v>3894</v>
      </c>
      <c r="W1003" s="6" t="s">
        <v>3673</v>
      </c>
      <c r="X1003" s="6" t="s">
        <v>85</v>
      </c>
      <c r="Y1003" s="6" t="s">
        <v>3141</v>
      </c>
      <c r="Z1003" s="6" t="s">
        <v>93</v>
      </c>
      <c r="AA1003" s="6" t="s">
        <v>3195</v>
      </c>
      <c r="AB1003" s="6"/>
      <c r="AC1003" s="6" t="s">
        <v>3141</v>
      </c>
      <c r="AD1003" s="6" t="s">
        <v>3141</v>
      </c>
      <c r="AE1003" s="6" t="s">
        <v>3210</v>
      </c>
      <c r="AF1003" s="6" t="s">
        <v>8540</v>
      </c>
      <c r="AG1003" s="6" t="s">
        <v>6255</v>
      </c>
      <c r="AH1003" s="6" t="s">
        <v>94</v>
      </c>
    </row>
    <row r="1004" spans="1:34" x14ac:dyDescent="0.25">
      <c r="A1004" s="6" t="s">
        <v>758</v>
      </c>
      <c r="B1004" s="6" t="s">
        <v>759</v>
      </c>
      <c r="C1004" s="6" t="s">
        <v>760</v>
      </c>
      <c r="D1004" s="6" t="s">
        <v>4984</v>
      </c>
      <c r="E1004" s="6" t="s">
        <v>3722</v>
      </c>
      <c r="F1004" s="6" t="s">
        <v>3227</v>
      </c>
      <c r="G1004" s="6" t="s">
        <v>106</v>
      </c>
      <c r="H1004" s="6" t="s">
        <v>166</v>
      </c>
      <c r="I1004" s="6" t="s">
        <v>74</v>
      </c>
      <c r="J1004" s="6" t="s">
        <v>3217</v>
      </c>
      <c r="K1004" s="6" t="s">
        <v>3140</v>
      </c>
      <c r="L1004" s="6" t="s">
        <v>3173</v>
      </c>
      <c r="M1004" s="6" t="s">
        <v>3141</v>
      </c>
      <c r="N1004" s="6" t="s">
        <v>3159</v>
      </c>
      <c r="O1004" s="6" t="s">
        <v>3160</v>
      </c>
      <c r="P1004" s="6" t="s">
        <v>4985</v>
      </c>
      <c r="Q1004" s="6"/>
      <c r="R1004" s="6" t="s">
        <v>4986</v>
      </c>
      <c r="S1004" s="6" t="s">
        <v>21</v>
      </c>
      <c r="T1004" s="6"/>
      <c r="U1004" s="6" t="s">
        <v>3141</v>
      </c>
      <c r="V1004" s="6" t="s">
        <v>4987</v>
      </c>
      <c r="W1004" s="6" t="s">
        <v>3467</v>
      </c>
      <c r="X1004" s="6" t="s">
        <v>77</v>
      </c>
      <c r="Y1004" s="6" t="s">
        <v>3159</v>
      </c>
      <c r="Z1004" s="6" t="s">
        <v>93</v>
      </c>
      <c r="AA1004" s="6" t="s">
        <v>3354</v>
      </c>
      <c r="AB1004" s="6"/>
      <c r="AC1004" s="6" t="s">
        <v>3141</v>
      </c>
      <c r="AD1004" s="6" t="s">
        <v>3141</v>
      </c>
      <c r="AE1004" s="6" t="s">
        <v>3235</v>
      </c>
      <c r="AF1004" s="6"/>
      <c r="AG1004" s="6" t="s">
        <v>4312</v>
      </c>
      <c r="AH1004" s="6" t="s">
        <v>79</v>
      </c>
    </row>
    <row r="1005" spans="1:34" x14ac:dyDescent="0.25">
      <c r="A1005" s="6" t="s">
        <v>1328</v>
      </c>
      <c r="B1005" s="6" t="s">
        <v>1329</v>
      </c>
      <c r="C1005" s="6" t="s">
        <v>6307</v>
      </c>
      <c r="D1005" s="6" t="s">
        <v>1330</v>
      </c>
      <c r="E1005" s="6" t="s">
        <v>3677</v>
      </c>
      <c r="F1005" s="6" t="s">
        <v>3227</v>
      </c>
      <c r="G1005" s="6" t="s">
        <v>83</v>
      </c>
      <c r="H1005" s="6" t="s">
        <v>144</v>
      </c>
      <c r="I1005" s="6" t="s">
        <v>92</v>
      </c>
      <c r="J1005" s="6" t="s">
        <v>6308</v>
      </c>
      <c r="K1005" s="6" t="s">
        <v>3159</v>
      </c>
      <c r="L1005" s="6" t="s">
        <v>3160</v>
      </c>
      <c r="M1005" s="6" t="s">
        <v>76</v>
      </c>
      <c r="N1005" s="6" t="s">
        <v>3160</v>
      </c>
      <c r="O1005" s="6" t="s">
        <v>3141</v>
      </c>
      <c r="P1005" s="6" t="s">
        <v>5443</v>
      </c>
      <c r="Q1005" s="6" t="s">
        <v>6309</v>
      </c>
      <c r="R1005" s="6" t="s">
        <v>6310</v>
      </c>
      <c r="S1005" s="6" t="s">
        <v>21</v>
      </c>
      <c r="T1005" s="6" t="s">
        <v>6311</v>
      </c>
      <c r="U1005" s="6" t="s">
        <v>3141</v>
      </c>
      <c r="V1005" s="6" t="s">
        <v>3728</v>
      </c>
      <c r="W1005" s="6" t="s">
        <v>3289</v>
      </c>
      <c r="X1005" s="6" t="s">
        <v>85</v>
      </c>
      <c r="Y1005" s="6" t="s">
        <v>3159</v>
      </c>
      <c r="Z1005" s="6" t="s">
        <v>93</v>
      </c>
      <c r="AA1005" s="6" t="s">
        <v>3683</v>
      </c>
      <c r="AB1005" s="6" t="s">
        <v>6312</v>
      </c>
      <c r="AC1005" s="6" t="s">
        <v>3141</v>
      </c>
      <c r="AD1005" s="6" t="s">
        <v>3143</v>
      </c>
      <c r="AE1005" s="6" t="s">
        <v>3323</v>
      </c>
      <c r="AF1005" s="6"/>
      <c r="AG1005" s="6" t="s">
        <v>6313</v>
      </c>
      <c r="AH1005" s="6" t="s">
        <v>79</v>
      </c>
    </row>
    <row r="1006" spans="1:34" x14ac:dyDescent="0.25">
      <c r="A1006" s="6"/>
      <c r="B1006" s="6" t="s">
        <v>9022</v>
      </c>
      <c r="C1006" s="6" t="s">
        <v>9023</v>
      </c>
      <c r="D1006" s="6" t="s">
        <v>2582</v>
      </c>
      <c r="E1006" s="6" t="s">
        <v>3471</v>
      </c>
      <c r="F1006" s="6" t="s">
        <v>3227</v>
      </c>
      <c r="G1006" s="6" t="s">
        <v>3712</v>
      </c>
      <c r="H1006" s="6" t="s">
        <v>107</v>
      </c>
      <c r="I1006" s="6" t="s">
        <v>92</v>
      </c>
      <c r="J1006" s="6"/>
      <c r="K1006" s="6" t="s">
        <v>3159</v>
      </c>
      <c r="L1006" s="6" t="s">
        <v>76</v>
      </c>
      <c r="M1006" s="6" t="s">
        <v>3143</v>
      </c>
      <c r="N1006" s="6" t="s">
        <v>75</v>
      </c>
      <c r="O1006" s="6" t="s">
        <v>3141</v>
      </c>
      <c r="P1006" s="6" t="s">
        <v>9024</v>
      </c>
      <c r="Q1006" s="6" t="s">
        <v>9025</v>
      </c>
      <c r="R1006" s="6" t="s">
        <v>9026</v>
      </c>
      <c r="S1006" s="6" t="s">
        <v>22</v>
      </c>
      <c r="T1006" s="6" t="s">
        <v>9027</v>
      </c>
      <c r="U1006" s="6" t="s">
        <v>3159</v>
      </c>
      <c r="V1006" s="6" t="s">
        <v>4707</v>
      </c>
      <c r="W1006" s="6" t="s">
        <v>3374</v>
      </c>
      <c r="X1006" s="6" t="s">
        <v>85</v>
      </c>
      <c r="Y1006" s="6" t="s">
        <v>3141</v>
      </c>
      <c r="Z1006" s="6" t="s">
        <v>93</v>
      </c>
      <c r="AA1006" s="6" t="s">
        <v>4108</v>
      </c>
      <c r="AB1006" s="6"/>
      <c r="AC1006" s="6" t="s">
        <v>3292</v>
      </c>
      <c r="AD1006" s="6" t="s">
        <v>3243</v>
      </c>
      <c r="AE1006" s="6" t="s">
        <v>3136</v>
      </c>
      <c r="AF1006" s="6" t="s">
        <v>9028</v>
      </c>
      <c r="AG1006" s="6"/>
      <c r="AH1006" s="6" t="s">
        <v>79</v>
      </c>
    </row>
    <row r="1007" spans="1:34" x14ac:dyDescent="0.25">
      <c r="A1007" s="6" t="s">
        <v>192</v>
      </c>
      <c r="B1007" s="6" t="s">
        <v>193</v>
      </c>
      <c r="C1007" s="6" t="s">
        <v>3470</v>
      </c>
      <c r="D1007" s="6"/>
      <c r="E1007" s="6" t="s">
        <v>3471</v>
      </c>
      <c r="F1007" s="6" t="s">
        <v>3137</v>
      </c>
      <c r="G1007" s="6" t="s">
        <v>3472</v>
      </c>
      <c r="H1007" s="6" t="s">
        <v>84</v>
      </c>
      <c r="I1007" s="6" t="s">
        <v>74</v>
      </c>
      <c r="J1007" s="6" t="s">
        <v>3473</v>
      </c>
      <c r="K1007" s="6" t="s">
        <v>3140</v>
      </c>
      <c r="L1007" s="6" t="s">
        <v>3196</v>
      </c>
      <c r="M1007" s="6" t="s">
        <v>75</v>
      </c>
      <c r="N1007" s="6" t="s">
        <v>3143</v>
      </c>
      <c r="O1007" s="6" t="s">
        <v>3196</v>
      </c>
      <c r="P1007" s="6" t="s">
        <v>3474</v>
      </c>
      <c r="Q1007" s="6" t="s">
        <v>3475</v>
      </c>
      <c r="R1007" s="6" t="s">
        <v>3476</v>
      </c>
      <c r="S1007" s="6" t="s">
        <v>23</v>
      </c>
      <c r="T1007" s="6" t="s">
        <v>3217</v>
      </c>
      <c r="U1007" s="6" t="s">
        <v>3141</v>
      </c>
      <c r="V1007" s="6" t="s">
        <v>3414</v>
      </c>
      <c r="W1007" s="6" t="s">
        <v>3477</v>
      </c>
      <c r="X1007" s="6" t="s">
        <v>77</v>
      </c>
      <c r="Y1007" s="6" t="s">
        <v>3159</v>
      </c>
      <c r="Z1007" s="6" t="s">
        <v>194</v>
      </c>
      <c r="AA1007" s="6" t="s">
        <v>3478</v>
      </c>
      <c r="AB1007" s="6"/>
      <c r="AC1007" s="6" t="s">
        <v>3141</v>
      </c>
      <c r="AD1007" s="6" t="s">
        <v>75</v>
      </c>
      <c r="AE1007" s="6" t="s">
        <v>3331</v>
      </c>
      <c r="AF1007" s="6" t="s">
        <v>3479</v>
      </c>
      <c r="AG1007" s="6" t="s">
        <v>3480</v>
      </c>
      <c r="AH1007" s="6" t="s">
        <v>79</v>
      </c>
    </row>
    <row r="1008" spans="1:34" x14ac:dyDescent="0.25">
      <c r="A1008" s="6" t="s">
        <v>175</v>
      </c>
      <c r="B1008" s="6" t="s">
        <v>176</v>
      </c>
      <c r="C1008" s="6" t="s">
        <v>3419</v>
      </c>
      <c r="D1008" s="6" t="s">
        <v>177</v>
      </c>
      <c r="E1008" s="6" t="s">
        <v>3420</v>
      </c>
      <c r="F1008" s="6" t="s">
        <v>3283</v>
      </c>
      <c r="G1008" s="6" t="s">
        <v>139</v>
      </c>
      <c r="H1008" s="6" t="s">
        <v>166</v>
      </c>
      <c r="I1008" s="6" t="s">
        <v>74</v>
      </c>
      <c r="J1008" s="6" t="s">
        <v>3421</v>
      </c>
      <c r="K1008" s="6" t="s">
        <v>3292</v>
      </c>
      <c r="L1008" s="6" t="s">
        <v>3188</v>
      </c>
      <c r="M1008" s="6" t="s">
        <v>3160</v>
      </c>
      <c r="N1008" s="6" t="s">
        <v>76</v>
      </c>
      <c r="O1008" s="6" t="s">
        <v>3142</v>
      </c>
      <c r="P1008" s="6"/>
      <c r="Q1008" s="6" t="s">
        <v>3422</v>
      </c>
      <c r="R1008" s="6" t="s">
        <v>3423</v>
      </c>
      <c r="S1008" s="6" t="s">
        <v>23</v>
      </c>
      <c r="T1008" s="6" t="s">
        <v>3424</v>
      </c>
      <c r="U1008" s="6" t="s">
        <v>3141</v>
      </c>
      <c r="V1008" s="6" t="s">
        <v>3425</v>
      </c>
      <c r="W1008" s="6" t="s">
        <v>3291</v>
      </c>
      <c r="X1008" s="6" t="s">
        <v>3167</v>
      </c>
      <c r="Y1008" s="6" t="s">
        <v>3140</v>
      </c>
      <c r="Z1008" s="6" t="s">
        <v>78</v>
      </c>
      <c r="AA1008" s="6" t="s">
        <v>3426</v>
      </c>
      <c r="AB1008" s="6" t="s">
        <v>3427</v>
      </c>
      <c r="AC1008" s="6" t="s">
        <v>3159</v>
      </c>
      <c r="AD1008" s="6" t="s">
        <v>3152</v>
      </c>
      <c r="AE1008" s="6" t="s">
        <v>3428</v>
      </c>
      <c r="AF1008" s="6" t="s">
        <v>3429</v>
      </c>
      <c r="AG1008" s="6" t="s">
        <v>3430</v>
      </c>
      <c r="AH1008" s="6" t="s">
        <v>79</v>
      </c>
    </row>
    <row r="1009" spans="1:34" x14ac:dyDescent="0.25">
      <c r="A1009" s="6" t="s">
        <v>2076</v>
      </c>
      <c r="B1009" s="6" t="s">
        <v>2077</v>
      </c>
      <c r="C1009" s="6" t="s">
        <v>7971</v>
      </c>
      <c r="D1009" s="6" t="s">
        <v>2078</v>
      </c>
      <c r="E1009" s="6" t="s">
        <v>3296</v>
      </c>
      <c r="F1009" s="6" t="s">
        <v>3283</v>
      </c>
      <c r="G1009" s="6" t="s">
        <v>314</v>
      </c>
      <c r="H1009" s="6" t="s">
        <v>73</v>
      </c>
      <c r="I1009" s="6" t="s">
        <v>74</v>
      </c>
      <c r="J1009" s="6"/>
      <c r="K1009" s="6" t="s">
        <v>3292</v>
      </c>
      <c r="L1009" s="6" t="s">
        <v>3159</v>
      </c>
      <c r="M1009" s="6" t="s">
        <v>76</v>
      </c>
      <c r="N1009" s="6" t="s">
        <v>3141</v>
      </c>
      <c r="O1009" s="6" t="s">
        <v>3173</v>
      </c>
      <c r="P1009" s="6" t="s">
        <v>5752</v>
      </c>
      <c r="Q1009" s="6" t="s">
        <v>7972</v>
      </c>
      <c r="R1009" s="6" t="s">
        <v>7973</v>
      </c>
      <c r="S1009" s="6" t="s">
        <v>23</v>
      </c>
      <c r="T1009" s="6"/>
      <c r="U1009" s="6" t="s">
        <v>3140</v>
      </c>
      <c r="V1009" s="6" t="s">
        <v>7974</v>
      </c>
      <c r="W1009" s="6" t="s">
        <v>5215</v>
      </c>
      <c r="X1009" s="6" t="s">
        <v>85</v>
      </c>
      <c r="Y1009" s="6" t="s">
        <v>3159</v>
      </c>
      <c r="Z1009" s="6" t="s">
        <v>78</v>
      </c>
      <c r="AA1009" s="6" t="s">
        <v>3150</v>
      </c>
      <c r="AB1009" s="6" t="s">
        <v>7975</v>
      </c>
      <c r="AC1009" s="6" t="s">
        <v>3141</v>
      </c>
      <c r="AD1009" s="6" t="s">
        <v>3141</v>
      </c>
      <c r="AE1009" s="6" t="s">
        <v>3153</v>
      </c>
      <c r="AF1009" s="6" t="s">
        <v>7976</v>
      </c>
      <c r="AG1009" s="6"/>
      <c r="AH1009" s="6" t="s">
        <v>79</v>
      </c>
    </row>
    <row r="1010" spans="1:34" x14ac:dyDescent="0.25">
      <c r="A1010" s="6" t="s">
        <v>1239</v>
      </c>
      <c r="B1010" s="6" t="s">
        <v>6103</v>
      </c>
      <c r="C1010" s="6" t="s">
        <v>6104</v>
      </c>
      <c r="D1010" s="6" t="s">
        <v>1240</v>
      </c>
      <c r="E1010" s="6" t="s">
        <v>3282</v>
      </c>
      <c r="F1010" s="6" t="s">
        <v>3283</v>
      </c>
      <c r="G1010" s="6" t="s">
        <v>106</v>
      </c>
      <c r="H1010" s="6" t="s">
        <v>73</v>
      </c>
      <c r="I1010" s="6" t="s">
        <v>74</v>
      </c>
      <c r="J1010" s="6" t="s">
        <v>6105</v>
      </c>
      <c r="K1010" s="6" t="s">
        <v>3141</v>
      </c>
      <c r="L1010" s="6" t="s">
        <v>3141</v>
      </c>
      <c r="M1010" s="6" t="s">
        <v>3141</v>
      </c>
      <c r="N1010" s="6" t="s">
        <v>3141</v>
      </c>
      <c r="O1010" s="6" t="s">
        <v>3243</v>
      </c>
      <c r="P1010" s="6" t="s">
        <v>6106</v>
      </c>
      <c r="Q1010" s="6"/>
      <c r="R1010" s="6" t="s">
        <v>6107</v>
      </c>
      <c r="S1010" s="6" t="s">
        <v>22</v>
      </c>
      <c r="T1010" s="6"/>
      <c r="U1010" s="6" t="s">
        <v>3141</v>
      </c>
      <c r="V1010" s="6" t="s">
        <v>6108</v>
      </c>
      <c r="W1010" s="6" t="s">
        <v>4529</v>
      </c>
      <c r="X1010" s="6" t="s">
        <v>85</v>
      </c>
      <c r="Y1010" s="6" t="s">
        <v>3292</v>
      </c>
      <c r="Z1010" s="6" t="s">
        <v>93</v>
      </c>
      <c r="AA1010" s="6" t="s">
        <v>4610</v>
      </c>
      <c r="AB1010" s="6" t="s">
        <v>6109</v>
      </c>
      <c r="AC1010" s="6" t="s">
        <v>3141</v>
      </c>
      <c r="AD1010" s="6" t="s">
        <v>3143</v>
      </c>
      <c r="AE1010" s="6" t="s">
        <v>3323</v>
      </c>
      <c r="AF1010" s="6" t="s">
        <v>6110</v>
      </c>
      <c r="AG1010" s="6" t="s">
        <v>6111</v>
      </c>
      <c r="AH1010" s="6" t="s">
        <v>79</v>
      </c>
    </row>
    <row r="1011" spans="1:34" x14ac:dyDescent="0.25">
      <c r="A1011" s="6" t="s">
        <v>468</v>
      </c>
      <c r="B1011" s="6" t="s">
        <v>469</v>
      </c>
      <c r="C1011" s="6"/>
      <c r="D1011" s="6"/>
      <c r="E1011" s="6" t="s">
        <v>3970</v>
      </c>
      <c r="F1011" s="6" t="s">
        <v>3283</v>
      </c>
      <c r="G1011" s="6" t="s">
        <v>174</v>
      </c>
      <c r="H1011" s="6" t="s">
        <v>99</v>
      </c>
      <c r="I1011" s="6" t="s">
        <v>74</v>
      </c>
      <c r="J1011" s="6" t="s">
        <v>4269</v>
      </c>
      <c r="K1011" s="6" t="s">
        <v>3159</v>
      </c>
      <c r="L1011" s="6" t="s">
        <v>3152</v>
      </c>
      <c r="M1011" s="6" t="s">
        <v>3141</v>
      </c>
      <c r="N1011" s="6" t="s">
        <v>3196</v>
      </c>
      <c r="O1011" s="6" t="s">
        <v>3243</v>
      </c>
      <c r="P1011" s="6" t="s">
        <v>4270</v>
      </c>
      <c r="Q1011" s="6" t="s">
        <v>3217</v>
      </c>
      <c r="R1011" s="6" t="s">
        <v>4271</v>
      </c>
      <c r="S1011" s="6" t="s">
        <v>21</v>
      </c>
      <c r="T1011" s="6"/>
      <c r="U1011" s="6" t="s">
        <v>3140</v>
      </c>
      <c r="V1011" s="6" t="s">
        <v>4272</v>
      </c>
      <c r="W1011" s="6" t="s">
        <v>4067</v>
      </c>
      <c r="X1011" s="6" t="s">
        <v>77</v>
      </c>
      <c r="Y1011" s="6" t="s">
        <v>3159</v>
      </c>
      <c r="Z1011" s="6" t="s">
        <v>78</v>
      </c>
      <c r="AA1011" s="6" t="s">
        <v>3416</v>
      </c>
      <c r="AB1011" s="6"/>
      <c r="AC1011" s="6" t="s">
        <v>3141</v>
      </c>
      <c r="AD1011" s="6" t="s">
        <v>3160</v>
      </c>
      <c r="AE1011" s="6" t="s">
        <v>3136</v>
      </c>
      <c r="AF1011" s="6"/>
      <c r="AG1011" s="6" t="s">
        <v>4273</v>
      </c>
      <c r="AH1011" s="6" t="s">
        <v>79</v>
      </c>
    </row>
    <row r="1012" spans="1:34" x14ac:dyDescent="0.25">
      <c r="A1012" s="6" t="s">
        <v>507</v>
      </c>
      <c r="B1012" s="6" t="s">
        <v>508</v>
      </c>
      <c r="C1012" s="6" t="s">
        <v>509</v>
      </c>
      <c r="D1012" s="6" t="s">
        <v>510</v>
      </c>
      <c r="E1012" s="6" t="s">
        <v>3420</v>
      </c>
      <c r="F1012" s="6" t="s">
        <v>3283</v>
      </c>
      <c r="G1012" s="6" t="s">
        <v>83</v>
      </c>
      <c r="H1012" s="6" t="s">
        <v>91</v>
      </c>
      <c r="I1012" s="6" t="s">
        <v>92</v>
      </c>
      <c r="J1012" s="6"/>
      <c r="K1012" s="6" t="s">
        <v>3140</v>
      </c>
      <c r="L1012" s="6" t="s">
        <v>3196</v>
      </c>
      <c r="M1012" s="6" t="s">
        <v>76</v>
      </c>
      <c r="N1012" s="6" t="s">
        <v>3160</v>
      </c>
      <c r="O1012" s="6" t="s">
        <v>3143</v>
      </c>
      <c r="P1012" s="6" t="s">
        <v>4009</v>
      </c>
      <c r="Q1012" s="6" t="s">
        <v>4367</v>
      </c>
      <c r="R1012" s="6" t="s">
        <v>4368</v>
      </c>
      <c r="S1012" s="6" t="s">
        <v>23</v>
      </c>
      <c r="T1012" s="6" t="s">
        <v>4369</v>
      </c>
      <c r="U1012" s="6" t="s">
        <v>3141</v>
      </c>
      <c r="V1012" s="6" t="s">
        <v>4370</v>
      </c>
      <c r="W1012" s="6" t="s">
        <v>4126</v>
      </c>
      <c r="X1012" s="6" t="s">
        <v>85</v>
      </c>
      <c r="Y1012" s="6" t="s">
        <v>3159</v>
      </c>
      <c r="Z1012" s="6" t="s">
        <v>78</v>
      </c>
      <c r="AA1012" s="6" t="s">
        <v>4371</v>
      </c>
      <c r="AB1012" s="6" t="s">
        <v>4372</v>
      </c>
      <c r="AC1012" s="6" t="s">
        <v>3141</v>
      </c>
      <c r="AD1012" s="6" t="s">
        <v>3160</v>
      </c>
      <c r="AE1012" s="6" t="s">
        <v>3318</v>
      </c>
      <c r="AF1012" s="6" t="s">
        <v>4373</v>
      </c>
      <c r="AG1012" s="6"/>
      <c r="AH1012" s="6" t="s">
        <v>79</v>
      </c>
    </row>
    <row r="1013" spans="1:34" x14ac:dyDescent="0.25">
      <c r="A1013" s="6" t="s">
        <v>271</v>
      </c>
      <c r="B1013" s="6" t="s">
        <v>272</v>
      </c>
      <c r="C1013" s="6" t="s">
        <v>3711</v>
      </c>
      <c r="D1013" s="6" t="s">
        <v>273</v>
      </c>
      <c r="E1013" s="6"/>
      <c r="F1013" s="6" t="s">
        <v>3201</v>
      </c>
      <c r="G1013" s="6" t="s">
        <v>3712</v>
      </c>
      <c r="H1013" s="6" t="s">
        <v>144</v>
      </c>
      <c r="I1013" s="6" t="s">
        <v>92</v>
      </c>
      <c r="J1013" s="6" t="s">
        <v>3713</v>
      </c>
      <c r="K1013" s="6" t="s">
        <v>3159</v>
      </c>
      <c r="L1013" s="6" t="s">
        <v>3152</v>
      </c>
      <c r="M1013" s="6" t="s">
        <v>3159</v>
      </c>
      <c r="N1013" s="6" t="s">
        <v>3243</v>
      </c>
      <c r="O1013" s="6" t="s">
        <v>3152</v>
      </c>
      <c r="P1013" s="6" t="s">
        <v>3714</v>
      </c>
      <c r="Q1013" s="6" t="s">
        <v>3715</v>
      </c>
      <c r="R1013" s="6" t="s">
        <v>3716</v>
      </c>
      <c r="S1013" s="6" t="s">
        <v>23</v>
      </c>
      <c r="T1013" s="6"/>
      <c r="U1013" s="6" t="s">
        <v>3141</v>
      </c>
      <c r="V1013" s="6" t="s">
        <v>3717</v>
      </c>
      <c r="W1013" s="6" t="s">
        <v>3342</v>
      </c>
      <c r="X1013" s="6" t="s">
        <v>77</v>
      </c>
      <c r="Y1013" s="6" t="s">
        <v>3159</v>
      </c>
      <c r="Z1013" s="6" t="s">
        <v>78</v>
      </c>
      <c r="AA1013" s="6" t="s">
        <v>3718</v>
      </c>
      <c r="AB1013" s="6"/>
      <c r="AC1013" s="6" t="s">
        <v>3141</v>
      </c>
      <c r="AD1013" s="6" t="s">
        <v>3160</v>
      </c>
      <c r="AE1013" s="6" t="s">
        <v>3513</v>
      </c>
      <c r="AF1013" s="6" t="s">
        <v>3719</v>
      </c>
      <c r="AG1013" s="6" t="s">
        <v>3720</v>
      </c>
      <c r="AH1013" s="6" t="s">
        <v>79</v>
      </c>
    </row>
    <row r="1014" spans="1:34" x14ac:dyDescent="0.25">
      <c r="A1014" s="6" t="s">
        <v>1589</v>
      </c>
      <c r="B1014" s="6" t="s">
        <v>1291</v>
      </c>
      <c r="C1014" s="6" t="s">
        <v>6878</v>
      </c>
      <c r="D1014" s="6" t="s">
        <v>1590</v>
      </c>
      <c r="E1014" s="6" t="s">
        <v>4025</v>
      </c>
      <c r="F1014" s="6" t="s">
        <v>3137</v>
      </c>
      <c r="G1014" s="6" t="s">
        <v>6879</v>
      </c>
      <c r="H1014" s="6" t="s">
        <v>132</v>
      </c>
      <c r="I1014" s="6" t="s">
        <v>92</v>
      </c>
      <c r="J1014" s="6" t="s">
        <v>6880</v>
      </c>
      <c r="K1014" s="6" t="s">
        <v>3140</v>
      </c>
      <c r="L1014" s="6" t="s">
        <v>3173</v>
      </c>
      <c r="M1014" s="6" t="s">
        <v>3243</v>
      </c>
      <c r="N1014" s="6" t="s">
        <v>3159</v>
      </c>
      <c r="O1014" s="6" t="s">
        <v>75</v>
      </c>
      <c r="P1014" s="6" t="s">
        <v>5254</v>
      </c>
      <c r="Q1014" s="6" t="s">
        <v>3217</v>
      </c>
      <c r="R1014" s="6" t="s">
        <v>6881</v>
      </c>
      <c r="S1014" s="6" t="s">
        <v>20</v>
      </c>
      <c r="T1014" s="6" t="s">
        <v>6882</v>
      </c>
      <c r="U1014" s="6" t="s">
        <v>3140</v>
      </c>
      <c r="V1014" s="6" t="s">
        <v>6883</v>
      </c>
      <c r="W1014" s="6" t="s">
        <v>4684</v>
      </c>
      <c r="X1014" s="6" t="s">
        <v>77</v>
      </c>
      <c r="Y1014" s="6" t="s">
        <v>3141</v>
      </c>
      <c r="Z1014" s="6" t="s">
        <v>93</v>
      </c>
      <c r="AA1014" s="6" t="s">
        <v>3791</v>
      </c>
      <c r="AB1014" s="6"/>
      <c r="AC1014" s="6" t="s">
        <v>3141</v>
      </c>
      <c r="AD1014" s="6" t="s">
        <v>3143</v>
      </c>
      <c r="AE1014" s="6" t="s">
        <v>3169</v>
      </c>
      <c r="AF1014" s="6"/>
      <c r="AG1014" s="6" t="s">
        <v>6884</v>
      </c>
      <c r="AH1014" s="6" t="s">
        <v>79</v>
      </c>
    </row>
    <row r="1015" spans="1:34" x14ac:dyDescent="0.25">
      <c r="A1015" s="6" t="s">
        <v>590</v>
      </c>
      <c r="B1015" s="6" t="s">
        <v>591</v>
      </c>
      <c r="C1015" s="6" t="s">
        <v>592</v>
      </c>
      <c r="D1015" s="6" t="s">
        <v>4571</v>
      </c>
      <c r="E1015" s="6" t="s">
        <v>3226</v>
      </c>
      <c r="F1015" s="6" t="s">
        <v>71</v>
      </c>
      <c r="G1015" s="6" t="s">
        <v>139</v>
      </c>
      <c r="H1015" s="6" t="s">
        <v>91</v>
      </c>
      <c r="I1015" s="6" t="s">
        <v>92</v>
      </c>
      <c r="J1015" s="6" t="s">
        <v>4572</v>
      </c>
      <c r="K1015" s="6" t="s">
        <v>3292</v>
      </c>
      <c r="L1015" s="6" t="s">
        <v>3173</v>
      </c>
      <c r="M1015" s="6" t="s">
        <v>3142</v>
      </c>
      <c r="N1015" s="6" t="s">
        <v>3143</v>
      </c>
      <c r="O1015" s="6" t="s">
        <v>3142</v>
      </c>
      <c r="P1015" s="6" t="s">
        <v>3960</v>
      </c>
      <c r="Q1015" s="6" t="s">
        <v>4573</v>
      </c>
      <c r="R1015" s="6" t="s">
        <v>4574</v>
      </c>
      <c r="S1015" s="6" t="s">
        <v>23</v>
      </c>
      <c r="T1015" s="6" t="s">
        <v>4575</v>
      </c>
      <c r="U1015" s="6" t="s">
        <v>3159</v>
      </c>
      <c r="V1015" s="6" t="s">
        <v>4576</v>
      </c>
      <c r="W1015" s="6" t="s">
        <v>4161</v>
      </c>
      <c r="X1015" s="6" t="s">
        <v>3167</v>
      </c>
      <c r="Y1015" s="6" t="s">
        <v>3141</v>
      </c>
      <c r="Z1015" s="6" t="s">
        <v>3895</v>
      </c>
      <c r="AA1015" s="6" t="s">
        <v>3207</v>
      </c>
      <c r="AB1015" s="6"/>
      <c r="AC1015" s="6" t="s">
        <v>3159</v>
      </c>
      <c r="AD1015" s="6" t="s">
        <v>3141</v>
      </c>
      <c r="AE1015" s="6" t="s">
        <v>3428</v>
      </c>
      <c r="AF1015" s="6" t="s">
        <v>4577</v>
      </c>
      <c r="AG1015" s="6" t="s">
        <v>4578</v>
      </c>
      <c r="AH1015" s="6" t="s">
        <v>79</v>
      </c>
    </row>
    <row r="1016" spans="1:34" x14ac:dyDescent="0.25">
      <c r="A1016" s="6" t="s">
        <v>784</v>
      </c>
      <c r="B1016" s="6" t="s">
        <v>785</v>
      </c>
      <c r="C1016" s="6" t="s">
        <v>5041</v>
      </c>
      <c r="D1016" s="6" t="s">
        <v>5042</v>
      </c>
      <c r="E1016" s="6" t="s">
        <v>4358</v>
      </c>
      <c r="F1016" s="6" t="s">
        <v>89</v>
      </c>
      <c r="G1016" s="6" t="s">
        <v>90</v>
      </c>
      <c r="H1016" s="6" t="s">
        <v>166</v>
      </c>
      <c r="I1016" s="6" t="s">
        <v>74</v>
      </c>
      <c r="J1016" s="6" t="s">
        <v>5043</v>
      </c>
      <c r="K1016" s="6" t="s">
        <v>3159</v>
      </c>
      <c r="L1016" s="6" t="s">
        <v>3142</v>
      </c>
      <c r="M1016" s="6" t="s">
        <v>3243</v>
      </c>
      <c r="N1016" s="6" t="s">
        <v>3243</v>
      </c>
      <c r="O1016" s="6" t="s">
        <v>3243</v>
      </c>
      <c r="P1016" s="6" t="s">
        <v>5044</v>
      </c>
      <c r="Q1016" s="6" t="s">
        <v>3217</v>
      </c>
      <c r="R1016" s="6" t="s">
        <v>5045</v>
      </c>
      <c r="S1016" s="6" t="s">
        <v>22</v>
      </c>
      <c r="T1016" s="6"/>
      <c r="U1016" s="6" t="s">
        <v>3141</v>
      </c>
      <c r="V1016" s="6" t="s">
        <v>3621</v>
      </c>
      <c r="W1016" s="6" t="s">
        <v>5046</v>
      </c>
      <c r="X1016" s="6" t="s">
        <v>85</v>
      </c>
      <c r="Y1016" s="6" t="s">
        <v>3159</v>
      </c>
      <c r="Z1016" s="6" t="s">
        <v>78</v>
      </c>
      <c r="AA1016" s="6" t="s">
        <v>3395</v>
      </c>
      <c r="AB1016" s="6"/>
      <c r="AC1016" s="6" t="s">
        <v>3141</v>
      </c>
      <c r="AD1016" s="6" t="s">
        <v>3141</v>
      </c>
      <c r="AE1016" s="6" t="s">
        <v>3210</v>
      </c>
      <c r="AF1016" s="6" t="s">
        <v>5047</v>
      </c>
      <c r="AG1016" s="6" t="s">
        <v>5048</v>
      </c>
      <c r="AH1016" s="6" t="s">
        <v>79</v>
      </c>
    </row>
    <row r="1017" spans="1:34" x14ac:dyDescent="0.25">
      <c r="A1017" s="6" t="s">
        <v>2918</v>
      </c>
      <c r="B1017" s="6" t="s">
        <v>2919</v>
      </c>
      <c r="C1017" s="6" t="s">
        <v>9783</v>
      </c>
      <c r="D1017" s="6" t="s">
        <v>2920</v>
      </c>
      <c r="E1017" s="6" t="s">
        <v>3279</v>
      </c>
      <c r="F1017" s="6" t="s">
        <v>3283</v>
      </c>
      <c r="G1017" s="6" t="s">
        <v>226</v>
      </c>
      <c r="H1017" s="6" t="s">
        <v>166</v>
      </c>
      <c r="I1017" s="6" t="s">
        <v>74</v>
      </c>
      <c r="J1017" s="6" t="s">
        <v>9784</v>
      </c>
      <c r="K1017" s="6" t="s">
        <v>3159</v>
      </c>
      <c r="L1017" s="6" t="s">
        <v>76</v>
      </c>
      <c r="M1017" s="6" t="s">
        <v>3152</v>
      </c>
      <c r="N1017" s="6" t="s">
        <v>3152</v>
      </c>
      <c r="O1017" s="6" t="s">
        <v>3243</v>
      </c>
      <c r="P1017" s="6" t="s">
        <v>7205</v>
      </c>
      <c r="Q1017" s="6" t="s">
        <v>9785</v>
      </c>
      <c r="R1017" s="6" t="s">
        <v>9786</v>
      </c>
      <c r="S1017" s="6" t="s">
        <v>23</v>
      </c>
      <c r="T1017" s="6"/>
      <c r="U1017" s="6" t="s">
        <v>3192</v>
      </c>
      <c r="V1017" s="6" t="s">
        <v>9787</v>
      </c>
      <c r="W1017" s="6" t="s">
        <v>3621</v>
      </c>
      <c r="X1017" s="6" t="s">
        <v>77</v>
      </c>
      <c r="Y1017" s="6" t="s">
        <v>3159</v>
      </c>
      <c r="Z1017" s="6" t="s">
        <v>3614</v>
      </c>
      <c r="AA1017" s="6" t="s">
        <v>3811</v>
      </c>
      <c r="AB1017" s="6"/>
      <c r="AC1017" s="6" t="s">
        <v>3159</v>
      </c>
      <c r="AD1017" s="6" t="s">
        <v>3243</v>
      </c>
      <c r="AE1017" s="6" t="s">
        <v>3513</v>
      </c>
      <c r="AF1017" s="6" t="s">
        <v>9788</v>
      </c>
      <c r="AG1017" s="6" t="s">
        <v>9789</v>
      </c>
      <c r="AH1017" s="6" t="s">
        <v>3334</v>
      </c>
    </row>
    <row r="1018" spans="1:34" x14ac:dyDescent="0.25">
      <c r="A1018" s="6" t="s">
        <v>1936</v>
      </c>
      <c r="B1018" s="6" t="s">
        <v>1937</v>
      </c>
      <c r="C1018" s="6" t="s">
        <v>1938</v>
      </c>
      <c r="D1018" s="6" t="s">
        <v>1939</v>
      </c>
      <c r="E1018" s="6" t="s">
        <v>3626</v>
      </c>
      <c r="F1018" s="6" t="s">
        <v>3369</v>
      </c>
      <c r="G1018" s="6" t="s">
        <v>72</v>
      </c>
      <c r="H1018" s="6" t="s">
        <v>91</v>
      </c>
      <c r="I1018" s="6" t="s">
        <v>92</v>
      </c>
      <c r="J1018" s="6" t="s">
        <v>7688</v>
      </c>
      <c r="K1018" s="6" t="s">
        <v>3159</v>
      </c>
      <c r="L1018" s="6" t="s">
        <v>3160</v>
      </c>
      <c r="M1018" s="6" t="s">
        <v>3173</v>
      </c>
      <c r="N1018" s="6" t="s">
        <v>3141</v>
      </c>
      <c r="O1018" s="6" t="s">
        <v>3152</v>
      </c>
      <c r="P1018" s="6" t="s">
        <v>3981</v>
      </c>
      <c r="Q1018" s="6" t="s">
        <v>7689</v>
      </c>
      <c r="R1018" s="6" t="s">
        <v>7690</v>
      </c>
      <c r="S1018" s="6" t="s">
        <v>20</v>
      </c>
      <c r="T1018" s="6" t="s">
        <v>7691</v>
      </c>
      <c r="U1018" s="6" t="s">
        <v>3159</v>
      </c>
      <c r="V1018" s="6" t="s">
        <v>7692</v>
      </c>
      <c r="W1018" s="6" t="s">
        <v>5017</v>
      </c>
      <c r="X1018" s="6" t="s">
        <v>85</v>
      </c>
      <c r="Y1018" s="6" t="s">
        <v>3159</v>
      </c>
      <c r="Z1018" s="6" t="s">
        <v>78</v>
      </c>
      <c r="AA1018" s="6" t="s">
        <v>7693</v>
      </c>
      <c r="AB1018" s="6"/>
      <c r="AC1018" s="6" t="s">
        <v>3141</v>
      </c>
      <c r="AD1018" s="6" t="s">
        <v>3160</v>
      </c>
      <c r="AE1018" s="6" t="s">
        <v>3136</v>
      </c>
      <c r="AF1018" s="6"/>
      <c r="AG1018" s="6" t="s">
        <v>7694</v>
      </c>
      <c r="AH1018" s="6" t="s">
        <v>79</v>
      </c>
    </row>
    <row r="1019" spans="1:34" x14ac:dyDescent="0.25">
      <c r="A1019" s="6" t="s">
        <v>1102</v>
      </c>
      <c r="B1019" s="6" t="s">
        <v>634</v>
      </c>
      <c r="C1019" s="6" t="s">
        <v>5808</v>
      </c>
      <c r="D1019" s="6" t="s">
        <v>5809</v>
      </c>
      <c r="E1019" s="6" t="s">
        <v>3185</v>
      </c>
      <c r="F1019" s="6" t="s">
        <v>3214</v>
      </c>
      <c r="G1019" s="6" t="s">
        <v>417</v>
      </c>
      <c r="H1019" s="6" t="s">
        <v>166</v>
      </c>
      <c r="I1019" s="6" t="s">
        <v>74</v>
      </c>
      <c r="J1019" s="6"/>
      <c r="K1019" s="6" t="s">
        <v>3140</v>
      </c>
      <c r="L1019" s="6" t="s">
        <v>3141</v>
      </c>
      <c r="M1019" s="6" t="s">
        <v>3188</v>
      </c>
      <c r="N1019" s="6" t="s">
        <v>76</v>
      </c>
      <c r="O1019" s="6" t="s">
        <v>75</v>
      </c>
      <c r="P1019" s="6" t="s">
        <v>3779</v>
      </c>
      <c r="Q1019" s="6" t="s">
        <v>5810</v>
      </c>
      <c r="R1019" s="6" t="s">
        <v>5811</v>
      </c>
      <c r="S1019" s="6" t="s">
        <v>23</v>
      </c>
      <c r="T1019" s="6" t="s">
        <v>5812</v>
      </c>
      <c r="U1019" s="6" t="s">
        <v>3141</v>
      </c>
      <c r="V1019" s="6" t="s">
        <v>3896</v>
      </c>
      <c r="W1019" s="6" t="s">
        <v>4398</v>
      </c>
      <c r="X1019" s="6" t="s">
        <v>77</v>
      </c>
      <c r="Y1019" s="6" t="s">
        <v>3159</v>
      </c>
      <c r="Z1019" s="6" t="s">
        <v>78</v>
      </c>
      <c r="AA1019" s="6" t="s">
        <v>4161</v>
      </c>
      <c r="AB1019" s="6" t="s">
        <v>5813</v>
      </c>
      <c r="AC1019" s="6" t="s">
        <v>3141</v>
      </c>
      <c r="AD1019" s="6" t="s">
        <v>75</v>
      </c>
      <c r="AE1019" s="6" t="s">
        <v>3331</v>
      </c>
      <c r="AF1019" s="6" t="s">
        <v>5814</v>
      </c>
      <c r="AG1019" s="6" t="s">
        <v>5815</v>
      </c>
      <c r="AH1019" s="6" t="s">
        <v>79</v>
      </c>
    </row>
    <row r="1020" spans="1:34" x14ac:dyDescent="0.25">
      <c r="A1020" s="6" t="s">
        <v>3074</v>
      </c>
      <c r="B1020" s="6" t="s">
        <v>10141</v>
      </c>
      <c r="C1020" s="6" t="s">
        <v>3076</v>
      </c>
      <c r="D1020" s="6" t="s">
        <v>3077</v>
      </c>
      <c r="E1020" s="6" t="s">
        <v>3268</v>
      </c>
      <c r="F1020" s="6" t="s">
        <v>3227</v>
      </c>
      <c r="G1020" s="6" t="s">
        <v>98</v>
      </c>
      <c r="H1020" s="6" t="s">
        <v>84</v>
      </c>
      <c r="I1020" s="6" t="s">
        <v>74</v>
      </c>
      <c r="J1020" s="6"/>
      <c r="K1020" s="6" t="s">
        <v>3159</v>
      </c>
      <c r="L1020" s="6" t="s">
        <v>3159</v>
      </c>
      <c r="M1020" s="6" t="s">
        <v>3141</v>
      </c>
      <c r="N1020" s="6" t="s">
        <v>3141</v>
      </c>
      <c r="O1020" s="6" t="s">
        <v>3160</v>
      </c>
      <c r="P1020" s="6" t="s">
        <v>4181</v>
      </c>
      <c r="Q1020" s="6"/>
      <c r="R1020" s="6" t="s">
        <v>10142</v>
      </c>
      <c r="S1020" s="6" t="s">
        <v>21</v>
      </c>
      <c r="T1020" s="6" t="s">
        <v>10143</v>
      </c>
      <c r="U1020" s="6" t="s">
        <v>3140</v>
      </c>
      <c r="V1020" s="6" t="s">
        <v>8670</v>
      </c>
      <c r="W1020" s="6" t="s">
        <v>3467</v>
      </c>
      <c r="X1020" s="6" t="s">
        <v>85</v>
      </c>
      <c r="Y1020" s="6" t="s">
        <v>3159</v>
      </c>
      <c r="Z1020" s="6" t="s">
        <v>93</v>
      </c>
      <c r="AA1020" s="6" t="s">
        <v>4398</v>
      </c>
      <c r="AB1020" s="6"/>
      <c r="AC1020" s="6" t="s">
        <v>3141</v>
      </c>
      <c r="AD1020" s="6" t="s">
        <v>3141</v>
      </c>
      <c r="AE1020" s="6" t="s">
        <v>3136</v>
      </c>
      <c r="AF1020" s="6"/>
      <c r="AG1020" s="6" t="s">
        <v>10144</v>
      </c>
      <c r="AH1020" s="6" t="s">
        <v>79</v>
      </c>
    </row>
    <row r="1021" spans="1:34" x14ac:dyDescent="0.25">
      <c r="A1021" s="6" t="s">
        <v>1915</v>
      </c>
      <c r="B1021" s="6" t="s">
        <v>390</v>
      </c>
      <c r="C1021" s="6" t="s">
        <v>1916</v>
      </c>
      <c r="D1021" s="6" t="s">
        <v>1917</v>
      </c>
      <c r="E1021" s="6" t="s">
        <v>3921</v>
      </c>
      <c r="F1021" s="6" t="s">
        <v>71</v>
      </c>
      <c r="G1021" s="6" t="s">
        <v>226</v>
      </c>
      <c r="H1021" s="6" t="s">
        <v>132</v>
      </c>
      <c r="I1021" s="6" t="s">
        <v>92</v>
      </c>
      <c r="J1021" s="6" t="s">
        <v>7638</v>
      </c>
      <c r="K1021" s="6" t="s">
        <v>3159</v>
      </c>
      <c r="L1021" s="6" t="s">
        <v>3159</v>
      </c>
      <c r="M1021" s="6" t="s">
        <v>3152</v>
      </c>
      <c r="N1021" s="6" t="s">
        <v>75</v>
      </c>
      <c r="O1021" s="6" t="s">
        <v>3160</v>
      </c>
      <c r="P1021" s="6" t="s">
        <v>7639</v>
      </c>
      <c r="Q1021" s="6" t="s">
        <v>7640</v>
      </c>
      <c r="R1021" s="6" t="s">
        <v>7641</v>
      </c>
      <c r="S1021" s="6" t="s">
        <v>21</v>
      </c>
      <c r="T1021" s="6"/>
      <c r="U1021" s="6" t="s">
        <v>3141</v>
      </c>
      <c r="V1021" s="6" t="s">
        <v>7642</v>
      </c>
      <c r="W1021" s="6" t="s">
        <v>4781</v>
      </c>
      <c r="X1021" s="6" t="s">
        <v>85</v>
      </c>
      <c r="Y1021" s="6" t="s">
        <v>3140</v>
      </c>
      <c r="Z1021" s="6" t="s">
        <v>78</v>
      </c>
      <c r="AA1021" s="6" t="s">
        <v>3613</v>
      </c>
      <c r="AB1021" s="6"/>
      <c r="AC1021" s="6" t="s">
        <v>3140</v>
      </c>
      <c r="AD1021" s="6" t="s">
        <v>3141</v>
      </c>
      <c r="AE1021" s="6" t="s">
        <v>3323</v>
      </c>
      <c r="AF1021" s="6"/>
      <c r="AG1021" s="6" t="s">
        <v>7643</v>
      </c>
      <c r="AH1021" s="6" t="s">
        <v>79</v>
      </c>
    </row>
    <row r="1022" spans="1:34" x14ac:dyDescent="0.25">
      <c r="A1022" s="6" t="s">
        <v>318</v>
      </c>
      <c r="B1022" s="6" t="s">
        <v>319</v>
      </c>
      <c r="C1022" s="6" t="s">
        <v>320</v>
      </c>
      <c r="D1022" s="6" t="s">
        <v>321</v>
      </c>
      <c r="E1022" s="6" t="s">
        <v>3185</v>
      </c>
      <c r="F1022" s="6" t="s">
        <v>3137</v>
      </c>
      <c r="G1022" s="6" t="s">
        <v>83</v>
      </c>
      <c r="H1022" s="6" t="s">
        <v>99</v>
      </c>
      <c r="I1022" s="6" t="s">
        <v>74</v>
      </c>
      <c r="J1022" s="6"/>
      <c r="K1022" s="6" t="s">
        <v>3292</v>
      </c>
      <c r="L1022" s="6" t="s">
        <v>3143</v>
      </c>
      <c r="M1022" s="6" t="s">
        <v>3188</v>
      </c>
      <c r="N1022" s="6" t="s">
        <v>3142</v>
      </c>
      <c r="O1022" s="6" t="s">
        <v>3142</v>
      </c>
      <c r="P1022" s="6" t="s">
        <v>3474</v>
      </c>
      <c r="Q1022" s="6" t="s">
        <v>3849</v>
      </c>
      <c r="R1022" s="6" t="s">
        <v>3850</v>
      </c>
      <c r="S1022" s="6" t="s">
        <v>23</v>
      </c>
      <c r="T1022" s="6" t="s">
        <v>3851</v>
      </c>
      <c r="U1022" s="6" t="s">
        <v>3141</v>
      </c>
      <c r="V1022" s="6" t="s">
        <v>3852</v>
      </c>
      <c r="W1022" s="6" t="s">
        <v>3853</v>
      </c>
      <c r="X1022" s="6" t="s">
        <v>85</v>
      </c>
      <c r="Y1022" s="6" t="s">
        <v>3141</v>
      </c>
      <c r="Z1022" s="6" t="s">
        <v>93</v>
      </c>
      <c r="AA1022" s="6" t="s">
        <v>3854</v>
      </c>
      <c r="AB1022" s="6" t="s">
        <v>3855</v>
      </c>
      <c r="AC1022" s="6" t="s">
        <v>3159</v>
      </c>
      <c r="AD1022" s="6" t="s">
        <v>76</v>
      </c>
      <c r="AE1022" s="6" t="s">
        <v>3513</v>
      </c>
      <c r="AF1022" s="6" t="s">
        <v>3856</v>
      </c>
      <c r="AG1022" s="6" t="s">
        <v>3857</v>
      </c>
      <c r="AH1022" s="6" t="s">
        <v>79</v>
      </c>
    </row>
    <row r="1023" spans="1:34" x14ac:dyDescent="0.25">
      <c r="A1023" s="6" t="s">
        <v>1250</v>
      </c>
      <c r="B1023" s="6" t="s">
        <v>649</v>
      </c>
      <c r="C1023" s="6" t="s">
        <v>1251</v>
      </c>
      <c r="D1023" s="6"/>
      <c r="E1023" s="6" t="s">
        <v>3346</v>
      </c>
      <c r="F1023" s="6" t="s">
        <v>3201</v>
      </c>
      <c r="G1023" s="6" t="s">
        <v>3761</v>
      </c>
      <c r="H1023" s="6" t="s">
        <v>144</v>
      </c>
      <c r="I1023" s="6" t="s">
        <v>92</v>
      </c>
      <c r="J1023" s="6" t="s">
        <v>6135</v>
      </c>
      <c r="K1023" s="6" t="s">
        <v>3292</v>
      </c>
      <c r="L1023" s="6" t="s">
        <v>76</v>
      </c>
      <c r="M1023" s="6" t="s">
        <v>3173</v>
      </c>
      <c r="N1023" s="6" t="s">
        <v>3159</v>
      </c>
      <c r="O1023" s="6" t="s">
        <v>75</v>
      </c>
      <c r="P1023" s="6" t="s">
        <v>5497</v>
      </c>
      <c r="Q1023" s="6" t="s">
        <v>6136</v>
      </c>
      <c r="R1023" s="6" t="s">
        <v>6137</v>
      </c>
      <c r="S1023" s="6" t="s">
        <v>22</v>
      </c>
      <c r="T1023" s="6"/>
      <c r="U1023" s="6" t="s">
        <v>3141</v>
      </c>
      <c r="V1023" s="6" t="s">
        <v>5431</v>
      </c>
      <c r="W1023" s="6" t="s">
        <v>4067</v>
      </c>
      <c r="X1023" s="6" t="s">
        <v>85</v>
      </c>
      <c r="Y1023" s="6" t="s">
        <v>3292</v>
      </c>
      <c r="Z1023" s="6" t="s">
        <v>93</v>
      </c>
      <c r="AA1023" s="6" t="s">
        <v>3757</v>
      </c>
      <c r="AB1023" s="6"/>
      <c r="AC1023" s="6" t="s">
        <v>3159</v>
      </c>
      <c r="AD1023" s="6" t="s">
        <v>3152</v>
      </c>
      <c r="AE1023" s="6" t="s">
        <v>3279</v>
      </c>
      <c r="AF1023" s="6" t="s">
        <v>6138</v>
      </c>
      <c r="AG1023" s="6" t="s">
        <v>6139</v>
      </c>
      <c r="AH1023" s="6" t="s">
        <v>4004</v>
      </c>
    </row>
    <row r="1024" spans="1:34" x14ac:dyDescent="0.25">
      <c r="A1024" s="6" t="s">
        <v>738</v>
      </c>
      <c r="B1024" s="6" t="s">
        <v>205</v>
      </c>
      <c r="C1024" s="6" t="s">
        <v>4927</v>
      </c>
      <c r="D1024" s="6" t="s">
        <v>4928</v>
      </c>
      <c r="E1024" s="6" t="s">
        <v>3505</v>
      </c>
      <c r="F1024" s="6" t="s">
        <v>3283</v>
      </c>
      <c r="G1024" s="6" t="s">
        <v>388</v>
      </c>
      <c r="H1024" s="6" t="s">
        <v>107</v>
      </c>
      <c r="I1024" s="6" t="s">
        <v>92</v>
      </c>
      <c r="J1024" s="6" t="s">
        <v>4929</v>
      </c>
      <c r="K1024" s="6" t="s">
        <v>3159</v>
      </c>
      <c r="L1024" s="6" t="s">
        <v>3142</v>
      </c>
      <c r="M1024" s="6" t="s">
        <v>3160</v>
      </c>
      <c r="N1024" s="6" t="s">
        <v>3141</v>
      </c>
      <c r="O1024" s="6" t="s">
        <v>3141</v>
      </c>
      <c r="P1024" s="6"/>
      <c r="Q1024" s="6" t="s">
        <v>4930</v>
      </c>
      <c r="R1024" s="6" t="s">
        <v>4931</v>
      </c>
      <c r="S1024" s="6" t="s">
        <v>21</v>
      </c>
      <c r="T1024" s="6" t="s">
        <v>4932</v>
      </c>
      <c r="U1024" s="6" t="s">
        <v>3141</v>
      </c>
      <c r="V1024" s="6" t="s">
        <v>4933</v>
      </c>
      <c r="W1024" s="6" t="s">
        <v>4684</v>
      </c>
      <c r="X1024" s="6" t="s">
        <v>85</v>
      </c>
      <c r="Y1024" s="6" t="s">
        <v>3159</v>
      </c>
      <c r="Z1024" s="6" t="s">
        <v>93</v>
      </c>
      <c r="AA1024" s="6" t="s">
        <v>4934</v>
      </c>
      <c r="AB1024" s="6"/>
      <c r="AC1024" s="6" t="s">
        <v>3141</v>
      </c>
      <c r="AD1024" s="6" t="s">
        <v>3160</v>
      </c>
      <c r="AE1024" s="6" t="s">
        <v>3293</v>
      </c>
      <c r="AF1024" s="6"/>
      <c r="AG1024" s="6" t="s">
        <v>4935</v>
      </c>
      <c r="AH1024" s="6" t="s">
        <v>79</v>
      </c>
    </row>
    <row r="1025" spans="1:34" x14ac:dyDescent="0.25">
      <c r="A1025" s="6" t="s">
        <v>1246</v>
      </c>
      <c r="B1025" s="6" t="s">
        <v>1247</v>
      </c>
      <c r="C1025" s="6" t="s">
        <v>1248</v>
      </c>
      <c r="D1025" s="6" t="s">
        <v>6125</v>
      </c>
      <c r="E1025" s="6" t="s">
        <v>3346</v>
      </c>
      <c r="F1025" s="6" t="s">
        <v>3369</v>
      </c>
      <c r="G1025" s="6" t="s">
        <v>6126</v>
      </c>
      <c r="H1025" s="6" t="s">
        <v>5368</v>
      </c>
      <c r="I1025" s="6" t="s">
        <v>74</v>
      </c>
      <c r="J1025" s="6" t="s">
        <v>6127</v>
      </c>
      <c r="K1025" s="6" t="s">
        <v>3159</v>
      </c>
      <c r="L1025" s="6" t="s">
        <v>3173</v>
      </c>
      <c r="M1025" s="6" t="s">
        <v>3141</v>
      </c>
      <c r="N1025" s="6" t="s">
        <v>3141</v>
      </c>
      <c r="O1025" s="6" t="s">
        <v>3160</v>
      </c>
      <c r="P1025" s="6" t="s">
        <v>6128</v>
      </c>
      <c r="Q1025" s="6" t="s">
        <v>6129</v>
      </c>
      <c r="R1025" s="6" t="s">
        <v>6130</v>
      </c>
      <c r="S1025" s="6" t="s">
        <v>22</v>
      </c>
      <c r="T1025" s="6"/>
      <c r="U1025" s="6" t="s">
        <v>3141</v>
      </c>
      <c r="V1025" s="6" t="s">
        <v>6131</v>
      </c>
      <c r="W1025" s="6" t="s">
        <v>3747</v>
      </c>
      <c r="X1025" s="6" t="s">
        <v>85</v>
      </c>
      <c r="Y1025" s="6" t="s">
        <v>3141</v>
      </c>
      <c r="Z1025" s="6" t="s">
        <v>93</v>
      </c>
      <c r="AA1025" s="6" t="s">
        <v>6132</v>
      </c>
      <c r="AB1025" s="6"/>
      <c r="AC1025" s="6" t="s">
        <v>3141</v>
      </c>
      <c r="AD1025" s="6" t="s">
        <v>3152</v>
      </c>
      <c r="AE1025" s="6" t="s">
        <v>3235</v>
      </c>
      <c r="AF1025" s="6" t="s">
        <v>6133</v>
      </c>
      <c r="AG1025" s="6" t="s">
        <v>6134</v>
      </c>
      <c r="AH1025" s="6" t="s">
        <v>79</v>
      </c>
    </row>
    <row r="1026" spans="1:34" x14ac:dyDescent="0.25">
      <c r="A1026" s="6" t="s">
        <v>898</v>
      </c>
      <c r="B1026" s="6" t="s">
        <v>899</v>
      </c>
      <c r="C1026" s="6" t="s">
        <v>900</v>
      </c>
      <c r="D1026" s="6" t="s">
        <v>901</v>
      </c>
      <c r="E1026" s="6" t="s">
        <v>3703</v>
      </c>
      <c r="F1026" s="6" t="s">
        <v>3201</v>
      </c>
      <c r="G1026" s="6" t="s">
        <v>90</v>
      </c>
      <c r="H1026" s="6" t="s">
        <v>5348</v>
      </c>
      <c r="I1026" s="6" t="s">
        <v>74</v>
      </c>
      <c r="J1026" s="6"/>
      <c r="K1026" s="6" t="s">
        <v>3159</v>
      </c>
      <c r="L1026" s="6" t="s">
        <v>76</v>
      </c>
      <c r="M1026" s="6" t="s">
        <v>3141</v>
      </c>
      <c r="N1026" s="6" t="s">
        <v>3160</v>
      </c>
      <c r="O1026" s="6" t="s">
        <v>3243</v>
      </c>
      <c r="P1026" s="6" t="s">
        <v>3742</v>
      </c>
      <c r="Q1026" s="6" t="s">
        <v>5349</v>
      </c>
      <c r="R1026" s="6" t="s">
        <v>5350</v>
      </c>
      <c r="S1026" s="6" t="s">
        <v>21</v>
      </c>
      <c r="T1026" s="6"/>
      <c r="U1026" s="6" t="s">
        <v>3141</v>
      </c>
      <c r="V1026" s="6" t="s">
        <v>3489</v>
      </c>
      <c r="W1026" s="6" t="s">
        <v>4067</v>
      </c>
      <c r="X1026" s="6" t="s">
        <v>85</v>
      </c>
      <c r="Y1026" s="6" t="s">
        <v>3159</v>
      </c>
      <c r="Z1026" s="6" t="s">
        <v>3343</v>
      </c>
      <c r="AA1026" s="6" t="s">
        <v>4398</v>
      </c>
      <c r="AB1026" s="6"/>
      <c r="AC1026" s="6" t="s">
        <v>3140</v>
      </c>
      <c r="AD1026" s="6" t="s">
        <v>3160</v>
      </c>
      <c r="AE1026" s="6" t="s">
        <v>3136</v>
      </c>
      <c r="AF1026" s="6"/>
      <c r="AG1026" s="6" t="s">
        <v>5351</v>
      </c>
      <c r="AH1026" s="6" t="s">
        <v>79</v>
      </c>
    </row>
    <row r="1027" spans="1:34" x14ac:dyDescent="0.25">
      <c r="A1027" s="6" t="s">
        <v>392</v>
      </c>
      <c r="B1027" s="6" t="s">
        <v>393</v>
      </c>
      <c r="C1027" s="6" t="s">
        <v>4072</v>
      </c>
      <c r="D1027" s="6" t="s">
        <v>394</v>
      </c>
      <c r="E1027" s="6" t="s">
        <v>3483</v>
      </c>
      <c r="F1027" s="6" t="s">
        <v>3227</v>
      </c>
      <c r="G1027" s="6" t="s">
        <v>139</v>
      </c>
      <c r="H1027" s="6" t="s">
        <v>91</v>
      </c>
      <c r="I1027" s="6" t="s">
        <v>92</v>
      </c>
      <c r="J1027" s="6"/>
      <c r="K1027" s="6" t="s">
        <v>3140</v>
      </c>
      <c r="L1027" s="6" t="s">
        <v>3152</v>
      </c>
      <c r="M1027" s="6" t="s">
        <v>3173</v>
      </c>
      <c r="N1027" s="6" t="s">
        <v>75</v>
      </c>
      <c r="O1027" s="6" t="s">
        <v>3173</v>
      </c>
      <c r="P1027" s="6" t="s">
        <v>4073</v>
      </c>
      <c r="Q1027" s="6"/>
      <c r="R1027" s="6" t="s">
        <v>4074</v>
      </c>
      <c r="S1027" s="6" t="s">
        <v>23</v>
      </c>
      <c r="T1027" s="6" t="s">
        <v>4075</v>
      </c>
      <c r="U1027" s="6" t="s">
        <v>3141</v>
      </c>
      <c r="V1027" s="6" t="s">
        <v>4076</v>
      </c>
      <c r="W1027" s="6" t="s">
        <v>3448</v>
      </c>
      <c r="X1027" s="6" t="s">
        <v>85</v>
      </c>
      <c r="Y1027" s="6" t="s">
        <v>3192</v>
      </c>
      <c r="Z1027" s="6" t="s">
        <v>78</v>
      </c>
      <c r="AA1027" s="6" t="s">
        <v>3565</v>
      </c>
      <c r="AB1027" s="6" t="s">
        <v>4077</v>
      </c>
      <c r="AC1027" s="6" t="s">
        <v>3140</v>
      </c>
      <c r="AD1027" s="6" t="s">
        <v>3188</v>
      </c>
      <c r="AE1027" s="6" t="s">
        <v>3331</v>
      </c>
      <c r="AF1027" s="6" t="s">
        <v>4078</v>
      </c>
      <c r="AG1027" s="6" t="s">
        <v>4079</v>
      </c>
      <c r="AH1027" s="6" t="s">
        <v>79</v>
      </c>
    </row>
    <row r="1028" spans="1:34" x14ac:dyDescent="0.25">
      <c r="A1028" s="6" t="s">
        <v>672</v>
      </c>
      <c r="B1028" s="6" t="s">
        <v>673</v>
      </c>
      <c r="C1028" s="6" t="s">
        <v>674</v>
      </c>
      <c r="D1028" s="6" t="s">
        <v>675</v>
      </c>
      <c r="E1028" s="6" t="s">
        <v>3570</v>
      </c>
      <c r="F1028" s="6" t="s">
        <v>3358</v>
      </c>
      <c r="G1028" s="6" t="s">
        <v>417</v>
      </c>
      <c r="H1028" s="6" t="s">
        <v>132</v>
      </c>
      <c r="I1028" s="6" t="s">
        <v>92</v>
      </c>
      <c r="J1028" s="6" t="s">
        <v>4783</v>
      </c>
      <c r="K1028" s="6" t="s">
        <v>3140</v>
      </c>
      <c r="L1028" s="6" t="s">
        <v>3141</v>
      </c>
      <c r="M1028" s="6" t="s">
        <v>3173</v>
      </c>
      <c r="N1028" s="6" t="s">
        <v>3196</v>
      </c>
      <c r="O1028" s="6" t="s">
        <v>75</v>
      </c>
      <c r="P1028" s="6" t="s">
        <v>4784</v>
      </c>
      <c r="Q1028" s="6"/>
      <c r="R1028" s="6" t="s">
        <v>4785</v>
      </c>
      <c r="S1028" s="6" t="s">
        <v>20</v>
      </c>
      <c r="T1028" s="6" t="s">
        <v>4786</v>
      </c>
      <c r="U1028" s="6" t="s">
        <v>3141</v>
      </c>
      <c r="V1028" s="6" t="s">
        <v>4787</v>
      </c>
      <c r="W1028" s="6" t="s">
        <v>3830</v>
      </c>
      <c r="X1028" s="6" t="s">
        <v>77</v>
      </c>
      <c r="Y1028" s="6" t="s">
        <v>3292</v>
      </c>
      <c r="Z1028" s="6" t="s">
        <v>93</v>
      </c>
      <c r="AA1028" s="6" t="s">
        <v>4049</v>
      </c>
      <c r="AB1028" s="6"/>
      <c r="AC1028" s="6" t="s">
        <v>3141</v>
      </c>
      <c r="AD1028" s="6" t="s">
        <v>3160</v>
      </c>
      <c r="AE1028" s="6" t="s">
        <v>3136</v>
      </c>
      <c r="AF1028" s="6"/>
      <c r="AG1028" s="6" t="s">
        <v>4788</v>
      </c>
      <c r="AH1028" s="6" t="s">
        <v>79</v>
      </c>
    </row>
    <row r="1029" spans="1:34" x14ac:dyDescent="0.25">
      <c r="A1029" s="6" t="s">
        <v>128</v>
      </c>
      <c r="B1029" s="6" t="s">
        <v>129</v>
      </c>
      <c r="C1029" s="6"/>
      <c r="D1029" s="6" t="s">
        <v>3295</v>
      </c>
      <c r="E1029" s="6" t="s">
        <v>3296</v>
      </c>
      <c r="F1029" s="6" t="s">
        <v>3283</v>
      </c>
      <c r="G1029" s="6" t="s">
        <v>3297</v>
      </c>
      <c r="H1029" s="6" t="s">
        <v>132</v>
      </c>
      <c r="I1029" s="6" t="s">
        <v>92</v>
      </c>
      <c r="J1029" s="6" t="s">
        <v>3217</v>
      </c>
      <c r="K1029" s="6" t="s">
        <v>3159</v>
      </c>
      <c r="L1029" s="6" t="s">
        <v>3243</v>
      </c>
      <c r="M1029" s="6" t="s">
        <v>3196</v>
      </c>
      <c r="N1029" s="6" t="s">
        <v>3152</v>
      </c>
      <c r="O1029" s="6" t="s">
        <v>3160</v>
      </c>
      <c r="P1029" s="6" t="s">
        <v>3298</v>
      </c>
      <c r="Q1029" s="6" t="s">
        <v>3299</v>
      </c>
      <c r="R1029" s="6" t="s">
        <v>3300</v>
      </c>
      <c r="S1029" s="6" t="s">
        <v>21</v>
      </c>
      <c r="T1029" s="6" t="s">
        <v>3301</v>
      </c>
      <c r="U1029" s="6" t="s">
        <v>3141</v>
      </c>
      <c r="V1029" s="6" t="s">
        <v>3302</v>
      </c>
      <c r="W1029" s="6" t="s">
        <v>3303</v>
      </c>
      <c r="X1029" s="6" t="s">
        <v>85</v>
      </c>
      <c r="Y1029" s="6" t="s">
        <v>3159</v>
      </c>
      <c r="Z1029" s="6" t="s">
        <v>78</v>
      </c>
      <c r="AA1029" s="6" t="s">
        <v>3304</v>
      </c>
      <c r="AB1029" s="6" t="s">
        <v>3305</v>
      </c>
      <c r="AC1029" s="6" t="s">
        <v>3140</v>
      </c>
      <c r="AD1029" s="6" t="s">
        <v>3152</v>
      </c>
      <c r="AE1029" s="6" t="s">
        <v>3235</v>
      </c>
      <c r="AF1029" s="6"/>
      <c r="AG1029" s="6" t="s">
        <v>3306</v>
      </c>
      <c r="AH1029" s="6" t="s">
        <v>79</v>
      </c>
    </row>
    <row r="1030" spans="1:34" x14ac:dyDescent="0.25">
      <c r="A1030" s="6" t="s">
        <v>2160</v>
      </c>
      <c r="B1030" s="6" t="s">
        <v>2161</v>
      </c>
      <c r="C1030" s="6"/>
      <c r="D1030" s="6" t="s">
        <v>2162</v>
      </c>
      <c r="E1030" s="6" t="s">
        <v>4155</v>
      </c>
      <c r="F1030" s="6" t="s">
        <v>3227</v>
      </c>
      <c r="G1030" s="6" t="s">
        <v>139</v>
      </c>
      <c r="H1030" s="6" t="s">
        <v>73</v>
      </c>
      <c r="I1030" s="6" t="s">
        <v>74</v>
      </c>
      <c r="J1030" s="6"/>
      <c r="K1030" s="6" t="s">
        <v>3140</v>
      </c>
      <c r="L1030" s="6" t="s">
        <v>3142</v>
      </c>
      <c r="M1030" s="6" t="s">
        <v>3143</v>
      </c>
      <c r="N1030" s="6" t="s">
        <v>3243</v>
      </c>
      <c r="O1030" s="6" t="s">
        <v>3159</v>
      </c>
      <c r="P1030" s="6" t="s">
        <v>7886</v>
      </c>
      <c r="Q1030" s="6"/>
      <c r="R1030" s="6" t="s">
        <v>8147</v>
      </c>
      <c r="S1030" s="6" t="s">
        <v>20</v>
      </c>
      <c r="T1030" s="6" t="s">
        <v>8148</v>
      </c>
      <c r="U1030" s="6" t="s">
        <v>3159</v>
      </c>
      <c r="V1030" s="6" t="s">
        <v>3555</v>
      </c>
      <c r="W1030" s="6" t="s">
        <v>3894</v>
      </c>
      <c r="X1030" s="6" t="s">
        <v>85</v>
      </c>
      <c r="Y1030" s="6" t="s">
        <v>3292</v>
      </c>
      <c r="Z1030" s="6" t="s">
        <v>93</v>
      </c>
      <c r="AA1030" s="6" t="s">
        <v>3683</v>
      </c>
      <c r="AB1030" s="6" t="s">
        <v>8149</v>
      </c>
      <c r="AC1030" s="6" t="s">
        <v>3141</v>
      </c>
      <c r="AD1030" s="6" t="s">
        <v>3243</v>
      </c>
      <c r="AE1030" s="6" t="s">
        <v>3169</v>
      </c>
      <c r="AF1030" s="6"/>
      <c r="AG1030" s="6"/>
      <c r="AH1030" s="6" t="s">
        <v>79</v>
      </c>
    </row>
    <row r="1031" spans="1:34" x14ac:dyDescent="0.25">
      <c r="A1031" s="6" t="s">
        <v>2593</v>
      </c>
      <c r="B1031" s="6" t="s">
        <v>6021</v>
      </c>
      <c r="C1031" s="6" t="s">
        <v>2594</v>
      </c>
      <c r="D1031" s="6" t="s">
        <v>2595</v>
      </c>
      <c r="E1031" s="6" t="s">
        <v>3136</v>
      </c>
      <c r="F1031" s="6" t="s">
        <v>3137</v>
      </c>
      <c r="G1031" s="6" t="s">
        <v>106</v>
      </c>
      <c r="H1031" s="6" t="s">
        <v>99</v>
      </c>
      <c r="I1031" s="6" t="s">
        <v>74</v>
      </c>
      <c r="J1031" s="6" t="s">
        <v>9048</v>
      </c>
      <c r="K1031" s="6" t="s">
        <v>3141</v>
      </c>
      <c r="L1031" s="6" t="s">
        <v>3141</v>
      </c>
      <c r="M1031" s="6" t="s">
        <v>3152</v>
      </c>
      <c r="N1031" s="6" t="s">
        <v>3160</v>
      </c>
      <c r="O1031" s="6" t="s">
        <v>3152</v>
      </c>
      <c r="P1031" s="6" t="s">
        <v>8749</v>
      </c>
      <c r="Q1031" s="6" t="s">
        <v>9049</v>
      </c>
      <c r="R1031" s="6" t="s">
        <v>9050</v>
      </c>
      <c r="S1031" s="6" t="s">
        <v>3287</v>
      </c>
      <c r="T1031" s="6" t="s">
        <v>9051</v>
      </c>
      <c r="U1031" s="6" t="s">
        <v>3159</v>
      </c>
      <c r="V1031" s="6" t="s">
        <v>4644</v>
      </c>
      <c r="W1031" s="6" t="s">
        <v>4441</v>
      </c>
      <c r="X1031" s="6" t="s">
        <v>85</v>
      </c>
      <c r="Y1031" s="6" t="s">
        <v>3140</v>
      </c>
      <c r="Z1031" s="6" t="s">
        <v>78</v>
      </c>
      <c r="AA1031" s="6" t="s">
        <v>4981</v>
      </c>
      <c r="AB1031" s="6" t="s">
        <v>9052</v>
      </c>
      <c r="AC1031" s="6" t="s">
        <v>3141</v>
      </c>
      <c r="AD1031" s="6" t="s">
        <v>3141</v>
      </c>
      <c r="AE1031" s="6" t="s">
        <v>3235</v>
      </c>
      <c r="AF1031" s="6"/>
      <c r="AG1031" s="6" t="s">
        <v>8258</v>
      </c>
      <c r="AH1031" s="6" t="s">
        <v>79</v>
      </c>
    </row>
    <row r="1032" spans="1:34" x14ac:dyDescent="0.25">
      <c r="A1032" s="6" t="s">
        <v>1390</v>
      </c>
      <c r="B1032" s="6" t="s">
        <v>909</v>
      </c>
      <c r="C1032" s="6" t="s">
        <v>1391</v>
      </c>
      <c r="D1032" s="6" t="s">
        <v>1392</v>
      </c>
      <c r="E1032" s="6" t="s">
        <v>3921</v>
      </c>
      <c r="F1032" s="6" t="s">
        <v>3214</v>
      </c>
      <c r="G1032" s="6" t="s">
        <v>143</v>
      </c>
      <c r="H1032" s="6" t="s">
        <v>73</v>
      </c>
      <c r="I1032" s="6" t="s">
        <v>74</v>
      </c>
      <c r="J1032" s="6" t="s">
        <v>6438</v>
      </c>
      <c r="K1032" s="6" t="s">
        <v>3140</v>
      </c>
      <c r="L1032" s="6" t="s">
        <v>3159</v>
      </c>
      <c r="M1032" s="6" t="s">
        <v>3159</v>
      </c>
      <c r="N1032" s="6" t="s">
        <v>3160</v>
      </c>
      <c r="O1032" s="6" t="s">
        <v>75</v>
      </c>
      <c r="P1032" s="6" t="s">
        <v>5957</v>
      </c>
      <c r="Q1032" s="6"/>
      <c r="R1032" s="6" t="s">
        <v>6439</v>
      </c>
      <c r="S1032" s="6" t="s">
        <v>22</v>
      </c>
      <c r="T1032" s="6" t="s">
        <v>6440</v>
      </c>
      <c r="U1032" s="6" t="s">
        <v>3141</v>
      </c>
      <c r="V1032" s="6" t="s">
        <v>6441</v>
      </c>
      <c r="W1032" s="6" t="s">
        <v>3468</v>
      </c>
      <c r="X1032" s="6" t="s">
        <v>77</v>
      </c>
      <c r="Y1032" s="6" t="s">
        <v>3292</v>
      </c>
      <c r="Z1032" s="6" t="s">
        <v>93</v>
      </c>
      <c r="AA1032" s="6" t="s">
        <v>3455</v>
      </c>
      <c r="AB1032" s="6"/>
      <c r="AC1032" s="6" t="s">
        <v>3159</v>
      </c>
      <c r="AD1032" s="6" t="s">
        <v>3188</v>
      </c>
      <c r="AE1032" s="6" t="s">
        <v>3235</v>
      </c>
      <c r="AF1032" s="6" t="s">
        <v>6442</v>
      </c>
      <c r="AG1032" s="6" t="s">
        <v>4540</v>
      </c>
      <c r="AH1032" s="6" t="s">
        <v>79</v>
      </c>
    </row>
    <row r="1033" spans="1:34" x14ac:dyDescent="0.25">
      <c r="A1033" s="6" t="s">
        <v>969</v>
      </c>
      <c r="B1033" s="6" t="s">
        <v>970</v>
      </c>
      <c r="C1033" s="6" t="s">
        <v>5517</v>
      </c>
      <c r="D1033" s="6" t="s">
        <v>971</v>
      </c>
      <c r="E1033" s="6" t="s">
        <v>3703</v>
      </c>
      <c r="F1033" s="6" t="s">
        <v>3358</v>
      </c>
      <c r="G1033" s="6" t="s">
        <v>153</v>
      </c>
      <c r="H1033" s="6" t="s">
        <v>132</v>
      </c>
      <c r="I1033" s="6" t="s">
        <v>92</v>
      </c>
      <c r="J1033" s="6" t="s">
        <v>5518</v>
      </c>
      <c r="K1033" s="6" t="s">
        <v>3141</v>
      </c>
      <c r="L1033" s="6" t="s">
        <v>3160</v>
      </c>
      <c r="M1033" s="6" t="s">
        <v>3141</v>
      </c>
      <c r="N1033" s="6" t="s">
        <v>3143</v>
      </c>
      <c r="O1033" s="6" t="s">
        <v>75</v>
      </c>
      <c r="P1033" s="6" t="s">
        <v>5519</v>
      </c>
      <c r="Q1033" s="6"/>
      <c r="R1033" s="6" t="s">
        <v>5520</v>
      </c>
      <c r="S1033" s="6" t="s">
        <v>22</v>
      </c>
      <c r="T1033" s="6"/>
      <c r="U1033" s="6" t="s">
        <v>3140</v>
      </c>
      <c r="V1033" s="6" t="s">
        <v>5521</v>
      </c>
      <c r="W1033" s="6" t="s">
        <v>3447</v>
      </c>
      <c r="X1033" s="6" t="s">
        <v>85</v>
      </c>
      <c r="Y1033" s="6" t="s">
        <v>3141</v>
      </c>
      <c r="Z1033" s="6" t="s">
        <v>93</v>
      </c>
      <c r="AA1033" s="6" t="s">
        <v>4227</v>
      </c>
      <c r="AB1033" s="6"/>
      <c r="AC1033" s="6" t="s">
        <v>3159</v>
      </c>
      <c r="AD1033" s="6" t="s">
        <v>3243</v>
      </c>
      <c r="AE1033" s="6" t="s">
        <v>3279</v>
      </c>
      <c r="AF1033" s="6" t="s">
        <v>5522</v>
      </c>
      <c r="AG1033" s="6" t="s">
        <v>5523</v>
      </c>
      <c r="AH1033" s="6" t="s">
        <v>79</v>
      </c>
    </row>
    <row r="1034" spans="1:34" x14ac:dyDescent="0.25">
      <c r="A1034" s="6" t="s">
        <v>86</v>
      </c>
      <c r="B1034" s="6" t="s">
        <v>87</v>
      </c>
      <c r="C1034" s="6"/>
      <c r="D1034" s="6" t="s">
        <v>88</v>
      </c>
      <c r="E1034" s="6" t="s">
        <v>3170</v>
      </c>
      <c r="F1034" s="6" t="s">
        <v>89</v>
      </c>
      <c r="G1034" s="6" t="s">
        <v>3171</v>
      </c>
      <c r="H1034" s="6" t="s">
        <v>91</v>
      </c>
      <c r="I1034" s="6" t="s">
        <v>92</v>
      </c>
      <c r="J1034" s="6" t="s">
        <v>3172</v>
      </c>
      <c r="K1034" s="6" t="s">
        <v>3159</v>
      </c>
      <c r="L1034" s="6" t="s">
        <v>3152</v>
      </c>
      <c r="M1034" s="6" t="s">
        <v>3143</v>
      </c>
      <c r="N1034" s="6" t="s">
        <v>3173</v>
      </c>
      <c r="O1034" s="6" t="s">
        <v>3141</v>
      </c>
      <c r="P1034" s="6" t="s">
        <v>3174</v>
      </c>
      <c r="Q1034" s="6" t="s">
        <v>3175</v>
      </c>
      <c r="R1034" s="6" t="s">
        <v>3176</v>
      </c>
      <c r="S1034" s="6" t="s">
        <v>3177</v>
      </c>
      <c r="T1034" s="6" t="s">
        <v>3178</v>
      </c>
      <c r="U1034" s="6" t="s">
        <v>3159</v>
      </c>
      <c r="V1034" s="6" t="s">
        <v>3179</v>
      </c>
      <c r="W1034" s="6" t="s">
        <v>3180</v>
      </c>
      <c r="X1034" s="6" t="s">
        <v>85</v>
      </c>
      <c r="Y1034" s="6" t="s">
        <v>3141</v>
      </c>
      <c r="Z1034" s="6" t="s">
        <v>93</v>
      </c>
      <c r="AA1034" s="6" t="s">
        <v>3181</v>
      </c>
      <c r="AB1034" s="6"/>
      <c r="AC1034" s="6" t="s">
        <v>3141</v>
      </c>
      <c r="AD1034" s="6" t="s">
        <v>3152</v>
      </c>
      <c r="AE1034" s="6" t="s">
        <v>3136</v>
      </c>
      <c r="AF1034" s="6"/>
      <c r="AG1034" s="6" t="s">
        <v>3182</v>
      </c>
      <c r="AH1034" s="6" t="s">
        <v>94</v>
      </c>
    </row>
    <row r="1035" spans="1:34" x14ac:dyDescent="0.25">
      <c r="A1035" s="6" t="s">
        <v>3009</v>
      </c>
      <c r="B1035" s="6" t="s">
        <v>3010</v>
      </c>
      <c r="C1035" s="6" t="s">
        <v>3011</v>
      </c>
      <c r="D1035" s="6" t="s">
        <v>3012</v>
      </c>
      <c r="E1035" s="6" t="s">
        <v>3254</v>
      </c>
      <c r="F1035" s="6" t="s">
        <v>3358</v>
      </c>
      <c r="G1035" s="6" t="s">
        <v>388</v>
      </c>
      <c r="H1035" s="6" t="s">
        <v>107</v>
      </c>
      <c r="I1035" s="6" t="s">
        <v>92</v>
      </c>
      <c r="J1035" s="6" t="s">
        <v>9983</v>
      </c>
      <c r="K1035" s="6" t="s">
        <v>3159</v>
      </c>
      <c r="L1035" s="6" t="s">
        <v>3196</v>
      </c>
      <c r="M1035" s="6" t="s">
        <v>3143</v>
      </c>
      <c r="N1035" s="6" t="s">
        <v>3160</v>
      </c>
      <c r="O1035" s="6" t="s">
        <v>75</v>
      </c>
      <c r="P1035" s="6" t="s">
        <v>5726</v>
      </c>
      <c r="Q1035" s="6" t="s">
        <v>9984</v>
      </c>
      <c r="R1035" s="6" t="s">
        <v>9985</v>
      </c>
      <c r="S1035" s="6" t="s">
        <v>22</v>
      </c>
      <c r="T1035" s="6" t="s">
        <v>9986</v>
      </c>
      <c r="U1035" s="6" t="s">
        <v>3141</v>
      </c>
      <c r="V1035" s="6" t="s">
        <v>6402</v>
      </c>
      <c r="W1035" s="6" t="s">
        <v>4108</v>
      </c>
      <c r="X1035" s="6" t="s">
        <v>161</v>
      </c>
      <c r="Y1035" s="6" t="s">
        <v>3292</v>
      </c>
      <c r="Z1035" s="6" t="s">
        <v>194</v>
      </c>
      <c r="AA1035" s="6" t="s">
        <v>3404</v>
      </c>
      <c r="AB1035" s="6"/>
      <c r="AC1035" s="6" t="s">
        <v>3141</v>
      </c>
      <c r="AD1035" s="6" t="s">
        <v>3143</v>
      </c>
      <c r="AE1035" s="6" t="s">
        <v>3279</v>
      </c>
      <c r="AF1035" s="6" t="s">
        <v>9987</v>
      </c>
      <c r="AG1035" s="6" t="s">
        <v>9988</v>
      </c>
      <c r="AH1035" s="6" t="s">
        <v>79</v>
      </c>
    </row>
    <row r="1036" spans="1:34" x14ac:dyDescent="0.25">
      <c r="A1036" s="6" t="s">
        <v>1621</v>
      </c>
      <c r="B1036" s="6" t="s">
        <v>1622</v>
      </c>
      <c r="C1036" s="6" t="s">
        <v>1623</v>
      </c>
      <c r="D1036" s="6" t="s">
        <v>6964</v>
      </c>
      <c r="E1036" s="6" t="s">
        <v>3722</v>
      </c>
      <c r="F1036" s="6" t="s">
        <v>3201</v>
      </c>
      <c r="G1036" s="6" t="s">
        <v>5313</v>
      </c>
      <c r="H1036" s="6" t="s">
        <v>5121</v>
      </c>
      <c r="I1036" s="6" t="s">
        <v>92</v>
      </c>
      <c r="J1036" s="6" t="s">
        <v>6965</v>
      </c>
      <c r="K1036" s="6" t="s">
        <v>3140</v>
      </c>
      <c r="L1036" s="6" t="s">
        <v>3196</v>
      </c>
      <c r="M1036" s="6" t="s">
        <v>3196</v>
      </c>
      <c r="N1036" s="6" t="s">
        <v>3141</v>
      </c>
      <c r="O1036" s="6" t="s">
        <v>3152</v>
      </c>
      <c r="P1036" s="6" t="s">
        <v>6966</v>
      </c>
      <c r="Q1036" s="6" t="s">
        <v>6967</v>
      </c>
      <c r="R1036" s="6" t="s">
        <v>6968</v>
      </c>
      <c r="S1036" s="6" t="s">
        <v>23</v>
      </c>
      <c r="T1036" s="6" t="s">
        <v>6969</v>
      </c>
      <c r="U1036" s="6" t="s">
        <v>3192</v>
      </c>
      <c r="V1036" s="6" t="s">
        <v>6970</v>
      </c>
      <c r="W1036" s="6" t="s">
        <v>4643</v>
      </c>
      <c r="X1036" s="6" t="s">
        <v>77</v>
      </c>
      <c r="Y1036" s="6" t="s">
        <v>3140</v>
      </c>
      <c r="Z1036" s="6" t="s">
        <v>3343</v>
      </c>
      <c r="AA1036" s="6" t="s">
        <v>6971</v>
      </c>
      <c r="AB1036" s="6"/>
      <c r="AC1036" s="6" t="s">
        <v>3140</v>
      </c>
      <c r="AD1036" s="6" t="s">
        <v>3152</v>
      </c>
      <c r="AE1036" s="6" t="s">
        <v>3428</v>
      </c>
      <c r="AF1036" s="6" t="s">
        <v>6972</v>
      </c>
      <c r="AG1036" s="6" t="s">
        <v>6910</v>
      </c>
      <c r="AH1036" s="6" t="s">
        <v>79</v>
      </c>
    </row>
    <row r="1037" spans="1:34" x14ac:dyDescent="0.25">
      <c r="A1037" s="6" t="s">
        <v>336</v>
      </c>
      <c r="B1037" s="6" t="s">
        <v>337</v>
      </c>
      <c r="C1037" s="6" t="s">
        <v>3911</v>
      </c>
      <c r="D1037" s="6" t="s">
        <v>3912</v>
      </c>
      <c r="E1037" s="6" t="s">
        <v>3786</v>
      </c>
      <c r="F1037" s="6" t="s">
        <v>3201</v>
      </c>
      <c r="G1037" s="6" t="s">
        <v>131</v>
      </c>
      <c r="H1037" s="6" t="s">
        <v>91</v>
      </c>
      <c r="I1037" s="6" t="s">
        <v>92</v>
      </c>
      <c r="J1037" s="6" t="s">
        <v>3913</v>
      </c>
      <c r="K1037" s="6" t="s">
        <v>3159</v>
      </c>
      <c r="L1037" s="6" t="s">
        <v>75</v>
      </c>
      <c r="M1037" s="6" t="s">
        <v>3188</v>
      </c>
      <c r="N1037" s="6" t="s">
        <v>3141</v>
      </c>
      <c r="O1037" s="6" t="s">
        <v>3141</v>
      </c>
      <c r="P1037" s="6" t="s">
        <v>3914</v>
      </c>
      <c r="Q1037" s="6" t="s">
        <v>3915</v>
      </c>
      <c r="R1037" s="6" t="s">
        <v>3916</v>
      </c>
      <c r="S1037" s="6" t="s">
        <v>3177</v>
      </c>
      <c r="T1037" s="6"/>
      <c r="U1037" s="6" t="s">
        <v>3140</v>
      </c>
      <c r="V1037" s="6" t="s">
        <v>3917</v>
      </c>
      <c r="W1037" s="6" t="s">
        <v>3894</v>
      </c>
      <c r="X1037" s="6" t="s">
        <v>3918</v>
      </c>
      <c r="Y1037" s="6" t="s">
        <v>3140</v>
      </c>
      <c r="Z1037" s="6" t="s">
        <v>78</v>
      </c>
      <c r="AA1037" s="6" t="s">
        <v>3194</v>
      </c>
      <c r="AB1037" s="6"/>
      <c r="AC1037" s="6" t="s">
        <v>3141</v>
      </c>
      <c r="AD1037" s="6" t="s">
        <v>3143</v>
      </c>
      <c r="AE1037" s="6" t="s">
        <v>3235</v>
      </c>
      <c r="AF1037" s="6"/>
      <c r="AG1037" s="6" t="s">
        <v>3919</v>
      </c>
      <c r="AH1037" s="6" t="s">
        <v>79</v>
      </c>
    </row>
    <row r="1038" spans="1:34" x14ac:dyDescent="0.25">
      <c r="A1038" s="6" t="s">
        <v>1634</v>
      </c>
      <c r="B1038" s="6" t="s">
        <v>1635</v>
      </c>
      <c r="C1038" s="6" t="s">
        <v>6993</v>
      </c>
      <c r="D1038" s="6" t="s">
        <v>1636</v>
      </c>
      <c r="E1038" s="6" t="s">
        <v>3677</v>
      </c>
      <c r="F1038" s="6" t="s">
        <v>3283</v>
      </c>
      <c r="G1038" s="6" t="s">
        <v>72</v>
      </c>
      <c r="H1038" s="6" t="s">
        <v>84</v>
      </c>
      <c r="I1038" s="6" t="s">
        <v>74</v>
      </c>
      <c r="J1038" s="6" t="s">
        <v>6994</v>
      </c>
      <c r="K1038" s="6" t="s">
        <v>3141</v>
      </c>
      <c r="L1038" s="6" t="s">
        <v>3143</v>
      </c>
      <c r="M1038" s="6" t="s">
        <v>75</v>
      </c>
      <c r="N1038" s="6" t="s">
        <v>3160</v>
      </c>
      <c r="O1038" s="6" t="s">
        <v>3141</v>
      </c>
      <c r="P1038" s="6" t="s">
        <v>6995</v>
      </c>
      <c r="Q1038" s="6" t="s">
        <v>6996</v>
      </c>
      <c r="R1038" s="6" t="s">
        <v>6997</v>
      </c>
      <c r="S1038" s="6" t="s">
        <v>3287</v>
      </c>
      <c r="T1038" s="6" t="s">
        <v>6998</v>
      </c>
      <c r="U1038" s="6" t="s">
        <v>3275</v>
      </c>
      <c r="V1038" s="6" t="s">
        <v>5093</v>
      </c>
      <c r="W1038" s="6" t="s">
        <v>3439</v>
      </c>
      <c r="X1038" s="6" t="s">
        <v>85</v>
      </c>
      <c r="Y1038" s="6" t="s">
        <v>3141</v>
      </c>
      <c r="Z1038" s="6" t="s">
        <v>194</v>
      </c>
      <c r="AA1038" s="6" t="s">
        <v>3550</v>
      </c>
      <c r="AB1038" s="6"/>
      <c r="AC1038" s="6" t="s">
        <v>3141</v>
      </c>
      <c r="AD1038" s="6" t="s">
        <v>3141</v>
      </c>
      <c r="AE1038" s="6" t="s">
        <v>3235</v>
      </c>
      <c r="AF1038" s="6"/>
      <c r="AG1038" s="6" t="s">
        <v>6999</v>
      </c>
      <c r="AH1038" s="6" t="s">
        <v>79</v>
      </c>
    </row>
    <row r="1039" spans="1:34" x14ac:dyDescent="0.25">
      <c r="A1039" s="6" t="s">
        <v>2756</v>
      </c>
      <c r="B1039" s="6" t="s">
        <v>1837</v>
      </c>
      <c r="C1039" s="6" t="s">
        <v>2757</v>
      </c>
      <c r="D1039" s="6" t="s">
        <v>2758</v>
      </c>
      <c r="E1039" s="6"/>
      <c r="F1039" s="6" t="s">
        <v>89</v>
      </c>
      <c r="G1039" s="6" t="s">
        <v>314</v>
      </c>
      <c r="H1039" s="6" t="s">
        <v>103</v>
      </c>
      <c r="I1039" s="6" t="s">
        <v>74</v>
      </c>
      <c r="J1039" s="6" t="s">
        <v>9427</v>
      </c>
      <c r="K1039" s="6" t="s">
        <v>3159</v>
      </c>
      <c r="L1039" s="6" t="s">
        <v>3196</v>
      </c>
      <c r="M1039" s="6" t="s">
        <v>75</v>
      </c>
      <c r="N1039" s="6" t="s">
        <v>3152</v>
      </c>
      <c r="O1039" s="6" t="s">
        <v>75</v>
      </c>
      <c r="P1039" s="6" t="s">
        <v>9428</v>
      </c>
      <c r="Q1039" s="6" t="s">
        <v>9429</v>
      </c>
      <c r="R1039" s="6" t="s">
        <v>9430</v>
      </c>
      <c r="S1039" s="6" t="s">
        <v>22</v>
      </c>
      <c r="T1039" s="6" t="s">
        <v>9431</v>
      </c>
      <c r="U1039" s="6" t="s">
        <v>3140</v>
      </c>
      <c r="V1039" s="6" t="s">
        <v>9432</v>
      </c>
      <c r="W1039" s="6" t="s">
        <v>3642</v>
      </c>
      <c r="X1039" s="6" t="s">
        <v>85</v>
      </c>
      <c r="Y1039" s="6" t="s">
        <v>3140</v>
      </c>
      <c r="Z1039" s="6" t="s">
        <v>93</v>
      </c>
      <c r="AA1039" s="6" t="s">
        <v>3364</v>
      </c>
      <c r="AB1039" s="6"/>
      <c r="AC1039" s="6" t="s">
        <v>3159</v>
      </c>
      <c r="AD1039" s="6" t="s">
        <v>3143</v>
      </c>
      <c r="AE1039" s="6" t="s">
        <v>3235</v>
      </c>
      <c r="AF1039" s="6" t="s">
        <v>9433</v>
      </c>
      <c r="AG1039" s="6" t="s">
        <v>5644</v>
      </c>
      <c r="AH1039" s="6" t="s">
        <v>94</v>
      </c>
    </row>
    <row r="1040" spans="1:34" x14ac:dyDescent="0.25">
      <c r="A1040" s="6"/>
      <c r="B1040" s="6" t="s">
        <v>2103</v>
      </c>
      <c r="C1040" s="6" t="s">
        <v>2348</v>
      </c>
      <c r="D1040" s="6" t="s">
        <v>2349</v>
      </c>
      <c r="E1040" s="6" t="s">
        <v>3170</v>
      </c>
      <c r="F1040" s="6" t="s">
        <v>3137</v>
      </c>
      <c r="G1040" s="6" t="s">
        <v>115</v>
      </c>
      <c r="H1040" s="6" t="s">
        <v>99</v>
      </c>
      <c r="I1040" s="6" t="s">
        <v>74</v>
      </c>
      <c r="J1040" s="6" t="s">
        <v>3217</v>
      </c>
      <c r="K1040" s="6" t="s">
        <v>3141</v>
      </c>
      <c r="L1040" s="6" t="s">
        <v>3152</v>
      </c>
      <c r="M1040" s="6" t="s">
        <v>3143</v>
      </c>
      <c r="N1040" s="6" t="s">
        <v>75</v>
      </c>
      <c r="O1040" s="6" t="s">
        <v>3141</v>
      </c>
      <c r="P1040" s="6" t="s">
        <v>4472</v>
      </c>
      <c r="Q1040" s="6" t="s">
        <v>8531</v>
      </c>
      <c r="R1040" s="6" t="s">
        <v>8532</v>
      </c>
      <c r="S1040" s="6" t="s">
        <v>3219</v>
      </c>
      <c r="T1040" s="6" t="s">
        <v>8533</v>
      </c>
      <c r="U1040" s="6" t="s">
        <v>4264</v>
      </c>
      <c r="V1040" s="6" t="s">
        <v>8397</v>
      </c>
      <c r="W1040" s="6" t="s">
        <v>3365</v>
      </c>
      <c r="X1040" s="6" t="s">
        <v>77</v>
      </c>
      <c r="Y1040" s="6" t="s">
        <v>3141</v>
      </c>
      <c r="Z1040" s="6" t="s">
        <v>93</v>
      </c>
      <c r="AA1040" s="6" t="s">
        <v>3262</v>
      </c>
      <c r="AB1040" s="6"/>
      <c r="AC1040" s="6" t="s">
        <v>3141</v>
      </c>
      <c r="AD1040" s="6" t="s">
        <v>75</v>
      </c>
      <c r="AE1040" s="6" t="s">
        <v>3293</v>
      </c>
      <c r="AF1040" s="6"/>
      <c r="AG1040" s="6" t="s">
        <v>4602</v>
      </c>
      <c r="AH1040" s="6" t="s">
        <v>79</v>
      </c>
    </row>
    <row r="1041" spans="1:34" x14ac:dyDescent="0.25">
      <c r="A1041" s="6" t="s">
        <v>2710</v>
      </c>
      <c r="B1041" s="6" t="s">
        <v>9318</v>
      </c>
      <c r="C1041" s="6"/>
      <c r="D1041" s="6" t="s">
        <v>2711</v>
      </c>
      <c r="E1041" s="6" t="s">
        <v>3235</v>
      </c>
      <c r="F1041" s="6" t="s">
        <v>89</v>
      </c>
      <c r="G1041" s="6" t="s">
        <v>131</v>
      </c>
      <c r="H1041" s="6" t="s">
        <v>132</v>
      </c>
      <c r="I1041" s="6" t="s">
        <v>92</v>
      </c>
      <c r="J1041" s="6"/>
      <c r="K1041" s="6" t="s">
        <v>3140</v>
      </c>
      <c r="L1041" s="6" t="s">
        <v>3142</v>
      </c>
      <c r="M1041" s="6" t="s">
        <v>3160</v>
      </c>
      <c r="N1041" s="6" t="s">
        <v>3173</v>
      </c>
      <c r="O1041" s="6" t="s">
        <v>3160</v>
      </c>
      <c r="P1041" s="6" t="s">
        <v>5051</v>
      </c>
      <c r="Q1041" s="6" t="s">
        <v>9319</v>
      </c>
      <c r="R1041" s="6" t="s">
        <v>9320</v>
      </c>
      <c r="S1041" s="6" t="s">
        <v>22</v>
      </c>
      <c r="T1041" s="6" t="s">
        <v>9321</v>
      </c>
      <c r="U1041" s="6" t="s">
        <v>3141</v>
      </c>
      <c r="V1041" s="6" t="s">
        <v>8182</v>
      </c>
      <c r="W1041" s="6" t="s">
        <v>3873</v>
      </c>
      <c r="X1041" s="6" t="s">
        <v>77</v>
      </c>
      <c r="Y1041" s="6" t="s">
        <v>3141</v>
      </c>
      <c r="Z1041" s="6" t="s">
        <v>194</v>
      </c>
      <c r="AA1041" s="6" t="s">
        <v>4176</v>
      </c>
      <c r="AB1041" s="6"/>
      <c r="AC1041" s="6" t="s">
        <v>3141</v>
      </c>
      <c r="AD1041" s="6" t="s">
        <v>3152</v>
      </c>
      <c r="AE1041" s="6" t="s">
        <v>3279</v>
      </c>
      <c r="AF1041" s="6" t="s">
        <v>9322</v>
      </c>
      <c r="AG1041" s="6"/>
      <c r="AH1041" s="6" t="s">
        <v>79</v>
      </c>
    </row>
    <row r="1042" spans="1:34" x14ac:dyDescent="0.2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</row>
    <row r="1043" spans="1:34" x14ac:dyDescent="0.2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</row>
    <row r="1044" spans="1:34" x14ac:dyDescent="0.2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</row>
    <row r="1045" spans="1:34" x14ac:dyDescent="0.2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</row>
    <row r="1046" spans="1:34" x14ac:dyDescent="0.2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</row>
    <row r="1047" spans="1:34" x14ac:dyDescent="0.2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</row>
    <row r="1048" spans="1:34" x14ac:dyDescent="0.2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</row>
    <row r="1049" spans="1:34" x14ac:dyDescent="0.2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</row>
    <row r="1051" spans="1:34" x14ac:dyDescent="0.25">
      <c r="A1051" s="1" t="s">
        <v>10221</v>
      </c>
      <c r="B1051" s="1"/>
      <c r="C1051" s="1"/>
      <c r="D1051" s="1"/>
      <c r="E1051" s="1"/>
      <c r="F1051" s="1"/>
      <c r="G1051" s="1"/>
      <c r="H1051" s="1"/>
    </row>
  </sheetData>
  <autoFilter ref="A1:AH1049" xr:uid="{00000000-0009-0000-0000-000002000000}"/>
  <mergeCells count="1">
    <mergeCell ref="A1051:H105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Customer Data</vt:lpstr>
      <vt:lpstr>Raw Data (Unclean)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1</cp:revision>
  <dcterms:created xsi:type="dcterms:W3CDTF">2026-08-25T21:57:21Z</dcterms:created>
  <dcterms:modified xsi:type="dcterms:W3CDTF">2026-08-30T14:32:33Z</dcterms:modified>
  <dc:language>en-US</dc:language>
</cp:coreProperties>
</file>